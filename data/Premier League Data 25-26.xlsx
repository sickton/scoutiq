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 Stats" sheetId="1" r:id="rId5"/>
    <sheet state="visible" name="Goalkeeping" sheetId="2" r:id="rId6"/>
    <sheet state="visible" name="Shooting" sheetId="3" r:id="rId7"/>
    <sheet state="visible" name="Miscllaneous" sheetId="4" r:id="rId8"/>
    <sheet state="visible" name="Playing time" sheetId="5" r:id="rId9"/>
    <sheet state="visible" name="Wages" sheetId="6" r:id="rId10"/>
  </sheets>
  <definedNames/>
  <calcPr/>
</workbook>
</file>

<file path=xl/sharedStrings.xml><?xml version="1.0" encoding="utf-8"?>
<sst xmlns="http://schemas.openxmlformats.org/spreadsheetml/2006/main" count="18325" uniqueCount="11794">
  <si>
    <t>Playing Time</t>
  </si>
  <si>
    <t>Performance</t>
  </si>
  <si>
    <t>Per 90 Minutes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</si>
  <si>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</si>
  <si>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</si>
  <si>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</si>
  <si>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</si>
  <si>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</si>
  <si>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</si>
  <si>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</si>
  <si>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</si>
  <si>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</si>
  <si>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</si>
  <si>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</si>
  <si>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</si>
  <si>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</si>
  <si>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</si>
  <si>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</si>
  <si>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</si>
  <si>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</si>
  <si>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</si>
  <si>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</si>
  <si>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</si>
  <si>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</si>
  <si>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r>
      <rPr>
        <rFont val="Verdana, sans-serif"/>
        <color rgb="FF1155CC"/>
        <u/>
      </rPr>
      <t>Brenden Aaronson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</si>
  <si>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</si>
  <si>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t>MF,FW</t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</si>
  <si>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</si>
  <si>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</si>
  <si>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Jerome Abbey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</si>
  <si>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</si>
  <si>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MF</t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</si>
  <si>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</si>
  <si>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</si>
  <si>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 Abbott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</si>
  <si>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</si>
  <si>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DF</t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</si>
  <si>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</si>
  <si>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</si>
  <si>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Tammy Abraham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</si>
  <si>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</si>
  <si>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FW</t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</si>
  <si>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</si>
  <si>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</si>
  <si>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Acheampong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</si>
  <si>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</si>
  <si>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</si>
  <si>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</si>
  <si>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Adams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</si>
  <si>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</si>
  <si>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</si>
  <si>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</si>
  <si>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Tosin Adarabioyo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</si>
  <si>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</si>
  <si>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</si>
  <si>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</si>
  <si>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Adingra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</si>
  <si>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</si>
  <si>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</si>
  <si>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</si>
  <si>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Amine Adli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</si>
  <si>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</si>
  <si>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</si>
  <si>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</si>
  <si>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Agbadou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</si>
  <si>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</si>
  <si>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</si>
  <si>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</si>
  <si>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Nayef Aguerd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</si>
  <si>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</si>
  <si>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</si>
  <si>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</si>
  <si>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Aina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</si>
  <si>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</si>
  <si>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</si>
  <si>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</si>
  <si>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Rayan Aït-Nouri</t>
    </r>
  </si>
  <si>
    <r>
      <rPr>
        <rFont val="Verdana, sans-serif"/>
        <color rgb="FF1155CC"/>
        <sz val="8.0"/>
        <u/>
      </rPr>
      <t>dz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</si>
  <si>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</si>
  <si>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</si>
  <si>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Ajer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</si>
  <si>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</si>
  <si>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</si>
  <si>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</si>
  <si>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Aké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</si>
  <si>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</si>
  <si>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</si>
  <si>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</si>
  <si>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Alcaraz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</si>
  <si>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</si>
  <si>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</si>
  <si>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</si>
  <si>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Alderete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</si>
  <si>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</si>
  <si>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</si>
  <si>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</si>
  <si>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Alisson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</si>
  <si>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</si>
  <si>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t>GK</t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</si>
  <si>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</si>
  <si>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</si>
  <si>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Alleyne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</si>
  <si>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</si>
  <si>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</si>
  <si>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</si>
  <si>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Jaydon Amauri Banel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</si>
  <si>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</si>
  <si>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FW,MF</t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</si>
  <si>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</si>
  <si>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</si>
  <si>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Zeki Amdouni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</si>
  <si>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</si>
  <si>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</si>
  <si>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</si>
  <si>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Ampadu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</si>
  <si>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</si>
  <si>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</si>
  <si>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</si>
  <si>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Joachim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</si>
  <si>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</si>
  <si>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</si>
  <si>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</si>
  <si>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Anderson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</si>
  <si>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</si>
  <si>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</si>
  <si>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</si>
  <si>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</si>
  <si>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</si>
  <si>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</si>
  <si>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</si>
  <si>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Nilson Angulo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</si>
  <si>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</si>
  <si>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</si>
  <si>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</si>
  <si>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Jaidon Anthony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</si>
  <si>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</si>
  <si>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</si>
  <si>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</si>
  <si>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Alphonse Areola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</si>
  <si>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</si>
  <si>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</si>
  <si>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</si>
  <si>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Jhon Arias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</si>
  <si>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</si>
  <si>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</si>
  <si>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</si>
  <si>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Armstrong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</si>
  <si>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</si>
  <si>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</si>
  <si>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</si>
  <si>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Harrison Armstrong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</si>
  <si>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</si>
  <si>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</si>
  <si>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</si>
  <si>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Tolu Arokodare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</si>
  <si>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</si>
  <si>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</si>
  <si>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</si>
  <si>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Kepa Arrizabalaga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</si>
  <si>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</si>
  <si>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</si>
  <si>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</si>
  <si>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Taiwo Awoniyi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</si>
  <si>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</si>
  <si>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</si>
  <si>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</si>
  <si>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</si>
  <si>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</si>
  <si>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</si>
  <si>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</si>
  <si>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Benoît Badiashile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</si>
  <si>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</si>
  <si>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</si>
  <si>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</si>
  <si>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Bailey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</si>
  <si>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</si>
  <si>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</si>
  <si>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</si>
  <si>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Dilane Bakwa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</si>
  <si>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</si>
  <si>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</si>
  <si>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</si>
  <si>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Baleba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</si>
  <si>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</si>
  <si>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</si>
  <si>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</si>
  <si>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Ballard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</si>
  <si>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</si>
  <si>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</si>
  <si>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</si>
  <si>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Ross Barkley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</si>
  <si>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</si>
  <si>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</si>
  <si>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</si>
  <si>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Ashley Barnes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</si>
  <si>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</si>
  <si>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</si>
  <si>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</si>
  <si>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Barnes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</si>
  <si>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</si>
  <si>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</si>
  <si>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</si>
  <si>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Thierno Barry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</si>
  <si>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</si>
  <si>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</si>
  <si>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</si>
  <si>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Calvin Bassey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</si>
  <si>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</si>
  <si>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</si>
  <si>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</si>
  <si>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Altay Bayındır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</si>
  <si>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</si>
  <si>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</si>
  <si>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</si>
  <si>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Jean-Ricner Bellegarde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</si>
  <si>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</si>
  <si>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</si>
  <si>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</si>
  <si>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Walter Benítez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</si>
  <si>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</si>
  <si>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</si>
  <si>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</si>
  <si>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Bentancur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</si>
  <si>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</si>
  <si>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</si>
  <si>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</si>
  <si>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Bentley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</si>
  <si>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</si>
  <si>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</si>
  <si>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</si>
  <si>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 Berge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</si>
  <si>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</si>
  <si>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</si>
  <si>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</si>
  <si>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</si>
  <si>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</si>
  <si>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</si>
  <si>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</si>
  <si>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Beto</t>
    </r>
  </si>
  <si>
    <r>
      <rPr>
        <rFont val="Verdana, sans-serif"/>
        <color rgb="FF1155CC"/>
        <sz val="8.0"/>
        <u/>
      </rPr>
      <t>gw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GNB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</si>
  <si>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</si>
  <si>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</si>
  <si>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Jaka Bijol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</si>
  <si>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</si>
  <si>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</si>
  <si>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</si>
  <si>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Yves Bissouma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</si>
  <si>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</si>
  <si>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</si>
  <si>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</si>
  <si>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Bizot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</si>
  <si>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</si>
  <si>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</si>
  <si>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</si>
  <si>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Bobb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</si>
  <si>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</si>
  <si>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</si>
  <si>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</si>
  <si>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Bobb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</si>
  <si>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</si>
  <si>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</si>
  <si>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</si>
  <si>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Lamare Bogarde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</si>
  <si>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</si>
  <si>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MF,DF</t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</si>
  <si>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</si>
  <si>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</si>
  <si>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Jayden Bogle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</si>
  <si>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</si>
  <si>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</si>
  <si>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</si>
  <si>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Sebastiaan Bornauw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</si>
  <si>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</si>
  <si>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</si>
  <si>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</si>
  <si>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Olivier Boscagli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</si>
  <si>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</si>
  <si>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</si>
  <si>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</si>
  <si>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Sven Botman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</si>
  <si>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</si>
  <si>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</si>
  <si>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</si>
  <si>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Jarrod Bowen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</si>
  <si>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</si>
  <si>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</si>
  <si>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</si>
  <si>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Conor Bradley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</si>
  <si>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</si>
  <si>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</si>
  <si>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</si>
  <si>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Jarrad Branthwaite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</si>
  <si>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</si>
  <si>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</si>
  <si>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</si>
  <si>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Brian Brobbey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</si>
  <si>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</si>
  <si>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</si>
  <si>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</si>
  <si>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Armando Broja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</si>
  <si>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</si>
  <si>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</si>
  <si>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</si>
  <si>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Brooks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</si>
  <si>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</si>
  <si>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</si>
  <si>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</si>
  <si>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Bruun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</si>
  <si>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</si>
  <si>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</si>
  <si>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</si>
  <si>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 Buendía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</si>
  <si>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</si>
  <si>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</si>
  <si>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</si>
  <si>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Bueno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</si>
  <si>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</si>
  <si>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</si>
  <si>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</si>
  <si>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Santiago Bueno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</si>
  <si>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</si>
  <si>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</si>
  <si>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</si>
  <si>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Facundo Buonanotte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</si>
  <si>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</si>
  <si>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</si>
  <si>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</si>
  <si>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Facundo Buonanotte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</si>
  <si>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</si>
  <si>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</si>
  <si>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</si>
  <si>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 Burn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</si>
  <si>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</si>
  <si>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</si>
  <si>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</si>
  <si>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Bradley Burrowes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</si>
  <si>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</si>
  <si>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</si>
  <si>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</si>
  <si>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Jun'ai Byfield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</si>
  <si>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</si>
  <si>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</si>
  <si>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</si>
  <si>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 Byram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</si>
  <si>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</si>
  <si>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DF,MF</t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</si>
  <si>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</si>
  <si>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</si>
  <si>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Moisés Caicedo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</si>
  <si>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</si>
  <si>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</si>
  <si>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</si>
  <si>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Cairney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</si>
  <si>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</si>
  <si>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</si>
  <si>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</si>
  <si>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Riccardo Calafiori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</si>
  <si>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</si>
  <si>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</si>
  <si>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</si>
  <si>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Dominic Calvert-Lewin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</si>
  <si>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</si>
  <si>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</si>
  <si>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</si>
  <si>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Jaydee Canvot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</si>
  <si>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</si>
  <si>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</si>
  <si>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</si>
  <si>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Rio Cardines</t>
    </r>
  </si>
  <si>
    <r>
      <rPr>
        <rFont val="Verdana, sans-serif"/>
        <color rgb="FF1155CC"/>
        <sz val="8.0"/>
        <u/>
      </rPr>
      <t>tt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TRI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</si>
  <si>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</si>
  <si>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</si>
  <si>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Fabio Carvalho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</si>
  <si>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</si>
  <si>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</si>
  <si>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</si>
  <si>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Casemiro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</si>
  <si>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</si>
  <si>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</si>
  <si>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</si>
  <si>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Matty Cash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</si>
  <si>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</si>
  <si>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</si>
  <si>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</si>
  <si>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Castagne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</si>
  <si>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</si>
  <si>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</si>
  <si>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</si>
  <si>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Valentín Castellanos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</si>
  <si>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</si>
  <si>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</si>
  <si>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</si>
  <si>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Trevoh Chalobah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</si>
  <si>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</si>
  <si>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</si>
  <si>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</si>
  <si>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Rayan Cherki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</si>
  <si>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</si>
  <si>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</si>
  <si>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</si>
  <si>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Federico Chiesa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</si>
  <si>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</si>
  <si>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</si>
  <si>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</si>
  <si>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Tawanda Chirewa</t>
    </r>
  </si>
  <si>
    <r>
      <rPr>
        <rFont val="Verdana, sans-serif"/>
        <color rgb="FF1155CC"/>
        <sz val="8.0"/>
        <u/>
      </rPr>
      <t>zw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ZIM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</si>
  <si>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</si>
  <si>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</si>
  <si>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Christie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</si>
  <si>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</si>
  <si>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</si>
  <si>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</si>
  <si>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Chukwueze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</si>
  <si>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</si>
  <si>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</si>
  <si>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</si>
  <si>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Cirkin</t>
    </r>
  </si>
  <si>
    <r>
      <rPr>
        <rFont val="Verdana, sans-serif"/>
        <color rgb="FF1155CC"/>
        <sz val="8.0"/>
        <u/>
      </rPr>
      <t>lv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LVA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</si>
  <si>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</si>
  <si>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</si>
  <si>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Clyne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</si>
  <si>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</si>
  <si>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</si>
  <si>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</si>
  <si>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Séamus Coleman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</si>
  <si>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</si>
  <si>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</si>
  <si>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</si>
  <si>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Collins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</si>
  <si>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</si>
  <si>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</si>
  <si>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</si>
  <si>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Levi Colwill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</si>
  <si>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</si>
  <si>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</si>
  <si>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</si>
  <si>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Cook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</si>
  <si>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</si>
  <si>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</si>
  <si>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</si>
  <si>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Coppola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</si>
  <si>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</si>
  <si>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</si>
  <si>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</si>
  <si>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Cucurella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</si>
  <si>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</si>
  <si>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</si>
  <si>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</si>
  <si>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Jorge Cuenca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</si>
  <si>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</si>
  <si>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</si>
  <si>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</si>
  <si>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 Cullen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</si>
  <si>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</si>
  <si>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</si>
  <si>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</si>
  <si>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Jair Cunha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</si>
  <si>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</si>
  <si>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</si>
  <si>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</si>
  <si>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Matheus Cunha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</si>
  <si>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</si>
  <si>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</si>
  <si>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</si>
  <si>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Diogo Dalot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</si>
  <si>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</si>
  <si>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</si>
  <si>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</si>
  <si>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Damsgaard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</si>
  <si>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</si>
  <si>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</si>
  <si>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</si>
  <si>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Danso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</si>
  <si>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</si>
  <si>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</si>
  <si>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</si>
  <si>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Darlow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</si>
  <si>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</si>
  <si>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</si>
  <si>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</si>
  <si>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 Dasilva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</si>
  <si>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</si>
  <si>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</si>
  <si>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</si>
  <si>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Davies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</si>
  <si>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</si>
  <si>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</si>
  <si>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</si>
  <si>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Maxim De Cuyper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</si>
  <si>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</si>
  <si>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</si>
  <si>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</si>
  <si>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Delap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</si>
  <si>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</si>
  <si>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</si>
  <si>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</si>
  <si>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Sepp van den Berg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</si>
  <si>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</si>
  <si>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</si>
  <si>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</si>
  <si>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Jesse Derry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</si>
  <si>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</si>
  <si>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</si>
  <si>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</si>
  <si>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Devenny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</si>
  <si>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</si>
  <si>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</si>
  <si>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</si>
  <si>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Kiernan Dewsbury-Hall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</si>
  <si>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</si>
  <si>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</si>
  <si>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</si>
  <si>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Bafodé Diakité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</si>
  <si>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</si>
  <si>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</si>
  <si>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</si>
  <si>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 Diallo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</si>
  <si>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</si>
  <si>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</si>
  <si>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</si>
  <si>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Habib Diarra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</si>
  <si>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</si>
  <si>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</si>
  <si>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</si>
  <si>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Rúben Dias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</si>
  <si>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</si>
  <si>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</si>
  <si>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</si>
  <si>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Dibling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</si>
  <si>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</si>
  <si>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</si>
  <si>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</si>
  <si>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Digne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</si>
  <si>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</si>
  <si>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</si>
  <si>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</si>
  <si>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Issa Diop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</si>
  <si>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</si>
  <si>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</si>
  <si>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</si>
  <si>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 Hadji Malick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</si>
  <si>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</si>
  <si>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</si>
  <si>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</si>
  <si>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Disasi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</si>
  <si>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</si>
  <si>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</si>
  <si>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</si>
  <si>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 Doherty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</si>
  <si>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</si>
  <si>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</si>
  <si>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</si>
  <si>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Doku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</si>
  <si>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</si>
  <si>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</si>
  <si>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</si>
  <si>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Domínguez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</si>
  <si>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</si>
  <si>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</si>
  <si>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</si>
  <si>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Gianluigi Donnarumma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</si>
  <si>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</si>
  <si>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</si>
  <si>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</si>
  <si>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Romelle Donovan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</si>
  <si>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</si>
  <si>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</si>
  <si>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</si>
  <si>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Dorgu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</si>
  <si>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</si>
  <si>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</si>
  <si>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</si>
  <si>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Dowman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</si>
  <si>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</si>
  <si>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</si>
  <si>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</si>
  <si>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Radu Drăgușin</t>
    </r>
  </si>
  <si>
    <r>
      <rPr>
        <rFont val="Verdana, sans-serif"/>
        <color rgb="FF1155CC"/>
        <sz val="8.0"/>
        <u/>
      </rPr>
      <t>ro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ROU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</si>
  <si>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</si>
  <si>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</si>
  <si>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Joél Drakes-Thomas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</si>
  <si>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</si>
  <si>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</si>
  <si>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</si>
  <si>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Dúbravka</t>
    </r>
  </si>
  <si>
    <r>
      <rPr>
        <rFont val="Verdana, sans-serif"/>
        <color rgb="FF1155CC"/>
        <sz val="8.0"/>
        <u/>
      </rPr>
      <t>sk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SVK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</si>
  <si>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</si>
  <si>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</si>
  <si>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Dunk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</si>
  <si>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</si>
  <si>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</si>
  <si>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</si>
  <si>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George Earthy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</si>
  <si>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</si>
  <si>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</si>
  <si>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</si>
  <si>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Odsonne Édouard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</si>
  <si>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</si>
  <si>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</si>
  <si>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</si>
  <si>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Edozie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</si>
  <si>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</si>
  <si>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</si>
  <si>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</si>
  <si>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Alysson Edward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</si>
  <si>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</si>
  <si>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</si>
  <si>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</si>
  <si>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Edwards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</si>
  <si>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</si>
  <si>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</si>
  <si>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</si>
  <si>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</si>
  <si>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</si>
  <si>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</si>
  <si>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</si>
  <si>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Ekitike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</si>
  <si>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</si>
  <si>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</si>
  <si>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</si>
  <si>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Elanga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</si>
  <si>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</si>
  <si>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</si>
  <si>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</si>
  <si>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</si>
  <si>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</si>
  <si>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</si>
  <si>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</si>
  <si>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Elliott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</si>
  <si>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</si>
  <si>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</si>
  <si>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</si>
  <si>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Elliott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</si>
  <si>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</si>
  <si>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</si>
  <si>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</si>
  <si>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Wataru Endo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</si>
  <si>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</si>
  <si>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</si>
  <si>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</si>
  <si>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Esse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</si>
  <si>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</si>
  <si>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</si>
  <si>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</si>
  <si>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Dario Essugo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</si>
  <si>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</si>
  <si>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</si>
  <si>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</si>
  <si>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Maxime Estève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</si>
  <si>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</si>
  <si>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</si>
  <si>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</si>
  <si>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Evanilson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</si>
  <si>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</si>
  <si>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</si>
  <si>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</si>
  <si>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Eberechi Eze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</si>
  <si>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</si>
  <si>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</si>
  <si>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</si>
  <si>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Eberechi Eze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</si>
  <si>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</si>
  <si>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</si>
  <si>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</si>
  <si>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Bruno Fernandes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</si>
  <si>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</si>
  <si>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</si>
  <si>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</si>
  <si>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Mateus Fernandes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</si>
  <si>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</si>
  <si>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</si>
  <si>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</si>
  <si>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Enzo Fernández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</si>
  <si>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</si>
  <si>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</si>
  <si>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</si>
  <si>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Zian Flemming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</si>
  <si>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</si>
  <si>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</si>
  <si>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</si>
  <si>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Fletcher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</si>
  <si>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</si>
  <si>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</si>
  <si>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</si>
  <si>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Fletcher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</si>
  <si>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</si>
  <si>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</si>
  <si>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</si>
  <si>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Foden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</si>
  <si>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</si>
  <si>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</si>
  <si>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</si>
  <si>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Wesley Fofana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</si>
  <si>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</si>
  <si>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</si>
  <si>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</si>
  <si>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Lyle Foster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</si>
  <si>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</si>
  <si>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</si>
  <si>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</si>
  <si>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Fredricson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</si>
  <si>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</si>
  <si>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</si>
  <si>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</si>
  <si>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Jeremie Frimpong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</si>
  <si>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</si>
  <si>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</si>
  <si>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</si>
  <si>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Niclas Füllkrug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</si>
  <si>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</si>
  <si>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</si>
  <si>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</si>
  <si>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Kaye Furo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</si>
  <si>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</si>
  <si>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</si>
  <si>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</si>
  <si>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Cody Gakpo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</si>
  <si>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</si>
  <si>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</si>
  <si>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</si>
  <si>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Conor Gallagher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</si>
  <si>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</si>
  <si>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</si>
  <si>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</si>
  <si>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Idrissa Gana Gueye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</si>
  <si>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</si>
  <si>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</si>
  <si>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</si>
  <si>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Gannon-Doak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</si>
  <si>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</si>
  <si>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</si>
  <si>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</si>
  <si>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Andrés García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</si>
  <si>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</si>
  <si>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</si>
  <si>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</si>
  <si>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Alejandro Garnacho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</si>
  <si>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</si>
  <si>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</si>
  <si>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</si>
  <si>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Garner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</si>
  <si>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</si>
  <si>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</si>
  <si>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</si>
  <si>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Lutsharel Geertruida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</si>
  <si>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</si>
  <si>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</si>
  <si>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</si>
  <si>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Tyrique George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</si>
  <si>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</si>
  <si>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</si>
  <si>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</si>
  <si>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Tyrique George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</si>
  <si>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</si>
  <si>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</si>
  <si>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</si>
  <si>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Morgan Gibbs-White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</si>
  <si>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</si>
  <si>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</si>
  <si>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</si>
  <si>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Gittens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</si>
  <si>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</si>
  <si>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</si>
  <si>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</si>
  <si>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Wilfried Gnonto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</si>
  <si>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</si>
  <si>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</si>
  <si>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</si>
  <si>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Angel Gomes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</si>
  <si>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</si>
  <si>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</si>
  <si>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</si>
  <si>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Gomes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</si>
  <si>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</si>
  <si>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</si>
  <si>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</si>
  <si>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Gomes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</si>
  <si>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</si>
  <si>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</si>
  <si>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</si>
  <si>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Toti Gomes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</si>
  <si>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</si>
  <si>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</si>
  <si>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</si>
  <si>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Gómez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</si>
  <si>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</si>
  <si>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</si>
  <si>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</si>
  <si>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Gomez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</si>
  <si>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</si>
  <si>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</si>
  <si>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</si>
  <si>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González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</si>
  <si>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</si>
  <si>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</si>
  <si>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</si>
  <si>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Gordon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</si>
  <si>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</si>
  <si>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</si>
  <si>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</si>
  <si>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Gravenberch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</si>
  <si>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</si>
  <si>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</si>
  <si>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</si>
  <si>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Archie Gray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</si>
  <si>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</si>
  <si>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</si>
  <si>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</si>
  <si>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Grealish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</si>
  <si>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</si>
  <si>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</si>
  <si>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</si>
  <si>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Groß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</si>
  <si>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</si>
  <si>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</si>
  <si>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</si>
  <si>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Brajan Gruda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</si>
  <si>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</si>
  <si>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</si>
  <si>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</si>
  <si>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Ilia Gruev</t>
    </r>
  </si>
  <si>
    <r>
      <rPr>
        <rFont val="Verdana, sans-serif"/>
        <color rgb="FF1155CC"/>
        <sz val="8.0"/>
        <u/>
      </rPr>
      <t>bg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</si>
  <si>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</si>
  <si>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</si>
  <si>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Gudmundsson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</si>
  <si>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</si>
  <si>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</si>
  <si>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</si>
  <si>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Guéhi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</si>
  <si>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</si>
  <si>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</si>
  <si>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</si>
  <si>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Guéhi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</si>
  <si>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</si>
  <si>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</si>
  <si>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</si>
  <si>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Evann Guessand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</si>
  <si>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</si>
  <si>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</si>
  <si>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</si>
  <si>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Evann Guessand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</si>
  <si>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</si>
  <si>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</si>
  <si>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</si>
  <si>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Luis Guilherme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</si>
  <si>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</si>
  <si>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</si>
  <si>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</si>
  <si>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Bruno Guimarães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</si>
  <si>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</si>
  <si>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</si>
  <si>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</si>
  <si>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Guiu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</si>
  <si>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</si>
  <si>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</si>
  <si>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</si>
  <si>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Guiu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</si>
  <si>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</si>
  <si>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</si>
  <si>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</si>
  <si>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Angus Gunn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</si>
  <si>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</si>
  <si>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</si>
  <si>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</si>
  <si>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Malo Gusto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</si>
  <si>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</si>
  <si>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</si>
  <si>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</si>
  <si>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Joško Gvardiol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</si>
  <si>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</si>
  <si>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</si>
  <si>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</si>
  <si>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Gyökeres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</si>
  <si>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</si>
  <si>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</si>
  <si>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</si>
  <si>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Erling Haaland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</si>
  <si>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</si>
  <si>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</si>
  <si>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</si>
  <si>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Hall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</si>
  <si>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</si>
  <si>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</si>
  <si>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</si>
  <si>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Harrison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</si>
  <si>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</si>
  <si>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</si>
  <si>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</si>
  <si>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Quilindschy Hartman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</si>
  <si>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</si>
  <si>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</si>
  <si>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</si>
  <si>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Jorrel Hato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</si>
  <si>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</si>
  <si>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</si>
  <si>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</si>
  <si>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Kai Havertz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</si>
  <si>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</si>
  <si>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</si>
  <si>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</si>
  <si>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Ayden Heaven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</si>
  <si>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</si>
  <si>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</si>
  <si>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</si>
  <si>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Jan Paul van Hecke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</si>
  <si>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</si>
  <si>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</si>
  <si>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</si>
  <si>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Hwang Hee-chan</t>
    </r>
  </si>
  <si>
    <r>
      <rPr>
        <rFont val="Verdana, sans-serif"/>
        <color rgb="FF1155CC"/>
        <sz val="8.0"/>
        <u/>
      </rPr>
      <t>kr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</si>
  <si>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</si>
  <si>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</si>
  <si>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George Hemmings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</si>
  <si>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</si>
  <si>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</si>
  <si>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</si>
  <si>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Dean Henderson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</si>
  <si>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</si>
  <si>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</si>
  <si>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</si>
  <si>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Henderson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</si>
  <si>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</si>
  <si>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</si>
  <si>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</si>
  <si>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Rico Henry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</si>
  <si>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</si>
  <si>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</si>
  <si>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</si>
  <si>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Hermansen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</si>
  <si>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</si>
  <si>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</si>
  <si>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</si>
  <si>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Hickey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</si>
  <si>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</si>
  <si>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</si>
  <si>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</si>
  <si>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Hill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</si>
  <si>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</si>
  <si>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</si>
  <si>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</si>
  <si>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Piero Hincapié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</si>
  <si>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</si>
  <si>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</si>
  <si>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</si>
  <si>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Hinshelwood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</si>
  <si>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</si>
  <si>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</si>
  <si>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</si>
  <si>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Ki-Jana Hoever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</si>
  <si>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</si>
  <si>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</si>
  <si>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</si>
  <si>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Howell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</si>
  <si>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</si>
  <si>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</si>
  <si>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</si>
  <si>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Hudson-Odoi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</si>
  <si>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</si>
  <si>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</si>
  <si>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</si>
  <si>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 Hughes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</si>
  <si>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</si>
  <si>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</si>
  <si>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</si>
  <si>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Trai Hume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</si>
  <si>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</si>
  <si>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</si>
  <si>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</si>
  <si>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Bashir Humphreys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</si>
  <si>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</si>
  <si>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</si>
  <si>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</si>
  <si>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Omari Hutchinson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</si>
  <si>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</si>
  <si>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</si>
  <si>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</si>
  <si>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</si>
  <si>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</si>
  <si>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</si>
  <si>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</si>
  <si>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Iroegbunam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</si>
  <si>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</si>
  <si>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</si>
  <si>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</si>
  <si>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Andy Irving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</si>
  <si>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</si>
  <si>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</si>
  <si>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</si>
  <si>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Isak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</si>
  <si>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</si>
  <si>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</si>
  <si>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</si>
  <si>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Isidor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</si>
  <si>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</si>
  <si>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</si>
  <si>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</si>
  <si>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Iwobi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</si>
  <si>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</si>
  <si>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</si>
  <si>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</si>
  <si>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James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</si>
  <si>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</si>
  <si>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</si>
  <si>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</si>
  <si>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Reece James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</si>
  <si>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</si>
  <si>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</si>
  <si>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</si>
  <si>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Vitaly Janelt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</si>
  <si>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</si>
  <si>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</si>
  <si>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</si>
  <si>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Mathias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</si>
  <si>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</si>
  <si>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</si>
  <si>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</si>
  <si>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Jesus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</si>
  <si>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</si>
  <si>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</si>
  <si>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</si>
  <si>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 Jesus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</si>
  <si>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</si>
  <si>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</si>
  <si>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</si>
  <si>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Álex Jiménez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</si>
  <si>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</si>
  <si>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</si>
  <si>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</si>
  <si>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Raúl Jiménez</t>
    </r>
  </si>
  <si>
    <r>
      <rPr>
        <rFont val="Verdana, sans-serif"/>
        <color rgb="FF1155CC"/>
        <sz val="8.0"/>
        <u/>
      </rPr>
      <t>mx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MEX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</si>
  <si>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</si>
  <si>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</si>
  <si>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Jamaldeen Jimoh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</si>
  <si>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</si>
  <si>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</si>
  <si>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</si>
  <si>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Pedro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</si>
  <si>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</si>
  <si>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</si>
  <si>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</si>
  <si>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Joelinton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</si>
  <si>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</si>
  <si>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</si>
  <si>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</si>
  <si>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</si>
  <si>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</si>
  <si>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</si>
  <si>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</si>
  <si>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Brennan Johnson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</si>
  <si>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</si>
  <si>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</si>
  <si>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</si>
  <si>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Brennan Johnson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</si>
  <si>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</si>
  <si>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</si>
  <si>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</si>
  <si>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 Johnstone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</si>
  <si>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</si>
  <si>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</si>
  <si>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</si>
  <si>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Curtis Jones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</si>
  <si>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</si>
  <si>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</si>
  <si>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</si>
  <si>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 Junior Kroupi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</si>
  <si>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</si>
  <si>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</si>
  <si>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</si>
  <si>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Hamed Junior Traorè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</si>
  <si>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</si>
  <si>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</si>
  <si>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</si>
  <si>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Justin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</si>
  <si>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</si>
  <si>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</si>
  <si>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</si>
  <si>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</si>
  <si>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</si>
  <si>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</si>
  <si>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</si>
  <si>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Ferdi Kadioglu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</si>
  <si>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</si>
  <si>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</si>
  <si>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</si>
  <si>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Sasa Kalajdzic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</si>
  <si>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</si>
  <si>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</si>
  <si>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</si>
  <si>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Arnaud Kalimuendo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</si>
  <si>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</si>
  <si>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</si>
  <si>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</si>
  <si>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Daichi Kamada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</si>
  <si>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</si>
  <si>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</si>
  <si>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</si>
  <si>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Boubacar Kamara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</si>
  <si>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</si>
  <si>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</si>
  <si>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</si>
  <si>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Mohamadou Kanté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</si>
  <si>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</si>
  <si>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</si>
  <si>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</si>
  <si>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Kayode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</si>
  <si>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</si>
  <si>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</si>
  <si>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</si>
  <si>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Keane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</si>
  <si>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</si>
  <si>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</si>
  <si>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</si>
  <si>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Caoimhín Kelleher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</si>
  <si>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</si>
  <si>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</si>
  <si>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</si>
  <si>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Milos Kerkez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</si>
  <si>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</si>
  <si>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</si>
  <si>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</si>
  <si>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</si>
  <si>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</si>
  <si>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</si>
  <si>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</si>
  <si>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Abdukodir Khusanov</t>
    </r>
  </si>
  <si>
    <r>
      <rPr>
        <rFont val="Verdana, sans-serif"/>
        <color rgb="FF1155CC"/>
        <sz val="8.0"/>
        <u/>
      </rPr>
      <t>uz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UZB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</si>
  <si>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</si>
  <si>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</si>
  <si>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Kilman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</si>
  <si>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</si>
  <si>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</si>
  <si>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</si>
  <si>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King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</si>
  <si>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</si>
  <si>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</si>
  <si>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</si>
  <si>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Antonín Kinský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</si>
  <si>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</si>
  <si>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</si>
  <si>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</si>
  <si>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Kluivert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</si>
  <si>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</si>
  <si>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</si>
  <si>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</si>
  <si>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Knight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</si>
  <si>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</si>
  <si>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</si>
  <si>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</si>
  <si>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Randal Kolo Muani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</si>
  <si>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</si>
  <si>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</si>
  <si>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</si>
  <si>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Konaté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</si>
  <si>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</si>
  <si>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</si>
  <si>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</si>
  <si>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Ezri Konsa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</si>
  <si>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</si>
  <si>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</si>
  <si>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</si>
  <si>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Charalampos Kostoulas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</si>
  <si>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</si>
  <si>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</si>
  <si>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</si>
  <si>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Mateo Kovačić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</si>
  <si>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</si>
  <si>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</si>
  <si>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</si>
  <si>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Krafth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</si>
  <si>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</si>
  <si>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</si>
  <si>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</si>
  <si>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Ladislav Krejčí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</si>
  <si>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</si>
  <si>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</si>
  <si>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</si>
  <si>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Kudus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</si>
  <si>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</si>
  <si>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</si>
  <si>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</si>
  <si>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Jonah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</si>
  <si>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</si>
  <si>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</si>
  <si>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</si>
  <si>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Shea Lacey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</si>
  <si>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</si>
  <si>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</si>
  <si>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</si>
  <si>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Maxence Lacroix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</si>
  <si>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</si>
  <si>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</si>
  <si>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</si>
  <si>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Senne Lammens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</si>
  <si>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</si>
  <si>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</si>
  <si>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</si>
  <si>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Jamaal Lascelles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</si>
  <si>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</si>
  <si>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</si>
  <si>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</si>
  <si>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 Laurent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</si>
  <si>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</si>
  <si>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</si>
  <si>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</si>
  <si>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Roméo Lavia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</si>
  <si>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</si>
  <si>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</si>
  <si>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</si>
  <si>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Enzo Le Fée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</si>
  <si>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</si>
  <si>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</si>
  <si>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</si>
  <si>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Bernd Leno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</si>
  <si>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</si>
  <si>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</si>
  <si>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</si>
  <si>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Jefferson Lerma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</si>
  <si>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</si>
  <si>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</si>
  <si>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</si>
  <si>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Rico Lewis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</si>
  <si>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</si>
  <si>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</si>
  <si>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</si>
  <si>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Keane Lewis-Potter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</si>
  <si>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</si>
  <si>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</si>
  <si>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</si>
  <si>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Myles Lewis-Skelly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</si>
  <si>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</si>
  <si>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</si>
  <si>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</si>
  <si>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Matthijs de Ligt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</si>
  <si>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</si>
  <si>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</si>
  <si>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</si>
  <si>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Lima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</si>
  <si>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</si>
  <si>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</si>
  <si>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</si>
  <si>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Lindelöf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</si>
  <si>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</si>
  <si>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</si>
  <si>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</si>
  <si>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Tino Livramento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</si>
  <si>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</si>
  <si>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</si>
  <si>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</si>
  <si>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Longstaff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</si>
  <si>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</si>
  <si>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</si>
  <si>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</si>
  <si>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Fer López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</si>
  <si>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</si>
  <si>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</si>
  <si>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</si>
  <si>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</si>
  <si>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</si>
  <si>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</si>
  <si>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</si>
  <si>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Lorenzo Lucca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</si>
  <si>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</si>
  <si>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</si>
  <si>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</si>
  <si>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Florentino Luís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</si>
  <si>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</si>
  <si>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</si>
  <si>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</si>
  <si>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Douglas Luiz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</si>
  <si>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</si>
  <si>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</si>
  <si>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</si>
  <si>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Douglas Luiz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</si>
  <si>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</si>
  <si>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</si>
  <si>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</si>
  <si>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Saša Lukić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</si>
  <si>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</si>
  <si>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</si>
  <si>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</si>
  <si>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Ian Maatsen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</si>
  <si>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</si>
  <si>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</si>
  <si>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</si>
  <si>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Alexis Mac Allister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</si>
  <si>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</si>
  <si>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</si>
  <si>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</si>
  <si>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Maddison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</si>
  <si>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</si>
  <si>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</si>
  <si>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</si>
  <si>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Noni Madueke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</si>
  <si>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</si>
  <si>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</si>
  <si>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</si>
  <si>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Magalhães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</si>
  <si>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</si>
  <si>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</si>
  <si>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</si>
  <si>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Soungoutou Magassa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</si>
  <si>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</si>
  <si>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</si>
  <si>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</si>
  <si>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Maguire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</si>
  <si>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</si>
  <si>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</si>
  <si>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</si>
  <si>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Kobbie Mainoo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</si>
  <si>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</si>
  <si>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</si>
  <si>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</si>
  <si>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Tyrell Malacia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</si>
  <si>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</si>
  <si>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</si>
  <si>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</si>
  <si>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Donyell Malen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</si>
  <si>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</si>
  <si>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</si>
  <si>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</si>
  <si>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Giorgi Mamardashvili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</si>
  <si>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</si>
  <si>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</si>
  <si>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</si>
  <si>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Reinildo Mandava</t>
    </r>
  </si>
  <si>
    <r>
      <rPr>
        <rFont val="Verdana, sans-serif"/>
        <color rgb="FF1155CC"/>
        <sz val="8.0"/>
        <u/>
      </rPr>
      <t>mz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MOZ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</si>
  <si>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</si>
  <si>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</si>
  <si>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Mateus Mane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</si>
  <si>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</si>
  <si>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</si>
  <si>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</si>
  <si>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Bendito Mantato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</si>
  <si>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</si>
  <si>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</si>
  <si>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</si>
  <si>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Solly March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</si>
  <si>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</si>
  <si>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</si>
  <si>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</si>
  <si>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Marmoush</t>
    </r>
  </si>
  <si>
    <r>
      <rPr>
        <rFont val="Verdana, sans-serif"/>
        <color rgb="FF1155CC"/>
        <sz val="8.0"/>
        <u/>
      </rPr>
      <t>eg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EGY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</si>
  <si>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</si>
  <si>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</si>
  <si>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Marshall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</si>
  <si>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</si>
  <si>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</si>
  <si>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</si>
  <si>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Martinelli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</si>
  <si>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</si>
  <si>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</si>
  <si>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</si>
  <si>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Emiliano Martínez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</si>
  <si>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</si>
  <si>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</si>
  <si>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</si>
  <si>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Lisandro Martínez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</si>
  <si>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</si>
  <si>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</si>
  <si>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</si>
  <si>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Arthur Masuaku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</si>
  <si>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</si>
  <si>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</si>
  <si>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</si>
  <si>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Pape Matar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</si>
  <si>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</si>
  <si>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</si>
  <si>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</si>
  <si>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Jean-Philippe Mateta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</si>
  <si>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</si>
  <si>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</si>
  <si>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</si>
  <si>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Konstantinos Mavropanos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</si>
  <si>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</si>
  <si>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</si>
  <si>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</si>
  <si>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Eliezer Mayenda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</si>
  <si>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</si>
  <si>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</si>
  <si>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</si>
  <si>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Ezra Mayers</t>
    </r>
  </si>
  <si>
    <r>
      <rPr>
        <rFont val="Verdana, sans-serif"/>
        <color rgb="FF1155CC"/>
        <sz val="8.0"/>
        <u/>
      </rPr>
      <t>bb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BRB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</si>
  <si>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</si>
  <si>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</si>
  <si>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Noussair Mazraoui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</si>
  <si>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</si>
  <si>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</si>
  <si>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</si>
  <si>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Bryan Mbeumo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</si>
  <si>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</si>
  <si>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</si>
  <si>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</si>
  <si>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Mcatee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</si>
  <si>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</si>
  <si>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</si>
  <si>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</si>
  <si>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McGinn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</si>
  <si>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</si>
  <si>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</si>
  <si>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</si>
  <si>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Dwight McNeil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</si>
  <si>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</si>
  <si>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</si>
  <si>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</si>
  <si>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Hannibal Mejbri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</si>
  <si>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</si>
  <si>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</si>
  <si>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</si>
  <si>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Mikel Merino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</si>
  <si>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</si>
  <si>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</si>
  <si>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</si>
  <si>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Shumaira Mheuka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</si>
  <si>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</si>
  <si>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</si>
  <si>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</si>
  <si>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 Milambo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</si>
  <si>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</si>
  <si>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</si>
  <si>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</si>
  <si>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Milenković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</si>
  <si>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</si>
  <si>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</si>
  <si>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</si>
  <si>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Miley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</si>
  <si>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</si>
  <si>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</si>
  <si>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</si>
  <si>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Milner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</si>
  <si>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</si>
  <si>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</si>
  <si>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</si>
  <si>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Veljko Milosavljević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</si>
  <si>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</si>
  <si>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</si>
  <si>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</si>
  <si>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Tyrone Mings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</si>
  <si>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</si>
  <si>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</si>
  <si>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</si>
  <si>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Yankuba Minteh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</si>
  <si>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</si>
  <si>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</si>
  <si>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</si>
  <si>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Tyrick Mitchell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</si>
  <si>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</si>
  <si>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</si>
  <si>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</si>
  <si>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Kaoru Mitoma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</si>
  <si>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</si>
  <si>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</si>
  <si>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</si>
  <si>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Morato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</si>
  <si>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</si>
  <si>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</si>
  <si>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</si>
  <si>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Cristhian Mosquera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</si>
  <si>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</si>
  <si>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</si>
  <si>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</si>
  <si>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Yerson Mosquera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</si>
  <si>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</si>
  <si>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</si>
  <si>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</si>
  <si>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Mason Mount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</si>
  <si>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</si>
  <si>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</si>
  <si>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</si>
  <si>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Mukasa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</si>
  <si>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</si>
  <si>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</si>
  <si>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</si>
  <si>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Nordi Mukiele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</si>
  <si>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</si>
  <si>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</si>
  <si>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</si>
  <si>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Romaine Mundle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</si>
  <si>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</si>
  <si>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</si>
  <si>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</si>
  <si>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Marshall Munetsi</t>
    </r>
  </si>
  <si>
    <r>
      <rPr>
        <rFont val="Verdana, sans-serif"/>
        <color rgb="FF1155CC"/>
        <sz val="8.0"/>
        <u/>
      </rPr>
      <t>zw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ZIM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</si>
  <si>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</si>
  <si>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</si>
  <si>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Muniz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</si>
  <si>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</si>
  <si>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</si>
  <si>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</si>
  <si>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Muñoz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</si>
  <si>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</si>
  <si>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</si>
  <si>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</si>
  <si>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Murillo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</si>
  <si>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</si>
  <si>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</si>
  <si>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</si>
  <si>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Murphy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</si>
  <si>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</si>
  <si>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</si>
  <si>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</si>
  <si>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Murphy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</si>
  <si>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</si>
  <si>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</si>
  <si>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</si>
  <si>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Vitaliy Mykolenko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</si>
  <si>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</si>
  <si>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</si>
  <si>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</si>
  <si>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Møller Wolfe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</si>
  <si>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</si>
  <si>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</si>
  <si>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</si>
  <si>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Iliman Ndiaye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</si>
  <si>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</si>
  <si>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</si>
  <si>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</si>
  <si>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 Ndoye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</si>
  <si>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</si>
  <si>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</si>
  <si>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</si>
  <si>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Neave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</si>
  <si>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</si>
  <si>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</si>
  <si>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</si>
  <si>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 Neil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</si>
  <si>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</si>
  <si>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</si>
  <si>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</si>
  <si>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Reiss Nelson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</si>
  <si>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</si>
  <si>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</si>
  <si>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</si>
  <si>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Neto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</si>
  <si>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</si>
  <si>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</si>
  <si>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</si>
  <si>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 Netz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</si>
  <si>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</si>
  <si>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</si>
  <si>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</si>
  <si>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Rio Ngumoha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</si>
  <si>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</si>
  <si>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</si>
  <si>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</si>
  <si>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Eddie Nketiah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</si>
  <si>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</si>
  <si>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</si>
  <si>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</si>
  <si>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Nmecha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</si>
  <si>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</si>
  <si>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</si>
  <si>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</si>
  <si>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Matheus Nunes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</si>
  <si>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</si>
  <si>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</si>
  <si>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</si>
  <si>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Nwaneri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</si>
  <si>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</si>
  <si>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</si>
  <si>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</si>
  <si>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Trey Nyoni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</si>
  <si>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</si>
  <si>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</si>
  <si>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</si>
  <si>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Nørgaard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</si>
  <si>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</si>
  <si>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</si>
  <si>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</si>
  <si>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Jake O'Brien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</si>
  <si>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</si>
  <si>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</si>
  <si>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</si>
  <si>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O'Nien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</si>
  <si>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</si>
  <si>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</si>
  <si>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</si>
  <si>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 O'Riley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</si>
  <si>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</si>
  <si>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</si>
  <si>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</si>
  <si>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Odobert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</si>
  <si>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</si>
  <si>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</si>
  <si>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</si>
  <si>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Okafor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</si>
  <si>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</si>
  <si>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</si>
  <si>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</si>
  <si>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Olusesi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</si>
  <si>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</si>
  <si>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</si>
  <si>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</si>
  <si>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Amadou Onana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</si>
  <si>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</si>
  <si>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</si>
  <si>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</si>
  <si>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Onyeka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</si>
  <si>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</si>
  <si>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</si>
  <si>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</si>
  <si>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Nehemiah Oriola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</si>
  <si>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</si>
  <si>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</si>
  <si>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</si>
  <si>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 Ortega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</si>
  <si>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</si>
  <si>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</si>
  <si>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</si>
  <si>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Osula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</si>
  <si>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</si>
  <si>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</si>
  <si>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</si>
  <si>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Dango Ouattara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</si>
  <si>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</si>
  <si>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</si>
  <si>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</si>
  <si>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 O’Reilly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</si>
  <si>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</si>
  <si>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</si>
  <si>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</si>
  <si>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Pablo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</si>
  <si>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</si>
  <si>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</si>
  <si>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</si>
  <si>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Palhinha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</si>
  <si>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</si>
  <si>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</si>
  <si>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</si>
  <si>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Cole Palmer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</si>
  <si>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</si>
  <si>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</si>
  <si>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</si>
  <si>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Paquetá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</si>
  <si>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</si>
  <si>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</si>
  <si>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</si>
  <si>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Patterson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</si>
  <si>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</si>
  <si>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</si>
  <si>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</si>
  <si>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Myles Peart-Harris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</si>
  <si>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</si>
  <si>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</si>
  <si>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</si>
  <si>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Perri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</si>
  <si>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</si>
  <si>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</si>
  <si>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</si>
  <si>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Đorđe Petrović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</si>
  <si>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</si>
  <si>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</si>
  <si>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</si>
  <si>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</si>
  <si>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</si>
  <si>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</si>
  <si>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</si>
  <si>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Pinnock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</si>
  <si>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</si>
  <si>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</si>
  <si>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</si>
  <si>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Yeremi Pino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</si>
  <si>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</si>
  <si>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</si>
  <si>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</si>
  <si>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Joël Piroe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</si>
  <si>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</si>
  <si>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</si>
  <si>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</si>
  <si>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 Pope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</si>
  <si>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</si>
  <si>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</si>
  <si>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</si>
  <si>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Porro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</si>
  <si>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</si>
  <si>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</si>
  <si>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</si>
  <si>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Freddie Potts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</si>
  <si>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</si>
  <si>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</si>
  <si>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</si>
  <si>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Ramsdale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</si>
  <si>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</si>
  <si>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</si>
  <si>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</si>
  <si>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Ramsey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</si>
  <si>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</si>
  <si>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</si>
  <si>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</si>
  <si>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Raya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</si>
  <si>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</si>
  <si>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</si>
  <si>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</si>
  <si>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Rayan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</si>
  <si>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</si>
  <si>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</si>
  <si>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</si>
  <si>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Harrison Reed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</si>
  <si>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</si>
  <si>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</si>
  <si>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</si>
  <si>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Tijjani Reijnders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</si>
  <si>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</si>
  <si>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</si>
  <si>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</si>
  <si>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Chadi Riad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</si>
  <si>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</si>
  <si>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</si>
  <si>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</si>
  <si>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Declan Rice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</si>
  <si>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</si>
  <si>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</si>
  <si>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</si>
  <si>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Richards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</si>
  <si>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</si>
  <si>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</si>
  <si>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</si>
  <si>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Richarlison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</si>
  <si>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</si>
  <si>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</si>
  <si>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</si>
  <si>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Rigg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</si>
  <si>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</si>
  <si>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</si>
  <si>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</si>
  <si>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Roberts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</si>
  <si>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</si>
  <si>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</si>
  <si>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</si>
  <si>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Andrew Robertson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</si>
  <si>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</si>
  <si>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</si>
  <si>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</si>
  <si>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Antonee Robinson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</si>
  <si>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</si>
  <si>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</si>
  <si>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</si>
  <si>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Kaden Rodney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</si>
  <si>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</si>
  <si>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</si>
  <si>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</si>
  <si>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Rodon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</si>
  <si>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</si>
  <si>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</si>
  <si>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</si>
  <si>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</si>
  <si>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</si>
  <si>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</si>
  <si>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</si>
  <si>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Guido Rodríguez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</si>
  <si>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</si>
  <si>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</si>
  <si>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</si>
  <si>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Roefs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</si>
  <si>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</si>
  <si>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</si>
  <si>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</si>
  <si>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Morgan Rogers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</si>
  <si>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</si>
  <si>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</si>
  <si>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</si>
  <si>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Merlin Röhl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</si>
  <si>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</si>
  <si>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</si>
  <si>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</si>
  <si>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Cristian Romero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</si>
  <si>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</si>
  <si>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</si>
  <si>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</si>
  <si>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Rowswell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</si>
  <si>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</si>
  <si>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</si>
  <si>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</si>
  <si>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Georginio Rutter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</si>
  <si>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</si>
  <si>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</si>
  <si>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</si>
  <si>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José Sá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</si>
  <si>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</si>
  <si>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</si>
  <si>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</si>
  <si>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Sadiki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</si>
  <si>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</si>
  <si>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</si>
  <si>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</si>
  <si>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Bukayo Saka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</si>
  <si>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</si>
  <si>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</si>
  <si>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</si>
  <si>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Salah</t>
    </r>
  </si>
  <si>
    <r>
      <rPr>
        <rFont val="Verdana, sans-serif"/>
        <color rgb="FF1155CC"/>
        <sz val="8.0"/>
        <u/>
      </rPr>
      <t>eg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EGY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</si>
  <si>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</si>
  <si>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</si>
  <si>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Saliba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</si>
  <si>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</si>
  <si>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</si>
  <si>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</si>
  <si>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Sánchez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</si>
  <si>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</si>
  <si>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</si>
  <si>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</si>
  <si>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Jadon Sancho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</si>
  <si>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</si>
  <si>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</si>
  <si>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</si>
  <si>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Sangaré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</si>
  <si>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</si>
  <si>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</si>
  <si>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</si>
  <si>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Andrey Santos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</si>
  <si>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</si>
  <si>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</si>
  <si>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</si>
  <si>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</si>
  <si>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</si>
  <si>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</si>
  <si>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</si>
  <si>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</si>
  <si>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</si>
  <si>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</si>
  <si>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</si>
  <si>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Sávio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</si>
  <si>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</si>
  <si>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</si>
  <si>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</si>
  <si>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Nicolò Savona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</si>
  <si>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</si>
  <si>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</si>
  <si>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</si>
  <si>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Scarles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</si>
  <si>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</si>
  <si>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</si>
  <si>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</si>
  <si>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Dane Scarlett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</si>
  <si>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</si>
  <si>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</si>
  <si>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</si>
  <si>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Schade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</si>
  <si>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</si>
  <si>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</si>
  <si>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</si>
  <si>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Schär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</si>
  <si>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</si>
  <si>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</si>
  <si>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</si>
  <si>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Scott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</si>
  <si>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</si>
  <si>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</si>
  <si>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</si>
  <si>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Jenson Seelt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</si>
  <si>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</si>
  <si>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</si>
  <si>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</si>
  <si>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Matz Sels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</si>
  <si>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</si>
  <si>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</si>
  <si>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</si>
  <si>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Antoine Semenyo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</si>
  <si>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</si>
  <si>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</si>
  <si>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</si>
  <si>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Antoine Semenyo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</si>
  <si>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</si>
  <si>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</si>
  <si>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</si>
  <si>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Marcos Senesi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</si>
  <si>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</si>
  <si>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</si>
  <si>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</si>
  <si>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Šeško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</si>
  <si>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</si>
  <si>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</si>
  <si>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</si>
  <si>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Sessegnon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</si>
  <si>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</si>
  <si>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</si>
  <si>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</si>
  <si>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Shaw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</si>
  <si>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</si>
  <si>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</si>
  <si>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</si>
  <si>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Silva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</si>
  <si>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</si>
  <si>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</si>
  <si>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</si>
  <si>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Jota Silva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</si>
  <si>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</si>
  <si>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</si>
  <si>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</si>
  <si>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Xavi Simons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</si>
  <si>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</si>
  <si>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</si>
  <si>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</si>
  <si>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Smith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</si>
  <si>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</si>
  <si>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</si>
  <si>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</si>
  <si>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Emile Smith Rowe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</si>
  <si>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</si>
  <si>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</si>
  <si>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</si>
  <si>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Dominic Solanke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</si>
  <si>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</si>
  <si>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</si>
  <si>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</si>
  <si>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Julio Soler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</si>
  <si>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</si>
  <si>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</si>
  <si>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</si>
  <si>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Sonne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</si>
  <si>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</si>
  <si>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</si>
  <si>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</si>
  <si>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Borna Sosa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</si>
  <si>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</si>
  <si>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</si>
  <si>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</si>
  <si>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Tomáš Souček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</si>
  <si>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</si>
  <si>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</si>
  <si>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</si>
  <si>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Souza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</si>
  <si>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</si>
  <si>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</si>
  <si>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</si>
  <si>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Djed Spence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</si>
  <si>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</si>
  <si>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</si>
  <si>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</si>
  <si>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Stach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</si>
  <si>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</si>
  <si>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</si>
  <si>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</si>
  <si>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Stones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</si>
  <si>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</si>
  <si>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</si>
  <si>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</si>
  <si>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Jørgen Strand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</si>
  <si>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</si>
  <si>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</si>
  <si>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</si>
  <si>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Jørgen Strand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</si>
  <si>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</si>
  <si>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</si>
  <si>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</si>
  <si>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Struijk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</si>
  <si>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</si>
  <si>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</si>
  <si>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</si>
  <si>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Crysencio Summerville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</si>
  <si>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</si>
  <si>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</si>
  <si>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</si>
  <si>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Dominik Szoboszlai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</si>
  <si>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</si>
  <si>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</si>
  <si>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</si>
  <si>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Jocelin Ta Bi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</si>
  <si>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</si>
  <si>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</si>
  <si>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</si>
  <si>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Chemsdine Talbi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</si>
  <si>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</si>
  <si>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</si>
  <si>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</si>
  <si>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Ao Tanaka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</si>
  <si>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</si>
  <si>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</si>
  <si>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</si>
  <si>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Tarkowski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</si>
  <si>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</si>
  <si>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</si>
  <si>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</si>
  <si>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Tavernier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</si>
  <si>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</si>
  <si>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</si>
  <si>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</si>
  <si>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Loum Tchaouna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</si>
  <si>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</si>
  <si>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</si>
  <si>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</si>
  <si>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Jackson Tchatchoua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</si>
  <si>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</si>
  <si>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</si>
  <si>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</si>
  <si>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Mathys Tel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</si>
  <si>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</si>
  <si>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</si>
  <si>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</si>
  <si>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Kenny Tete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</si>
  <si>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</si>
  <si>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</si>
  <si>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</si>
  <si>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 Thiago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</si>
  <si>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</si>
  <si>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</si>
  <si>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</si>
  <si>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Thiaw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</si>
  <si>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</si>
  <si>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</si>
  <si>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</si>
  <si>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Youri Tielemans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</si>
  <si>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</si>
  <si>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</si>
  <si>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</si>
  <si>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Jurriën Timber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</si>
  <si>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</si>
  <si>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</si>
  <si>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</si>
  <si>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Jean-Clair Todibo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</si>
  <si>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</si>
  <si>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</si>
  <si>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</si>
  <si>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Sandro Tonali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</si>
  <si>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</si>
  <si>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</si>
  <si>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</si>
  <si>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 Torres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</si>
  <si>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</si>
  <si>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</si>
  <si>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</si>
  <si>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Tóth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</si>
  <si>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</si>
  <si>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</si>
  <si>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</si>
  <si>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Trafford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</si>
  <si>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</si>
  <si>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</si>
  <si>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</si>
  <si>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Adama Traoré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</si>
  <si>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</si>
  <si>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</si>
  <si>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</si>
  <si>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Adama Traoré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</si>
  <si>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</si>
  <si>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</si>
  <si>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</si>
  <si>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Bertrand Traoré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</si>
  <si>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</si>
  <si>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</si>
  <si>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</si>
  <si>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Mike Trésor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</si>
  <si>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</si>
  <si>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</si>
  <si>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</si>
  <si>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Kieran Trippier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</si>
  <si>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</si>
  <si>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</si>
  <si>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</si>
  <si>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Leandro Trossard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</si>
  <si>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</si>
  <si>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</si>
  <si>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</si>
  <si>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Adrien Truffert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</si>
  <si>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</si>
  <si>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</si>
  <si>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</si>
  <si>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Tuanzebe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</si>
  <si>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</si>
  <si>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</si>
  <si>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</si>
  <si>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Stefanos Tzimas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</si>
  <si>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</si>
  <si>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</si>
  <si>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</si>
  <si>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Christantus Uche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</si>
  <si>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</si>
  <si>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</si>
  <si>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</si>
  <si>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Destiny Udogie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</si>
  <si>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</si>
  <si>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</si>
  <si>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</si>
  <si>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Manuel Ugarte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</si>
  <si>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</si>
  <si>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</si>
  <si>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</si>
  <si>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Lesley Ugochukwu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</si>
  <si>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</si>
  <si>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</si>
  <si>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</si>
  <si>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Enes Ünal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</si>
  <si>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</si>
  <si>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</si>
  <si>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</si>
  <si>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</si>
  <si>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</si>
  <si>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</si>
  <si>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</si>
  <si>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Virgil van Dijk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</si>
  <si>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</si>
  <si>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</si>
  <si>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</si>
  <si>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Joël Veltman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</si>
  <si>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</si>
  <si>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</si>
  <si>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</si>
  <si>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Micky van de Ven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</si>
  <si>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</si>
  <si>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</si>
  <si>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</si>
  <si>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Bart Verbruggen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</si>
  <si>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</si>
  <si>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</si>
  <si>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</si>
  <si>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Guglielmo Vicario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</si>
  <si>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</si>
  <si>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</si>
  <si>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</si>
  <si>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Kyle Walker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</si>
  <si>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</si>
  <si>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</si>
  <si>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</si>
  <si>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Kyle Walker-Peters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</si>
  <si>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</si>
  <si>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</si>
  <si>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</si>
  <si>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Wan-Bissaka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</si>
  <si>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</si>
  <si>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</si>
  <si>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</si>
  <si>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Ward-Prowse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</si>
  <si>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</si>
  <si>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</si>
  <si>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</si>
  <si>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Ward-Prowse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</si>
  <si>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</si>
  <si>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</si>
  <si>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</si>
  <si>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Ollie Watkins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</si>
  <si>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</si>
  <si>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</si>
  <si>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</si>
  <si>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Watson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</si>
  <si>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</si>
  <si>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</si>
  <si>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</si>
  <si>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Weiß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</si>
  <si>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</si>
  <si>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</si>
  <si>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</si>
  <si>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Danny Welbeck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</si>
  <si>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</si>
  <si>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</si>
  <si>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</si>
  <si>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Wharton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</si>
  <si>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</si>
  <si>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</si>
  <si>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</si>
  <si>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White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</si>
  <si>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</si>
  <si>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</si>
  <si>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</si>
  <si>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Mats Wieffer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</si>
  <si>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</si>
  <si>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</si>
  <si>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</si>
  <si>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Neco Williams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</si>
  <si>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</si>
  <si>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</si>
  <si>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</si>
  <si>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Estêvão Willian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</si>
  <si>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</si>
  <si>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</si>
  <si>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</si>
  <si>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Willock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</si>
  <si>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</si>
  <si>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</si>
  <si>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</si>
  <si>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Wilson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</si>
  <si>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</si>
  <si>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</si>
  <si>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</si>
  <si>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Wilson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</si>
  <si>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</si>
  <si>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</si>
  <si>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</si>
  <si>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Winterburn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</si>
  <si>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</si>
  <si>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</si>
  <si>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</si>
  <si>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Florian Wirtz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</si>
  <si>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</si>
  <si>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</si>
  <si>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</si>
  <si>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Yoane Wissa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</si>
  <si>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</si>
  <si>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</si>
  <si>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</si>
  <si>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 Woltemade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</si>
  <si>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</si>
  <si>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</si>
  <si>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</si>
  <si>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Wood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</si>
  <si>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</si>
  <si>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</si>
  <si>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</si>
  <si>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Freddie Woodman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</si>
  <si>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</si>
  <si>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</si>
  <si>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</si>
  <si>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Worrall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</si>
  <si>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</si>
  <si>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</si>
  <si>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</si>
  <si>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Granit Xhaka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</si>
  <si>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</si>
  <si>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</si>
  <si>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</si>
  <si>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Yehor Yarmoliuk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</si>
  <si>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</si>
  <si>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</si>
  <si>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</si>
  <si>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Yates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</si>
  <si>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</si>
  <si>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</si>
  <si>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</si>
  <si>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Leny Yoro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</si>
  <si>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</si>
  <si>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</si>
  <si>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</si>
  <si>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Oleksandr Zinchenko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</si>
  <si>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</si>
  <si>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</si>
  <si>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</si>
  <si>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Zirkzee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</si>
  <si>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</si>
  <si>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</si>
  <si>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</si>
  <si>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Martín Zubimendi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</si>
  <si>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</si>
  <si>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</si>
  <si>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</si>
  <si>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Ødegaard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</si>
  <si>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</si>
  <si>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</si>
  <si>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</si>
  <si>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t>Penalty Kicks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</si>
  <si>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</si>
  <si>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</si>
  <si>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</si>
  <si>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</si>
  <si>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</si>
  <si>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</si>
  <si>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</si>
  <si>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</si>
  <si>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</si>
  <si>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</si>
  <si>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</t>
  </si>
  <si>
    <t>PKsv</t>
  </si>
  <si>
    <t>PKm</t>
  </si>
  <si>
    <r>
      <rPr>
        <rFont val="Verdana, sans-serif"/>
        <color rgb="FF1155CC"/>
        <u/>
      </rPr>
      <t>Alisson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</si>
  <si>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</si>
  <si>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</si>
  <si>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</si>
  <si>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Alphonse Areola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</si>
  <si>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</si>
  <si>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</si>
  <si>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</si>
  <si>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Kepa Arrizabalaga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</si>
  <si>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</si>
  <si>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</si>
  <si>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</si>
  <si>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Altay Bayındır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</si>
  <si>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</si>
  <si>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</si>
  <si>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</si>
  <si>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Walter Benítez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</si>
  <si>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</si>
  <si>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</si>
  <si>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</si>
  <si>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Bentley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</si>
  <si>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</si>
  <si>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</si>
  <si>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</si>
  <si>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Bizot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</si>
  <si>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</si>
  <si>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</si>
  <si>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</si>
  <si>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Darlow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</si>
  <si>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</si>
  <si>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</si>
  <si>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</si>
  <si>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Gianluigi Donnarumma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</si>
  <si>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</si>
  <si>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</si>
  <si>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</si>
  <si>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Dúbravka</t>
    </r>
  </si>
  <si>
    <r>
      <rPr>
        <rFont val="Verdana, sans-serif"/>
        <color rgb="FF1155CC"/>
        <sz val="8.0"/>
        <u/>
      </rPr>
      <t>sk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SVK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</si>
  <si>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</si>
  <si>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</si>
  <si>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</si>
  <si>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</si>
  <si>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</si>
  <si>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</si>
  <si>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Angus Gunn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</si>
  <si>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</si>
  <si>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</si>
  <si>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</si>
  <si>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Dean Henderson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</si>
  <si>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</si>
  <si>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</si>
  <si>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</si>
  <si>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Hermansen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</si>
  <si>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</si>
  <si>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</si>
  <si>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</si>
  <si>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</si>
  <si>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</si>
  <si>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</si>
  <si>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</si>
  <si>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 Johnstone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</si>
  <si>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</si>
  <si>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</si>
  <si>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</si>
  <si>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</si>
  <si>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</si>
  <si>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</si>
  <si>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</si>
  <si>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Caoimhín Kelleher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</si>
  <si>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</si>
  <si>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</si>
  <si>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</si>
  <si>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Antonín Kinský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</si>
  <si>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</si>
  <si>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</si>
  <si>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</si>
  <si>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Senne Lammens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</si>
  <si>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</si>
  <si>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</si>
  <si>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</si>
  <si>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Bernd Leno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</si>
  <si>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</si>
  <si>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</si>
  <si>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</si>
  <si>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Giorgi Mamardashvili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</si>
  <si>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</si>
  <si>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</si>
  <si>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</si>
  <si>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Emiliano Martínez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</si>
  <si>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</si>
  <si>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</si>
  <si>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</si>
  <si>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 Ortega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</si>
  <si>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</si>
  <si>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</si>
  <si>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</si>
  <si>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Perri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</si>
  <si>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</si>
  <si>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</si>
  <si>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</si>
  <si>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Đorđe Petrović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</si>
  <si>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</si>
  <si>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</si>
  <si>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</si>
  <si>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</si>
  <si>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</si>
  <si>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</si>
  <si>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</si>
  <si>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 Pope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</si>
  <si>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</si>
  <si>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</si>
  <si>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</si>
  <si>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Ramsdale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</si>
  <si>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</si>
  <si>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</si>
  <si>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</si>
  <si>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Raya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</si>
  <si>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</si>
  <si>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</si>
  <si>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</si>
  <si>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Roefs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</si>
  <si>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</si>
  <si>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</si>
  <si>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</si>
  <si>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José Sá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</si>
  <si>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</si>
  <si>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</si>
  <si>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</si>
  <si>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Sánchez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</si>
  <si>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</si>
  <si>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</si>
  <si>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</si>
  <si>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Matz Sels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</si>
  <si>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</si>
  <si>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</si>
  <si>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</si>
  <si>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Trafford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</si>
  <si>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</si>
  <si>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</si>
  <si>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</si>
  <si>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</si>
  <si>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</si>
  <si>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</si>
  <si>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</si>
  <si>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Bart Verbruggen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</si>
  <si>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</si>
  <si>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</si>
  <si>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</si>
  <si>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Guglielmo Vicario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</si>
  <si>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</si>
  <si>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</si>
  <si>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</si>
  <si>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Weiß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</si>
  <si>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</si>
  <si>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</si>
  <si>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</si>
  <si>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Freddie Woodman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</si>
  <si>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</si>
  <si>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</si>
  <si>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</si>
  <si>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</si>
  <si>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</si>
  <si>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</si>
  <si>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</si>
  <si>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</si>
  <si>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</si>
  <si>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</si>
  <si>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</si>
  <si>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r>
      <rPr>
        <rFont val="Verdana, sans-serif"/>
        <color rgb="FF1155CC"/>
        <u/>
      </rPr>
      <t>Brenden Aaronson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</si>
  <si>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</si>
  <si>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</si>
  <si>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</si>
  <si>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Jerome Abbey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</si>
  <si>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</si>
  <si>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</si>
  <si>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</si>
  <si>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 Abbott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</si>
  <si>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</si>
  <si>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</si>
  <si>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</si>
  <si>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Tammy Abraham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</si>
  <si>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</si>
  <si>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</si>
  <si>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</si>
  <si>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Acheampong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</si>
  <si>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</si>
  <si>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</si>
  <si>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</si>
  <si>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Adams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</si>
  <si>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</si>
  <si>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</si>
  <si>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</si>
  <si>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Tosin Adarabioyo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</si>
  <si>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</si>
  <si>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</si>
  <si>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</si>
  <si>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Adingra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</si>
  <si>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</si>
  <si>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</si>
  <si>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</si>
  <si>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Amine Adli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</si>
  <si>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</si>
  <si>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</si>
  <si>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</si>
  <si>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Agbadou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</si>
  <si>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</si>
  <si>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</si>
  <si>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</si>
  <si>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Nayef Aguerd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</si>
  <si>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</si>
  <si>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</si>
  <si>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</si>
  <si>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Aina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</si>
  <si>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</si>
  <si>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</si>
  <si>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</si>
  <si>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Rayan Aït-Nouri</t>
    </r>
  </si>
  <si>
    <r>
      <rPr>
        <rFont val="Verdana, sans-serif"/>
        <color rgb="FF1155CC"/>
        <sz val="8.0"/>
        <u/>
      </rPr>
      <t>dz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</si>
  <si>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</si>
  <si>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</si>
  <si>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Ajer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</si>
  <si>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</si>
  <si>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</si>
  <si>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</si>
  <si>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Aké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</si>
  <si>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</si>
  <si>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</si>
  <si>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</si>
  <si>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Alcaraz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</si>
  <si>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</si>
  <si>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</si>
  <si>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</si>
  <si>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Alderete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</si>
  <si>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</si>
  <si>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</si>
  <si>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</si>
  <si>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Alisson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</si>
  <si>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</si>
  <si>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</si>
  <si>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</si>
  <si>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Alleyne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</si>
  <si>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</si>
  <si>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</si>
  <si>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</si>
  <si>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Jaydon Amauri Banel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</si>
  <si>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</si>
  <si>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</si>
  <si>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</si>
  <si>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Zeki Amdouni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</si>
  <si>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</si>
  <si>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</si>
  <si>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</si>
  <si>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Ampadu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</si>
  <si>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</si>
  <si>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</si>
  <si>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</si>
  <si>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Joachim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</si>
  <si>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</si>
  <si>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</si>
  <si>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</si>
  <si>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Anderson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</si>
  <si>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</si>
  <si>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</si>
  <si>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</si>
  <si>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</si>
  <si>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</si>
  <si>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</si>
  <si>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</si>
  <si>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Nilson Angulo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</si>
  <si>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</si>
  <si>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</si>
  <si>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</si>
  <si>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Jaidon Anthony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</si>
  <si>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</si>
  <si>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</si>
  <si>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</si>
  <si>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Alphonse Areola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</si>
  <si>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</si>
  <si>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</si>
  <si>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</si>
  <si>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Jhon Arias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</si>
  <si>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</si>
  <si>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</si>
  <si>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</si>
  <si>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Armstrong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</si>
  <si>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</si>
  <si>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</si>
  <si>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</si>
  <si>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Harrison Armstrong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</si>
  <si>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</si>
  <si>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</si>
  <si>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</si>
  <si>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Tolu Arokodare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</si>
  <si>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</si>
  <si>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</si>
  <si>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</si>
  <si>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Kepa Arrizabalaga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</si>
  <si>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</si>
  <si>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</si>
  <si>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</si>
  <si>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Taiwo Awoniyi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</si>
  <si>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</si>
  <si>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</si>
  <si>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</si>
  <si>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</si>
  <si>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</si>
  <si>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</si>
  <si>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</si>
  <si>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Benoît Badiashile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</si>
  <si>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</si>
  <si>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</si>
  <si>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</si>
  <si>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Bailey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</si>
  <si>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</si>
  <si>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</si>
  <si>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</si>
  <si>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Dilane Bakwa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</si>
  <si>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</si>
  <si>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</si>
  <si>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</si>
  <si>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Baleba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</si>
  <si>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</si>
  <si>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</si>
  <si>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</si>
  <si>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Ballard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</si>
  <si>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</si>
  <si>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</si>
  <si>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</si>
  <si>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Ross Barkley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</si>
  <si>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</si>
  <si>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</si>
  <si>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</si>
  <si>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Ashley Barnes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</si>
  <si>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</si>
  <si>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</si>
  <si>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</si>
  <si>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Barnes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</si>
  <si>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</si>
  <si>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</si>
  <si>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</si>
  <si>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Thierno Barry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</si>
  <si>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</si>
  <si>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</si>
  <si>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</si>
  <si>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Calvin Bassey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</si>
  <si>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</si>
  <si>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</si>
  <si>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</si>
  <si>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Altay Bayındır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</si>
  <si>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</si>
  <si>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</si>
  <si>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</si>
  <si>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Jean-Ricner Bellegarde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</si>
  <si>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</si>
  <si>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</si>
  <si>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</si>
  <si>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Walter Benítez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</si>
  <si>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</si>
  <si>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</si>
  <si>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</si>
  <si>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Bentancur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</si>
  <si>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</si>
  <si>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</si>
  <si>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</si>
  <si>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Bentley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</si>
  <si>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</si>
  <si>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</si>
  <si>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</si>
  <si>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 Berge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</si>
  <si>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</si>
  <si>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</si>
  <si>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</si>
  <si>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</si>
  <si>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</si>
  <si>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</si>
  <si>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</si>
  <si>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Beto</t>
    </r>
  </si>
  <si>
    <r>
      <rPr>
        <rFont val="Verdana, sans-serif"/>
        <color rgb="FF1155CC"/>
        <sz val="8.0"/>
        <u/>
      </rPr>
      <t>gw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GNB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</si>
  <si>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</si>
  <si>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</si>
  <si>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Jaka Bijol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</si>
  <si>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</si>
  <si>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</si>
  <si>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</si>
  <si>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Yves Bissouma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</si>
  <si>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</si>
  <si>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</si>
  <si>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</si>
  <si>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Bizot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</si>
  <si>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</si>
  <si>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</si>
  <si>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</si>
  <si>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Bobb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</si>
  <si>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</si>
  <si>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</si>
  <si>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</si>
  <si>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Bobb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</si>
  <si>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</si>
  <si>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</si>
  <si>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</si>
  <si>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Lamare Bogarde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</si>
  <si>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</si>
  <si>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</si>
  <si>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</si>
  <si>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Jayden Bogle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</si>
  <si>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</si>
  <si>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</si>
  <si>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</si>
  <si>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Sebastiaan Bornauw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</si>
  <si>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</si>
  <si>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</si>
  <si>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</si>
  <si>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Olivier Boscagli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</si>
  <si>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</si>
  <si>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</si>
  <si>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</si>
  <si>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Sven Botman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</si>
  <si>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</si>
  <si>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</si>
  <si>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</si>
  <si>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Jarrod Bowen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</si>
  <si>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</si>
  <si>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</si>
  <si>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</si>
  <si>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Conor Bradley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</si>
  <si>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</si>
  <si>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</si>
  <si>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</si>
  <si>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Jarrad Branthwaite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</si>
  <si>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</si>
  <si>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</si>
  <si>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</si>
  <si>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Brian Brobbey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</si>
  <si>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</si>
  <si>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</si>
  <si>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</si>
  <si>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Armando Broja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</si>
  <si>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</si>
  <si>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</si>
  <si>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</si>
  <si>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Brooks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</si>
  <si>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</si>
  <si>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</si>
  <si>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</si>
  <si>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Bruun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</si>
  <si>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</si>
  <si>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</si>
  <si>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</si>
  <si>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 Buendía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</si>
  <si>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</si>
  <si>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</si>
  <si>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</si>
  <si>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Bueno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</si>
  <si>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</si>
  <si>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</si>
  <si>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</si>
  <si>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Santiago Bueno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</si>
  <si>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</si>
  <si>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</si>
  <si>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</si>
  <si>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Facundo Buonanotte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</si>
  <si>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</si>
  <si>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</si>
  <si>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</si>
  <si>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Facundo Buonanotte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</si>
  <si>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</si>
  <si>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</si>
  <si>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</si>
  <si>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 Burn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</si>
  <si>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</si>
  <si>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</si>
  <si>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</si>
  <si>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Bradley Burrowes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</si>
  <si>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</si>
  <si>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</si>
  <si>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</si>
  <si>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Jun'ai Byfield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</si>
  <si>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</si>
  <si>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</si>
  <si>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</si>
  <si>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 Byram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</si>
  <si>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</si>
  <si>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</si>
  <si>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</si>
  <si>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Moisés Caicedo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</si>
  <si>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</si>
  <si>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</si>
  <si>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</si>
  <si>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Cairney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</si>
  <si>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</si>
  <si>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</si>
  <si>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</si>
  <si>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Riccardo Calafiori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</si>
  <si>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</si>
  <si>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</si>
  <si>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</si>
  <si>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Dominic Calvert-Lewin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</si>
  <si>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</si>
  <si>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</si>
  <si>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</si>
  <si>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Jaydee Canvot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</si>
  <si>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</si>
  <si>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</si>
  <si>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</si>
  <si>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Rio Cardines</t>
    </r>
  </si>
  <si>
    <r>
      <rPr>
        <rFont val="Verdana, sans-serif"/>
        <color rgb="FF1155CC"/>
        <sz val="8.0"/>
        <u/>
      </rPr>
      <t>tt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TRI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</si>
  <si>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</si>
  <si>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</si>
  <si>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Fabio Carvalho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</si>
  <si>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</si>
  <si>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</si>
  <si>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</si>
  <si>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Casemiro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</si>
  <si>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</si>
  <si>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</si>
  <si>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</si>
  <si>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Matty Cash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</si>
  <si>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</si>
  <si>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</si>
  <si>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</si>
  <si>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Castagne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</si>
  <si>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</si>
  <si>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</si>
  <si>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</si>
  <si>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Valentín Castellanos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</si>
  <si>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</si>
  <si>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</si>
  <si>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</si>
  <si>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Trevoh Chalobah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</si>
  <si>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</si>
  <si>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</si>
  <si>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</si>
  <si>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Rayan Cherki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</si>
  <si>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</si>
  <si>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</si>
  <si>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</si>
  <si>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Federico Chiesa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</si>
  <si>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</si>
  <si>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</si>
  <si>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</si>
  <si>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Tawanda Chirewa</t>
    </r>
  </si>
  <si>
    <r>
      <rPr>
        <rFont val="Verdana, sans-serif"/>
        <color rgb="FF1155CC"/>
        <sz val="8.0"/>
        <u/>
      </rPr>
      <t>zw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ZIM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</si>
  <si>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</si>
  <si>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</si>
  <si>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Christie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</si>
  <si>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</si>
  <si>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</si>
  <si>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</si>
  <si>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Chukwueze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</si>
  <si>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</si>
  <si>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</si>
  <si>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</si>
  <si>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Cirkin</t>
    </r>
  </si>
  <si>
    <r>
      <rPr>
        <rFont val="Verdana, sans-serif"/>
        <color rgb="FF1155CC"/>
        <sz val="8.0"/>
        <u/>
      </rPr>
      <t>lv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LVA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</si>
  <si>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</si>
  <si>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</si>
  <si>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Clyne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</si>
  <si>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</si>
  <si>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</si>
  <si>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</si>
  <si>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Séamus Coleman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</si>
  <si>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</si>
  <si>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</si>
  <si>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</si>
  <si>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Collins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</si>
  <si>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</si>
  <si>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</si>
  <si>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</si>
  <si>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Levi Colwill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</si>
  <si>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</si>
  <si>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</si>
  <si>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</si>
  <si>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Cook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</si>
  <si>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</si>
  <si>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</si>
  <si>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</si>
  <si>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Coppola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</si>
  <si>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</si>
  <si>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</si>
  <si>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</si>
  <si>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Cucurella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</si>
  <si>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</si>
  <si>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</si>
  <si>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</si>
  <si>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Jorge Cuenca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</si>
  <si>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</si>
  <si>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</si>
  <si>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</si>
  <si>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 Cullen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</si>
  <si>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</si>
  <si>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</si>
  <si>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</si>
  <si>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Jair Cunha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</si>
  <si>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</si>
  <si>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</si>
  <si>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</si>
  <si>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Matheus Cunha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</si>
  <si>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</si>
  <si>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</si>
  <si>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</si>
  <si>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Diogo Dalot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</si>
  <si>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</si>
  <si>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</si>
  <si>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</si>
  <si>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Damsgaard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</si>
  <si>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</si>
  <si>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</si>
  <si>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</si>
  <si>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Danso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</si>
  <si>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</si>
  <si>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</si>
  <si>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</si>
  <si>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Darlow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</si>
  <si>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</si>
  <si>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</si>
  <si>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</si>
  <si>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 Dasilva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</si>
  <si>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</si>
  <si>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</si>
  <si>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</si>
  <si>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Davies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</si>
  <si>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</si>
  <si>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</si>
  <si>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</si>
  <si>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Maxim De Cuyper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</si>
  <si>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</si>
  <si>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</si>
  <si>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</si>
  <si>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Delap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</si>
  <si>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</si>
  <si>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</si>
  <si>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</si>
  <si>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Sepp van den Berg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</si>
  <si>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</si>
  <si>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</si>
  <si>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</si>
  <si>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Jesse Derry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</si>
  <si>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</si>
  <si>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</si>
  <si>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</si>
  <si>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Devenny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</si>
  <si>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</si>
  <si>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</si>
  <si>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</si>
  <si>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Kiernan Dewsbury-Hall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</si>
  <si>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</si>
  <si>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</si>
  <si>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</si>
  <si>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Bafodé Diakité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</si>
  <si>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</si>
  <si>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</si>
  <si>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</si>
  <si>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 Diallo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</si>
  <si>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</si>
  <si>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</si>
  <si>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</si>
  <si>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Habib Diarra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</si>
  <si>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</si>
  <si>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</si>
  <si>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</si>
  <si>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Rúben Dias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</si>
  <si>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</si>
  <si>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</si>
  <si>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</si>
  <si>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Dibling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</si>
  <si>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</si>
  <si>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</si>
  <si>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</si>
  <si>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Digne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</si>
  <si>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</si>
  <si>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</si>
  <si>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</si>
  <si>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Issa Diop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</si>
  <si>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</si>
  <si>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</si>
  <si>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</si>
  <si>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 Hadji Malick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</si>
  <si>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</si>
  <si>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</si>
  <si>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</si>
  <si>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Disasi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</si>
  <si>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</si>
  <si>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</si>
  <si>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</si>
  <si>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 Doherty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</si>
  <si>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</si>
  <si>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</si>
  <si>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</si>
  <si>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Doku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</si>
  <si>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</si>
  <si>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</si>
  <si>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</si>
  <si>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Domínguez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</si>
  <si>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</si>
  <si>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</si>
  <si>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</si>
  <si>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Gianluigi Donnarumma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</si>
  <si>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</si>
  <si>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</si>
  <si>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</si>
  <si>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Romelle Donovan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</si>
  <si>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</si>
  <si>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</si>
  <si>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</si>
  <si>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Dorgu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</si>
  <si>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</si>
  <si>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</si>
  <si>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</si>
  <si>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Dowman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</si>
  <si>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</si>
  <si>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</si>
  <si>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</si>
  <si>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Radu Drăgușin</t>
    </r>
  </si>
  <si>
    <r>
      <rPr>
        <rFont val="Verdana, sans-serif"/>
        <color rgb="FF1155CC"/>
        <sz val="8.0"/>
        <u/>
      </rPr>
      <t>ro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ROU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</si>
  <si>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</si>
  <si>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</si>
  <si>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Joél Drakes-Thomas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</si>
  <si>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</si>
  <si>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</si>
  <si>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</si>
  <si>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Dúbravka</t>
    </r>
  </si>
  <si>
    <r>
      <rPr>
        <rFont val="Verdana, sans-serif"/>
        <color rgb="FF1155CC"/>
        <sz val="8.0"/>
        <u/>
      </rPr>
      <t>sk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SVK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</si>
  <si>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</si>
  <si>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</si>
  <si>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Dunk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</si>
  <si>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</si>
  <si>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</si>
  <si>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</si>
  <si>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George Earthy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</si>
  <si>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</si>
  <si>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</si>
  <si>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</si>
  <si>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Odsonne Édouard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</si>
  <si>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</si>
  <si>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</si>
  <si>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</si>
  <si>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Edozie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</si>
  <si>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</si>
  <si>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</si>
  <si>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</si>
  <si>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Alysson Edward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</si>
  <si>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</si>
  <si>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</si>
  <si>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</si>
  <si>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Edwards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</si>
  <si>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</si>
  <si>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</si>
  <si>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</si>
  <si>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</si>
  <si>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</si>
  <si>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</si>
  <si>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</si>
  <si>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Ekitike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</si>
  <si>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</si>
  <si>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</si>
  <si>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</si>
  <si>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Elanga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</si>
  <si>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</si>
  <si>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</si>
  <si>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</si>
  <si>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</si>
  <si>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</si>
  <si>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</si>
  <si>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</si>
  <si>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Elliott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</si>
  <si>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</si>
  <si>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</si>
  <si>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</si>
  <si>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Elliott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</si>
  <si>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</si>
  <si>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</si>
  <si>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</si>
  <si>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Wataru Endo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</si>
  <si>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</si>
  <si>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</si>
  <si>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</si>
  <si>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Esse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</si>
  <si>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</si>
  <si>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</si>
  <si>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</si>
  <si>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Dario Essugo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</si>
  <si>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</si>
  <si>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</si>
  <si>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</si>
  <si>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Maxime Estève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</si>
  <si>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</si>
  <si>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</si>
  <si>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</si>
  <si>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Evanilson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</si>
  <si>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</si>
  <si>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</si>
  <si>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</si>
  <si>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Eberechi Eze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</si>
  <si>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</si>
  <si>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</si>
  <si>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</si>
  <si>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Eberechi Eze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</si>
  <si>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</si>
  <si>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</si>
  <si>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</si>
  <si>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Bruno Fernandes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</si>
  <si>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</si>
  <si>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</si>
  <si>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</si>
  <si>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Mateus Fernandes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</si>
  <si>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</si>
  <si>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</si>
  <si>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</si>
  <si>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Enzo Fernández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</si>
  <si>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</si>
  <si>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</si>
  <si>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</si>
  <si>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Zian Flemming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</si>
  <si>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</si>
  <si>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</si>
  <si>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</si>
  <si>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Fletcher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</si>
  <si>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</si>
  <si>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</si>
  <si>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</si>
  <si>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Fletcher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</si>
  <si>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</si>
  <si>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</si>
  <si>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</si>
  <si>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Foden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</si>
  <si>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</si>
  <si>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</si>
  <si>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</si>
  <si>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Wesley Fofana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</si>
  <si>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</si>
  <si>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</si>
  <si>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</si>
  <si>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Lyle Foster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</si>
  <si>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</si>
  <si>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</si>
  <si>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</si>
  <si>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Fredricson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</si>
  <si>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</si>
  <si>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</si>
  <si>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</si>
  <si>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Jeremie Frimpong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</si>
  <si>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</si>
  <si>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</si>
  <si>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</si>
  <si>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Niclas Füllkrug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</si>
  <si>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</si>
  <si>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</si>
  <si>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</si>
  <si>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Kaye Furo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</si>
  <si>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</si>
  <si>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</si>
  <si>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</si>
  <si>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Cody Gakpo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</si>
  <si>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</si>
  <si>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</si>
  <si>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</si>
  <si>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Conor Gallagher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</si>
  <si>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</si>
  <si>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</si>
  <si>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</si>
  <si>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Idrissa Gana Gueye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</si>
  <si>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</si>
  <si>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</si>
  <si>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</si>
  <si>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Gannon-Doak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</si>
  <si>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</si>
  <si>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</si>
  <si>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</si>
  <si>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Andrés García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</si>
  <si>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</si>
  <si>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</si>
  <si>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</si>
  <si>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Alejandro Garnacho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</si>
  <si>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</si>
  <si>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</si>
  <si>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</si>
  <si>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Garner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</si>
  <si>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</si>
  <si>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</si>
  <si>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</si>
  <si>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Lutsharel Geertruida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</si>
  <si>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</si>
  <si>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</si>
  <si>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</si>
  <si>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Tyrique George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</si>
  <si>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</si>
  <si>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</si>
  <si>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</si>
  <si>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Tyrique George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</si>
  <si>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</si>
  <si>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</si>
  <si>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</si>
  <si>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Morgan Gibbs-White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</si>
  <si>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</si>
  <si>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</si>
  <si>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</si>
  <si>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Gittens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</si>
  <si>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</si>
  <si>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</si>
  <si>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</si>
  <si>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Wilfried Gnonto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</si>
  <si>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</si>
  <si>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</si>
  <si>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</si>
  <si>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Angel Gomes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</si>
  <si>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</si>
  <si>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</si>
  <si>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</si>
  <si>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Gomes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</si>
  <si>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</si>
  <si>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</si>
  <si>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</si>
  <si>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Gomes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</si>
  <si>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</si>
  <si>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</si>
  <si>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</si>
  <si>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Toti Gomes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</si>
  <si>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</si>
  <si>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</si>
  <si>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</si>
  <si>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Gómez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</si>
  <si>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</si>
  <si>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</si>
  <si>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</si>
  <si>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Gomez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</si>
  <si>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</si>
  <si>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</si>
  <si>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</si>
  <si>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González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</si>
  <si>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</si>
  <si>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</si>
  <si>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</si>
  <si>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Gordon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</si>
  <si>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</si>
  <si>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</si>
  <si>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</si>
  <si>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Gravenberch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</si>
  <si>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</si>
  <si>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</si>
  <si>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</si>
  <si>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Archie Gray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</si>
  <si>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</si>
  <si>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</si>
  <si>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</si>
  <si>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Grealish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</si>
  <si>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</si>
  <si>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</si>
  <si>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</si>
  <si>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Groß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</si>
  <si>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</si>
  <si>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</si>
  <si>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</si>
  <si>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Brajan Gruda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</si>
  <si>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</si>
  <si>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</si>
  <si>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</si>
  <si>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Ilia Gruev</t>
    </r>
  </si>
  <si>
    <r>
      <rPr>
        <rFont val="Verdana, sans-serif"/>
        <color rgb="FF1155CC"/>
        <sz val="8.0"/>
        <u/>
      </rPr>
      <t>bg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</si>
  <si>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</si>
  <si>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</si>
  <si>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Gudmundsson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</si>
  <si>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</si>
  <si>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</si>
  <si>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</si>
  <si>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Guéhi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</si>
  <si>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</si>
  <si>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</si>
  <si>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</si>
  <si>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Guéhi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</si>
  <si>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</si>
  <si>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</si>
  <si>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</si>
  <si>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Evann Guessand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</si>
  <si>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</si>
  <si>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</si>
  <si>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</si>
  <si>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Evann Guessand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</si>
  <si>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</si>
  <si>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</si>
  <si>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</si>
  <si>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Luis Guilherme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</si>
  <si>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</si>
  <si>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</si>
  <si>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</si>
  <si>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Bruno Guimarães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</si>
  <si>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</si>
  <si>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</si>
  <si>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</si>
  <si>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Guiu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</si>
  <si>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</si>
  <si>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</si>
  <si>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</si>
  <si>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Guiu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</si>
  <si>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</si>
  <si>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</si>
  <si>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</si>
  <si>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Angus Gunn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</si>
  <si>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</si>
  <si>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</si>
  <si>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</si>
  <si>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Malo Gusto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</si>
  <si>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</si>
  <si>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</si>
  <si>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</si>
  <si>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Joško Gvardiol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</si>
  <si>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</si>
  <si>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</si>
  <si>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</si>
  <si>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Gyökeres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</si>
  <si>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</si>
  <si>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</si>
  <si>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</si>
  <si>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Erling Haaland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</si>
  <si>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</si>
  <si>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</si>
  <si>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</si>
  <si>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Hall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</si>
  <si>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</si>
  <si>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</si>
  <si>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</si>
  <si>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Harrison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</si>
  <si>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</si>
  <si>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</si>
  <si>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</si>
  <si>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Quilindschy Hartman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</si>
  <si>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</si>
  <si>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</si>
  <si>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</si>
  <si>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Jorrel Hato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</si>
  <si>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</si>
  <si>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</si>
  <si>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</si>
  <si>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Kai Havertz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</si>
  <si>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</si>
  <si>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</si>
  <si>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</si>
  <si>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Ayden Heaven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</si>
  <si>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</si>
  <si>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</si>
  <si>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</si>
  <si>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Jan Paul van Hecke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</si>
  <si>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</si>
  <si>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</si>
  <si>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</si>
  <si>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Hwang Hee-chan</t>
    </r>
  </si>
  <si>
    <r>
      <rPr>
        <rFont val="Verdana, sans-serif"/>
        <color rgb="FF1155CC"/>
        <sz val="8.0"/>
        <u/>
      </rPr>
      <t>kr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</si>
  <si>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</si>
  <si>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</si>
  <si>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George Hemmings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</si>
  <si>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</si>
  <si>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</si>
  <si>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</si>
  <si>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Dean Henderson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</si>
  <si>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</si>
  <si>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</si>
  <si>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</si>
  <si>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Henderson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</si>
  <si>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</si>
  <si>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</si>
  <si>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</si>
  <si>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Rico Henry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</si>
  <si>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</si>
  <si>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</si>
  <si>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</si>
  <si>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Hermansen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</si>
  <si>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</si>
  <si>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</si>
  <si>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</si>
  <si>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Hickey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</si>
  <si>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</si>
  <si>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</si>
  <si>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</si>
  <si>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Hill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</si>
  <si>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</si>
  <si>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</si>
  <si>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</si>
  <si>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Piero Hincapié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</si>
  <si>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</si>
  <si>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</si>
  <si>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</si>
  <si>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Hinshelwood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</si>
  <si>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</si>
  <si>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</si>
  <si>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</si>
  <si>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Ki-Jana Hoever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</si>
  <si>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</si>
  <si>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</si>
  <si>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</si>
  <si>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Howell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</si>
  <si>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</si>
  <si>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</si>
  <si>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</si>
  <si>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Hudson-Odoi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</si>
  <si>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</si>
  <si>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</si>
  <si>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</si>
  <si>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 Hughes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</si>
  <si>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</si>
  <si>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</si>
  <si>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</si>
  <si>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Trai Hume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</si>
  <si>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</si>
  <si>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</si>
  <si>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</si>
  <si>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Bashir Humphreys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</si>
  <si>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</si>
  <si>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</si>
  <si>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</si>
  <si>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Omari Hutchinson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</si>
  <si>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</si>
  <si>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</si>
  <si>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</si>
  <si>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</si>
  <si>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</si>
  <si>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</si>
  <si>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</si>
  <si>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Iroegbunam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</si>
  <si>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</si>
  <si>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</si>
  <si>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</si>
  <si>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Andy Irving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</si>
  <si>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</si>
  <si>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</si>
  <si>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</si>
  <si>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Isak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</si>
  <si>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</si>
  <si>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</si>
  <si>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</si>
  <si>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Isidor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</si>
  <si>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</si>
  <si>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</si>
  <si>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</si>
  <si>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Iwobi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</si>
  <si>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</si>
  <si>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</si>
  <si>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</si>
  <si>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James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</si>
  <si>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</si>
  <si>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</si>
  <si>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</si>
  <si>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Reece James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</si>
  <si>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</si>
  <si>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</si>
  <si>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</si>
  <si>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Vitaly Janelt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</si>
  <si>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</si>
  <si>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</si>
  <si>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</si>
  <si>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Mathias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</si>
  <si>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</si>
  <si>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</si>
  <si>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</si>
  <si>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Jesus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</si>
  <si>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</si>
  <si>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</si>
  <si>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</si>
  <si>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 Jesus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</si>
  <si>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</si>
  <si>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</si>
  <si>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</si>
  <si>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Álex Jiménez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</si>
  <si>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</si>
  <si>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</si>
  <si>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</si>
  <si>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Raúl Jiménez</t>
    </r>
  </si>
  <si>
    <r>
      <rPr>
        <rFont val="Verdana, sans-serif"/>
        <color rgb="FF1155CC"/>
        <sz val="8.0"/>
        <u/>
      </rPr>
      <t>mx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MEX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</si>
  <si>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</si>
  <si>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</si>
  <si>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Jamaldeen Jimoh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</si>
  <si>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</si>
  <si>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</si>
  <si>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</si>
  <si>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Pedro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</si>
  <si>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</si>
  <si>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</si>
  <si>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</si>
  <si>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Joelinton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</si>
  <si>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</si>
  <si>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</si>
  <si>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</si>
  <si>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</si>
  <si>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</si>
  <si>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</si>
  <si>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</si>
  <si>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Brennan Johnson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</si>
  <si>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</si>
  <si>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</si>
  <si>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</si>
  <si>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Brennan Johnson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</si>
  <si>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</si>
  <si>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</si>
  <si>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</si>
  <si>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 Johnstone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</si>
  <si>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</si>
  <si>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</si>
  <si>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</si>
  <si>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Curtis Jones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</si>
  <si>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</si>
  <si>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</si>
  <si>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</si>
  <si>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 Junior Kroupi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</si>
  <si>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</si>
  <si>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</si>
  <si>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</si>
  <si>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Hamed Junior Traorè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</si>
  <si>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</si>
  <si>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</si>
  <si>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</si>
  <si>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Justin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</si>
  <si>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</si>
  <si>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</si>
  <si>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</si>
  <si>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</si>
  <si>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</si>
  <si>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</si>
  <si>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</si>
  <si>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Ferdi Kadioglu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</si>
  <si>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</si>
  <si>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</si>
  <si>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</si>
  <si>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Sasa Kalajdzic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</si>
  <si>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</si>
  <si>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</si>
  <si>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</si>
  <si>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Arnaud Kalimuendo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</si>
  <si>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</si>
  <si>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</si>
  <si>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</si>
  <si>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Daichi Kamada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</si>
  <si>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</si>
  <si>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</si>
  <si>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</si>
  <si>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Boubacar Kamara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</si>
  <si>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</si>
  <si>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</si>
  <si>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</si>
  <si>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Mohamadou Kanté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</si>
  <si>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</si>
  <si>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</si>
  <si>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</si>
  <si>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Kayode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</si>
  <si>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</si>
  <si>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</si>
  <si>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</si>
  <si>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Keane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</si>
  <si>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</si>
  <si>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</si>
  <si>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</si>
  <si>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Caoimhín Kelleher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</si>
  <si>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</si>
  <si>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</si>
  <si>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</si>
  <si>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Milos Kerkez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</si>
  <si>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</si>
  <si>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</si>
  <si>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</si>
  <si>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</si>
  <si>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</si>
  <si>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</si>
  <si>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</si>
  <si>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Abdukodir Khusanov</t>
    </r>
  </si>
  <si>
    <r>
      <rPr>
        <rFont val="Verdana, sans-serif"/>
        <color rgb="FF1155CC"/>
        <sz val="8.0"/>
        <u/>
      </rPr>
      <t>uz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UZB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</si>
  <si>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</si>
  <si>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</si>
  <si>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Kilman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</si>
  <si>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</si>
  <si>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</si>
  <si>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</si>
  <si>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King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</si>
  <si>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</si>
  <si>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</si>
  <si>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</si>
  <si>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Antonín Kinský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</si>
  <si>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</si>
  <si>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</si>
  <si>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</si>
  <si>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Kluivert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</si>
  <si>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</si>
  <si>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</si>
  <si>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</si>
  <si>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Knight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</si>
  <si>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</si>
  <si>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</si>
  <si>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</si>
  <si>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Randal Kolo Muani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</si>
  <si>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</si>
  <si>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</si>
  <si>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</si>
  <si>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Konaté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</si>
  <si>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</si>
  <si>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</si>
  <si>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</si>
  <si>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Ezri Konsa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</si>
  <si>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</si>
  <si>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</si>
  <si>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</si>
  <si>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Charalampos Kostoulas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</si>
  <si>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</si>
  <si>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</si>
  <si>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</si>
  <si>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Mateo Kovačić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</si>
  <si>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</si>
  <si>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</si>
  <si>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</si>
  <si>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Krafth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</si>
  <si>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</si>
  <si>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</si>
  <si>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</si>
  <si>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Ladislav Krejčí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</si>
  <si>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</si>
  <si>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</si>
  <si>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</si>
  <si>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Kudus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</si>
  <si>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</si>
  <si>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</si>
  <si>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</si>
  <si>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Jonah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</si>
  <si>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</si>
  <si>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</si>
  <si>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</si>
  <si>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Shea Lacey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</si>
  <si>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</si>
  <si>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</si>
  <si>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</si>
  <si>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Maxence Lacroix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</si>
  <si>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</si>
  <si>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</si>
  <si>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</si>
  <si>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Senne Lammens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</si>
  <si>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</si>
  <si>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</si>
  <si>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</si>
  <si>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Jamaal Lascelles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</si>
  <si>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</si>
  <si>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</si>
  <si>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</si>
  <si>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 Laurent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</si>
  <si>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</si>
  <si>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</si>
  <si>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</si>
  <si>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Roméo Lavia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</si>
  <si>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</si>
  <si>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</si>
  <si>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</si>
  <si>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Enzo Le Fée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</si>
  <si>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</si>
  <si>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</si>
  <si>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</si>
  <si>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Bernd Leno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</si>
  <si>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</si>
  <si>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</si>
  <si>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</si>
  <si>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Jefferson Lerma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</si>
  <si>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</si>
  <si>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</si>
  <si>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</si>
  <si>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Rico Lewis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</si>
  <si>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</si>
  <si>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</si>
  <si>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</si>
  <si>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Keane Lewis-Potter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</si>
  <si>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</si>
  <si>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</si>
  <si>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</si>
  <si>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Myles Lewis-Skelly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</si>
  <si>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</si>
  <si>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</si>
  <si>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</si>
  <si>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Matthijs de Ligt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</si>
  <si>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</si>
  <si>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</si>
  <si>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</si>
  <si>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Lima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</si>
  <si>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</si>
  <si>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</si>
  <si>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</si>
  <si>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Lindelöf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</si>
  <si>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</si>
  <si>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</si>
  <si>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</si>
  <si>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Tino Livramento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</si>
  <si>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</si>
  <si>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</si>
  <si>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</si>
  <si>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Longstaff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</si>
  <si>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</si>
  <si>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</si>
  <si>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</si>
  <si>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Fer López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</si>
  <si>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</si>
  <si>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</si>
  <si>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</si>
  <si>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</si>
  <si>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</si>
  <si>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</si>
  <si>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</si>
  <si>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Lorenzo Lucca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</si>
  <si>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</si>
  <si>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</si>
  <si>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</si>
  <si>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Florentino Luís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</si>
  <si>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</si>
  <si>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</si>
  <si>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</si>
  <si>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Douglas Luiz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</si>
  <si>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</si>
  <si>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</si>
  <si>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</si>
  <si>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Douglas Luiz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</si>
  <si>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</si>
  <si>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</si>
  <si>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</si>
  <si>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Saša Lukić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</si>
  <si>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</si>
  <si>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</si>
  <si>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</si>
  <si>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Ian Maatsen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</si>
  <si>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</si>
  <si>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</si>
  <si>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</si>
  <si>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Alexis Mac Allister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</si>
  <si>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</si>
  <si>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</si>
  <si>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</si>
  <si>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Maddison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</si>
  <si>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</si>
  <si>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</si>
  <si>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</si>
  <si>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Noni Madueke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</si>
  <si>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</si>
  <si>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</si>
  <si>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</si>
  <si>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Magalhães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</si>
  <si>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</si>
  <si>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</si>
  <si>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</si>
  <si>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Soungoutou Magassa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</si>
  <si>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</si>
  <si>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</si>
  <si>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</si>
  <si>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Maguire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</si>
  <si>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</si>
  <si>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</si>
  <si>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</si>
  <si>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Kobbie Mainoo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</si>
  <si>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</si>
  <si>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</si>
  <si>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</si>
  <si>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Tyrell Malacia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</si>
  <si>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</si>
  <si>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</si>
  <si>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</si>
  <si>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Donyell Malen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</si>
  <si>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</si>
  <si>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</si>
  <si>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</si>
  <si>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Giorgi Mamardashvili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</si>
  <si>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</si>
  <si>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</si>
  <si>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</si>
  <si>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Reinildo Mandava</t>
    </r>
  </si>
  <si>
    <r>
      <rPr>
        <rFont val="Verdana, sans-serif"/>
        <color rgb="FF1155CC"/>
        <sz val="8.0"/>
        <u/>
      </rPr>
      <t>mz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MOZ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</si>
  <si>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</si>
  <si>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</si>
  <si>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Mateus Mane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</si>
  <si>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</si>
  <si>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</si>
  <si>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</si>
  <si>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Bendito Mantato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</si>
  <si>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</si>
  <si>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</si>
  <si>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</si>
  <si>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Solly March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</si>
  <si>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</si>
  <si>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</si>
  <si>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</si>
  <si>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Marmoush</t>
    </r>
  </si>
  <si>
    <r>
      <rPr>
        <rFont val="Verdana, sans-serif"/>
        <color rgb="FF1155CC"/>
        <sz val="8.0"/>
        <u/>
      </rPr>
      <t>eg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EGY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</si>
  <si>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</si>
  <si>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</si>
  <si>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Marshall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</si>
  <si>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</si>
  <si>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</si>
  <si>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</si>
  <si>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Martinelli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</si>
  <si>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</si>
  <si>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</si>
  <si>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</si>
  <si>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Emiliano Martínez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</si>
  <si>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</si>
  <si>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</si>
  <si>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</si>
  <si>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Lisandro Martínez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</si>
  <si>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</si>
  <si>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</si>
  <si>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</si>
  <si>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Arthur Masuaku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</si>
  <si>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</si>
  <si>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</si>
  <si>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</si>
  <si>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Pape Matar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</si>
  <si>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</si>
  <si>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</si>
  <si>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</si>
  <si>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Jean-Philippe Mateta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</si>
  <si>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</si>
  <si>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</si>
  <si>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</si>
  <si>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Konstantinos Mavropanos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</si>
  <si>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</si>
  <si>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</si>
  <si>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</si>
  <si>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Eliezer Mayenda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</si>
  <si>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</si>
  <si>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</si>
  <si>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</si>
  <si>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Ezra Mayers</t>
    </r>
  </si>
  <si>
    <r>
      <rPr>
        <rFont val="Verdana, sans-serif"/>
        <color rgb="FF1155CC"/>
        <sz val="8.0"/>
        <u/>
      </rPr>
      <t>bb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BRB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</si>
  <si>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</si>
  <si>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</si>
  <si>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Noussair Mazraoui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</si>
  <si>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</si>
  <si>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</si>
  <si>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</si>
  <si>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Bryan Mbeumo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</si>
  <si>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</si>
  <si>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</si>
  <si>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</si>
  <si>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Mcatee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</si>
  <si>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</si>
  <si>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</si>
  <si>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</si>
  <si>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McGinn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</si>
  <si>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</si>
  <si>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</si>
  <si>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</si>
  <si>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Dwight McNeil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</si>
  <si>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</si>
  <si>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</si>
  <si>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</si>
  <si>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Hannibal Mejbri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</si>
  <si>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</si>
  <si>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</si>
  <si>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</si>
  <si>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Mikel Merino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</si>
  <si>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</si>
  <si>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</si>
  <si>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</si>
  <si>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Shumaira Mheuka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</si>
  <si>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</si>
  <si>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</si>
  <si>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</si>
  <si>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 Milambo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</si>
  <si>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</si>
  <si>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</si>
  <si>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</si>
  <si>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Milenković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</si>
  <si>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</si>
  <si>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</si>
  <si>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</si>
  <si>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Miley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</si>
  <si>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</si>
  <si>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</si>
  <si>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</si>
  <si>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Milner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</si>
  <si>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</si>
  <si>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</si>
  <si>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</si>
  <si>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Veljko Milosavljević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</si>
  <si>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</si>
  <si>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</si>
  <si>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</si>
  <si>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Tyrone Mings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</si>
  <si>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</si>
  <si>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</si>
  <si>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</si>
  <si>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Yankuba Minteh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</si>
  <si>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</si>
  <si>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</si>
  <si>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</si>
  <si>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Tyrick Mitchell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</si>
  <si>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</si>
  <si>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</si>
  <si>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</si>
  <si>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Kaoru Mitoma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</si>
  <si>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</si>
  <si>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</si>
  <si>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</si>
  <si>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Morato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</si>
  <si>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</si>
  <si>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</si>
  <si>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</si>
  <si>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Cristhian Mosquera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</si>
  <si>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</si>
  <si>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</si>
  <si>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</si>
  <si>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Yerson Mosquera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</si>
  <si>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</si>
  <si>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</si>
  <si>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</si>
  <si>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Mason Mount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</si>
  <si>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</si>
  <si>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</si>
  <si>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</si>
  <si>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Mukasa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</si>
  <si>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</si>
  <si>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</si>
  <si>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</si>
  <si>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Nordi Mukiele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</si>
  <si>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</si>
  <si>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</si>
  <si>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</si>
  <si>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Romaine Mundle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</si>
  <si>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</si>
  <si>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</si>
  <si>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</si>
  <si>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Marshall Munetsi</t>
    </r>
  </si>
  <si>
    <r>
      <rPr>
        <rFont val="Verdana, sans-serif"/>
        <color rgb="FF1155CC"/>
        <sz val="8.0"/>
        <u/>
      </rPr>
      <t>zw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ZIM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</si>
  <si>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</si>
  <si>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</si>
  <si>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Muniz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</si>
  <si>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</si>
  <si>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</si>
  <si>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</si>
  <si>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Muñoz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</si>
  <si>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</si>
  <si>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</si>
  <si>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</si>
  <si>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Murillo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</si>
  <si>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</si>
  <si>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</si>
  <si>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</si>
  <si>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Murphy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</si>
  <si>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</si>
  <si>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</si>
  <si>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</si>
  <si>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Murphy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</si>
  <si>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</si>
  <si>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</si>
  <si>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</si>
  <si>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Vitaliy Mykolenko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</si>
  <si>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</si>
  <si>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</si>
  <si>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</si>
  <si>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Møller Wolfe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</si>
  <si>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</si>
  <si>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</si>
  <si>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</si>
  <si>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Iliman Ndiaye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</si>
  <si>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</si>
  <si>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</si>
  <si>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</si>
  <si>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 Ndoye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</si>
  <si>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</si>
  <si>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</si>
  <si>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</si>
  <si>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Neave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</si>
  <si>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</si>
  <si>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</si>
  <si>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</si>
  <si>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 Neil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</si>
  <si>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</si>
  <si>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</si>
  <si>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</si>
  <si>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Reiss Nelson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</si>
  <si>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</si>
  <si>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</si>
  <si>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</si>
  <si>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Neto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</si>
  <si>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</si>
  <si>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</si>
  <si>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</si>
  <si>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 Netz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</si>
  <si>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</si>
  <si>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</si>
  <si>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</si>
  <si>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Rio Ngumoha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</si>
  <si>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</si>
  <si>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</si>
  <si>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</si>
  <si>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Eddie Nketiah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</si>
  <si>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</si>
  <si>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</si>
  <si>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</si>
  <si>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Nmecha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</si>
  <si>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</si>
  <si>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</si>
  <si>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</si>
  <si>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Matheus Nunes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</si>
  <si>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</si>
  <si>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</si>
  <si>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</si>
  <si>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Nwaneri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</si>
  <si>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</si>
  <si>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</si>
  <si>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</si>
  <si>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Trey Nyoni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</si>
  <si>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</si>
  <si>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</si>
  <si>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</si>
  <si>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Nørgaard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</si>
  <si>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</si>
  <si>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</si>
  <si>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</si>
  <si>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Jake O'Brien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</si>
  <si>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</si>
  <si>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</si>
  <si>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</si>
  <si>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O'Nien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</si>
  <si>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</si>
  <si>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</si>
  <si>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</si>
  <si>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 O'Riley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</si>
  <si>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</si>
  <si>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</si>
  <si>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</si>
  <si>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Odobert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</si>
  <si>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</si>
  <si>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</si>
  <si>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</si>
  <si>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Okafor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</si>
  <si>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</si>
  <si>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</si>
  <si>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</si>
  <si>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Olusesi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</si>
  <si>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</si>
  <si>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</si>
  <si>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</si>
  <si>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Amadou Onana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</si>
  <si>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</si>
  <si>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</si>
  <si>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</si>
  <si>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Onyeka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</si>
  <si>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</si>
  <si>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</si>
  <si>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</si>
  <si>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Nehemiah Oriola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</si>
  <si>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</si>
  <si>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</si>
  <si>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</si>
  <si>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 Ortega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</si>
  <si>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</si>
  <si>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</si>
  <si>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</si>
  <si>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Osula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</si>
  <si>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</si>
  <si>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</si>
  <si>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</si>
  <si>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Dango Ouattara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</si>
  <si>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</si>
  <si>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</si>
  <si>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</si>
  <si>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 O’Reilly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</si>
  <si>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</si>
  <si>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</si>
  <si>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</si>
  <si>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Pablo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</si>
  <si>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</si>
  <si>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</si>
  <si>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</si>
  <si>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Palhinha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</si>
  <si>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</si>
  <si>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</si>
  <si>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</si>
  <si>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Cole Palmer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</si>
  <si>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</si>
  <si>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</si>
  <si>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</si>
  <si>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Paquetá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</si>
  <si>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</si>
  <si>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</si>
  <si>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</si>
  <si>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Patterson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</si>
  <si>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</si>
  <si>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</si>
  <si>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</si>
  <si>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Myles Peart-Harris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</si>
  <si>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</si>
  <si>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</si>
  <si>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</si>
  <si>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Perri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</si>
  <si>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</si>
  <si>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</si>
  <si>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</si>
  <si>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Đorđe Petrović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</si>
  <si>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</si>
  <si>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</si>
  <si>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</si>
  <si>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</si>
  <si>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</si>
  <si>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</si>
  <si>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</si>
  <si>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Pinnock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</si>
  <si>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</si>
  <si>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</si>
  <si>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</si>
  <si>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Yeremi Pino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</si>
  <si>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</si>
  <si>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</si>
  <si>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</si>
  <si>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Joël Piroe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</si>
  <si>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</si>
  <si>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</si>
  <si>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</si>
  <si>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 Pope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</si>
  <si>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</si>
  <si>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</si>
  <si>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</si>
  <si>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Porro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</si>
  <si>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</si>
  <si>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</si>
  <si>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</si>
  <si>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Freddie Potts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</si>
  <si>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</si>
  <si>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</si>
  <si>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</si>
  <si>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Ramsdale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</si>
  <si>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</si>
  <si>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</si>
  <si>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</si>
  <si>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Ramsey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</si>
  <si>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</si>
  <si>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</si>
  <si>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</si>
  <si>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Raya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</si>
  <si>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</si>
  <si>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</si>
  <si>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</si>
  <si>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Rayan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</si>
  <si>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</si>
  <si>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</si>
  <si>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</si>
  <si>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Harrison Reed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</si>
  <si>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</si>
  <si>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</si>
  <si>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</si>
  <si>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Tijjani Reijnders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</si>
  <si>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</si>
  <si>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</si>
  <si>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</si>
  <si>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Chadi Riad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</si>
  <si>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</si>
  <si>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</si>
  <si>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</si>
  <si>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Declan Rice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</si>
  <si>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</si>
  <si>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</si>
  <si>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</si>
  <si>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Richards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</si>
  <si>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</si>
  <si>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</si>
  <si>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</si>
  <si>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Richarlison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</si>
  <si>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</si>
  <si>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</si>
  <si>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</si>
  <si>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Rigg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</si>
  <si>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</si>
  <si>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</si>
  <si>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</si>
  <si>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Roberts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</si>
  <si>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</si>
  <si>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</si>
  <si>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</si>
  <si>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Andrew Robertson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</si>
  <si>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</si>
  <si>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</si>
  <si>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</si>
  <si>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Antonee Robinson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</si>
  <si>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</si>
  <si>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</si>
  <si>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</si>
  <si>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Kaden Rodney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</si>
  <si>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</si>
  <si>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</si>
  <si>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</si>
  <si>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Rodon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</si>
  <si>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</si>
  <si>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</si>
  <si>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</si>
  <si>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</si>
  <si>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</si>
  <si>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</si>
  <si>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</si>
  <si>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Guido Rodríguez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</si>
  <si>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</si>
  <si>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</si>
  <si>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</si>
  <si>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Roefs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</si>
  <si>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</si>
  <si>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</si>
  <si>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</si>
  <si>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Morgan Rogers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</si>
  <si>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</si>
  <si>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</si>
  <si>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</si>
  <si>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Merlin Röhl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</si>
  <si>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</si>
  <si>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</si>
  <si>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</si>
  <si>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Cristian Romero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</si>
  <si>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</si>
  <si>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</si>
  <si>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</si>
  <si>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Rowswell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</si>
  <si>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</si>
  <si>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</si>
  <si>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</si>
  <si>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Georginio Rutter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</si>
  <si>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</si>
  <si>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</si>
  <si>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</si>
  <si>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José Sá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</si>
  <si>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</si>
  <si>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</si>
  <si>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</si>
  <si>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Sadiki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</si>
  <si>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</si>
  <si>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</si>
  <si>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</si>
  <si>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Bukayo Saka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</si>
  <si>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</si>
  <si>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</si>
  <si>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</si>
  <si>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Salah</t>
    </r>
  </si>
  <si>
    <r>
      <rPr>
        <rFont val="Verdana, sans-serif"/>
        <color rgb="FF1155CC"/>
        <sz val="8.0"/>
        <u/>
      </rPr>
      <t>eg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EGY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</si>
  <si>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</si>
  <si>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</si>
  <si>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Saliba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</si>
  <si>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</si>
  <si>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</si>
  <si>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</si>
  <si>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Sánchez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</si>
  <si>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</si>
  <si>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</si>
  <si>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</si>
  <si>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Jadon Sancho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</si>
  <si>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</si>
  <si>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</si>
  <si>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</si>
  <si>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Sangaré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</si>
  <si>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</si>
  <si>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</si>
  <si>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</si>
  <si>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Andrey Santos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</si>
  <si>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</si>
  <si>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</si>
  <si>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</si>
  <si>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</si>
  <si>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</si>
  <si>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</si>
  <si>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</si>
  <si>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</si>
  <si>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</si>
  <si>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</si>
  <si>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</si>
  <si>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Sávio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</si>
  <si>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</si>
  <si>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</si>
  <si>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</si>
  <si>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Nicolò Savona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</si>
  <si>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</si>
  <si>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</si>
  <si>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</si>
  <si>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Scarles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</si>
  <si>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</si>
  <si>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</si>
  <si>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</si>
  <si>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Dane Scarlett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</si>
  <si>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</si>
  <si>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</si>
  <si>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</si>
  <si>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Schade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</si>
  <si>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</si>
  <si>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</si>
  <si>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</si>
  <si>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Schär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</si>
  <si>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</si>
  <si>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</si>
  <si>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</si>
  <si>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Scott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</si>
  <si>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</si>
  <si>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</si>
  <si>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</si>
  <si>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Jenson Seelt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</si>
  <si>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</si>
  <si>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</si>
  <si>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</si>
  <si>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Matz Sels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</si>
  <si>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</si>
  <si>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</si>
  <si>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</si>
  <si>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Antoine Semenyo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</si>
  <si>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</si>
  <si>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</si>
  <si>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</si>
  <si>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Antoine Semenyo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</si>
  <si>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</si>
  <si>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</si>
  <si>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</si>
  <si>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Marcos Senesi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</si>
  <si>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</si>
  <si>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</si>
  <si>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</si>
  <si>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Šeško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</si>
  <si>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</si>
  <si>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</si>
  <si>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</si>
  <si>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Sessegnon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</si>
  <si>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</si>
  <si>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</si>
  <si>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</si>
  <si>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Shaw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</si>
  <si>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</si>
  <si>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</si>
  <si>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</si>
  <si>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Silva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</si>
  <si>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</si>
  <si>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</si>
  <si>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</si>
  <si>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Jota Silva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</si>
  <si>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</si>
  <si>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</si>
  <si>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</si>
  <si>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Xavi Simons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</si>
  <si>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</si>
  <si>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</si>
  <si>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</si>
  <si>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Smith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</si>
  <si>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</si>
  <si>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</si>
  <si>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</si>
  <si>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Emile Smith Rowe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</si>
  <si>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</si>
  <si>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</si>
  <si>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</si>
  <si>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Dominic Solanke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</si>
  <si>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</si>
  <si>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</si>
  <si>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</si>
  <si>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Julio Soler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</si>
  <si>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</si>
  <si>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</si>
  <si>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</si>
  <si>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Sonne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</si>
  <si>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</si>
  <si>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</si>
  <si>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</si>
  <si>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Borna Sosa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</si>
  <si>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</si>
  <si>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</si>
  <si>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</si>
  <si>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Tomáš Souček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</si>
  <si>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</si>
  <si>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</si>
  <si>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</si>
  <si>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Souza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</si>
  <si>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</si>
  <si>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</si>
  <si>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</si>
  <si>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Djed Spence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</si>
  <si>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</si>
  <si>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</si>
  <si>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</si>
  <si>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Stach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</si>
  <si>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</si>
  <si>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</si>
  <si>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</si>
  <si>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Stones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</si>
  <si>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</si>
  <si>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</si>
  <si>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</si>
  <si>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Jørgen Strand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</si>
  <si>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</si>
  <si>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</si>
  <si>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</si>
  <si>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Jørgen Strand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</si>
  <si>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</si>
  <si>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</si>
  <si>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</si>
  <si>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Struijk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</si>
  <si>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</si>
  <si>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</si>
  <si>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</si>
  <si>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Crysencio Summerville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</si>
  <si>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</si>
  <si>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</si>
  <si>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</si>
  <si>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Dominik Szoboszlai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</si>
  <si>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</si>
  <si>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</si>
  <si>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</si>
  <si>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Jocelin Ta Bi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</si>
  <si>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</si>
  <si>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</si>
  <si>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</si>
  <si>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Chemsdine Talbi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</si>
  <si>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</si>
  <si>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</si>
  <si>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</si>
  <si>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Ao Tanaka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</si>
  <si>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</si>
  <si>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</si>
  <si>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</si>
  <si>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Tarkowski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</si>
  <si>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</si>
  <si>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</si>
  <si>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</si>
  <si>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Tavernier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</si>
  <si>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</si>
  <si>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</si>
  <si>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</si>
  <si>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Loum Tchaouna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</si>
  <si>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</si>
  <si>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</si>
  <si>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</si>
  <si>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Jackson Tchatchoua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</si>
  <si>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</si>
  <si>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</si>
  <si>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</si>
  <si>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Mathys Tel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</si>
  <si>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</si>
  <si>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</si>
  <si>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</si>
  <si>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Kenny Tete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</si>
  <si>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</si>
  <si>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</si>
  <si>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</si>
  <si>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 Thiago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</si>
  <si>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</si>
  <si>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</si>
  <si>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</si>
  <si>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Thiaw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</si>
  <si>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</si>
  <si>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</si>
  <si>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</si>
  <si>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Youri Tielemans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</si>
  <si>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</si>
  <si>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</si>
  <si>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</si>
  <si>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Jurriën Timber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</si>
  <si>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</si>
  <si>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</si>
  <si>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</si>
  <si>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Jean-Clair Todibo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</si>
  <si>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</si>
  <si>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</si>
  <si>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</si>
  <si>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Sandro Tonali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</si>
  <si>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</si>
  <si>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</si>
  <si>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</si>
  <si>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 Torres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</si>
  <si>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</si>
  <si>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</si>
  <si>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</si>
  <si>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Tóth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</si>
  <si>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</si>
  <si>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</si>
  <si>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</si>
  <si>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Trafford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</si>
  <si>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</si>
  <si>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</si>
  <si>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</si>
  <si>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Adama Traoré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</si>
  <si>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</si>
  <si>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</si>
  <si>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</si>
  <si>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Adama Traoré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</si>
  <si>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</si>
  <si>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</si>
  <si>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</si>
  <si>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Bertrand Traoré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</si>
  <si>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</si>
  <si>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</si>
  <si>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</si>
  <si>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Mike Trésor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</si>
  <si>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</si>
  <si>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</si>
  <si>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</si>
  <si>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Kieran Trippier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</si>
  <si>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</si>
  <si>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</si>
  <si>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</si>
  <si>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Leandro Trossard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</si>
  <si>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</si>
  <si>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</si>
  <si>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</si>
  <si>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Adrien Truffert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</si>
  <si>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</si>
  <si>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</si>
  <si>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</si>
  <si>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Tuanzebe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</si>
  <si>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</si>
  <si>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</si>
  <si>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</si>
  <si>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Stefanos Tzimas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</si>
  <si>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</si>
  <si>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</si>
  <si>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</si>
  <si>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Christantus Uche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</si>
  <si>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</si>
  <si>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</si>
  <si>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</si>
  <si>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Destiny Udogie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</si>
  <si>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</si>
  <si>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</si>
  <si>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</si>
  <si>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Manuel Ugarte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</si>
  <si>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</si>
  <si>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</si>
  <si>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</si>
  <si>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Lesley Ugochukwu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</si>
  <si>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</si>
  <si>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</si>
  <si>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</si>
  <si>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Enes Ünal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</si>
  <si>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</si>
  <si>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</si>
  <si>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</si>
  <si>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</si>
  <si>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</si>
  <si>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</si>
  <si>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</si>
  <si>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Virgil van Dijk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</si>
  <si>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</si>
  <si>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</si>
  <si>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</si>
  <si>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Joël Veltman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</si>
  <si>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</si>
  <si>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</si>
  <si>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</si>
  <si>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Micky van de Ven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</si>
  <si>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</si>
  <si>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</si>
  <si>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</si>
  <si>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Bart Verbruggen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</si>
  <si>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</si>
  <si>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</si>
  <si>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</si>
  <si>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Guglielmo Vicario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</si>
  <si>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</si>
  <si>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</si>
  <si>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</si>
  <si>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Kyle Walker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</si>
  <si>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</si>
  <si>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</si>
  <si>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</si>
  <si>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Kyle Walker-Peters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</si>
  <si>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</si>
  <si>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</si>
  <si>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</si>
  <si>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Wan-Bissaka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</si>
  <si>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</si>
  <si>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</si>
  <si>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</si>
  <si>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Ward-Prowse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</si>
  <si>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</si>
  <si>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</si>
  <si>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</si>
  <si>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Ward-Prowse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</si>
  <si>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</si>
  <si>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</si>
  <si>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</si>
  <si>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Ollie Watkins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</si>
  <si>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</si>
  <si>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</si>
  <si>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</si>
  <si>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Watson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</si>
  <si>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</si>
  <si>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</si>
  <si>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</si>
  <si>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Weiß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</si>
  <si>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</si>
  <si>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</si>
  <si>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</si>
  <si>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Danny Welbeck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</si>
  <si>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</si>
  <si>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</si>
  <si>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</si>
  <si>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Wharton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</si>
  <si>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</si>
  <si>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</si>
  <si>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</si>
  <si>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White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</si>
  <si>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</si>
  <si>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</si>
  <si>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</si>
  <si>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Mats Wieffer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</si>
  <si>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</si>
  <si>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</si>
  <si>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</si>
  <si>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Neco Williams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</si>
  <si>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</si>
  <si>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</si>
  <si>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</si>
  <si>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Estêvão Willian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</si>
  <si>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</si>
  <si>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</si>
  <si>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</si>
  <si>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Willock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</si>
  <si>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</si>
  <si>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</si>
  <si>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</si>
  <si>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Wilson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</si>
  <si>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</si>
  <si>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</si>
  <si>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</si>
  <si>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Wilson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</si>
  <si>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</si>
  <si>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</si>
  <si>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</si>
  <si>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Winterburn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</si>
  <si>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</si>
  <si>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</si>
  <si>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</si>
  <si>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Florian Wirtz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</si>
  <si>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</si>
  <si>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</si>
  <si>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</si>
  <si>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Yoane Wissa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</si>
  <si>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</si>
  <si>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</si>
  <si>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</si>
  <si>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 Woltemade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</si>
  <si>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</si>
  <si>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</si>
  <si>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</si>
  <si>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Wood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</si>
  <si>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</si>
  <si>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</si>
  <si>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</si>
  <si>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Freddie Woodman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</si>
  <si>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</si>
  <si>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</si>
  <si>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</si>
  <si>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Worrall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</si>
  <si>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</si>
  <si>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</si>
  <si>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</si>
  <si>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Granit Xhaka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</si>
  <si>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</si>
  <si>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</si>
  <si>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</si>
  <si>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Yehor Yarmoliuk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</si>
  <si>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</si>
  <si>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</si>
  <si>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</si>
  <si>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Yates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</si>
  <si>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</si>
  <si>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</si>
  <si>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</si>
  <si>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Leny Yoro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</si>
  <si>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</si>
  <si>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</si>
  <si>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</si>
  <si>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Oleksandr Zinchenko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</si>
  <si>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</si>
  <si>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</si>
  <si>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</si>
  <si>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Zirkzee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</si>
  <si>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</si>
  <si>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</si>
  <si>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</si>
  <si>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Martín Zubimendi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</si>
  <si>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</si>
  <si>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</si>
  <si>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</si>
  <si>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Ødegaard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</si>
  <si>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</si>
  <si>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</si>
  <si>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</si>
  <si>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</si>
  <si>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</si>
  <si>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</si>
  <si>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</si>
  <si>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</si>
  <si>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</si>
  <si>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</si>
  <si>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</si>
  <si>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</si>
  <si>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</si>
  <si>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rPr>
        <rFont val="Verdana, sans-serif"/>
        <color rgb="FF1155CC"/>
        <u/>
      </rPr>
      <t>Brenden Aaronson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</si>
  <si>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</si>
  <si>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</si>
  <si>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</si>
  <si>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Jerome Abbey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</si>
  <si>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</si>
  <si>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</si>
  <si>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</si>
  <si>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 Abbott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</si>
  <si>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</si>
  <si>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</si>
  <si>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</si>
  <si>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Tammy Abraham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</si>
  <si>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</si>
  <si>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</si>
  <si>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</si>
  <si>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Acheampong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</si>
  <si>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</si>
  <si>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</si>
  <si>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</si>
  <si>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Adams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</si>
  <si>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</si>
  <si>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</si>
  <si>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</si>
  <si>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Tosin Adarabioyo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</si>
  <si>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</si>
  <si>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</si>
  <si>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</si>
  <si>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Adingra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</si>
  <si>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</si>
  <si>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</si>
  <si>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</si>
  <si>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Amine Adli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</si>
  <si>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</si>
  <si>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</si>
  <si>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</si>
  <si>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Agbadou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</si>
  <si>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</si>
  <si>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</si>
  <si>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</si>
  <si>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Nayef Aguerd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</si>
  <si>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</si>
  <si>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</si>
  <si>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</si>
  <si>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Aina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</si>
  <si>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</si>
  <si>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</si>
  <si>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</si>
  <si>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Rayan Aït-Nouri</t>
    </r>
  </si>
  <si>
    <r>
      <rPr>
        <rFont val="Verdana, sans-serif"/>
        <color rgb="FF1155CC"/>
        <sz val="8.0"/>
        <u/>
      </rPr>
      <t>dz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</si>
  <si>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</si>
  <si>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</si>
  <si>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Ajer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</si>
  <si>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</si>
  <si>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</si>
  <si>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</si>
  <si>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Aké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</si>
  <si>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</si>
  <si>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</si>
  <si>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</si>
  <si>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Alcaraz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</si>
  <si>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</si>
  <si>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</si>
  <si>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</si>
  <si>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Alderete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</si>
  <si>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</si>
  <si>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</si>
  <si>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</si>
  <si>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Alisson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</si>
  <si>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</si>
  <si>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</si>
  <si>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</si>
  <si>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Alleyne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</si>
  <si>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</si>
  <si>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</si>
  <si>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</si>
  <si>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Jaydon Amauri Banel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</si>
  <si>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</si>
  <si>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</si>
  <si>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</si>
  <si>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Zeki Amdouni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</si>
  <si>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</si>
  <si>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</si>
  <si>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</si>
  <si>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Ampadu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</si>
  <si>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</si>
  <si>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</si>
  <si>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</si>
  <si>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Joachim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</si>
  <si>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</si>
  <si>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</si>
  <si>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</si>
  <si>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Anderson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</si>
  <si>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</si>
  <si>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</si>
  <si>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</si>
  <si>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</si>
  <si>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</si>
  <si>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</si>
  <si>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</si>
  <si>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Nilson Angulo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</si>
  <si>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</si>
  <si>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</si>
  <si>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</si>
  <si>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Jaidon Anthony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</si>
  <si>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</si>
  <si>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</si>
  <si>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</si>
  <si>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Alphonse Areola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</si>
  <si>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</si>
  <si>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</si>
  <si>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</si>
  <si>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Jhon Arias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</si>
  <si>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</si>
  <si>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</si>
  <si>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</si>
  <si>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Armstrong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</si>
  <si>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</si>
  <si>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</si>
  <si>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</si>
  <si>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Harrison Armstrong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</si>
  <si>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</si>
  <si>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</si>
  <si>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</si>
  <si>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Tolu Arokodare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</si>
  <si>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</si>
  <si>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</si>
  <si>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</si>
  <si>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Kepa Arrizabalaga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</si>
  <si>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</si>
  <si>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</si>
  <si>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</si>
  <si>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Taiwo Awoniyi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</si>
  <si>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</si>
  <si>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</si>
  <si>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</si>
  <si>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</si>
  <si>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</si>
  <si>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</si>
  <si>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</si>
  <si>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Benoît Badiashile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</si>
  <si>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</si>
  <si>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</si>
  <si>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</si>
  <si>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Bailey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</si>
  <si>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</si>
  <si>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</si>
  <si>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</si>
  <si>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Dilane Bakwa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</si>
  <si>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</si>
  <si>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</si>
  <si>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</si>
  <si>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Baleba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</si>
  <si>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</si>
  <si>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</si>
  <si>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</si>
  <si>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Ballard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</si>
  <si>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</si>
  <si>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</si>
  <si>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</si>
  <si>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Ross Barkley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</si>
  <si>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</si>
  <si>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</si>
  <si>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</si>
  <si>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Ashley Barnes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</si>
  <si>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</si>
  <si>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</si>
  <si>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</si>
  <si>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Barnes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</si>
  <si>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</si>
  <si>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</si>
  <si>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</si>
  <si>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Thierno Barry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</si>
  <si>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</si>
  <si>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</si>
  <si>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</si>
  <si>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Calvin Bassey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</si>
  <si>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</si>
  <si>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</si>
  <si>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</si>
  <si>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Altay Bayındır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</si>
  <si>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</si>
  <si>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</si>
  <si>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</si>
  <si>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Jean-Ricner Bellegarde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</si>
  <si>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</si>
  <si>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</si>
  <si>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</si>
  <si>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Walter Benítez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</si>
  <si>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</si>
  <si>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</si>
  <si>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</si>
  <si>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Bentancur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</si>
  <si>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</si>
  <si>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</si>
  <si>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</si>
  <si>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Bentley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</si>
  <si>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</si>
  <si>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</si>
  <si>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</si>
  <si>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 Berge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</si>
  <si>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</si>
  <si>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</si>
  <si>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</si>
  <si>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</si>
  <si>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</si>
  <si>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</si>
  <si>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</si>
  <si>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Beto</t>
    </r>
  </si>
  <si>
    <r>
      <rPr>
        <rFont val="Verdana, sans-serif"/>
        <color rgb="FF1155CC"/>
        <sz val="8.0"/>
        <u/>
      </rPr>
      <t>gw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GNB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</si>
  <si>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</si>
  <si>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</si>
  <si>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Jaka Bijol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</si>
  <si>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</si>
  <si>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</si>
  <si>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</si>
  <si>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Yves Bissouma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</si>
  <si>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</si>
  <si>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</si>
  <si>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</si>
  <si>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Bizot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</si>
  <si>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</si>
  <si>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</si>
  <si>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</si>
  <si>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Bobb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</si>
  <si>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</si>
  <si>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</si>
  <si>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</si>
  <si>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Bobb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</si>
  <si>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</si>
  <si>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</si>
  <si>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</si>
  <si>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Lamare Bogarde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</si>
  <si>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</si>
  <si>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</si>
  <si>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</si>
  <si>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Jayden Bogle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</si>
  <si>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</si>
  <si>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</si>
  <si>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</si>
  <si>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Sebastiaan Bornauw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</si>
  <si>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</si>
  <si>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</si>
  <si>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</si>
  <si>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Olivier Boscagli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</si>
  <si>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</si>
  <si>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</si>
  <si>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</si>
  <si>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Sven Botman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</si>
  <si>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</si>
  <si>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</si>
  <si>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</si>
  <si>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Jarrod Bowen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</si>
  <si>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</si>
  <si>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</si>
  <si>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</si>
  <si>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Conor Bradley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</si>
  <si>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</si>
  <si>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</si>
  <si>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</si>
  <si>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Jarrad Branthwaite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</si>
  <si>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</si>
  <si>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</si>
  <si>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</si>
  <si>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Brian Brobbey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</si>
  <si>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</si>
  <si>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</si>
  <si>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</si>
  <si>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Armando Broja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</si>
  <si>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</si>
  <si>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</si>
  <si>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</si>
  <si>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Brooks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</si>
  <si>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</si>
  <si>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</si>
  <si>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</si>
  <si>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Bruun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</si>
  <si>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</si>
  <si>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</si>
  <si>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</si>
  <si>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 Buendía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</si>
  <si>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</si>
  <si>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</si>
  <si>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</si>
  <si>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Bueno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</si>
  <si>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</si>
  <si>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</si>
  <si>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</si>
  <si>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Santiago Bueno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</si>
  <si>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</si>
  <si>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</si>
  <si>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</si>
  <si>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Facundo Buonanotte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</si>
  <si>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</si>
  <si>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</si>
  <si>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</si>
  <si>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Facundo Buonanotte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</si>
  <si>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</si>
  <si>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</si>
  <si>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</si>
  <si>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 Burn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</si>
  <si>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</si>
  <si>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</si>
  <si>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</si>
  <si>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Bradley Burrowes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</si>
  <si>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</si>
  <si>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</si>
  <si>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</si>
  <si>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Jun'ai Byfield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</si>
  <si>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</si>
  <si>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</si>
  <si>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</si>
  <si>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 Byram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</si>
  <si>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</si>
  <si>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</si>
  <si>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</si>
  <si>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Moisés Caicedo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</si>
  <si>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</si>
  <si>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</si>
  <si>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</si>
  <si>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Cairney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</si>
  <si>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</si>
  <si>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</si>
  <si>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</si>
  <si>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Riccardo Calafiori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</si>
  <si>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</si>
  <si>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</si>
  <si>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</si>
  <si>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Dominic Calvert-Lewin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</si>
  <si>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</si>
  <si>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</si>
  <si>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</si>
  <si>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Jaydee Canvot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</si>
  <si>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</si>
  <si>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</si>
  <si>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</si>
  <si>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Rio Cardines</t>
    </r>
  </si>
  <si>
    <r>
      <rPr>
        <rFont val="Verdana, sans-serif"/>
        <color rgb="FF1155CC"/>
        <sz val="8.0"/>
        <u/>
      </rPr>
      <t>tt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TRI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</si>
  <si>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</si>
  <si>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</si>
  <si>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Fabio Carvalho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</si>
  <si>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</si>
  <si>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</si>
  <si>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</si>
  <si>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Casemiro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</si>
  <si>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</si>
  <si>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</si>
  <si>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</si>
  <si>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Matty Cash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</si>
  <si>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</si>
  <si>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</si>
  <si>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</si>
  <si>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Castagne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</si>
  <si>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</si>
  <si>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</si>
  <si>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</si>
  <si>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Valentín Castellanos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</si>
  <si>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</si>
  <si>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</si>
  <si>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</si>
  <si>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Trevoh Chalobah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</si>
  <si>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</si>
  <si>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</si>
  <si>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</si>
  <si>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Rayan Cherki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</si>
  <si>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</si>
  <si>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</si>
  <si>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</si>
  <si>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Federico Chiesa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</si>
  <si>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</si>
  <si>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</si>
  <si>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</si>
  <si>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Tawanda Chirewa</t>
    </r>
  </si>
  <si>
    <r>
      <rPr>
        <rFont val="Verdana, sans-serif"/>
        <color rgb="FF1155CC"/>
        <sz val="8.0"/>
        <u/>
      </rPr>
      <t>zw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ZIM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</si>
  <si>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</si>
  <si>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</si>
  <si>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Christie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</si>
  <si>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</si>
  <si>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</si>
  <si>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</si>
  <si>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Chukwueze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</si>
  <si>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</si>
  <si>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</si>
  <si>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</si>
  <si>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Cirkin</t>
    </r>
  </si>
  <si>
    <r>
      <rPr>
        <rFont val="Verdana, sans-serif"/>
        <color rgb="FF1155CC"/>
        <sz val="8.0"/>
        <u/>
      </rPr>
      <t>lv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LVA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</si>
  <si>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</si>
  <si>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</si>
  <si>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Clyne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</si>
  <si>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</si>
  <si>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</si>
  <si>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</si>
  <si>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Séamus Coleman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</si>
  <si>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</si>
  <si>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</si>
  <si>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</si>
  <si>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Collins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</si>
  <si>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</si>
  <si>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</si>
  <si>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</si>
  <si>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Levi Colwill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</si>
  <si>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</si>
  <si>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</si>
  <si>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</si>
  <si>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Cook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</si>
  <si>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</si>
  <si>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</si>
  <si>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</si>
  <si>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Coppola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</si>
  <si>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</si>
  <si>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</si>
  <si>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</si>
  <si>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Cucurella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</si>
  <si>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</si>
  <si>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</si>
  <si>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</si>
  <si>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Jorge Cuenca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</si>
  <si>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</si>
  <si>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</si>
  <si>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</si>
  <si>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 Cullen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</si>
  <si>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</si>
  <si>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</si>
  <si>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</si>
  <si>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Jair Cunha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</si>
  <si>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</si>
  <si>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</si>
  <si>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</si>
  <si>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Matheus Cunha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</si>
  <si>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</si>
  <si>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</si>
  <si>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</si>
  <si>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Diogo Dalot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</si>
  <si>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</si>
  <si>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</si>
  <si>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</si>
  <si>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Damsgaard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</si>
  <si>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</si>
  <si>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</si>
  <si>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</si>
  <si>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Danso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</si>
  <si>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</si>
  <si>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</si>
  <si>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</si>
  <si>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Darlow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</si>
  <si>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</si>
  <si>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</si>
  <si>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</si>
  <si>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 Dasilva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</si>
  <si>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</si>
  <si>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</si>
  <si>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</si>
  <si>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Davies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</si>
  <si>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</si>
  <si>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</si>
  <si>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</si>
  <si>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Maxim De Cuyper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</si>
  <si>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</si>
  <si>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</si>
  <si>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</si>
  <si>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Delap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</si>
  <si>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</si>
  <si>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</si>
  <si>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</si>
  <si>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Sepp van den Berg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</si>
  <si>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</si>
  <si>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</si>
  <si>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</si>
  <si>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Jesse Derry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</si>
  <si>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</si>
  <si>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</si>
  <si>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</si>
  <si>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Devenny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</si>
  <si>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</si>
  <si>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</si>
  <si>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</si>
  <si>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Kiernan Dewsbury-Hall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</si>
  <si>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</si>
  <si>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</si>
  <si>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</si>
  <si>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Bafodé Diakité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</si>
  <si>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</si>
  <si>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</si>
  <si>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</si>
  <si>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 Diallo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</si>
  <si>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</si>
  <si>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</si>
  <si>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</si>
  <si>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Habib Diarra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</si>
  <si>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</si>
  <si>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</si>
  <si>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</si>
  <si>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Rúben Dias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</si>
  <si>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</si>
  <si>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</si>
  <si>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</si>
  <si>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Dibling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</si>
  <si>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</si>
  <si>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</si>
  <si>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</si>
  <si>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Digne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</si>
  <si>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</si>
  <si>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</si>
  <si>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</si>
  <si>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Issa Diop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</si>
  <si>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</si>
  <si>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</si>
  <si>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</si>
  <si>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 Hadji Malick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</si>
  <si>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</si>
  <si>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</si>
  <si>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</si>
  <si>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Disasi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</si>
  <si>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</si>
  <si>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</si>
  <si>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</si>
  <si>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 Doherty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</si>
  <si>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</si>
  <si>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</si>
  <si>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</si>
  <si>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Doku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</si>
  <si>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</si>
  <si>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</si>
  <si>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</si>
  <si>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Domínguez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</si>
  <si>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</si>
  <si>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</si>
  <si>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</si>
  <si>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Gianluigi Donnarumma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</si>
  <si>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</si>
  <si>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</si>
  <si>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</si>
  <si>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Romelle Donovan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</si>
  <si>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</si>
  <si>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</si>
  <si>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</si>
  <si>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Dorgu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</si>
  <si>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</si>
  <si>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</si>
  <si>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</si>
  <si>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Dowman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</si>
  <si>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</si>
  <si>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</si>
  <si>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</si>
  <si>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Radu Drăgușin</t>
    </r>
  </si>
  <si>
    <r>
      <rPr>
        <rFont val="Verdana, sans-serif"/>
        <color rgb="FF1155CC"/>
        <sz val="8.0"/>
        <u/>
      </rPr>
      <t>ro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ROU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</si>
  <si>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</si>
  <si>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</si>
  <si>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Joél Drakes-Thomas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</si>
  <si>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</si>
  <si>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</si>
  <si>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</si>
  <si>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Dúbravka</t>
    </r>
  </si>
  <si>
    <r>
      <rPr>
        <rFont val="Verdana, sans-serif"/>
        <color rgb="FF1155CC"/>
        <sz val="8.0"/>
        <u/>
      </rPr>
      <t>sk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SVK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</si>
  <si>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</si>
  <si>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</si>
  <si>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Dunk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</si>
  <si>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</si>
  <si>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</si>
  <si>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</si>
  <si>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George Earthy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</si>
  <si>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</si>
  <si>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</si>
  <si>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</si>
  <si>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Odsonne Édouard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</si>
  <si>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</si>
  <si>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</si>
  <si>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</si>
  <si>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Edozie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</si>
  <si>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</si>
  <si>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</si>
  <si>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</si>
  <si>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Alysson Edward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</si>
  <si>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</si>
  <si>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</si>
  <si>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</si>
  <si>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Edwards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</si>
  <si>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</si>
  <si>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</si>
  <si>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</si>
  <si>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</si>
  <si>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</si>
  <si>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</si>
  <si>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</si>
  <si>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Ekitike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</si>
  <si>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</si>
  <si>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</si>
  <si>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</si>
  <si>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Elanga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</si>
  <si>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</si>
  <si>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</si>
  <si>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</si>
  <si>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</si>
  <si>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</si>
  <si>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</si>
  <si>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</si>
  <si>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Elliott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</si>
  <si>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</si>
  <si>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</si>
  <si>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</si>
  <si>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Elliott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</si>
  <si>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</si>
  <si>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</si>
  <si>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</si>
  <si>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Wataru Endo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</si>
  <si>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</si>
  <si>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</si>
  <si>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</si>
  <si>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Esse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</si>
  <si>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</si>
  <si>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</si>
  <si>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</si>
  <si>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Dario Essugo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</si>
  <si>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</si>
  <si>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</si>
  <si>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</si>
  <si>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Maxime Estève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</si>
  <si>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</si>
  <si>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</si>
  <si>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</si>
  <si>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Evanilson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</si>
  <si>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</si>
  <si>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</si>
  <si>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</si>
  <si>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Eberechi Eze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</si>
  <si>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</si>
  <si>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</si>
  <si>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</si>
  <si>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Eberechi Eze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</si>
  <si>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</si>
  <si>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</si>
  <si>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</si>
  <si>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Bruno Fernandes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</si>
  <si>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</si>
  <si>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</si>
  <si>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</si>
  <si>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Mateus Fernandes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</si>
  <si>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</si>
  <si>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</si>
  <si>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</si>
  <si>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Enzo Fernández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</si>
  <si>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</si>
  <si>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</si>
  <si>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</si>
  <si>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Zian Flemming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</si>
  <si>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</si>
  <si>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</si>
  <si>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</si>
  <si>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Fletcher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</si>
  <si>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</si>
  <si>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</si>
  <si>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</si>
  <si>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Fletcher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</si>
  <si>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</si>
  <si>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</si>
  <si>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</si>
  <si>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Foden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</si>
  <si>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</si>
  <si>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</si>
  <si>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</si>
  <si>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Wesley Fofana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</si>
  <si>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</si>
  <si>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</si>
  <si>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</si>
  <si>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Lyle Foster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</si>
  <si>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</si>
  <si>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</si>
  <si>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</si>
  <si>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Fredricson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</si>
  <si>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</si>
  <si>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</si>
  <si>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</si>
  <si>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Jeremie Frimpong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</si>
  <si>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</si>
  <si>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</si>
  <si>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</si>
  <si>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Niclas Füllkrug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</si>
  <si>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</si>
  <si>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</si>
  <si>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</si>
  <si>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Kaye Furo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</si>
  <si>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</si>
  <si>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</si>
  <si>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</si>
  <si>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Cody Gakpo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</si>
  <si>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</si>
  <si>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</si>
  <si>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</si>
  <si>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Conor Gallagher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</si>
  <si>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</si>
  <si>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</si>
  <si>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</si>
  <si>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Idrissa Gana Gueye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</si>
  <si>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</si>
  <si>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</si>
  <si>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</si>
  <si>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Gannon-Doak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</si>
  <si>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</si>
  <si>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</si>
  <si>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</si>
  <si>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Andrés García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</si>
  <si>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</si>
  <si>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</si>
  <si>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</si>
  <si>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Alejandro Garnacho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</si>
  <si>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</si>
  <si>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</si>
  <si>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</si>
  <si>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Garner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</si>
  <si>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</si>
  <si>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</si>
  <si>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</si>
  <si>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Lutsharel Geertruida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</si>
  <si>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</si>
  <si>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</si>
  <si>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</si>
  <si>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Tyrique George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</si>
  <si>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</si>
  <si>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</si>
  <si>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</si>
  <si>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Tyrique George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</si>
  <si>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</si>
  <si>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</si>
  <si>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</si>
  <si>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Morgan Gibbs-White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</si>
  <si>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</si>
  <si>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</si>
  <si>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</si>
  <si>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Gittens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</si>
  <si>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</si>
  <si>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</si>
  <si>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</si>
  <si>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Wilfried Gnonto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</si>
  <si>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</si>
  <si>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</si>
  <si>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</si>
  <si>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Angel Gomes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</si>
  <si>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</si>
  <si>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</si>
  <si>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</si>
  <si>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Gomes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</si>
  <si>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</si>
  <si>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</si>
  <si>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</si>
  <si>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Gomes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</si>
  <si>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</si>
  <si>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</si>
  <si>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</si>
  <si>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Toti Gomes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</si>
  <si>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</si>
  <si>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</si>
  <si>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</si>
  <si>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Gómez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</si>
  <si>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</si>
  <si>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</si>
  <si>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</si>
  <si>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Gomez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</si>
  <si>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</si>
  <si>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</si>
  <si>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</si>
  <si>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González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</si>
  <si>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</si>
  <si>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</si>
  <si>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</si>
  <si>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Gordon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</si>
  <si>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</si>
  <si>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</si>
  <si>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</si>
  <si>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Gravenberch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</si>
  <si>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</si>
  <si>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</si>
  <si>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</si>
  <si>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Archie Gray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</si>
  <si>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</si>
  <si>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</si>
  <si>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</si>
  <si>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Grealish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</si>
  <si>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</si>
  <si>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</si>
  <si>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</si>
  <si>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Groß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</si>
  <si>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</si>
  <si>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</si>
  <si>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</si>
  <si>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Brajan Gruda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</si>
  <si>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</si>
  <si>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</si>
  <si>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</si>
  <si>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Ilia Gruev</t>
    </r>
  </si>
  <si>
    <r>
      <rPr>
        <rFont val="Verdana, sans-serif"/>
        <color rgb="FF1155CC"/>
        <sz val="8.0"/>
        <u/>
      </rPr>
      <t>bg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</si>
  <si>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</si>
  <si>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</si>
  <si>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Gudmundsson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</si>
  <si>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</si>
  <si>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</si>
  <si>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</si>
  <si>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Guéhi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</si>
  <si>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</si>
  <si>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</si>
  <si>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</si>
  <si>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Guéhi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</si>
  <si>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</si>
  <si>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</si>
  <si>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</si>
  <si>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Evann Guessand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</si>
  <si>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</si>
  <si>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</si>
  <si>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</si>
  <si>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Evann Guessand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</si>
  <si>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</si>
  <si>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</si>
  <si>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</si>
  <si>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Luis Guilherme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</si>
  <si>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</si>
  <si>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</si>
  <si>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</si>
  <si>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Bruno Guimarães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</si>
  <si>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</si>
  <si>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</si>
  <si>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</si>
  <si>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Guiu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</si>
  <si>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</si>
  <si>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</si>
  <si>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</si>
  <si>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Guiu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</si>
  <si>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</si>
  <si>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</si>
  <si>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</si>
  <si>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Angus Gunn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</si>
  <si>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</si>
  <si>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</si>
  <si>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</si>
  <si>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Malo Gusto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</si>
  <si>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</si>
  <si>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</si>
  <si>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</si>
  <si>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Joško Gvardiol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</si>
  <si>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</si>
  <si>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</si>
  <si>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</si>
  <si>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Gyökeres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</si>
  <si>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</si>
  <si>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</si>
  <si>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</si>
  <si>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Erling Haaland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</si>
  <si>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</si>
  <si>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</si>
  <si>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</si>
  <si>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Hall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</si>
  <si>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</si>
  <si>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</si>
  <si>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</si>
  <si>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Harrison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</si>
  <si>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</si>
  <si>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</si>
  <si>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</si>
  <si>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Quilindschy Hartman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</si>
  <si>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</si>
  <si>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</si>
  <si>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</si>
  <si>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Jorrel Hato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</si>
  <si>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</si>
  <si>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</si>
  <si>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</si>
  <si>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Kai Havertz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</si>
  <si>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</si>
  <si>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</si>
  <si>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</si>
  <si>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Ayden Heaven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</si>
  <si>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</si>
  <si>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</si>
  <si>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</si>
  <si>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Jan Paul van Hecke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</si>
  <si>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</si>
  <si>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</si>
  <si>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</si>
  <si>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Hwang Hee-chan</t>
    </r>
  </si>
  <si>
    <r>
      <rPr>
        <rFont val="Verdana, sans-serif"/>
        <color rgb="FF1155CC"/>
        <sz val="8.0"/>
        <u/>
      </rPr>
      <t>kr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</si>
  <si>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</si>
  <si>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</si>
  <si>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George Hemmings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</si>
  <si>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</si>
  <si>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</si>
  <si>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</si>
  <si>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Dean Henderson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</si>
  <si>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</si>
  <si>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</si>
  <si>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</si>
  <si>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Henderson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</si>
  <si>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</si>
  <si>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</si>
  <si>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</si>
  <si>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Rico Henry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</si>
  <si>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</si>
  <si>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</si>
  <si>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</si>
  <si>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Hermansen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</si>
  <si>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</si>
  <si>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</si>
  <si>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</si>
  <si>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Hickey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</si>
  <si>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</si>
  <si>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</si>
  <si>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</si>
  <si>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Hill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</si>
  <si>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</si>
  <si>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</si>
  <si>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</si>
  <si>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Piero Hincapié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</si>
  <si>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</si>
  <si>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</si>
  <si>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</si>
  <si>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Hinshelwood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</si>
  <si>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</si>
  <si>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</si>
  <si>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</si>
  <si>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Ki-Jana Hoever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</si>
  <si>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</si>
  <si>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</si>
  <si>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</si>
  <si>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Howell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</si>
  <si>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</si>
  <si>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</si>
  <si>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</si>
  <si>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Hudson-Odoi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</si>
  <si>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</si>
  <si>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</si>
  <si>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</si>
  <si>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 Hughes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</si>
  <si>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</si>
  <si>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</si>
  <si>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</si>
  <si>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Trai Hume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</si>
  <si>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</si>
  <si>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</si>
  <si>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</si>
  <si>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Bashir Humphreys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</si>
  <si>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</si>
  <si>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</si>
  <si>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</si>
  <si>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Omari Hutchinson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</si>
  <si>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</si>
  <si>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</si>
  <si>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</si>
  <si>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</si>
  <si>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</si>
  <si>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</si>
  <si>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</si>
  <si>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Iroegbunam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</si>
  <si>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</si>
  <si>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</si>
  <si>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</si>
  <si>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Andy Irving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</si>
  <si>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</si>
  <si>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</si>
  <si>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</si>
  <si>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Isak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</si>
  <si>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</si>
  <si>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</si>
  <si>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</si>
  <si>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Isidor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</si>
  <si>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</si>
  <si>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</si>
  <si>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</si>
  <si>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Iwobi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</si>
  <si>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</si>
  <si>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</si>
  <si>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</si>
  <si>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James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</si>
  <si>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</si>
  <si>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</si>
  <si>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</si>
  <si>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Reece James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</si>
  <si>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</si>
  <si>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</si>
  <si>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</si>
  <si>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Vitaly Janelt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</si>
  <si>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</si>
  <si>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</si>
  <si>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</si>
  <si>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Mathias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</si>
  <si>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</si>
  <si>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</si>
  <si>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</si>
  <si>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Jesus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</si>
  <si>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</si>
  <si>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</si>
  <si>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</si>
  <si>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 Jesus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</si>
  <si>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</si>
  <si>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</si>
  <si>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</si>
  <si>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Álex Jiménez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</si>
  <si>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</si>
  <si>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</si>
  <si>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</si>
  <si>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Raúl Jiménez</t>
    </r>
  </si>
  <si>
    <r>
      <rPr>
        <rFont val="Verdana, sans-serif"/>
        <color rgb="FF1155CC"/>
        <sz val="8.0"/>
        <u/>
      </rPr>
      <t>mx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MEX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</si>
  <si>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</si>
  <si>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</si>
  <si>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Jamaldeen Jimoh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</si>
  <si>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</si>
  <si>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</si>
  <si>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</si>
  <si>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Pedro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</si>
  <si>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</si>
  <si>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</si>
  <si>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</si>
  <si>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Joelinton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</si>
  <si>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</si>
  <si>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</si>
  <si>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</si>
  <si>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</si>
  <si>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</si>
  <si>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</si>
  <si>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</si>
  <si>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Brennan Johnson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</si>
  <si>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</si>
  <si>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</si>
  <si>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</si>
  <si>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Brennan Johnson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</si>
  <si>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</si>
  <si>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</si>
  <si>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</si>
  <si>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 Johnstone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</si>
  <si>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</si>
  <si>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</si>
  <si>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</si>
  <si>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Curtis Jones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</si>
  <si>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</si>
  <si>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</si>
  <si>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</si>
  <si>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 Junior Kroupi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</si>
  <si>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</si>
  <si>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</si>
  <si>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</si>
  <si>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Hamed Junior Traorè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</si>
  <si>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</si>
  <si>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</si>
  <si>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</si>
  <si>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Justin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</si>
  <si>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</si>
  <si>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</si>
  <si>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</si>
  <si>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</si>
  <si>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</si>
  <si>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</si>
  <si>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</si>
  <si>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Ferdi Kadioglu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</si>
  <si>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</si>
  <si>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</si>
  <si>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</si>
  <si>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Sasa Kalajdzic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</si>
  <si>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</si>
  <si>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</si>
  <si>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</si>
  <si>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Arnaud Kalimuendo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</si>
  <si>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</si>
  <si>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</si>
  <si>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</si>
  <si>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Daichi Kamada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</si>
  <si>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</si>
  <si>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</si>
  <si>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</si>
  <si>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Boubacar Kamara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</si>
  <si>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</si>
  <si>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</si>
  <si>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</si>
  <si>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Mohamadou Kanté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</si>
  <si>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</si>
  <si>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</si>
  <si>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</si>
  <si>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Kayode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</si>
  <si>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</si>
  <si>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</si>
  <si>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</si>
  <si>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Keane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</si>
  <si>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</si>
  <si>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</si>
  <si>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</si>
  <si>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Caoimhín Kelleher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</si>
  <si>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</si>
  <si>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</si>
  <si>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</si>
  <si>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Milos Kerkez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</si>
  <si>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</si>
  <si>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</si>
  <si>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</si>
  <si>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</si>
  <si>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</si>
  <si>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</si>
  <si>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</si>
  <si>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Abdukodir Khusanov</t>
    </r>
  </si>
  <si>
    <r>
      <rPr>
        <rFont val="Verdana, sans-serif"/>
        <color rgb="FF1155CC"/>
        <sz val="8.0"/>
        <u/>
      </rPr>
      <t>uz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UZB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</si>
  <si>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</si>
  <si>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</si>
  <si>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Kilman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</si>
  <si>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</si>
  <si>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</si>
  <si>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</si>
  <si>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King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</si>
  <si>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</si>
  <si>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</si>
  <si>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</si>
  <si>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Antonín Kinský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</si>
  <si>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</si>
  <si>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</si>
  <si>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</si>
  <si>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Kluivert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</si>
  <si>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</si>
  <si>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</si>
  <si>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</si>
  <si>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Knight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</si>
  <si>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</si>
  <si>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</si>
  <si>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</si>
  <si>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Randal Kolo Muani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</si>
  <si>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</si>
  <si>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</si>
  <si>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</si>
  <si>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Konaté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</si>
  <si>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</si>
  <si>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</si>
  <si>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</si>
  <si>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Ezri Konsa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</si>
  <si>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</si>
  <si>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</si>
  <si>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</si>
  <si>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Charalampos Kostoulas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</si>
  <si>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</si>
  <si>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</si>
  <si>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</si>
  <si>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Mateo Kovačić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</si>
  <si>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</si>
  <si>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</si>
  <si>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</si>
  <si>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Krafth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</si>
  <si>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</si>
  <si>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</si>
  <si>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</si>
  <si>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Ladislav Krejčí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</si>
  <si>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</si>
  <si>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</si>
  <si>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</si>
  <si>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Kudus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</si>
  <si>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</si>
  <si>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</si>
  <si>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</si>
  <si>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Jonah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</si>
  <si>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</si>
  <si>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</si>
  <si>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</si>
  <si>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Shea Lacey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</si>
  <si>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</si>
  <si>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</si>
  <si>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</si>
  <si>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Maxence Lacroix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</si>
  <si>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</si>
  <si>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</si>
  <si>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</si>
  <si>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Senne Lammens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</si>
  <si>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</si>
  <si>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</si>
  <si>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</si>
  <si>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Jamaal Lascelles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</si>
  <si>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</si>
  <si>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</si>
  <si>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</si>
  <si>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 Laurent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</si>
  <si>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</si>
  <si>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</si>
  <si>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</si>
  <si>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Roméo Lavia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</si>
  <si>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</si>
  <si>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</si>
  <si>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</si>
  <si>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Enzo Le Fée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</si>
  <si>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</si>
  <si>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</si>
  <si>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</si>
  <si>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Bernd Leno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</si>
  <si>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</si>
  <si>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</si>
  <si>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</si>
  <si>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Jefferson Lerma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</si>
  <si>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</si>
  <si>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</si>
  <si>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</si>
  <si>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Rico Lewis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</si>
  <si>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</si>
  <si>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</si>
  <si>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</si>
  <si>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Keane Lewis-Potter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</si>
  <si>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</si>
  <si>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</si>
  <si>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</si>
  <si>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Myles Lewis-Skelly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</si>
  <si>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</si>
  <si>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</si>
  <si>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</si>
  <si>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Matthijs de Ligt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</si>
  <si>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</si>
  <si>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</si>
  <si>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</si>
  <si>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Lima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</si>
  <si>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</si>
  <si>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</si>
  <si>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</si>
  <si>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Lindelöf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</si>
  <si>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</si>
  <si>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</si>
  <si>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</si>
  <si>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Tino Livramento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</si>
  <si>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</si>
  <si>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</si>
  <si>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</si>
  <si>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Longstaff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</si>
  <si>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</si>
  <si>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</si>
  <si>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</si>
  <si>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Fer López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</si>
  <si>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</si>
  <si>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</si>
  <si>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</si>
  <si>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</si>
  <si>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</si>
  <si>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</si>
  <si>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</si>
  <si>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Lorenzo Lucca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</si>
  <si>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</si>
  <si>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</si>
  <si>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</si>
  <si>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Florentino Luís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</si>
  <si>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</si>
  <si>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</si>
  <si>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</si>
  <si>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Douglas Luiz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</si>
  <si>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</si>
  <si>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</si>
  <si>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</si>
  <si>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Douglas Luiz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</si>
  <si>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</si>
  <si>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</si>
  <si>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</si>
  <si>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Saša Lukić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</si>
  <si>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</si>
  <si>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</si>
  <si>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</si>
  <si>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Ian Maatsen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</si>
  <si>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</si>
  <si>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</si>
  <si>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</si>
  <si>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Alexis Mac Allister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</si>
  <si>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</si>
  <si>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</si>
  <si>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</si>
  <si>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Maddison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</si>
  <si>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</si>
  <si>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</si>
  <si>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</si>
  <si>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Noni Madueke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</si>
  <si>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</si>
  <si>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</si>
  <si>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</si>
  <si>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Magalhães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</si>
  <si>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</si>
  <si>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</si>
  <si>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</si>
  <si>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Soungoutou Magassa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</si>
  <si>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</si>
  <si>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</si>
  <si>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</si>
  <si>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Maguire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</si>
  <si>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</si>
  <si>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</si>
  <si>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</si>
  <si>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Kobbie Mainoo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</si>
  <si>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</si>
  <si>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</si>
  <si>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</si>
  <si>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Tyrell Malacia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</si>
  <si>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</si>
  <si>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</si>
  <si>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</si>
  <si>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Donyell Malen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</si>
  <si>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</si>
  <si>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</si>
  <si>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</si>
  <si>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Giorgi Mamardashvili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</si>
  <si>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</si>
  <si>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</si>
  <si>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</si>
  <si>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Reinildo Mandava</t>
    </r>
  </si>
  <si>
    <r>
      <rPr>
        <rFont val="Verdana, sans-serif"/>
        <color rgb="FF1155CC"/>
        <sz val="8.0"/>
        <u/>
      </rPr>
      <t>mz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MOZ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</si>
  <si>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</si>
  <si>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</si>
  <si>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Mateus Mane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</si>
  <si>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</si>
  <si>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</si>
  <si>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</si>
  <si>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Bendito Mantato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</si>
  <si>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</si>
  <si>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</si>
  <si>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</si>
  <si>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Solly March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</si>
  <si>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</si>
  <si>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</si>
  <si>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</si>
  <si>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Marmoush</t>
    </r>
  </si>
  <si>
    <r>
      <rPr>
        <rFont val="Verdana, sans-serif"/>
        <color rgb="FF1155CC"/>
        <sz val="8.0"/>
        <u/>
      </rPr>
      <t>eg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EGY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</si>
  <si>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</si>
  <si>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</si>
  <si>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Marshall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</si>
  <si>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</si>
  <si>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</si>
  <si>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</si>
  <si>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Martinelli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</si>
  <si>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</si>
  <si>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</si>
  <si>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</si>
  <si>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Emiliano Martínez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</si>
  <si>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</si>
  <si>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</si>
  <si>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</si>
  <si>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Lisandro Martínez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</si>
  <si>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</si>
  <si>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</si>
  <si>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</si>
  <si>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Arthur Masuaku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</si>
  <si>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</si>
  <si>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</si>
  <si>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</si>
  <si>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Pape Matar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</si>
  <si>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</si>
  <si>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</si>
  <si>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</si>
  <si>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Jean-Philippe Mateta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</si>
  <si>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</si>
  <si>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</si>
  <si>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</si>
  <si>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Konstantinos Mavropanos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</si>
  <si>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</si>
  <si>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</si>
  <si>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</si>
  <si>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Eliezer Mayenda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</si>
  <si>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</si>
  <si>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</si>
  <si>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</si>
  <si>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Ezra Mayers</t>
    </r>
  </si>
  <si>
    <r>
      <rPr>
        <rFont val="Verdana, sans-serif"/>
        <color rgb="FF1155CC"/>
        <sz val="8.0"/>
        <u/>
      </rPr>
      <t>bb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BRB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</si>
  <si>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</si>
  <si>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</si>
  <si>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Noussair Mazraoui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</si>
  <si>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</si>
  <si>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</si>
  <si>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</si>
  <si>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Bryan Mbeumo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</si>
  <si>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</si>
  <si>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</si>
  <si>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</si>
  <si>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Mcatee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</si>
  <si>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</si>
  <si>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</si>
  <si>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</si>
  <si>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McGinn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</si>
  <si>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</si>
  <si>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</si>
  <si>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</si>
  <si>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Dwight McNeil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</si>
  <si>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</si>
  <si>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</si>
  <si>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</si>
  <si>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Hannibal Mejbri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</si>
  <si>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</si>
  <si>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</si>
  <si>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</si>
  <si>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Mikel Merino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</si>
  <si>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</si>
  <si>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</si>
  <si>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</si>
  <si>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Shumaira Mheuka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</si>
  <si>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</si>
  <si>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</si>
  <si>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</si>
  <si>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 Milambo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</si>
  <si>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</si>
  <si>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</si>
  <si>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</si>
  <si>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Milenković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</si>
  <si>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</si>
  <si>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</si>
  <si>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</si>
  <si>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Miley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</si>
  <si>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</si>
  <si>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</si>
  <si>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</si>
  <si>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Milner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</si>
  <si>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</si>
  <si>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</si>
  <si>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</si>
  <si>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Veljko Milosavljević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</si>
  <si>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</si>
  <si>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</si>
  <si>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</si>
  <si>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Tyrone Mings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</si>
  <si>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</si>
  <si>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</si>
  <si>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</si>
  <si>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Yankuba Minteh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</si>
  <si>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</si>
  <si>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</si>
  <si>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</si>
  <si>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Tyrick Mitchell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</si>
  <si>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</si>
  <si>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</si>
  <si>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</si>
  <si>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Kaoru Mitoma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</si>
  <si>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</si>
  <si>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</si>
  <si>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</si>
  <si>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Morato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</si>
  <si>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</si>
  <si>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</si>
  <si>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</si>
  <si>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Cristhian Mosquera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</si>
  <si>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</si>
  <si>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</si>
  <si>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</si>
  <si>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Yerson Mosquera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</si>
  <si>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</si>
  <si>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</si>
  <si>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</si>
  <si>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Mason Mount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</si>
  <si>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</si>
  <si>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</si>
  <si>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</si>
  <si>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Mukasa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</si>
  <si>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</si>
  <si>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</si>
  <si>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</si>
  <si>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Nordi Mukiele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</si>
  <si>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</si>
  <si>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</si>
  <si>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</si>
  <si>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Romaine Mundle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</si>
  <si>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</si>
  <si>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</si>
  <si>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</si>
  <si>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Marshall Munetsi</t>
    </r>
  </si>
  <si>
    <r>
      <rPr>
        <rFont val="Verdana, sans-serif"/>
        <color rgb="FF1155CC"/>
        <sz val="8.0"/>
        <u/>
      </rPr>
      <t>zw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ZIM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</si>
  <si>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</si>
  <si>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</si>
  <si>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Muniz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</si>
  <si>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</si>
  <si>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</si>
  <si>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</si>
  <si>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Muñoz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</si>
  <si>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</si>
  <si>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</si>
  <si>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</si>
  <si>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Murillo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</si>
  <si>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</si>
  <si>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</si>
  <si>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</si>
  <si>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Murphy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</si>
  <si>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</si>
  <si>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</si>
  <si>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</si>
  <si>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Murphy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</si>
  <si>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</si>
  <si>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</si>
  <si>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</si>
  <si>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Vitaliy Mykolenko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</si>
  <si>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</si>
  <si>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</si>
  <si>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</si>
  <si>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Møller Wolfe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</si>
  <si>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</si>
  <si>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</si>
  <si>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</si>
  <si>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Iliman Ndiaye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</si>
  <si>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</si>
  <si>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</si>
  <si>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</si>
  <si>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 Ndoye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</si>
  <si>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</si>
  <si>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</si>
  <si>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</si>
  <si>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Neave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</si>
  <si>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</si>
  <si>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</si>
  <si>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</si>
  <si>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 Neil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</si>
  <si>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</si>
  <si>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</si>
  <si>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</si>
  <si>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Reiss Nelson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</si>
  <si>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</si>
  <si>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</si>
  <si>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</si>
  <si>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Neto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</si>
  <si>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</si>
  <si>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</si>
  <si>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</si>
  <si>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 Netz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</si>
  <si>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</si>
  <si>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</si>
  <si>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</si>
  <si>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Rio Ngumoha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</si>
  <si>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</si>
  <si>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</si>
  <si>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</si>
  <si>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Eddie Nketiah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</si>
  <si>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</si>
  <si>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</si>
  <si>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</si>
  <si>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Nmecha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</si>
  <si>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</si>
  <si>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</si>
  <si>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</si>
  <si>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Matheus Nunes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</si>
  <si>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</si>
  <si>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</si>
  <si>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</si>
  <si>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Nwaneri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</si>
  <si>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</si>
  <si>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</si>
  <si>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</si>
  <si>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Trey Nyoni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</si>
  <si>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</si>
  <si>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</si>
  <si>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</si>
  <si>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Nørgaard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</si>
  <si>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</si>
  <si>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</si>
  <si>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</si>
  <si>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Jake O'Brien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</si>
  <si>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</si>
  <si>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</si>
  <si>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</si>
  <si>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O'Nien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</si>
  <si>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</si>
  <si>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</si>
  <si>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</si>
  <si>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 O'Riley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</si>
  <si>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</si>
  <si>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</si>
  <si>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</si>
  <si>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Odobert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</si>
  <si>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</si>
  <si>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</si>
  <si>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</si>
  <si>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Okafor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</si>
  <si>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</si>
  <si>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</si>
  <si>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</si>
  <si>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Olusesi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</si>
  <si>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</si>
  <si>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</si>
  <si>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</si>
  <si>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Amadou Onana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</si>
  <si>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</si>
  <si>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</si>
  <si>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</si>
  <si>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Onyeka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</si>
  <si>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</si>
  <si>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</si>
  <si>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</si>
  <si>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Nehemiah Oriola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</si>
  <si>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</si>
  <si>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</si>
  <si>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</si>
  <si>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 Ortega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</si>
  <si>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</si>
  <si>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</si>
  <si>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</si>
  <si>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Osula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</si>
  <si>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</si>
  <si>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</si>
  <si>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</si>
  <si>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Dango Ouattara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</si>
  <si>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</si>
  <si>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</si>
  <si>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</si>
  <si>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 O’Reilly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</si>
  <si>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</si>
  <si>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</si>
  <si>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</si>
  <si>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Pablo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</si>
  <si>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</si>
  <si>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</si>
  <si>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</si>
  <si>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Palhinha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</si>
  <si>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</si>
  <si>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</si>
  <si>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</si>
  <si>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Cole Palmer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</si>
  <si>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</si>
  <si>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</si>
  <si>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</si>
  <si>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Paquetá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</si>
  <si>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</si>
  <si>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</si>
  <si>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</si>
  <si>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Patterson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</si>
  <si>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</si>
  <si>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</si>
  <si>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</si>
  <si>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Myles Peart-Harris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</si>
  <si>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</si>
  <si>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</si>
  <si>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</si>
  <si>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Perri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</si>
  <si>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</si>
  <si>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</si>
  <si>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</si>
  <si>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Đorđe Petrović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</si>
  <si>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</si>
  <si>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</si>
  <si>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</si>
  <si>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</si>
  <si>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</si>
  <si>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</si>
  <si>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</si>
  <si>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Pinnock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</si>
  <si>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</si>
  <si>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</si>
  <si>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</si>
  <si>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Yeremi Pino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</si>
  <si>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</si>
  <si>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</si>
  <si>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</si>
  <si>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Joël Piroe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</si>
  <si>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</si>
  <si>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</si>
  <si>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</si>
  <si>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 Pope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</si>
  <si>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</si>
  <si>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</si>
  <si>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</si>
  <si>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Porro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</si>
  <si>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</si>
  <si>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</si>
  <si>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</si>
  <si>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Freddie Potts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</si>
  <si>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</si>
  <si>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</si>
  <si>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</si>
  <si>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Ramsdale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</si>
  <si>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</si>
  <si>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</si>
  <si>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</si>
  <si>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Ramsey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</si>
  <si>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</si>
  <si>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</si>
  <si>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</si>
  <si>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Raya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</si>
  <si>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</si>
  <si>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</si>
  <si>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</si>
  <si>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Rayan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</si>
  <si>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</si>
  <si>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</si>
  <si>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</si>
  <si>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Harrison Reed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</si>
  <si>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</si>
  <si>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</si>
  <si>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</si>
  <si>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Tijjani Reijnders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</si>
  <si>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</si>
  <si>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</si>
  <si>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</si>
  <si>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Chadi Riad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</si>
  <si>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</si>
  <si>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</si>
  <si>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</si>
  <si>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Declan Rice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</si>
  <si>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</si>
  <si>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</si>
  <si>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</si>
  <si>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Richards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</si>
  <si>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</si>
  <si>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</si>
  <si>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</si>
  <si>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Richarlison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</si>
  <si>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</si>
  <si>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</si>
  <si>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</si>
  <si>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Rigg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</si>
  <si>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</si>
  <si>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</si>
  <si>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</si>
  <si>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Roberts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</si>
  <si>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</si>
  <si>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</si>
  <si>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</si>
  <si>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Andrew Robertson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</si>
  <si>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</si>
  <si>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</si>
  <si>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</si>
  <si>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Antonee Robinson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</si>
  <si>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</si>
  <si>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</si>
  <si>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</si>
  <si>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Kaden Rodney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</si>
  <si>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</si>
  <si>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</si>
  <si>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</si>
  <si>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Rodon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</si>
  <si>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</si>
  <si>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</si>
  <si>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</si>
  <si>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</si>
  <si>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</si>
  <si>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</si>
  <si>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</si>
  <si>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Guido Rodríguez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</si>
  <si>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</si>
  <si>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</si>
  <si>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</si>
  <si>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Roefs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</si>
  <si>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</si>
  <si>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</si>
  <si>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</si>
  <si>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Morgan Rogers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</si>
  <si>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</si>
  <si>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</si>
  <si>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</si>
  <si>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Merlin Röhl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</si>
  <si>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</si>
  <si>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</si>
  <si>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</si>
  <si>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Cristian Romero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</si>
  <si>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</si>
  <si>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</si>
  <si>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</si>
  <si>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Rowswell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</si>
  <si>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</si>
  <si>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</si>
  <si>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</si>
  <si>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Georginio Rutter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</si>
  <si>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</si>
  <si>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</si>
  <si>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</si>
  <si>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José Sá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</si>
  <si>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</si>
  <si>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</si>
  <si>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</si>
  <si>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Sadiki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</si>
  <si>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</si>
  <si>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</si>
  <si>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</si>
  <si>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Bukayo Saka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</si>
  <si>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</si>
  <si>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</si>
  <si>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</si>
  <si>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Salah</t>
    </r>
  </si>
  <si>
    <r>
      <rPr>
        <rFont val="Verdana, sans-serif"/>
        <color rgb="FF1155CC"/>
        <sz val="8.0"/>
        <u/>
      </rPr>
      <t>eg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EGY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</si>
  <si>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</si>
  <si>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</si>
  <si>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Saliba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</si>
  <si>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</si>
  <si>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</si>
  <si>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</si>
  <si>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Sánchez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</si>
  <si>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</si>
  <si>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</si>
  <si>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</si>
  <si>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Jadon Sancho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</si>
  <si>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</si>
  <si>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</si>
  <si>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</si>
  <si>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Sangaré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</si>
  <si>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</si>
  <si>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</si>
  <si>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</si>
  <si>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Andrey Santos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</si>
  <si>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</si>
  <si>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</si>
  <si>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</si>
  <si>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</si>
  <si>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</si>
  <si>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</si>
  <si>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</si>
  <si>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</si>
  <si>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</si>
  <si>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</si>
  <si>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</si>
  <si>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Sávio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</si>
  <si>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</si>
  <si>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</si>
  <si>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</si>
  <si>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Nicolò Savona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</si>
  <si>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</si>
  <si>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</si>
  <si>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</si>
  <si>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Scarles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</si>
  <si>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</si>
  <si>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</si>
  <si>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</si>
  <si>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Dane Scarlett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</si>
  <si>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</si>
  <si>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</si>
  <si>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</si>
  <si>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Schade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</si>
  <si>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</si>
  <si>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</si>
  <si>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</si>
  <si>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Schär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</si>
  <si>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</si>
  <si>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</si>
  <si>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</si>
  <si>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Scott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</si>
  <si>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</si>
  <si>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</si>
  <si>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</si>
  <si>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Jenson Seelt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</si>
  <si>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</si>
  <si>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</si>
  <si>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</si>
  <si>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Matz Sels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</si>
  <si>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</si>
  <si>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</si>
  <si>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</si>
  <si>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Antoine Semenyo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</si>
  <si>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</si>
  <si>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</si>
  <si>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</si>
  <si>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Antoine Semenyo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</si>
  <si>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</si>
  <si>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</si>
  <si>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</si>
  <si>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Marcos Senesi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</si>
  <si>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</si>
  <si>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</si>
  <si>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</si>
  <si>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Šeško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</si>
  <si>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</si>
  <si>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</si>
  <si>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</si>
  <si>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Sessegnon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</si>
  <si>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</si>
  <si>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</si>
  <si>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</si>
  <si>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Shaw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</si>
  <si>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</si>
  <si>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</si>
  <si>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</si>
  <si>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Silva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</si>
  <si>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</si>
  <si>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</si>
  <si>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</si>
  <si>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Jota Silva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</si>
  <si>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</si>
  <si>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</si>
  <si>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</si>
  <si>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Xavi Simons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</si>
  <si>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</si>
  <si>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</si>
  <si>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</si>
  <si>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Smith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</si>
  <si>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</si>
  <si>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</si>
  <si>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</si>
  <si>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Emile Smith Rowe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</si>
  <si>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</si>
  <si>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</si>
  <si>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</si>
  <si>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Dominic Solanke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</si>
  <si>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</si>
  <si>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</si>
  <si>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</si>
  <si>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Julio Soler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</si>
  <si>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</si>
  <si>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</si>
  <si>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</si>
  <si>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Sonne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</si>
  <si>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</si>
  <si>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</si>
  <si>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</si>
  <si>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Borna Sosa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</si>
  <si>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</si>
  <si>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</si>
  <si>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</si>
  <si>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Tomáš Souček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</si>
  <si>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</si>
  <si>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</si>
  <si>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</si>
  <si>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Souza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</si>
  <si>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</si>
  <si>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</si>
  <si>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</si>
  <si>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Djed Spence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</si>
  <si>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</si>
  <si>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</si>
  <si>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</si>
  <si>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Stach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</si>
  <si>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</si>
  <si>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</si>
  <si>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</si>
  <si>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Stones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</si>
  <si>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</si>
  <si>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</si>
  <si>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</si>
  <si>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Jørgen Strand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</si>
  <si>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</si>
  <si>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</si>
  <si>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</si>
  <si>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Jørgen Strand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</si>
  <si>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</si>
  <si>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</si>
  <si>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</si>
  <si>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Struijk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</si>
  <si>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</si>
  <si>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</si>
  <si>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</si>
  <si>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Crysencio Summerville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</si>
  <si>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</si>
  <si>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</si>
  <si>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</si>
  <si>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Dominik Szoboszlai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</si>
  <si>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</si>
  <si>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</si>
  <si>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</si>
  <si>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Jocelin Ta Bi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</si>
  <si>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</si>
  <si>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</si>
  <si>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</si>
  <si>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Chemsdine Talbi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</si>
  <si>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</si>
  <si>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</si>
  <si>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</si>
  <si>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Ao Tanaka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</si>
  <si>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</si>
  <si>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</si>
  <si>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</si>
  <si>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Tarkowski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</si>
  <si>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</si>
  <si>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</si>
  <si>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</si>
  <si>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Tavernier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</si>
  <si>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</si>
  <si>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</si>
  <si>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</si>
  <si>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Loum Tchaouna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</si>
  <si>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</si>
  <si>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</si>
  <si>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</si>
  <si>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Jackson Tchatchoua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</si>
  <si>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</si>
  <si>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</si>
  <si>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</si>
  <si>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Mathys Tel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</si>
  <si>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</si>
  <si>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</si>
  <si>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</si>
  <si>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Kenny Tete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</si>
  <si>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</si>
  <si>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</si>
  <si>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</si>
  <si>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 Thiago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</si>
  <si>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</si>
  <si>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</si>
  <si>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</si>
  <si>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Thiaw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</si>
  <si>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</si>
  <si>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</si>
  <si>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</si>
  <si>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Youri Tielemans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</si>
  <si>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</si>
  <si>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</si>
  <si>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</si>
  <si>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Jurriën Timber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</si>
  <si>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</si>
  <si>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</si>
  <si>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</si>
  <si>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Jean-Clair Todibo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</si>
  <si>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</si>
  <si>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</si>
  <si>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</si>
  <si>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Sandro Tonali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</si>
  <si>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</si>
  <si>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</si>
  <si>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</si>
  <si>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 Torres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</si>
  <si>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</si>
  <si>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</si>
  <si>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</si>
  <si>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Tóth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</si>
  <si>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</si>
  <si>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</si>
  <si>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</si>
  <si>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Trafford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</si>
  <si>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</si>
  <si>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</si>
  <si>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</si>
  <si>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Adama Traoré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</si>
  <si>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</si>
  <si>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</si>
  <si>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</si>
  <si>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Adama Traoré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</si>
  <si>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</si>
  <si>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</si>
  <si>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</si>
  <si>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Bertrand Traoré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</si>
  <si>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</si>
  <si>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</si>
  <si>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</si>
  <si>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Mike Trésor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</si>
  <si>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</si>
  <si>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</si>
  <si>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</si>
  <si>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Kieran Trippier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</si>
  <si>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</si>
  <si>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</si>
  <si>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</si>
  <si>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Leandro Trossard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</si>
  <si>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</si>
  <si>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</si>
  <si>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</si>
  <si>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Adrien Truffert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</si>
  <si>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</si>
  <si>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</si>
  <si>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</si>
  <si>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Tuanzebe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</si>
  <si>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</si>
  <si>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</si>
  <si>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</si>
  <si>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Stefanos Tzimas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</si>
  <si>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</si>
  <si>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</si>
  <si>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</si>
  <si>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Christantus Uche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</si>
  <si>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</si>
  <si>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</si>
  <si>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</si>
  <si>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Destiny Udogie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</si>
  <si>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</si>
  <si>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</si>
  <si>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</si>
  <si>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Manuel Ugarte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</si>
  <si>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</si>
  <si>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</si>
  <si>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</si>
  <si>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Lesley Ugochukwu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</si>
  <si>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</si>
  <si>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</si>
  <si>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</si>
  <si>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Enes Ünal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</si>
  <si>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</si>
  <si>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</si>
  <si>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</si>
  <si>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</si>
  <si>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</si>
  <si>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</si>
  <si>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</si>
  <si>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Virgil van Dijk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</si>
  <si>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</si>
  <si>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</si>
  <si>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</si>
  <si>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Joël Veltman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</si>
  <si>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</si>
  <si>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</si>
  <si>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</si>
  <si>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Micky van de Ven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</si>
  <si>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</si>
  <si>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</si>
  <si>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</si>
  <si>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Bart Verbruggen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</si>
  <si>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</si>
  <si>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</si>
  <si>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</si>
  <si>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Guglielmo Vicario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</si>
  <si>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</si>
  <si>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</si>
  <si>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</si>
  <si>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Kyle Walker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</si>
  <si>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</si>
  <si>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</si>
  <si>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</si>
  <si>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Kyle Walker-Peters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</si>
  <si>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</si>
  <si>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</si>
  <si>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</si>
  <si>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Wan-Bissaka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</si>
  <si>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</si>
  <si>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</si>
  <si>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</si>
  <si>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Ward-Prowse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</si>
  <si>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</si>
  <si>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</si>
  <si>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</si>
  <si>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Ward-Prowse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</si>
  <si>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</si>
  <si>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</si>
  <si>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</si>
  <si>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Ollie Watkins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</si>
  <si>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</si>
  <si>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</si>
  <si>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</si>
  <si>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Watson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</si>
  <si>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</si>
  <si>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</si>
  <si>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</si>
  <si>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Weiß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</si>
  <si>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</si>
  <si>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</si>
  <si>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</si>
  <si>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Danny Welbeck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</si>
  <si>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</si>
  <si>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</si>
  <si>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</si>
  <si>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Wharton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</si>
  <si>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</si>
  <si>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</si>
  <si>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</si>
  <si>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White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</si>
  <si>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</si>
  <si>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</si>
  <si>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</si>
  <si>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Mats Wieffer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</si>
  <si>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</si>
  <si>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</si>
  <si>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</si>
  <si>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Neco Williams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</si>
  <si>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</si>
  <si>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</si>
  <si>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</si>
  <si>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Estêvão Willian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</si>
  <si>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</si>
  <si>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</si>
  <si>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</si>
  <si>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Willock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</si>
  <si>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</si>
  <si>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</si>
  <si>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</si>
  <si>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Wilson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</si>
  <si>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</si>
  <si>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</si>
  <si>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</si>
  <si>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Wilson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</si>
  <si>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</si>
  <si>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</si>
  <si>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</si>
  <si>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Winterburn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</si>
  <si>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</si>
  <si>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</si>
  <si>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</si>
  <si>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Florian Wirtz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</si>
  <si>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</si>
  <si>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</si>
  <si>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</si>
  <si>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Yoane Wissa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</si>
  <si>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</si>
  <si>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</si>
  <si>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</si>
  <si>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 Woltemade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</si>
  <si>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</si>
  <si>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</si>
  <si>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</si>
  <si>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Wood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</si>
  <si>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</si>
  <si>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</si>
  <si>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</si>
  <si>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Freddie Woodman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</si>
  <si>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</si>
  <si>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</si>
  <si>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</si>
  <si>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Worrall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</si>
  <si>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</si>
  <si>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</si>
  <si>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</si>
  <si>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Granit Xhaka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</si>
  <si>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</si>
  <si>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</si>
  <si>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</si>
  <si>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Yehor Yarmoliuk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</si>
  <si>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</si>
  <si>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</si>
  <si>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</si>
  <si>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Yates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</si>
  <si>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</si>
  <si>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</si>
  <si>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</si>
  <si>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Leny Yoro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</si>
  <si>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</si>
  <si>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</si>
  <si>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</si>
  <si>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Oleksandr Zinchenko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</si>
  <si>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</si>
  <si>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</si>
  <si>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</si>
  <si>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Zirkzee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</si>
  <si>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</si>
  <si>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</si>
  <si>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</si>
  <si>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Martín Zubimendi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</si>
  <si>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</si>
  <si>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</si>
  <si>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</si>
  <si>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Ødegaard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</si>
  <si>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</si>
  <si>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</si>
  <si>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</si>
  <si>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</si>
  <si>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</si>
  <si>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</si>
  <si>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</si>
  <si>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</si>
  <si>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</si>
  <si>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</si>
  <si>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</si>
  <si>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</si>
  <si>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</si>
  <si>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</si>
  <si>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On-Off</t>
  </si>
  <si>
    <r>
      <rPr>
        <rFont val="Verdana, sans-serif"/>
        <color rgb="FF1155CC"/>
        <u/>
      </rPr>
      <t>Brenden Aaronson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</si>
  <si>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</si>
  <si>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</si>
  <si>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</si>
  <si>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Jerome Abbey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</si>
  <si>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</si>
  <si>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</si>
  <si>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</si>
  <si>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 Abbott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</si>
  <si>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</si>
  <si>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</si>
  <si>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</si>
  <si>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Tammy Abraham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</si>
  <si>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</si>
  <si>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</si>
  <si>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</si>
  <si>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Acheampong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</si>
  <si>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</si>
  <si>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</si>
  <si>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</si>
  <si>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Adams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</si>
  <si>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</si>
  <si>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</si>
  <si>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</si>
  <si>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Tosin Adarabioyo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</si>
  <si>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</si>
  <si>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</si>
  <si>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</si>
  <si>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Adingra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</si>
  <si>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</si>
  <si>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</si>
  <si>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</si>
  <si>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Amine Adli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</si>
  <si>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</si>
  <si>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</si>
  <si>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</si>
  <si>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Agbadou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</si>
  <si>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</si>
  <si>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</si>
  <si>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</si>
  <si>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Nayef Aguerd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</si>
  <si>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</si>
  <si>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</si>
  <si>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</si>
  <si>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Enock Agyei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</si>
  <si>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</si>
  <si>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</si>
  <si>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</si>
  <si>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Aina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</si>
  <si>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</si>
  <si>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</si>
  <si>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</si>
  <si>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Rayan Aït-Nouri</t>
    </r>
  </si>
  <si>
    <r>
      <rPr>
        <rFont val="Verdana, sans-serif"/>
        <color rgb="FF1155CC"/>
        <sz val="8.0"/>
        <u/>
      </rPr>
      <t>dz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</si>
  <si>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</si>
  <si>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</si>
  <si>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Ajer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</si>
  <si>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</si>
  <si>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</si>
  <si>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</si>
  <si>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Manuel Akanji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</si>
  <si>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</si>
  <si>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</si>
  <si>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</si>
  <si>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Aké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</si>
  <si>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</si>
  <si>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</si>
  <si>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</si>
  <si>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Yusuf Akhamrich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</si>
  <si>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</si>
  <si>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</si>
  <si>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</si>
  <si>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Adedamola Alabi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</si>
  <si>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</si>
  <si>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</si>
  <si>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</si>
  <si>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Alcaraz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</si>
  <si>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</si>
  <si>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</si>
  <si>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</si>
  <si>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Alderete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</si>
  <si>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</si>
  <si>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</si>
  <si>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</si>
  <si>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Milan Aleksić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</si>
  <si>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</si>
  <si>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</si>
  <si>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</si>
  <si>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Alisson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</si>
  <si>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</si>
  <si>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</si>
  <si>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</si>
  <si>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Alleyne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</si>
  <si>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</si>
  <si>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</si>
  <si>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</si>
  <si>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Edson Álvarez</t>
    </r>
  </si>
  <si>
    <r>
      <rPr>
        <rFont val="Verdana, sans-serif"/>
        <color rgb="FF1155CC"/>
        <sz val="8.0"/>
        <u/>
      </rPr>
      <t>mx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MEX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</si>
  <si>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</si>
  <si>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</si>
  <si>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Jaydon Amauri Banel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</si>
  <si>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</si>
  <si>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</si>
  <si>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</si>
  <si>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Zeki Amdouni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</si>
  <si>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</si>
  <si>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</si>
  <si>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</si>
  <si>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Amissah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</si>
  <si>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</si>
  <si>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</si>
  <si>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</si>
  <si>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Ampadu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</si>
  <si>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</si>
  <si>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</si>
  <si>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</si>
  <si>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Joachim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</si>
  <si>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</si>
  <si>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</si>
  <si>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</si>
  <si>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Anderson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</si>
  <si>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</si>
  <si>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</si>
  <si>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</si>
  <si>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</si>
  <si>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</si>
  <si>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</si>
  <si>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</si>
  <si>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Nilson Angulo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</si>
  <si>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</si>
  <si>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</si>
  <si>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</si>
  <si>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 Annous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</si>
  <si>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</si>
  <si>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</si>
  <si>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</si>
  <si>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Jaidon Anthony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</si>
  <si>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</si>
  <si>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</si>
  <si>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</si>
  <si>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Julian Araujo</t>
    </r>
  </si>
  <si>
    <r>
      <rPr>
        <rFont val="Verdana, sans-serif"/>
        <color rgb="FF1155CC"/>
        <sz val="8.0"/>
        <u/>
      </rPr>
      <t>mx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MEX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</si>
  <si>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</si>
  <si>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</si>
  <si>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Alphonse Areola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</si>
  <si>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</si>
  <si>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</si>
  <si>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</si>
  <si>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Jhon Arias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</si>
  <si>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</si>
  <si>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</si>
  <si>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</si>
  <si>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Armstrong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</si>
  <si>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</si>
  <si>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</si>
  <si>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</si>
  <si>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Harrison Armstrong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</si>
  <si>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</si>
  <si>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</si>
  <si>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</si>
  <si>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Tolu Arokodare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</si>
  <si>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</si>
  <si>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</si>
  <si>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</si>
  <si>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Kepa Arrizabalaga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</si>
  <si>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</si>
  <si>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</si>
  <si>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</si>
  <si>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Arthur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</si>
  <si>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</si>
  <si>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</si>
  <si>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</si>
  <si>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Brandon Austin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</si>
  <si>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</si>
  <si>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</si>
  <si>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</si>
  <si>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Taiwo Awoniyi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</si>
  <si>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</si>
  <si>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</si>
  <si>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</si>
  <si>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</si>
  <si>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</si>
  <si>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</si>
  <si>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</si>
  <si>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Aznou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</si>
  <si>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</si>
  <si>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</si>
  <si>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</si>
  <si>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Benoît Badiashile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</si>
  <si>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</si>
  <si>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</si>
  <si>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</si>
  <si>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Bailey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</si>
  <si>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</si>
  <si>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</si>
  <si>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</si>
  <si>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Dilane Bakwa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</si>
  <si>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</si>
  <si>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</si>
  <si>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</si>
  <si>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Ellery Balcombe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</si>
  <si>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</si>
  <si>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</si>
  <si>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</si>
  <si>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Baleba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</si>
  <si>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</si>
  <si>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</si>
  <si>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</si>
  <si>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Ballard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</si>
  <si>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</si>
  <si>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</si>
  <si>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</si>
  <si>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Ross Barkley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</si>
  <si>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</si>
  <si>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</si>
  <si>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</si>
  <si>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Ashley Barnes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</si>
  <si>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</si>
  <si>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</si>
  <si>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</si>
  <si>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Barnes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</si>
  <si>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</si>
  <si>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</si>
  <si>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</si>
  <si>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Thierno Barry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</si>
  <si>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</si>
  <si>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</si>
  <si>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</si>
  <si>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Calvin Bassey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</si>
  <si>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</si>
  <si>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</si>
  <si>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</si>
  <si>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Bates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</si>
  <si>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</si>
  <si>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</si>
  <si>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</si>
  <si>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Altay Bayındır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</si>
  <si>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</si>
  <si>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</si>
  <si>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</si>
  <si>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Jean-Ricner Bellegarde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</si>
  <si>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</si>
  <si>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</si>
  <si>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</si>
  <si>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Dean Benamar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</si>
  <si>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</si>
  <si>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</si>
  <si>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</si>
  <si>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Walter Benítez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</si>
  <si>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</si>
  <si>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</si>
  <si>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</si>
  <si>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Bentancur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</si>
  <si>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</si>
  <si>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</si>
  <si>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</si>
  <si>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Bentley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</si>
  <si>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</si>
  <si>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</si>
  <si>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</si>
  <si>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 Bentt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</si>
  <si>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</si>
  <si>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</si>
  <si>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</si>
  <si>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 Berge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</si>
  <si>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</si>
  <si>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</si>
  <si>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</si>
  <si>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</si>
  <si>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</si>
  <si>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</si>
  <si>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</si>
  <si>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Beto</t>
    </r>
  </si>
  <si>
    <r>
      <rPr>
        <rFont val="Verdana, sans-serif"/>
        <color rgb="FF1155CC"/>
        <sz val="8.0"/>
        <u/>
      </rPr>
      <t>gw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GNB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</si>
  <si>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</si>
  <si>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</si>
  <si>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Bettinelli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</si>
  <si>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</si>
  <si>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</si>
  <si>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</si>
  <si>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Jaka Bijol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</si>
  <si>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</si>
  <si>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</si>
  <si>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</si>
  <si>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Billing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</si>
  <si>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</si>
  <si>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</si>
  <si>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</si>
  <si>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Yves Bissouma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</si>
  <si>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</si>
  <si>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</si>
  <si>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</si>
  <si>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Bizot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</si>
  <si>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</si>
  <si>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</si>
  <si>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</si>
  <si>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Bobb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</si>
  <si>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</si>
  <si>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</si>
  <si>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</si>
  <si>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Bobb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</si>
  <si>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</si>
  <si>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</si>
  <si>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</si>
  <si>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Lamare Bogarde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</si>
  <si>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</si>
  <si>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</si>
  <si>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</si>
  <si>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Jayden Bogle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</si>
  <si>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</si>
  <si>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</si>
  <si>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</si>
  <si>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Willy Boly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</si>
  <si>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</si>
  <si>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</si>
  <si>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</si>
  <si>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Sebastiaan Bornauw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</si>
  <si>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</si>
  <si>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</si>
  <si>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</si>
  <si>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Olivier Boscagli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</si>
  <si>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</si>
  <si>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</si>
  <si>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</si>
  <si>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Sven Botman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</si>
  <si>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</si>
  <si>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</si>
  <si>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</si>
  <si>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Jarrod Bowen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</si>
  <si>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</si>
  <si>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</si>
  <si>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</si>
  <si>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Conor Bradley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</si>
  <si>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</si>
  <si>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</si>
  <si>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</si>
  <si>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Jarrad Branthwaite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</si>
  <si>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</si>
  <si>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</si>
  <si>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</si>
  <si>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George Brierley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</si>
  <si>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</si>
  <si>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</si>
  <si>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</si>
  <si>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Brian Brobbey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</si>
  <si>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</si>
  <si>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</si>
  <si>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</si>
  <si>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Broggio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</si>
  <si>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</si>
  <si>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</si>
  <si>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</si>
  <si>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Armando Broja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</si>
  <si>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</si>
  <si>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</si>
  <si>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</si>
  <si>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Brooks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</si>
  <si>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</si>
  <si>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</si>
  <si>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</si>
  <si>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Brooks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</si>
  <si>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</si>
  <si>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</si>
  <si>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</si>
  <si>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Bruun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</si>
  <si>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</si>
  <si>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</si>
  <si>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</si>
  <si>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 Buendía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</si>
  <si>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</si>
  <si>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</si>
  <si>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</si>
  <si>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Bueno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</si>
  <si>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</si>
  <si>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</si>
  <si>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</si>
  <si>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Santiago Bueno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</si>
  <si>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</si>
  <si>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</si>
  <si>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</si>
  <si>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Facundo Buonanotte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</si>
  <si>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</si>
  <si>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</si>
  <si>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</si>
  <si>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Facundo Buonanotte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</si>
  <si>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</si>
  <si>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</si>
  <si>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</si>
  <si>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 Burn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</si>
  <si>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</si>
  <si>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</si>
  <si>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</si>
  <si>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Bradley Burrowes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</si>
  <si>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</si>
  <si>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</si>
  <si>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</si>
  <si>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Jun'ai Byfield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</si>
  <si>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</si>
  <si>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</si>
  <si>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</si>
  <si>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 Byram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</si>
  <si>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</si>
  <si>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</si>
  <si>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</si>
  <si>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Moisés Caicedo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</si>
  <si>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</si>
  <si>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</si>
  <si>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</si>
  <si>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Cairney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</si>
  <si>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</si>
  <si>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</si>
  <si>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</si>
  <si>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Riccardo Calafiori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</si>
  <si>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</si>
  <si>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</si>
  <si>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</si>
  <si>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Dominic Calvert-Lewin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</si>
  <si>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</si>
  <si>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</si>
  <si>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</si>
  <si>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Elijah Campbell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</si>
  <si>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</si>
  <si>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</si>
  <si>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</si>
  <si>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Jaydee Canvot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</si>
  <si>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</si>
  <si>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</si>
  <si>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</si>
  <si>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Rio Cardines</t>
    </r>
  </si>
  <si>
    <r>
      <rPr>
        <rFont val="Verdana, sans-serif"/>
        <color rgb="FF1155CC"/>
        <sz val="8.0"/>
        <u/>
      </rPr>
      <t>tt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TRI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</si>
  <si>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</si>
  <si>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</si>
  <si>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Theodore Carroll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</si>
  <si>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</si>
  <si>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</si>
  <si>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</si>
  <si>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Fabio Carvalho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</si>
  <si>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</si>
  <si>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</si>
  <si>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</si>
  <si>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Casemiro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</si>
  <si>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</si>
  <si>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</si>
  <si>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</si>
  <si>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Casey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</si>
  <si>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</si>
  <si>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</si>
  <si>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</si>
  <si>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Matty Cash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</si>
  <si>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</si>
  <si>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</si>
  <si>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</si>
  <si>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Castagne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</si>
  <si>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</si>
  <si>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</si>
  <si>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</si>
  <si>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Valentín Castellanos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</si>
  <si>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</si>
  <si>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</si>
  <si>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</si>
  <si>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Rhys Chadwick-Chaplin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</si>
  <si>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</si>
  <si>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</si>
  <si>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</si>
  <si>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Trevoh Chalobah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</si>
  <si>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</si>
  <si>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</si>
  <si>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</si>
  <si>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Chambers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</si>
  <si>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</si>
  <si>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</si>
  <si>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</si>
  <si>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Rayan Cherki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</si>
  <si>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</si>
  <si>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</si>
  <si>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</si>
  <si>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Youssef Chermiti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</si>
  <si>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</si>
  <si>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</si>
  <si>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</si>
  <si>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Federico Chiesa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</si>
  <si>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</si>
  <si>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</si>
  <si>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</si>
  <si>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Tawanda Chirewa</t>
    </r>
  </si>
  <si>
    <r>
      <rPr>
        <rFont val="Verdana, sans-serif"/>
        <color rgb="FF1155CC"/>
        <sz val="8.0"/>
        <u/>
      </rPr>
      <t>zw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ZIM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</si>
  <si>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</si>
  <si>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</si>
  <si>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Christie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</si>
  <si>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</si>
  <si>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</si>
  <si>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</si>
  <si>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Chukwueze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</si>
  <si>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</si>
  <si>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</si>
  <si>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</si>
  <si>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Cirkin</t>
    </r>
  </si>
  <si>
    <r>
      <rPr>
        <rFont val="Verdana, sans-serif"/>
        <color rgb="FF1155CC"/>
        <sz val="8.0"/>
        <u/>
      </rPr>
      <t>lv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LVA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</si>
  <si>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</si>
  <si>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</si>
  <si>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Clyne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</si>
  <si>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</si>
  <si>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</si>
  <si>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</si>
  <si>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Séamus Coleman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</si>
  <si>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</si>
  <si>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</si>
  <si>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</si>
  <si>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Collins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</si>
  <si>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</si>
  <si>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</si>
  <si>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</si>
  <si>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Levi Colwill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</si>
  <si>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</si>
  <si>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</si>
  <si>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</si>
  <si>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Cook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</si>
  <si>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</si>
  <si>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</si>
  <si>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</si>
  <si>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Coppola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</si>
  <si>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</si>
  <si>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</si>
  <si>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</si>
  <si>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Cresswell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</si>
  <si>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</si>
  <si>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</si>
  <si>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</si>
  <si>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Cucurella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</si>
  <si>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</si>
  <si>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</si>
  <si>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</si>
  <si>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Jorge Cuenca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</si>
  <si>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</si>
  <si>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</si>
  <si>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</si>
  <si>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 Cullen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</si>
  <si>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</si>
  <si>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</si>
  <si>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</si>
  <si>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Jair Cunha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</si>
  <si>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</si>
  <si>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</si>
  <si>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</si>
  <si>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Matheus Cunha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</si>
  <si>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</si>
  <si>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</si>
  <si>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</si>
  <si>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Malcom Dacosta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</si>
  <si>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</si>
  <si>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</si>
  <si>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</si>
  <si>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Diogo Dalot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</si>
  <si>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</si>
  <si>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</si>
  <si>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</si>
  <si>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Damsgaard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</si>
  <si>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</si>
  <si>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</si>
  <si>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</si>
  <si>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Danso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</si>
  <si>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</si>
  <si>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</si>
  <si>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</si>
  <si>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Darlow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</si>
  <si>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</si>
  <si>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</si>
  <si>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</si>
  <si>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 Dasilva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</si>
  <si>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</si>
  <si>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</si>
  <si>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</si>
  <si>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Davies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</si>
  <si>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</si>
  <si>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</si>
  <si>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</si>
  <si>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Maxim De Cuyper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</si>
  <si>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</si>
  <si>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</si>
  <si>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</si>
  <si>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Delap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</si>
  <si>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</si>
  <si>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</si>
  <si>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</si>
  <si>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Sepp van den Berg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</si>
  <si>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</si>
  <si>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</si>
  <si>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</si>
  <si>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 Dennis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</si>
  <si>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</si>
  <si>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</si>
  <si>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</si>
  <si>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Jesse Derry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</si>
  <si>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</si>
  <si>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</si>
  <si>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</si>
  <si>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Devenny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</si>
  <si>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</si>
  <si>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</si>
  <si>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</si>
  <si>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Kiernan Dewsbury-Hall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</si>
  <si>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</si>
  <si>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</si>
  <si>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</si>
  <si>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Bafodé Diakité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</si>
  <si>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</si>
  <si>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</si>
  <si>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</si>
  <si>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 Diallo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</si>
  <si>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</si>
  <si>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</si>
  <si>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</si>
  <si>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Habib Diarra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</si>
  <si>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</si>
  <si>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</si>
  <si>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</si>
  <si>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Rúben Dias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</si>
  <si>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</si>
  <si>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</si>
  <si>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</si>
  <si>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Dibling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</si>
  <si>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</si>
  <si>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</si>
  <si>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</si>
  <si>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Digne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</si>
  <si>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</si>
  <si>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</si>
  <si>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</si>
  <si>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Issa Diop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</si>
  <si>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</si>
  <si>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</si>
  <si>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</si>
  <si>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 Hadji Malick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</si>
  <si>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</si>
  <si>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</si>
  <si>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</si>
  <si>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Disasi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</si>
  <si>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</si>
  <si>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</si>
  <si>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</si>
  <si>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 Doherty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</si>
  <si>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</si>
  <si>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</si>
  <si>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</si>
  <si>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Doku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</si>
  <si>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</si>
  <si>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</si>
  <si>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</si>
  <si>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Domínguez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</si>
  <si>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</si>
  <si>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</si>
  <si>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</si>
  <si>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Gianluigi Donnarumma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</si>
  <si>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</si>
  <si>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</si>
  <si>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</si>
  <si>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Romelle Donovan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</si>
  <si>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</si>
  <si>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</si>
  <si>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</si>
  <si>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Dorgu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</si>
  <si>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</si>
  <si>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</si>
  <si>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</si>
  <si>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Dowman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</si>
  <si>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</si>
  <si>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</si>
  <si>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</si>
  <si>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Radu Drăgușin</t>
    </r>
  </si>
  <si>
    <r>
      <rPr>
        <rFont val="Verdana, sans-serif"/>
        <color rgb="FF1155CC"/>
        <sz val="8.0"/>
        <u/>
      </rPr>
      <t>ro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ROU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</si>
  <si>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</si>
  <si>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</si>
  <si>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Joél Drakes-Thomas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</si>
  <si>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</si>
  <si>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</si>
  <si>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</si>
  <si>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Dúbravka</t>
    </r>
  </si>
  <si>
    <r>
      <rPr>
        <rFont val="Verdana, sans-serif"/>
        <color rgb="FF1155CC"/>
        <sz val="8.0"/>
        <u/>
      </rPr>
      <t>sk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SVK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</si>
  <si>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</si>
  <si>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</si>
  <si>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Dunk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</si>
  <si>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</si>
  <si>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</si>
  <si>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</si>
  <si>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George Earthy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</si>
  <si>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</si>
  <si>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</si>
  <si>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</si>
  <si>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Mathis Eboue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</si>
  <si>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</si>
  <si>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</si>
  <si>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</si>
  <si>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</si>
  <si>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</si>
  <si>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</si>
  <si>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</si>
  <si>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Odsonne Édouard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</si>
  <si>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</si>
  <si>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</si>
  <si>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</si>
  <si>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Edozie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</si>
  <si>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</si>
  <si>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</si>
  <si>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</si>
  <si>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Alysson Edward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</si>
  <si>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</si>
  <si>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</si>
  <si>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</si>
  <si>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Edwards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</si>
  <si>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</si>
  <si>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</si>
  <si>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</si>
  <si>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</si>
  <si>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</si>
  <si>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</si>
  <si>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</si>
  <si>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Ekitike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</si>
  <si>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</si>
  <si>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</si>
  <si>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</si>
  <si>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Elanga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</si>
  <si>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</si>
  <si>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</si>
  <si>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</si>
  <si>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</si>
  <si>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</si>
  <si>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</si>
  <si>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</si>
  <si>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Elliott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</si>
  <si>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</si>
  <si>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</si>
  <si>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</si>
  <si>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Elliott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</si>
  <si>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</si>
  <si>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</si>
  <si>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</si>
  <si>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Landon Emenalo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</si>
  <si>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</si>
  <si>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</si>
  <si>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</si>
  <si>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Yunus Emre Konak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</si>
  <si>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</si>
  <si>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</si>
  <si>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</si>
  <si>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Wataru Endo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</si>
  <si>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</si>
  <si>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</si>
  <si>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</si>
  <si>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Esse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</si>
  <si>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</si>
  <si>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</si>
  <si>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</si>
  <si>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Dario Essugo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</si>
  <si>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</si>
  <si>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</si>
  <si>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</si>
  <si>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Maxime Estève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</si>
  <si>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</si>
  <si>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</si>
  <si>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</si>
  <si>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Evanilson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</si>
  <si>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</si>
  <si>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</si>
  <si>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</si>
  <si>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Eberechi Eze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</si>
  <si>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</si>
  <si>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</si>
  <si>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</si>
  <si>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Eberechi Eze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</si>
  <si>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</si>
  <si>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</si>
  <si>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</si>
  <si>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Łukasz Fabiański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</si>
  <si>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</si>
  <si>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</si>
  <si>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</si>
  <si>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Faivre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</si>
  <si>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</si>
  <si>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</si>
  <si>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</si>
  <si>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Bruno Fernandes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</si>
  <si>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</si>
  <si>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</si>
  <si>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</si>
  <si>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Mateus Fernandes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</si>
  <si>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</si>
  <si>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</si>
  <si>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</si>
  <si>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Enzo Fernández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</si>
  <si>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</si>
  <si>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</si>
  <si>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</si>
  <si>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Zian Flemming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</si>
  <si>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</si>
  <si>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</si>
  <si>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</si>
  <si>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Fletcher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</si>
  <si>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</si>
  <si>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</si>
  <si>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</si>
  <si>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Fletcher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</si>
  <si>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</si>
  <si>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</si>
  <si>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</si>
  <si>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Foden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</si>
  <si>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</si>
  <si>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</si>
  <si>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</si>
  <si>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Wesley Fofana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</si>
  <si>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</si>
  <si>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</si>
  <si>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</si>
  <si>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Fraser Forster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</si>
  <si>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</si>
  <si>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</si>
  <si>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</si>
  <si>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Lyle Foster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</si>
  <si>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</si>
  <si>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</si>
  <si>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</si>
  <si>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Fredricson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</si>
  <si>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</si>
  <si>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</si>
  <si>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</si>
  <si>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Jeremie Frimpong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</si>
  <si>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</si>
  <si>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</si>
  <si>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</si>
  <si>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Fuhr Hjelde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</si>
  <si>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</si>
  <si>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</si>
  <si>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</si>
  <si>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Niclas Füllkrug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</si>
  <si>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</si>
  <si>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</si>
  <si>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</si>
  <si>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Kaye Furo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</si>
  <si>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</si>
  <si>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</si>
  <si>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</si>
  <si>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Cody Gakpo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</si>
  <si>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</si>
  <si>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</si>
  <si>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</si>
  <si>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Conor Gallagher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</si>
  <si>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</si>
  <si>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</si>
  <si>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</si>
  <si>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Idrissa Gana Gueye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</si>
  <si>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</si>
  <si>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</si>
  <si>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</si>
  <si>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Gannon-Doak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</si>
  <si>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</si>
  <si>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</si>
  <si>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</si>
  <si>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Andrés García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</si>
  <si>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</si>
  <si>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</si>
  <si>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</si>
  <si>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Alejandro Garnacho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</si>
  <si>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</si>
  <si>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</si>
  <si>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</si>
  <si>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Garner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</si>
  <si>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</si>
  <si>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</si>
  <si>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</si>
  <si>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Lutsharel Geertruida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</si>
  <si>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</si>
  <si>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</si>
  <si>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</si>
  <si>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Tyrique George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</si>
  <si>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</si>
  <si>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</si>
  <si>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</si>
  <si>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Tyrique George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</si>
  <si>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</si>
  <si>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</si>
  <si>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</si>
  <si>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Morgan Gibbs-White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</si>
  <si>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</si>
  <si>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</si>
  <si>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</si>
  <si>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Gittens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</si>
  <si>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</si>
  <si>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</si>
  <si>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</si>
  <si>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Wilfried Gnonto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</si>
  <si>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</si>
  <si>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</si>
  <si>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</si>
  <si>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Airidas Golambeckis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</si>
  <si>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</si>
  <si>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</si>
  <si>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</si>
  <si>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Angel Gomes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</si>
  <si>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</si>
  <si>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</si>
  <si>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</si>
  <si>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Gomes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</si>
  <si>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</si>
  <si>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</si>
  <si>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</si>
  <si>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Gomes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</si>
  <si>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</si>
  <si>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</si>
  <si>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</si>
  <si>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Toti Gomes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</si>
  <si>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</si>
  <si>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</si>
  <si>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</si>
  <si>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Gómez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</si>
  <si>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</si>
  <si>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</si>
  <si>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</si>
  <si>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Gomez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</si>
  <si>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</si>
  <si>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</si>
  <si>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</si>
  <si>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Enso Gonzalez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</si>
  <si>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</si>
  <si>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</si>
  <si>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</si>
  <si>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González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</si>
  <si>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</si>
  <si>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</si>
  <si>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</si>
  <si>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Gordon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</si>
  <si>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</si>
  <si>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</si>
  <si>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</si>
  <si>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 Gracey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</si>
  <si>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</si>
  <si>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</si>
  <si>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</si>
  <si>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Braiden Graham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</si>
  <si>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</si>
  <si>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</si>
  <si>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</si>
  <si>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Gravenberch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</si>
  <si>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</si>
  <si>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</si>
  <si>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</si>
  <si>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Archie Gray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</si>
  <si>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</si>
  <si>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</si>
  <si>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</si>
  <si>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Gray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</si>
  <si>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</si>
  <si>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</si>
  <si>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</si>
  <si>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Gray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</si>
  <si>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</si>
  <si>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</si>
  <si>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</si>
  <si>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Grealish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</si>
  <si>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</si>
  <si>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</si>
  <si>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</si>
  <si>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Groß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</si>
  <si>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</si>
  <si>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</si>
  <si>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</si>
  <si>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Brajan Gruda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</si>
  <si>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</si>
  <si>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</si>
  <si>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</si>
  <si>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Ilia Gruev</t>
    </r>
  </si>
  <si>
    <r>
      <rPr>
        <rFont val="Verdana, sans-serif"/>
        <color rgb="FF1155CC"/>
        <sz val="8.0"/>
        <u/>
      </rPr>
      <t>bg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</si>
  <si>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</si>
  <si>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</si>
  <si>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Gudmundsson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</si>
  <si>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</si>
  <si>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</si>
  <si>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</si>
  <si>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Guéhi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</si>
  <si>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</si>
  <si>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</si>
  <si>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</si>
  <si>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Guéhi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</si>
  <si>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</si>
  <si>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</si>
  <si>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</si>
  <si>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Evann Guessand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</si>
  <si>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</si>
  <si>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</si>
  <si>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</si>
  <si>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Evann Guessand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</si>
  <si>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</si>
  <si>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</si>
  <si>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</si>
  <si>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Luis Guilherme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</si>
  <si>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</si>
  <si>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</si>
  <si>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</si>
  <si>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Bruno Guimarães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</si>
  <si>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</si>
  <si>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</si>
  <si>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</si>
  <si>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Guiu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</si>
  <si>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</si>
  <si>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</si>
  <si>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</si>
  <si>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Guiu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</si>
  <si>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</si>
  <si>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</si>
  <si>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</si>
  <si>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İlkay Gündoğan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</si>
  <si>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</si>
  <si>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</si>
  <si>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</si>
  <si>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Angus Gunn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</si>
  <si>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</si>
  <si>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</si>
  <si>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</si>
  <si>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Malo Gusto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</si>
  <si>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</si>
  <si>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</si>
  <si>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</si>
  <si>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Joško Gvardiol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</si>
  <si>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</si>
  <si>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</si>
  <si>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</si>
  <si>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Gyökeres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</si>
  <si>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</si>
  <si>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</si>
  <si>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</si>
  <si>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Erling Haaland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</si>
  <si>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</si>
  <si>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</si>
  <si>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</si>
  <si>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Hall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</si>
  <si>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</si>
  <si>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</si>
  <si>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</si>
  <si>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Harrison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</si>
  <si>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</si>
  <si>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</si>
  <si>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</si>
  <si>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Quilindschy Hartman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</si>
  <si>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</si>
  <si>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</si>
  <si>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</si>
  <si>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Jorrel Hato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</si>
  <si>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</si>
  <si>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</si>
  <si>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</si>
  <si>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Kai Havertz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</si>
  <si>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</si>
  <si>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</si>
  <si>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</si>
  <si>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Heaton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</si>
  <si>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</si>
  <si>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</si>
  <si>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</si>
  <si>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Ayden Heaven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</si>
  <si>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</si>
  <si>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</si>
  <si>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</si>
  <si>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Jan Paul van Hecke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</si>
  <si>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</si>
  <si>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</si>
  <si>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</si>
  <si>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Hwang Hee-chan</t>
    </r>
  </si>
  <si>
    <r>
      <rPr>
        <rFont val="Verdana, sans-serif"/>
        <color rgb="FF1155CC"/>
        <sz val="8.0"/>
        <u/>
      </rPr>
      <t>kr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</si>
  <si>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</si>
  <si>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</si>
  <si>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George Hemmings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</si>
  <si>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</si>
  <si>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</si>
  <si>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</si>
  <si>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Dean Henderson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</si>
  <si>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</si>
  <si>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</si>
  <si>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</si>
  <si>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Henderson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</si>
  <si>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</si>
  <si>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</si>
  <si>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</si>
  <si>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Rico Henry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</si>
  <si>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</si>
  <si>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</si>
  <si>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</si>
  <si>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Hermansen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</si>
  <si>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</si>
  <si>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</si>
  <si>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</si>
  <si>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Finlay Herrick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</si>
  <si>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</si>
  <si>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</si>
  <si>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</si>
  <si>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Reigan Heskey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</si>
  <si>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</si>
  <si>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</si>
  <si>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</si>
  <si>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Hickey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</si>
  <si>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</si>
  <si>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</si>
  <si>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</si>
  <si>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Hill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</si>
  <si>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</si>
  <si>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</si>
  <si>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</si>
  <si>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Piero Hincapié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</si>
  <si>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</si>
  <si>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</si>
  <si>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</si>
  <si>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Hinshelwood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</si>
  <si>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</si>
  <si>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</si>
  <si>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</si>
  <si>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Ki-Jana Hoever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</si>
  <si>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</si>
  <si>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</si>
  <si>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</si>
  <si>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Ronnie Hollingshead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</si>
  <si>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</si>
  <si>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</si>
  <si>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</si>
  <si>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Howell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</si>
  <si>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</si>
  <si>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</si>
  <si>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</si>
  <si>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Hudson-Odoi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</si>
  <si>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</si>
  <si>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</si>
  <si>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</si>
  <si>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 Hughes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</si>
  <si>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</si>
  <si>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</si>
  <si>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</si>
  <si>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Trai Hume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</si>
  <si>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</si>
  <si>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</si>
  <si>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</si>
  <si>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Bashir Humphreys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</si>
  <si>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</si>
  <si>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</si>
  <si>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</si>
  <si>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Omari Hutchinson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</si>
  <si>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</si>
  <si>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</si>
  <si>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</si>
  <si>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</si>
  <si>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</si>
  <si>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</si>
  <si>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</si>
  <si>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</si>
  <si>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</si>
  <si>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</si>
  <si>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</si>
  <si>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Iling-Junior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</si>
  <si>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</si>
  <si>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</si>
  <si>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</si>
  <si>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Danny Imray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</si>
  <si>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</si>
  <si>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</si>
  <si>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</si>
  <si>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Iroegbunam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</si>
  <si>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</si>
  <si>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</si>
  <si>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</si>
  <si>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Andy Irving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</si>
  <si>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</si>
  <si>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</si>
  <si>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</si>
  <si>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Isak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</si>
  <si>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</si>
  <si>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</si>
  <si>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</si>
  <si>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Isidor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</si>
  <si>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</si>
  <si>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</si>
  <si>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</si>
  <si>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Iwobi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</si>
  <si>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</si>
  <si>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</si>
  <si>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</si>
  <si>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James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</si>
  <si>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</si>
  <si>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</si>
  <si>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</si>
  <si>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Reece James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</si>
  <si>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</si>
  <si>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</si>
  <si>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</si>
  <si>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Vitaly Janelt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</si>
  <si>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</si>
  <si>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</si>
  <si>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</si>
  <si>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Mathias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</si>
  <si>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</si>
  <si>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</si>
  <si>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</si>
  <si>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Jesus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</si>
  <si>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</si>
  <si>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</si>
  <si>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</si>
  <si>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 Jesus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</si>
  <si>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</si>
  <si>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</si>
  <si>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</si>
  <si>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Álex Jiménez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</si>
  <si>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</si>
  <si>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</si>
  <si>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</si>
  <si>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Raúl Jiménez</t>
    </r>
  </si>
  <si>
    <r>
      <rPr>
        <rFont val="Verdana, sans-serif"/>
        <color rgb="FF1155CC"/>
        <sz val="8.0"/>
        <u/>
      </rPr>
      <t>mx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MEX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</si>
  <si>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</si>
  <si>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</si>
  <si>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Jamaldeen Jimoh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</si>
  <si>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</si>
  <si>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</si>
  <si>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</si>
  <si>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Pedro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</si>
  <si>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</si>
  <si>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</si>
  <si>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</si>
  <si>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Joelinton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</si>
  <si>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</si>
  <si>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</si>
  <si>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</si>
  <si>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</si>
  <si>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</si>
  <si>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</si>
  <si>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</si>
  <si>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Brennan Johnson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</si>
  <si>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</si>
  <si>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</si>
  <si>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</si>
  <si>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Brennan Johnson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</si>
  <si>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</si>
  <si>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</si>
  <si>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</si>
  <si>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 Johnstone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</si>
  <si>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</si>
  <si>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</si>
  <si>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</si>
  <si>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Curtis Jones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</si>
  <si>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</si>
  <si>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</si>
  <si>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</si>
  <si>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Harrison Jones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</si>
  <si>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</si>
  <si>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</si>
  <si>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</si>
  <si>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Jaydon Jones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</si>
  <si>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</si>
  <si>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</si>
  <si>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</si>
  <si>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Jenson Jones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</si>
  <si>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</si>
  <si>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</si>
  <si>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</si>
  <si>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 Junior Kroupi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</si>
  <si>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</si>
  <si>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</si>
  <si>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</si>
  <si>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Hamed Junior Traorè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</si>
  <si>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</si>
  <si>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</si>
  <si>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</si>
  <si>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Justin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</si>
  <si>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</si>
  <si>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</si>
  <si>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</si>
  <si>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</si>
  <si>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</si>
  <si>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</si>
  <si>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</si>
  <si>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Ferdi Kadioglu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</si>
  <si>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</si>
  <si>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</si>
  <si>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</si>
  <si>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Sasa Kalajdzic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</si>
  <si>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</si>
  <si>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</si>
  <si>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</si>
  <si>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Arnaud Kalimuendo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</si>
  <si>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</si>
  <si>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</si>
  <si>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</si>
  <si>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Daichi Kamada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</si>
  <si>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</si>
  <si>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</si>
  <si>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</si>
  <si>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Boubacar Kamara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</si>
  <si>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</si>
  <si>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</si>
  <si>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</si>
  <si>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Mohamadou Kanté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</si>
  <si>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</si>
  <si>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</si>
  <si>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</si>
  <si>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Kavuma McQueen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</si>
  <si>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</si>
  <si>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</si>
  <si>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</si>
  <si>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Kayode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</si>
  <si>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</si>
  <si>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</si>
  <si>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</si>
  <si>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Keane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</si>
  <si>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</si>
  <si>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</si>
  <si>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</si>
  <si>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Caoimhín Kelleher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</si>
  <si>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</si>
  <si>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</si>
  <si>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</si>
  <si>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Milos Kerkez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</si>
  <si>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</si>
  <si>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</si>
  <si>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</si>
  <si>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</si>
  <si>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</si>
  <si>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</si>
  <si>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</si>
  <si>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Abdukodir Khusanov</t>
    </r>
  </si>
  <si>
    <r>
      <rPr>
        <rFont val="Verdana, sans-serif"/>
        <color rgb="FF1155CC"/>
        <sz val="8.0"/>
        <u/>
      </rPr>
      <t>uz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UZB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</si>
  <si>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</si>
  <si>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</si>
  <si>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Kilman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</si>
  <si>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</si>
  <si>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</si>
  <si>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</si>
  <si>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George King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</si>
  <si>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</si>
  <si>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</si>
  <si>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</si>
  <si>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King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</si>
  <si>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</si>
  <si>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</si>
  <si>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</si>
  <si>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King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</si>
  <si>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</si>
  <si>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</si>
  <si>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</si>
  <si>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Antonín Kinský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</si>
  <si>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</si>
  <si>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</si>
  <si>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</si>
  <si>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Jakub Kiwior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</si>
  <si>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</si>
  <si>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</si>
  <si>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</si>
  <si>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Kluivert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</si>
  <si>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</si>
  <si>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</si>
  <si>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</si>
  <si>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Knight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</si>
  <si>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</si>
  <si>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</si>
  <si>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</si>
  <si>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Randal Kolo Muani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</si>
  <si>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</si>
  <si>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</si>
  <si>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</si>
  <si>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Konaté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</si>
  <si>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</si>
  <si>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</si>
  <si>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</si>
  <si>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Ezri Konsa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</si>
  <si>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</si>
  <si>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</si>
  <si>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</si>
  <si>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Charalampos Kostoulas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</si>
  <si>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</si>
  <si>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</si>
  <si>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</si>
  <si>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Mateo Kovačić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</si>
  <si>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</si>
  <si>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</si>
  <si>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</si>
  <si>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Krafth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</si>
  <si>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</si>
  <si>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</si>
  <si>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</si>
  <si>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Ladislav Krejčí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</si>
  <si>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</si>
  <si>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</si>
  <si>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</si>
  <si>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Kudus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</si>
  <si>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</si>
  <si>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</si>
  <si>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</si>
  <si>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Godwill Kukonki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</si>
  <si>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</si>
  <si>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</si>
  <si>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</si>
  <si>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Jonah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</si>
  <si>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</si>
  <si>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</si>
  <si>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</si>
  <si>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Rio Kyerematen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</si>
  <si>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</si>
  <si>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</si>
  <si>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</si>
  <si>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Shea Lacey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</si>
  <si>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</si>
  <si>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</si>
  <si>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</si>
  <si>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Maxence Lacroix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</si>
  <si>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</si>
  <si>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</si>
  <si>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</si>
  <si>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Keiber Lamadrid</t>
    </r>
  </si>
  <si>
    <r>
      <rPr>
        <rFont val="Verdana, sans-serif"/>
        <color rgb="FF1155CC"/>
        <sz val="8.0"/>
        <u/>
      </rPr>
      <t>ve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VEN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</si>
  <si>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</si>
  <si>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</si>
  <si>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Senne Lammens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</si>
  <si>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</si>
  <si>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</si>
  <si>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</si>
  <si>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Jamaal Lascelles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</si>
  <si>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</si>
  <si>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</si>
  <si>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</si>
  <si>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 Laurent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</si>
  <si>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</si>
  <si>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</si>
  <si>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</si>
  <si>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Roméo Lavia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</si>
  <si>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</si>
  <si>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</si>
  <si>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</si>
  <si>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Enzo Le Fée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</si>
  <si>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</si>
  <si>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</si>
  <si>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</si>
  <si>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Lecomte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</si>
  <si>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</si>
  <si>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</si>
  <si>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</si>
  <si>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Bernd Leno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</si>
  <si>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</si>
  <si>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</si>
  <si>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</si>
  <si>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León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</si>
  <si>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</si>
  <si>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</si>
  <si>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</si>
  <si>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Giovanni Leoni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</si>
  <si>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</si>
  <si>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</si>
  <si>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</si>
  <si>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Jefferson Lerma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</si>
  <si>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</si>
  <si>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</si>
  <si>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</si>
  <si>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Rico Lewis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</si>
  <si>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</si>
  <si>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</si>
  <si>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</si>
  <si>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Keane Lewis-Potter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</si>
  <si>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</si>
  <si>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</si>
  <si>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</si>
  <si>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Myles Lewis-Skelly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</si>
  <si>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</si>
  <si>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</si>
  <si>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</si>
  <si>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Jayden Lienou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</si>
  <si>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</si>
  <si>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</si>
  <si>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</si>
  <si>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Matthijs de Ligt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</si>
  <si>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</si>
  <si>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</si>
  <si>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</si>
  <si>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Lima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</si>
  <si>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</si>
  <si>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</si>
  <si>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</si>
  <si>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Lindelöf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</si>
  <si>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</si>
  <si>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</si>
  <si>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</si>
  <si>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Tino Livramento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</si>
  <si>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</si>
  <si>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</si>
  <si>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</si>
  <si>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Longstaff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</si>
  <si>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</si>
  <si>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</si>
  <si>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</si>
  <si>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Fer López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</si>
  <si>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</si>
  <si>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</si>
  <si>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</si>
  <si>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</si>
  <si>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</si>
  <si>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</si>
  <si>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</si>
  <si>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Lorenzo Lucca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</si>
  <si>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</si>
  <si>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</si>
  <si>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</si>
  <si>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Florentino Luís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</si>
  <si>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</si>
  <si>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</si>
  <si>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</si>
  <si>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Douglas Luiz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</si>
  <si>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</si>
  <si>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</si>
  <si>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</si>
  <si>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Douglas Luiz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</si>
  <si>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</si>
  <si>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</si>
  <si>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</si>
  <si>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Saša Lukić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</si>
  <si>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</si>
  <si>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</si>
  <si>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</si>
  <si>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Ian Maatsen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</si>
  <si>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</si>
  <si>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</si>
  <si>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</si>
  <si>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Alexis Mac Allister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</si>
  <si>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</si>
  <si>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</si>
  <si>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</si>
  <si>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Maddison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</si>
  <si>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</si>
  <si>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</si>
  <si>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</si>
  <si>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Noni Madueke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</si>
  <si>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</si>
  <si>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</si>
  <si>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</si>
  <si>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Magalhães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</si>
  <si>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</si>
  <si>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</si>
  <si>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</si>
  <si>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Soungoutou Magassa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</si>
  <si>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</si>
  <si>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</si>
  <si>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</si>
  <si>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Maguire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</si>
  <si>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</si>
  <si>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</si>
  <si>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</si>
  <si>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Kobbie Mainoo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</si>
  <si>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</si>
  <si>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</si>
  <si>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</si>
  <si>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Tyrell Malacia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</si>
  <si>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</si>
  <si>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</si>
  <si>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</si>
  <si>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Donyell Malen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</si>
  <si>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</si>
  <si>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</si>
  <si>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</si>
  <si>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Giorgi Mamardashvili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</si>
  <si>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</si>
  <si>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</si>
  <si>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</si>
  <si>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Mandas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</si>
  <si>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</si>
  <si>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</si>
  <si>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</si>
  <si>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Reinildo Mandava</t>
    </r>
  </si>
  <si>
    <r>
      <rPr>
        <rFont val="Verdana, sans-serif"/>
        <color rgb="FF1155CC"/>
        <sz val="8.0"/>
        <u/>
      </rPr>
      <t>mz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MOZ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</si>
  <si>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</si>
  <si>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</si>
  <si>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Mateus Mane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</si>
  <si>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</si>
  <si>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</si>
  <si>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</si>
  <si>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Bendito Mantato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</si>
  <si>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</si>
  <si>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</si>
  <si>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</si>
  <si>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Solly March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</si>
  <si>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</si>
  <si>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</si>
  <si>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</si>
  <si>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Marmoush</t>
    </r>
  </si>
  <si>
    <r>
      <rPr>
        <rFont val="Verdana, sans-serif"/>
        <color rgb="FF1155CC"/>
        <sz val="8.0"/>
        <u/>
      </rPr>
      <t>eg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EGY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</si>
  <si>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</si>
  <si>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</si>
  <si>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Zachariah Marsh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</si>
  <si>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</si>
  <si>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</si>
  <si>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</si>
  <si>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Marshall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</si>
  <si>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</si>
  <si>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</si>
  <si>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</si>
  <si>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Martinelli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</si>
  <si>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</si>
  <si>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</si>
  <si>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</si>
  <si>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Emiliano Martínez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</si>
  <si>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</si>
  <si>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</si>
  <si>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</si>
  <si>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Lisandro Martínez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</si>
  <si>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</si>
  <si>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</si>
  <si>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</si>
  <si>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Arthur Masuaku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</si>
  <si>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</si>
  <si>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</si>
  <si>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</si>
  <si>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Pape Matar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</si>
  <si>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</si>
  <si>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</si>
  <si>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</si>
  <si>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Jean-Philippe Mateta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</si>
  <si>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</si>
  <si>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</si>
  <si>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</si>
  <si>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Remi Matthews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</si>
  <si>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</si>
  <si>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</si>
  <si>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</si>
  <si>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Konstantinos Mavropanos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</si>
  <si>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</si>
  <si>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</si>
  <si>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</si>
  <si>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Eliezer Mayenda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</si>
  <si>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</si>
  <si>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</si>
  <si>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</si>
  <si>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Ezra Mayers</t>
    </r>
  </si>
  <si>
    <r>
      <rPr>
        <rFont val="Verdana, sans-serif"/>
        <color rgb="FF1155CC"/>
        <sz val="8.0"/>
        <u/>
      </rPr>
      <t>bb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BRB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</si>
  <si>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</si>
  <si>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</si>
  <si>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Noussair Mazraoui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</si>
  <si>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</si>
  <si>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</si>
  <si>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</si>
  <si>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Bryan Mbeumo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</si>
  <si>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</si>
  <si>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</si>
  <si>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</si>
  <si>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Mcaidoo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</si>
  <si>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</si>
  <si>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</si>
  <si>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</si>
  <si>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Mcatee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</si>
  <si>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</si>
  <si>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</si>
  <si>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</si>
  <si>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McConnell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</si>
  <si>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</si>
  <si>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</si>
  <si>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</si>
  <si>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McGinn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</si>
  <si>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</si>
  <si>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</si>
  <si>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</si>
  <si>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Kian McMahon-Brown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</si>
  <si>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</si>
  <si>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</si>
  <si>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</si>
  <si>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Conor McManus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</si>
  <si>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</si>
  <si>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</si>
  <si>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McNally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</si>
  <si>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</si>
  <si>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</si>
  <si>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</si>
  <si>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Dwight McNeil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</si>
  <si>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</si>
  <si>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</si>
  <si>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</si>
  <si>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Hannibal Mejbri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</si>
  <si>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</si>
  <si>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</si>
  <si>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</si>
  <si>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Mikel Merino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</si>
  <si>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</si>
  <si>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</si>
  <si>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</si>
  <si>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Merrick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</si>
  <si>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</si>
  <si>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</si>
  <si>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</si>
  <si>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Illan Meslier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</si>
  <si>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</si>
  <si>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</si>
  <si>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</si>
  <si>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Mfuni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</si>
  <si>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</si>
  <si>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</si>
  <si>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</si>
  <si>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Shumaira Mheuka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</si>
  <si>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</si>
  <si>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</si>
  <si>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</si>
  <si>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 Milambo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</si>
  <si>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</si>
  <si>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</si>
  <si>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</si>
  <si>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Milenković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</si>
  <si>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</si>
  <si>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</si>
  <si>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</si>
  <si>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Miley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</si>
  <si>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</si>
  <si>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</si>
  <si>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</si>
  <si>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Milner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</si>
  <si>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</si>
  <si>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</si>
  <si>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</si>
  <si>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Veljko Milosavljević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</si>
  <si>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</si>
  <si>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</si>
  <si>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</si>
  <si>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Tyrone Mings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</si>
  <si>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</si>
  <si>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</si>
  <si>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</si>
  <si>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Yankuba Minteh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</si>
  <si>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</si>
  <si>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</si>
  <si>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</si>
  <si>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Tyrick Mitchell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</si>
  <si>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</si>
  <si>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</si>
  <si>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</si>
  <si>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Kaoru Mitoma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</si>
  <si>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</si>
  <si>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</si>
  <si>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</si>
  <si>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Moore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</si>
  <si>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</si>
  <si>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</si>
  <si>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</si>
  <si>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Moorhouse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</si>
  <si>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</si>
  <si>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</si>
  <si>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</si>
  <si>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Morato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</si>
  <si>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</si>
  <si>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</si>
  <si>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</si>
  <si>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Kieran Morrison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</si>
  <si>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</si>
  <si>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</si>
  <si>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</si>
  <si>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Cristhian Mosquera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</si>
  <si>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</si>
  <si>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</si>
  <si>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</si>
  <si>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Yerson Mosquera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</si>
  <si>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</si>
  <si>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</si>
  <si>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</si>
  <si>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Mason Mount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</si>
  <si>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</si>
  <si>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</si>
  <si>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</si>
  <si>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Mukasa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</si>
  <si>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</si>
  <si>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</si>
  <si>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</si>
  <si>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Nordi Mukiele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</si>
  <si>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</si>
  <si>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</si>
  <si>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</si>
  <si>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Romaine Mundle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</si>
  <si>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</si>
  <si>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</si>
  <si>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</si>
  <si>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Marshall Munetsi</t>
    </r>
  </si>
  <si>
    <r>
      <rPr>
        <rFont val="Verdana, sans-serif"/>
        <color rgb="FF1155CC"/>
        <sz val="8.0"/>
        <u/>
      </rPr>
      <t>zw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ZIM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</si>
  <si>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</si>
  <si>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</si>
  <si>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Muniz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</si>
  <si>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</si>
  <si>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</si>
  <si>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</si>
  <si>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Muñoz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</si>
  <si>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</si>
  <si>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</si>
  <si>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</si>
  <si>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Murillo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</si>
  <si>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</si>
  <si>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</si>
  <si>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</si>
  <si>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Murphy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</si>
  <si>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</si>
  <si>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</si>
  <si>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</si>
  <si>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Murphy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</si>
  <si>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</si>
  <si>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</si>
  <si>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</si>
  <si>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Vitaliy Mykolenko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</si>
  <si>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</si>
  <si>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</si>
  <si>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</si>
  <si>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Møller Wolfe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</si>
  <si>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</si>
  <si>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</si>
  <si>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</si>
  <si>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Amara Nallo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</si>
  <si>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</si>
  <si>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</si>
  <si>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</si>
  <si>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 Hadji Mor Talla Ndiaye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</si>
  <si>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</si>
  <si>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</si>
  <si>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</si>
  <si>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Iliman Ndiaye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</si>
  <si>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</si>
  <si>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</si>
  <si>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</si>
  <si>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 Ndoye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</si>
  <si>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</si>
  <si>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</si>
  <si>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</si>
  <si>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Neave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</si>
  <si>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</si>
  <si>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</si>
  <si>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</si>
  <si>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 Neil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</si>
  <si>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</si>
  <si>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</si>
  <si>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</si>
  <si>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Reiss Nelson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</si>
  <si>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</si>
  <si>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</si>
  <si>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</si>
  <si>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Neto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</si>
  <si>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</si>
  <si>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</si>
  <si>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</si>
  <si>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 Netz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</si>
  <si>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</si>
  <si>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</si>
  <si>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</si>
  <si>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Rio Ngumoha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</si>
  <si>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</si>
  <si>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</si>
  <si>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</si>
  <si>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Eddie Nketiah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</si>
  <si>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</si>
  <si>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</si>
  <si>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</si>
  <si>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Nmecha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</si>
  <si>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</si>
  <si>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</si>
  <si>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</si>
  <si>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Gustavo Nunes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</si>
  <si>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</si>
  <si>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</si>
  <si>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</si>
  <si>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Matheus Nunes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</si>
  <si>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</si>
  <si>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</si>
  <si>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</si>
  <si>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Nwaneri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</si>
  <si>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</si>
  <si>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</si>
  <si>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</si>
  <si>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Trey Nyoni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</si>
  <si>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</si>
  <si>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</si>
  <si>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</si>
  <si>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Nørgaard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</si>
  <si>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</si>
  <si>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</si>
  <si>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</si>
  <si>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Jake O'Brien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</si>
  <si>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</si>
  <si>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</si>
  <si>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</si>
  <si>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O'Nien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</si>
  <si>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</si>
  <si>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</si>
  <si>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</si>
  <si>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 O'Riley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</si>
  <si>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</si>
  <si>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</si>
  <si>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</si>
  <si>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Chidozie Obi-Martin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</si>
  <si>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</si>
  <si>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</si>
  <si>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</si>
  <si>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Odobert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</si>
  <si>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</si>
  <si>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</si>
  <si>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</si>
  <si>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Temple Ojinnaka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</si>
  <si>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</si>
  <si>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</si>
  <si>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</si>
  <si>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Okafor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</si>
  <si>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</si>
  <si>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</si>
  <si>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</si>
  <si>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Saheed Olagunju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</si>
  <si>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</si>
  <si>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</si>
  <si>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</si>
  <si>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Olusesi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</si>
  <si>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</si>
  <si>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</si>
  <si>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</si>
  <si>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Wellity Omoruyi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</si>
  <si>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</si>
  <si>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</si>
  <si>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</si>
  <si>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Amadou Onana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</si>
  <si>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</si>
  <si>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</si>
  <si>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</si>
  <si>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Onana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</si>
  <si>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</si>
  <si>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</si>
  <si>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</si>
  <si>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Onyango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</si>
  <si>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</si>
  <si>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</si>
  <si>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</si>
  <si>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Onyeka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</si>
  <si>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</si>
  <si>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</si>
  <si>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</si>
  <si>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Nehemiah Oriola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</si>
  <si>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</si>
  <si>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</si>
  <si>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</si>
  <si>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 Ortega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</si>
  <si>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</si>
  <si>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</si>
  <si>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</si>
  <si>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 Ortega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</si>
  <si>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</si>
  <si>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</si>
  <si>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</si>
  <si>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Osula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</si>
  <si>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</si>
  <si>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</si>
  <si>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</si>
  <si>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Dango Ouattara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</si>
  <si>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</si>
  <si>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</si>
  <si>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</si>
  <si>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Riley Owen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</si>
  <si>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</si>
  <si>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</si>
  <si>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</si>
  <si>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 O’Reilly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</si>
  <si>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</si>
  <si>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</si>
  <si>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</si>
  <si>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Pablo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</si>
  <si>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</si>
  <si>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</si>
  <si>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</si>
  <si>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Palhinha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</si>
  <si>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</si>
  <si>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</si>
  <si>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</si>
  <si>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Cole Palmer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</si>
  <si>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</si>
  <si>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</si>
  <si>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</si>
  <si>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Paquetá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</si>
  <si>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</si>
  <si>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</si>
  <si>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</si>
  <si>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Patterson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</si>
  <si>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</si>
  <si>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</si>
  <si>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</si>
  <si>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Patterson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</si>
  <si>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</si>
  <si>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</si>
  <si>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</si>
  <si>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Travis Patterson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</si>
  <si>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</si>
  <si>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</si>
  <si>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</si>
  <si>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Myles Peart-Harris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</si>
  <si>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</si>
  <si>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</si>
  <si>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</si>
  <si>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Ármin Pécsi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</si>
  <si>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</si>
  <si>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</si>
  <si>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</si>
  <si>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Pereira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</si>
  <si>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</si>
  <si>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</si>
  <si>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</si>
  <si>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Perri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</si>
  <si>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</si>
  <si>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</si>
  <si>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</si>
  <si>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Đorđe Petrović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</si>
  <si>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</si>
  <si>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</si>
  <si>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</si>
  <si>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</si>
  <si>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</si>
  <si>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</si>
  <si>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</si>
  <si>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Pimlott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</si>
  <si>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</si>
  <si>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</si>
  <si>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</si>
  <si>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Pinnock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</si>
  <si>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</si>
  <si>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</si>
  <si>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</si>
  <si>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Yeremi Pino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</si>
  <si>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</si>
  <si>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</si>
  <si>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</si>
  <si>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Joël Piroe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</si>
  <si>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</si>
  <si>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</si>
  <si>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</si>
  <si>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Pond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</si>
  <si>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</si>
  <si>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</si>
  <si>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</si>
  <si>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 Pope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</si>
  <si>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</si>
  <si>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</si>
  <si>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</si>
  <si>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Porro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</si>
  <si>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</si>
  <si>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</si>
  <si>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</si>
  <si>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Freddie Potts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</si>
  <si>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</si>
  <si>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</si>
  <si>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</si>
  <si>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 Proctor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</si>
  <si>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</si>
  <si>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</si>
  <si>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</si>
  <si>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Jesurun Rak Sakyi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</si>
  <si>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</si>
  <si>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</si>
  <si>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</si>
  <si>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Largie Ramazani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</si>
  <si>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</si>
  <si>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</si>
  <si>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</si>
  <si>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Calvin Ramsay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</si>
  <si>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</si>
  <si>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</si>
  <si>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</si>
  <si>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Ramsdale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</si>
  <si>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</si>
  <si>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</si>
  <si>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</si>
  <si>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Ramsey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</si>
  <si>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</si>
  <si>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</si>
  <si>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</si>
  <si>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Ramsey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</si>
  <si>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</si>
  <si>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</si>
  <si>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</si>
  <si>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Rawlings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</si>
  <si>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</si>
  <si>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</si>
  <si>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</si>
  <si>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Raya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</si>
  <si>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</si>
  <si>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</si>
  <si>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</si>
  <si>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Rayan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</si>
  <si>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</si>
  <si>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</si>
  <si>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</si>
  <si>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Harrison Reed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</si>
  <si>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</si>
  <si>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</si>
  <si>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</si>
  <si>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Remy Rees-Dottin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</si>
  <si>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</si>
  <si>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</si>
  <si>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</si>
  <si>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Tijjani Reijnders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</si>
  <si>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</si>
  <si>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</si>
  <si>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</si>
  <si>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Chadi Riad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</si>
  <si>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</si>
  <si>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</si>
  <si>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</si>
  <si>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Declan Rice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</si>
  <si>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</si>
  <si>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</si>
  <si>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</si>
  <si>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Richards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</si>
  <si>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</si>
  <si>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</si>
  <si>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</si>
  <si>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Richarlison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</si>
  <si>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</si>
  <si>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</si>
  <si>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</si>
  <si>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Seth Ridgeon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</si>
  <si>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</si>
  <si>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</si>
  <si>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</si>
  <si>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Rigg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</si>
  <si>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</si>
  <si>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</si>
  <si>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</si>
  <si>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Connor Roberts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</si>
  <si>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</si>
  <si>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</si>
  <si>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</si>
  <si>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Roberts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</si>
  <si>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</si>
  <si>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</si>
  <si>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</si>
  <si>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Andrew Robertson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</si>
  <si>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</si>
  <si>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</si>
  <si>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</si>
  <si>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Antonee Robinson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</si>
  <si>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</si>
  <si>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</si>
  <si>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</si>
  <si>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Kaden Rodney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</si>
  <si>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</si>
  <si>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</si>
  <si>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</si>
  <si>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Rodon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</si>
  <si>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</si>
  <si>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</si>
  <si>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</si>
  <si>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</si>
  <si>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</si>
  <si>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</si>
  <si>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</si>
  <si>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Guido Rodríguez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</si>
  <si>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</si>
  <si>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</si>
  <si>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</si>
  <si>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Roefs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</si>
  <si>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</si>
  <si>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</si>
  <si>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</si>
  <si>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Roerslev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</si>
  <si>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</si>
  <si>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</si>
  <si>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</si>
  <si>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Morgan Rogers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</si>
  <si>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</si>
  <si>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</si>
  <si>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</si>
  <si>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Merlin Röhl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</si>
  <si>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</si>
  <si>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</si>
  <si>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</si>
  <si>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Cristian Romero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</si>
  <si>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</si>
  <si>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</si>
  <si>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</si>
  <si>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Routh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</si>
  <si>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</si>
  <si>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</si>
  <si>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</si>
  <si>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Triston Rowe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</si>
  <si>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</si>
  <si>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</si>
  <si>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</si>
  <si>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Rowswell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</si>
  <si>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</si>
  <si>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</si>
  <si>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</si>
  <si>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Ruddy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</si>
  <si>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</si>
  <si>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</si>
  <si>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</si>
  <si>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Georginio Rutter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</si>
  <si>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</si>
  <si>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</si>
  <si>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</si>
  <si>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José Sá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</si>
  <si>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</si>
  <si>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</si>
  <si>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</si>
  <si>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Dominic Sadi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</si>
  <si>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</si>
  <si>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</si>
  <si>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</si>
  <si>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Sadiki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</si>
  <si>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</si>
  <si>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</si>
  <si>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</si>
  <si>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Bukayo Saka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</si>
  <si>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</si>
  <si>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</si>
  <si>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</si>
  <si>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Salah</t>
    </r>
  </si>
  <si>
    <r>
      <rPr>
        <rFont val="Verdana, sans-serif"/>
        <color rgb="FF1155CC"/>
        <sz val="8.0"/>
        <u/>
      </rPr>
      <t>eg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EGY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</si>
  <si>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</si>
  <si>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</si>
  <si>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Saliba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</si>
  <si>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</si>
  <si>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</si>
  <si>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</si>
  <si>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Marli Salmon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</si>
  <si>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</si>
  <si>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</si>
  <si>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</si>
  <si>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Sánchez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</si>
  <si>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</si>
  <si>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</si>
  <si>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</si>
  <si>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Jadon Sancho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</si>
  <si>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</si>
  <si>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</si>
  <si>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</si>
  <si>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Sangaré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</si>
  <si>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</si>
  <si>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</si>
  <si>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</si>
  <si>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Andrey Santos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</si>
  <si>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</si>
  <si>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</si>
  <si>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</si>
  <si>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</si>
  <si>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</si>
  <si>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</si>
  <si>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</si>
  <si>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</si>
  <si>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</si>
  <si>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</si>
  <si>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</si>
  <si>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Sávio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</si>
  <si>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</si>
  <si>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</si>
  <si>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</si>
  <si>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Nicolò Savona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</si>
  <si>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</si>
  <si>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</si>
  <si>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</si>
  <si>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Scarles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</si>
  <si>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</si>
  <si>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</si>
  <si>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</si>
  <si>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Dane Scarlett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</si>
  <si>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</si>
  <si>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</si>
  <si>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</si>
  <si>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Schade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</si>
  <si>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</si>
  <si>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</si>
  <si>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</si>
  <si>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Schär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</si>
  <si>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</si>
  <si>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</si>
  <si>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</si>
  <si>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Scott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</si>
  <si>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</si>
  <si>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</si>
  <si>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</si>
  <si>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Jenson Seelt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</si>
  <si>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</si>
  <si>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</si>
  <si>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</si>
  <si>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Matz Sels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</si>
  <si>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</si>
  <si>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</si>
  <si>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</si>
  <si>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Antoine Semenyo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</si>
  <si>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</si>
  <si>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</si>
  <si>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</si>
  <si>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Antoine Semenyo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</si>
  <si>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</si>
  <si>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</si>
  <si>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</si>
  <si>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Marcos Senesi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</si>
  <si>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</si>
  <si>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</si>
  <si>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</si>
  <si>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Šeško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</si>
  <si>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</si>
  <si>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</si>
  <si>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</si>
  <si>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Sessegnon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</si>
  <si>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</si>
  <si>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</si>
  <si>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</si>
  <si>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Tommy Setford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</si>
  <si>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</si>
  <si>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</si>
  <si>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</si>
  <si>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Park Seungsoo</t>
    </r>
  </si>
  <si>
    <r>
      <rPr>
        <rFont val="Verdana, sans-serif"/>
        <color rgb="FF1155CC"/>
        <sz val="8.0"/>
        <u/>
      </rPr>
      <t>kr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KOR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</si>
  <si>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</si>
  <si>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</si>
  <si>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Shahar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</si>
  <si>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</si>
  <si>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</si>
  <si>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</si>
  <si>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Teddy Sharman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</si>
  <si>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</si>
  <si>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</si>
  <si>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</si>
  <si>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Shaw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</si>
  <si>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</si>
  <si>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</si>
  <si>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</si>
  <si>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Ollie Shield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</si>
  <si>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</si>
  <si>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</si>
  <si>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</si>
  <si>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Lamin Sillah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</si>
  <si>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</si>
  <si>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</si>
  <si>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</si>
  <si>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Silva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</si>
  <si>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</si>
  <si>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</si>
  <si>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</si>
  <si>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Jota Silva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</si>
  <si>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</si>
  <si>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</si>
  <si>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</si>
  <si>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da Silva Moreira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</si>
  <si>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</si>
  <si>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</si>
  <si>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</si>
  <si>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Freddie Simmonds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</si>
  <si>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</si>
  <si>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</si>
  <si>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</si>
  <si>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Xavi Simons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</si>
  <si>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</si>
  <si>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</si>
  <si>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</si>
  <si>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Jimmy Sinclair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</si>
  <si>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</si>
  <si>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</si>
  <si>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</si>
  <si>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Gaga Slonina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</si>
  <si>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</si>
  <si>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</si>
  <si>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</si>
  <si>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Smith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</si>
  <si>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</si>
  <si>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</si>
  <si>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</si>
  <si>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Emile Smith Rowe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</si>
  <si>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</si>
  <si>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</si>
  <si>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</si>
  <si>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Dominic Solanke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</si>
  <si>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</si>
  <si>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</si>
  <si>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</si>
  <si>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Julio Soler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</si>
  <si>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</si>
  <si>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</si>
  <si>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</si>
  <si>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Manor Solomon</t>
    </r>
  </si>
  <si>
    <r>
      <rPr>
        <rFont val="Verdana, sans-serif"/>
        <color rgb="FF1155CC"/>
        <sz val="8.0"/>
        <u/>
      </rPr>
      <t>il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ISR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</si>
  <si>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</si>
  <si>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</si>
  <si>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Sonne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</si>
  <si>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</si>
  <si>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</si>
  <si>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</si>
  <si>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Borna Sosa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</si>
  <si>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</si>
  <si>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</si>
  <si>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</si>
  <si>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Tomáš Souček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</si>
  <si>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</si>
  <si>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</si>
  <si>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</si>
  <si>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Souza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</si>
  <si>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</si>
  <si>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</si>
  <si>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</si>
  <si>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Djed Spence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</si>
  <si>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</si>
  <si>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</si>
  <si>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</si>
  <si>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Stach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</si>
  <si>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</si>
  <si>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</si>
  <si>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</si>
  <si>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Jason Steele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</si>
  <si>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</si>
  <si>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</si>
  <si>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</si>
  <si>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Stephenson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</si>
  <si>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</si>
  <si>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</si>
  <si>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Stevens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</si>
  <si>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</si>
  <si>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</si>
  <si>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</si>
  <si>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Stones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</si>
  <si>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</si>
  <si>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</si>
  <si>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</si>
  <si>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Jørgen Strand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</si>
  <si>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</si>
  <si>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</si>
  <si>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</si>
  <si>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Jørgen Strand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</si>
  <si>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</si>
  <si>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</si>
  <si>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</si>
  <si>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Struijk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</si>
  <si>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</si>
  <si>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</si>
  <si>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</si>
  <si>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Crysencio Summerville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</si>
  <si>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</si>
  <si>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</si>
  <si>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</si>
  <si>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Sutherland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</si>
  <si>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</si>
  <si>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</si>
  <si>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</si>
  <si>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Dominik Szoboszlai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</si>
  <si>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</si>
  <si>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</si>
  <si>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</si>
  <si>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Jocelin Ta Bi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</si>
  <si>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</si>
  <si>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</si>
  <si>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</si>
  <si>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Kōta Takai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</si>
  <si>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</si>
  <si>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</si>
  <si>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</si>
  <si>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Chemsdine Talbi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</si>
  <si>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</si>
  <si>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</si>
  <si>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</si>
  <si>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Ao Tanaka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</si>
  <si>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</si>
  <si>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</si>
  <si>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</si>
  <si>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Tarkowski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</si>
  <si>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</si>
  <si>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</si>
  <si>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</si>
  <si>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Tasker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</si>
  <si>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</si>
  <si>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</si>
  <si>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</si>
  <si>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Tavernier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</si>
  <si>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</si>
  <si>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</si>
  <si>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</si>
  <si>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Loum Tchaouna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</si>
  <si>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</si>
  <si>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</si>
  <si>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</si>
  <si>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Jackson Tchatchoua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</si>
  <si>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</si>
  <si>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</si>
  <si>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</si>
  <si>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Mathys Tel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</si>
  <si>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</si>
  <si>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</si>
  <si>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</si>
  <si>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Kenny Tete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</si>
  <si>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</si>
  <si>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</si>
  <si>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</si>
  <si>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 Thiago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</si>
  <si>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</si>
  <si>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</si>
  <si>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</si>
  <si>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Thiaw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</si>
  <si>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</si>
  <si>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</si>
  <si>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</si>
  <si>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Jim Thwaites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</si>
  <si>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</si>
  <si>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</si>
  <si>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</si>
  <si>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Youri Tielemans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</si>
  <si>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</si>
  <si>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</si>
  <si>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</si>
  <si>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Jurriën Timber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</si>
  <si>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</si>
  <si>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</si>
  <si>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</si>
  <si>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Jean-Clair Todibo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</si>
  <si>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</si>
  <si>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</si>
  <si>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</si>
  <si>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Sandro Tonali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</si>
  <si>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</si>
  <si>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</si>
  <si>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</si>
  <si>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 Torres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</si>
  <si>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</si>
  <si>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</si>
  <si>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</si>
  <si>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Tóth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</si>
  <si>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</si>
  <si>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</si>
  <si>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</si>
  <si>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Trafford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</si>
  <si>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</si>
  <si>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</si>
  <si>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</si>
  <si>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Adama Traoré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</si>
  <si>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</si>
  <si>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</si>
  <si>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</si>
  <si>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Adama Traoré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</si>
  <si>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</si>
  <si>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</si>
  <si>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</si>
  <si>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Bertrand Traoré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</si>
  <si>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</si>
  <si>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</si>
  <si>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</si>
  <si>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 Travers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</si>
  <si>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</si>
  <si>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</si>
  <si>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</si>
  <si>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Mike Trésor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</si>
  <si>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</si>
  <si>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</si>
  <si>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</si>
  <si>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Kieran Trippier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</si>
  <si>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</si>
  <si>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</si>
  <si>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</si>
  <si>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Leandro Trossard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</si>
  <si>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</si>
  <si>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</si>
  <si>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</si>
  <si>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Adrien Truffert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</si>
  <si>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</si>
  <si>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</si>
  <si>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</si>
  <si>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Tuanzebe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</si>
  <si>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</si>
  <si>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</si>
  <si>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</si>
  <si>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Timur Tuterov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</si>
  <si>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</si>
  <si>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</si>
  <si>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</si>
  <si>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Tyrer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</si>
  <si>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</si>
  <si>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</si>
  <si>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</si>
  <si>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Stefanos Tzimas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</si>
  <si>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</si>
  <si>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</si>
  <si>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</si>
  <si>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Christantus Uche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</si>
  <si>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</si>
  <si>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</si>
  <si>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</si>
  <si>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Destiny Udogie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</si>
  <si>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</si>
  <si>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</si>
  <si>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</si>
  <si>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Manuel Ugarte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</si>
  <si>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</si>
  <si>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</si>
  <si>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</si>
  <si>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Lesley Ugochukwu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</si>
  <si>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</si>
  <si>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</si>
  <si>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</si>
  <si>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Enes Ünal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</si>
  <si>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</si>
  <si>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</si>
  <si>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</si>
  <si>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</si>
  <si>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</si>
  <si>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</si>
  <si>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</si>
  <si>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Virgil van Dijk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</si>
  <si>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</si>
  <si>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</si>
  <si>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</si>
  <si>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Joël Veltman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</si>
  <si>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</si>
  <si>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</si>
  <si>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</si>
  <si>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Micky van de Ven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</si>
  <si>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</si>
  <si>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</si>
  <si>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</si>
  <si>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Bart Verbruggen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</si>
  <si>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</si>
  <si>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</si>
  <si>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</si>
  <si>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Guglielmo Vicario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</si>
  <si>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</si>
  <si>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</si>
  <si>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</si>
  <si>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 Vušković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</si>
  <si>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</si>
  <si>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</si>
  <si>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</si>
  <si>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Kyle Walker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</si>
  <si>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</si>
  <si>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</si>
  <si>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</si>
  <si>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Kyle Walker-Peters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</si>
  <si>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</si>
  <si>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</si>
  <si>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</si>
  <si>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Wan-Bissaka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</si>
  <si>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</si>
  <si>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</si>
  <si>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</si>
  <si>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Ward-Prowse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</si>
  <si>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</si>
  <si>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</si>
  <si>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</si>
  <si>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Ward-Prowse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</si>
  <si>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</si>
  <si>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</si>
  <si>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</si>
  <si>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Ollie Watkins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</si>
  <si>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</si>
  <si>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</si>
  <si>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</si>
  <si>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Watson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</si>
  <si>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</si>
  <si>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</si>
  <si>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</si>
  <si>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Weiß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</si>
  <si>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</si>
  <si>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</si>
  <si>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</si>
  <si>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Danny Welbeck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</si>
  <si>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</si>
  <si>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</si>
  <si>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</si>
  <si>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Reece Welch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</si>
  <si>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</si>
  <si>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</si>
  <si>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</si>
  <si>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Wharton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</si>
  <si>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</si>
  <si>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</si>
  <si>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</si>
  <si>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White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</si>
  <si>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</si>
  <si>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</si>
  <si>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</si>
  <si>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Archie Whitehall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</si>
  <si>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</si>
  <si>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</si>
  <si>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</si>
  <si>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Whittaker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</si>
  <si>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</si>
  <si>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</si>
  <si>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</si>
  <si>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Mats Wieffer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</si>
  <si>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</si>
  <si>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</si>
  <si>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</si>
  <si>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 Williams Barnett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</si>
  <si>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</si>
  <si>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</si>
  <si>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</si>
  <si>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Neco Williams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</si>
  <si>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</si>
  <si>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</si>
  <si>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</si>
  <si>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Estêvão Willian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</si>
  <si>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</si>
  <si>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</si>
  <si>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</si>
  <si>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Willock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</si>
  <si>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</si>
  <si>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</si>
  <si>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</si>
  <si>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Wilson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</si>
  <si>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</si>
  <si>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</si>
  <si>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</si>
  <si>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Wilson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</si>
  <si>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</si>
  <si>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</si>
  <si>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</si>
  <si>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Wilson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</si>
  <si>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</si>
  <si>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</si>
  <si>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</si>
  <si>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Winterburn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</si>
  <si>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</si>
  <si>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</si>
  <si>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</si>
  <si>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Florian Wirtz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</si>
  <si>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</si>
  <si>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</si>
  <si>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</si>
  <si>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Yoane Wissa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</si>
  <si>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</si>
  <si>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</si>
  <si>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</si>
  <si>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 Woltemade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</si>
  <si>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</si>
  <si>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</si>
  <si>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</si>
  <si>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Wood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</si>
  <si>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</si>
  <si>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</si>
  <si>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</si>
  <si>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Freddie Woodman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</si>
  <si>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</si>
  <si>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</si>
  <si>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</si>
  <si>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Worrall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</si>
  <si>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</si>
  <si>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</si>
  <si>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</si>
  <si>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Wright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</si>
  <si>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</si>
  <si>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</si>
  <si>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</si>
  <si>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 Wright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</si>
  <si>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</si>
  <si>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</si>
  <si>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Granit Xhaka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</si>
  <si>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</si>
  <si>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</si>
  <si>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</si>
  <si>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Yehor Yarmoliuk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</si>
  <si>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</si>
  <si>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</si>
  <si>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</si>
  <si>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Yates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</si>
  <si>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</si>
  <si>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</si>
  <si>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</si>
  <si>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Leny Yoro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</si>
  <si>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</si>
  <si>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</si>
  <si>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</si>
  <si>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Oleksandr Zinchenko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</si>
  <si>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</si>
  <si>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</si>
  <si>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</si>
  <si>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Zirkzee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</si>
  <si>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</si>
  <si>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</si>
  <si>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</si>
  <si>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Martín Zubimendi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</si>
  <si>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</si>
  <si>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</si>
  <si>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</si>
  <si>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Ødegaard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</si>
  <si>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</si>
  <si>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</si>
  <si>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</si>
  <si>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t>Weekly Wages</t>
  </si>
  <si>
    <t>Annual Wages</t>
  </si>
  <si>
    <t>Notes</t>
  </si>
  <si>
    <r>
      <rPr>
        <rFont val="Verdana, sans-serif"/>
        <color rgb="FF1155CC"/>
        <u/>
      </rPr>
      <t>Erling Haaland</t>
    </r>
  </si>
  <si>
    <r>
      <t xml:space="preserve">no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</si>
  <si>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Manchester City</t>
    </r>
  </si>
  <si>
    <t>£ 525,000 (€ 605,676, $705,374)</t>
  </si>
  <si>
    <t>£ 27,300,000 (€ 31,495,158, $36,679,453)</t>
  </si>
  <si>
    <r>
      <rPr>
        <rFont val="Verdana, sans-serif"/>
        <color rgb="FF1155CC"/>
        <u/>
      </rPr>
      <t>Mohamed Salah</t>
    </r>
  </si>
  <si>
    <r>
      <t xml:space="preserve">eg </t>
    </r>
    <r>
      <rPr>
        <rFont val="Verdana, sans-serif"/>
        <color rgb="FF1155CC"/>
        <sz val="8.0"/>
        <u/>
      </rPr>
      <t>EGY</t>
    </r>
  </si>
  <si>
    <r>
      <rPr>
        <rFont val="Verdana, sans-serif"/>
        <color rgb="FF1155CC"/>
        <u/>
      </rPr>
      <t>Liverpool</t>
    </r>
  </si>
  <si>
    <t>£ 400,000 (€ 461,468, $537,428)</t>
  </si>
  <si>
    <t>£ 20,800,000 (€ 23,996,311, $27,946,250)</t>
  </si>
  <si>
    <r>
      <rPr>
        <rFont val="Verdana, sans-serif"/>
        <color rgb="FF1155CC"/>
        <u/>
      </rPr>
      <t>Casemiro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</si>
  <si>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</si>
  <si>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Utd</t>
    </r>
  </si>
  <si>
    <t>£ 350,000 (€ 403,784, $470,249)</t>
  </si>
  <si>
    <t>£ 18,200,000 (€ 20,996,772, $24,452,968)</t>
  </si>
  <si>
    <r>
      <rPr>
        <rFont val="Verdana, sans-serif"/>
        <color rgb="FF1155CC"/>
        <u/>
      </rPr>
      <t>Virgil van Dijk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</si>
  <si>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</si>
  <si>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</si>
  <si>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Bruno Fernandes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</si>
  <si>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</si>
  <si>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Utd</t>
    </r>
  </si>
  <si>
    <t>£ 300,000 (€ 346,101, $403,071)</t>
  </si>
  <si>
    <t>£ 15,600,000 (€ 17,997,233, $20,959,687)</t>
  </si>
  <si>
    <r>
      <rPr>
        <rFont val="Verdana, sans-serif"/>
        <color rgb="FF1155CC"/>
        <u/>
      </rPr>
      <t>Bernardo Silva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</si>
  <si>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</si>
  <si>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</si>
  <si>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Omar Marmoush</t>
    </r>
  </si>
  <si>
    <r>
      <t xml:space="preserve">eg </t>
    </r>
    <r>
      <rPr>
        <rFont val="Verdana, sans-serif"/>
        <color rgb="FF1155CC"/>
        <sz val="8.0"/>
        <u/>
      </rPr>
      <t>EGY</t>
    </r>
  </si>
  <si>
    <r>
      <rPr>
        <rFont val="Verdana, sans-serif"/>
        <color rgb="FF1155CC"/>
        <u/>
      </rPr>
      <t>Manchester City</t>
    </r>
  </si>
  <si>
    <t>£ 295,000 (€ 340,332, $396,353)</t>
  </si>
  <si>
    <t>£ 15,340,000 (€ 17,697,279, $20,610,359)</t>
  </si>
  <si>
    <r>
      <rPr>
        <rFont val="Verdana, sans-serif"/>
        <color rgb="FF1155CC"/>
        <u/>
      </rPr>
      <t>Alexander Isak</t>
    </r>
  </si>
  <si>
    <r>
      <t xml:space="preserve">se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</si>
  <si>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Liverpool</t>
    </r>
  </si>
  <si>
    <t>£ 280,000 (€ 323,027, $376,200)</t>
  </si>
  <si>
    <t>£ 14,560,000 (€ 16,797,417, $19,562,375)</t>
  </si>
  <si>
    <r>
      <rPr>
        <rFont val="Verdana, sans-serif"/>
        <color rgb="FF1155CC"/>
        <u/>
      </rPr>
      <t>Kai Havertz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</si>
  <si>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</si>
  <si>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</si>
  <si>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Gabriel Jesus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</si>
  <si>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</si>
  <si>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</si>
  <si>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t>£ 265,000 (€ 305,722, $356,046)</t>
  </si>
  <si>
    <t>£ 13,780,000 (€ 15,897,556, $18,514,390)</t>
  </si>
  <si>
    <r>
      <rPr>
        <rFont val="Verdana, sans-serif"/>
        <color rgb="FF1155CC"/>
        <u/>
      </rPr>
      <t>Marc Guéhi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</si>
  <si>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</si>
  <si>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</si>
  <si>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t>£ 250,000 (€ 288,658, $335,508)</t>
  </si>
  <si>
    <t>£ 13,000,000 (€ 15,010,198, $17,446,419)</t>
  </si>
  <si>
    <r>
      <rPr>
        <rFont val="Verdana, sans-serif"/>
        <color rgb="FF1155CC"/>
        <u/>
      </rPr>
      <t>Cody Gakpo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</si>
  <si>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</si>
  <si>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</si>
  <si>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t>£ 250,000 (€ 288,417, $335,892)</t>
  </si>
  <si>
    <t>£ 13,000,000 (€ 14,997,694, $17,466,406)</t>
  </si>
  <si>
    <t>Unverified estimation</t>
  </si>
  <si>
    <r>
      <rPr>
        <rFont val="Verdana, sans-serif"/>
        <color rgb="FF1155CC"/>
        <u/>
      </rPr>
      <t>Gianluigi Donnarumma</t>
    </r>
  </si>
  <si>
    <r>
      <t xml:space="preserve">it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</si>
  <si>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</si>
  <si>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John Stones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</si>
  <si>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</si>
  <si>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</si>
  <si>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Rúben Dias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</si>
  <si>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</si>
  <si>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</si>
  <si>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Reece James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</si>
  <si>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</si>
  <si>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</si>
  <si>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William Saliba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</si>
  <si>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</si>
  <si>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</si>
  <si>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Declan Rice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</si>
  <si>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</si>
  <si>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</si>
  <si>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t>£ 240,000 (€ 276,881, $322,457)</t>
  </si>
  <si>
    <t>£ 12,480,000 (€ 14,397,786, $16,767,750)</t>
  </si>
  <si>
    <r>
      <rPr>
        <rFont val="Verdana, sans-serif"/>
        <color rgb="FF1155CC"/>
        <u/>
      </rPr>
      <t>Martin Ødegaard</t>
    </r>
  </si>
  <si>
    <r>
      <t xml:space="preserve">no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</si>
  <si>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</si>
  <si>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Tijjani Reijnders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</si>
  <si>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</si>
  <si>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City</t>
    </r>
  </si>
  <si>
    <t>£ 230,000 (€ 265,344, $309,021)</t>
  </si>
  <si>
    <t>£ 11,960,000 (€ 13,797,879, $16,069,093)</t>
  </si>
  <si>
    <r>
      <rPr>
        <rFont val="Verdana, sans-serif"/>
        <color rgb="FF1155CC"/>
        <u/>
      </rPr>
      <t>Phil Foden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</si>
  <si>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</si>
  <si>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</si>
  <si>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t>£ 225,000 (€ 259,575, $302,303)</t>
  </si>
  <si>
    <t>£ 11,700,000 (€ 13,497,925, $15,719,765)</t>
  </si>
  <si>
    <r>
      <rPr>
        <rFont val="Verdana, sans-serif"/>
        <color rgb="FF1155CC"/>
        <u/>
      </rPr>
      <t>Rodri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</si>
  <si>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</si>
  <si>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Manchester City</t>
    </r>
  </si>
  <si>
    <t>£ 220,000 (€ 253,807, $295,585)</t>
  </si>
  <si>
    <t>£ 11,440,000 (€ 13,197,971, $15,370,437)</t>
  </si>
  <si>
    <r>
      <rPr>
        <rFont val="Verdana, sans-serif"/>
        <color rgb="FF1155CC"/>
        <u/>
      </rPr>
      <t>Florian Wirtz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</si>
  <si>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</si>
  <si>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Liverpool</t>
    </r>
  </si>
  <si>
    <t>£ 200,000 (€ 230,734, $268,714)</t>
  </si>
  <si>
    <t>£ 10,400,000 (€ 11,998,155, $13,973,125)</t>
  </si>
  <si>
    <r>
      <rPr>
        <rFont val="Verdana, sans-serif"/>
        <color rgb="FF1155CC"/>
        <u/>
      </rPr>
      <t>Hugo Ekitike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</si>
  <si>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</si>
  <si>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</si>
  <si>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Joško Gvardiol</t>
    </r>
  </si>
  <si>
    <r>
      <t xml:space="preserve">hr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</si>
  <si>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</si>
  <si>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Wesley Fofana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</si>
  <si>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</si>
  <si>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</si>
  <si>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Viktor Gyökeres</t>
    </r>
  </si>
  <si>
    <r>
      <t xml:space="preserve">se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</si>
  <si>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</si>
  <si>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Matthijs de Ligt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</si>
  <si>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</si>
  <si>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</si>
  <si>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t>£ 195,000 (€ 224,965, $261,996)</t>
  </si>
  <si>
    <t>£ 10,140,000 (€ 11,698,201, $13,623,797)</t>
  </si>
  <si>
    <r>
      <rPr>
        <rFont val="Verdana, sans-serif"/>
        <color rgb="FF1155CC"/>
        <u/>
      </rPr>
      <t>Cristian Romero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</si>
  <si>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</si>
  <si>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</si>
  <si>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Xavi Simons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</si>
  <si>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</si>
  <si>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</si>
  <si>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Bukayo Saka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</si>
  <si>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</si>
  <si>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</si>
  <si>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Harry Maguire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</si>
  <si>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</si>
  <si>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</si>
  <si>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t>£ 190,000 (€ 219,197, $255,278)</t>
  </si>
  <si>
    <t>£ 9,880,000 (€ 11,398,248, $13,274,469)</t>
  </si>
  <si>
    <r>
      <rPr>
        <rFont val="Verdana, sans-serif"/>
        <color rgb="FF1155CC"/>
        <u/>
      </rPr>
      <t>Matheus Cunha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</si>
  <si>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</si>
  <si>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Utd</t>
    </r>
  </si>
  <si>
    <t>£ 180,000 (€ 207,660, $241,843)</t>
  </si>
  <si>
    <t>£ 9,360,000 (€ 10,798,340, $12,575,812)</t>
  </si>
  <si>
    <r>
      <rPr>
        <rFont val="Verdana, sans-serif"/>
        <color rgb="FF1155CC"/>
        <u/>
      </rPr>
      <t>Rayan Cherki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</si>
  <si>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</si>
  <si>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</si>
  <si>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Enzo Fernández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</si>
  <si>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</si>
  <si>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</si>
  <si>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Eberechi Eze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</si>
  <si>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</si>
  <si>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</si>
  <si>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Gabriel Martinelli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</si>
  <si>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</si>
  <si>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</si>
  <si>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Leandro Trossard</t>
    </r>
  </si>
  <si>
    <r>
      <t xml:space="preserve">be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</si>
  <si>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</si>
  <si>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Marc Cucurella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</si>
  <si>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</si>
  <si>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</si>
  <si>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t>£ 175,000 (€ 201,892, $235,125)</t>
  </si>
  <si>
    <t>£ 9,100,000 (€ 10,498,386, $12,226,484)</t>
  </si>
  <si>
    <r>
      <rPr>
        <rFont val="Verdana, sans-serif"/>
        <color rgb="FF1155CC"/>
        <u/>
      </rPr>
      <t>James Maddison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</si>
  <si>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</si>
  <si>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</si>
  <si>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t>£ 170,000 (€ 196,124, $228,407)</t>
  </si>
  <si>
    <t>£ 8,840,000 (€ 10,198,432, $11,877,156)</t>
  </si>
  <si>
    <r>
      <rPr>
        <rFont val="Verdana, sans-serif"/>
        <color rgb="FF1155CC"/>
        <u/>
      </rPr>
      <t>Conor Gallagher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</si>
  <si>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</si>
  <si>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</si>
  <si>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t>£ 160,000 (€ 184,741, $214,725)</t>
  </si>
  <si>
    <t>£ 8,320,000 (€ 9,606,527, $11,165,708)</t>
  </si>
  <si>
    <r>
      <rPr>
        <rFont val="Verdana, sans-serif"/>
        <color rgb="FF1155CC"/>
        <u/>
      </rPr>
      <t>Benjamin Šeško</t>
    </r>
  </si>
  <si>
    <r>
      <t xml:space="preserve">si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</si>
  <si>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Manchester Utd</t>
    </r>
  </si>
  <si>
    <t>£ 160,000 (€ 184,587, $214,971)</t>
  </si>
  <si>
    <t>£ 8,320,000 (€ 9,598,524, $11,178,500)</t>
  </si>
  <si>
    <r>
      <rPr>
        <rFont val="Verdana, sans-serif"/>
        <color rgb="FF1155CC"/>
        <u/>
      </rPr>
      <t>Andrew Robertson</t>
    </r>
  </si>
  <si>
    <r>
      <t xml:space="preserve">sct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</si>
  <si>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</si>
  <si>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Bruno Guimarães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</si>
  <si>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</si>
  <si>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</si>
  <si>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Nathan Aké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</si>
  <si>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</si>
  <si>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</si>
  <si>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Pedro Neto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</si>
  <si>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</si>
  <si>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</si>
  <si>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Antoine Semenyo</t>
    </r>
  </si>
  <si>
    <r>
      <t xml:space="preserve">gh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</si>
  <si>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Manchester City</t>
    </r>
  </si>
  <si>
    <t>£ 150,000 (€ 173,195, $201,305)</t>
  </si>
  <si>
    <t>£ 7,800,000 (€ 9,006,119, $10,467,851)</t>
  </si>
  <si>
    <r>
      <rPr>
        <rFont val="Verdana, sans-serif"/>
        <color rgb="FF1155CC"/>
        <u/>
      </rPr>
      <t>Bryan Mbeumo</t>
    </r>
  </si>
  <si>
    <r>
      <t xml:space="preserve">cm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</si>
  <si>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Manchester Utd</t>
    </r>
  </si>
  <si>
    <t>£ 150,000 (€ 173,050, $201,535)</t>
  </si>
  <si>
    <t>£ 7,800,000 (€ 8,998,616, $10,479,844)</t>
  </si>
  <si>
    <r>
      <rPr>
        <rFont val="Verdana, sans-serif"/>
        <color rgb="FF1155CC"/>
        <u/>
      </rPr>
      <t>Luke Shaw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</si>
  <si>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</si>
  <si>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</si>
  <si>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Mason Mount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</si>
  <si>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</si>
  <si>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</si>
  <si>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Mohammed Kudus</t>
    </r>
  </si>
  <si>
    <r>
      <t xml:space="preserve">gh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</si>
  <si>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</si>
  <si>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Randal Kolo Muani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</si>
  <si>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</si>
  <si>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</si>
  <si>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Jarrod Bowen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</si>
  <si>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</si>
  <si>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</si>
  <si>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Alexis Mac Allister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</si>
  <si>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</si>
  <si>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</si>
  <si>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Alisson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</si>
  <si>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</si>
  <si>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</si>
  <si>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Federico Chiesa</t>
    </r>
  </si>
  <si>
    <r>
      <t xml:space="preserve">it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</si>
  <si>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</si>
  <si>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Ryan Gravenberch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</si>
  <si>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</si>
  <si>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</si>
  <si>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Boubacar Kamara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</si>
  <si>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</si>
  <si>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</si>
  <si>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Emiliano Martínez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</si>
  <si>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</si>
  <si>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</si>
  <si>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Morgan Rogers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</si>
  <si>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</si>
  <si>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</si>
  <si>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Youri Tielemans</t>
    </r>
  </si>
  <si>
    <r>
      <t xml:space="preserve">be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</si>
  <si>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</si>
  <si>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Anthony Gordon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</si>
  <si>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</si>
  <si>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</si>
  <si>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Joelinton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</si>
  <si>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</si>
  <si>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</si>
  <si>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Sandro Tonali</t>
    </r>
  </si>
  <si>
    <r>
      <t xml:space="preserve">it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</si>
  <si>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</si>
  <si>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Kalvin Phillips</t>
    </r>
  </si>
  <si>
    <r>
      <t xml:space="preserve">eng </t>
    </r>
    <r>
      <rPr>
        <rFont val="Verdana, sans-serif"/>
        <color rgb="FF1155CC"/>
        <sz val="8.0"/>
        <u/>
      </rPr>
      <t>ENG</t>
    </r>
  </si>
  <si>
    <t>DM</t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</si>
  <si>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</si>
  <si>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Mateo Kovačić</t>
    </r>
  </si>
  <si>
    <r>
      <t xml:space="preserve">hr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</si>
  <si>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</si>
  <si>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Moisés Caicedo</t>
    </r>
  </si>
  <si>
    <r>
      <t xml:space="preserve">ec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</si>
  <si>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</si>
  <si>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Jordan Pickford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</si>
  <si>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</si>
  <si>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</si>
  <si>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Ben White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</si>
  <si>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</si>
  <si>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</si>
  <si>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Gabriel Magalhães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</si>
  <si>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</si>
  <si>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</si>
  <si>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Noni Madueke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</si>
  <si>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</si>
  <si>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</si>
  <si>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Tammy Abraham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</si>
  <si>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</si>
  <si>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</si>
  <si>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t>£ 140,000 (€ 161,648, $187,885)</t>
  </si>
  <si>
    <t>£ 7,280,000 (€ 8,405,711, $9,769,995)</t>
  </si>
  <si>
    <r>
      <rPr>
        <rFont val="Verdana, sans-serif"/>
        <color rgb="FF1155CC"/>
        <u/>
      </rPr>
      <t>Dominic Solanke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</si>
  <si>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</si>
  <si>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</si>
  <si>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t>£ 140,000 (€ 161,514, $188,100)</t>
  </si>
  <si>
    <t>£ 7,280,000 (€ 8,398,709, $9,781,187)</t>
  </si>
  <si>
    <r>
      <rPr>
        <rFont val="Verdana, sans-serif"/>
        <color rgb="FF1155CC"/>
        <u/>
      </rPr>
      <t>Amadou Onana</t>
    </r>
  </si>
  <si>
    <r>
      <t xml:space="preserve">be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</si>
  <si>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</si>
  <si>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Donyell Malen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</si>
  <si>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</si>
  <si>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</si>
  <si>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Yoane Wissa</t>
    </r>
  </si>
  <si>
    <r>
      <t xml:space="preserve">cd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</si>
  <si>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</si>
  <si>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João Palhinha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</si>
  <si>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</si>
  <si>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Tottenham Hotspur</t>
    </r>
  </si>
  <si>
    <t>£ 135,000 (€ 155,875, $181,174)</t>
  </si>
  <si>
    <t>£ 7,020,000 (€ 8,105,507, $9,421,066)</t>
  </si>
  <si>
    <r>
      <rPr>
        <rFont val="Verdana, sans-serif"/>
        <color rgb="FF1155CC"/>
        <u/>
      </rPr>
      <t>Noussair Mazraoui</t>
    </r>
  </si>
  <si>
    <r>
      <t xml:space="preserve">ma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</si>
  <si>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Manchester Utd</t>
    </r>
  </si>
  <si>
    <t>£ 135,000 (€ 155,745, $181,382)</t>
  </si>
  <si>
    <t>£ 7,020,000 (€ 8,098,755, $9,431,859)</t>
  </si>
  <si>
    <r>
      <rPr>
        <rFont val="Verdana, sans-serif"/>
        <color rgb="FF1155CC"/>
        <u/>
      </rPr>
      <t>Lucas Digne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</si>
  <si>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</si>
  <si>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</si>
  <si>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Nick Woltemade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</si>
  <si>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</si>
  <si>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Newcastle United</t>
    </r>
  </si>
  <si>
    <t>£ 132,500 (€ 152,861, $178,023)</t>
  </si>
  <si>
    <t>£ 6,890,000 (€ 7,948,778, $9,257,195)</t>
  </si>
  <si>
    <r>
      <rPr>
        <rFont val="Verdana, sans-serif"/>
        <color rgb="FF1155CC"/>
        <u/>
      </rPr>
      <t>John McGinn</t>
    </r>
  </si>
  <si>
    <r>
      <t xml:space="preserve">sct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</si>
  <si>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Aston Villa</t>
    </r>
  </si>
  <si>
    <t>£ 130,000 (€ 149,977, $174,664)</t>
  </si>
  <si>
    <t>£ 6,760,000 (€ 7,798,801, $9,082,531)</t>
  </si>
  <si>
    <r>
      <rPr>
        <rFont val="Verdana, sans-serif"/>
        <color rgb="FF1155CC"/>
        <u/>
      </rPr>
      <t>Ollie Watkins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</si>
  <si>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</si>
  <si>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</si>
  <si>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Matheus Nunes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</si>
  <si>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</si>
  <si>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</si>
  <si>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Cole Palmer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</si>
  <si>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</si>
  <si>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</si>
  <si>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Bernd Leno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</si>
  <si>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</si>
  <si>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</si>
  <si>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Mikel Merino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</si>
  <si>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</si>
  <si>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</si>
  <si>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João Pedro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</si>
  <si>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</si>
  <si>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</si>
  <si>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t>£ 125,000 (€ 144,209, $167,946)</t>
  </si>
  <si>
    <t>£ 6,500,000 (€ 7,498,847, $8,733,203)</t>
  </si>
  <si>
    <r>
      <rPr>
        <rFont val="Verdana, sans-serif"/>
        <color rgb="FF1155CC"/>
        <u/>
      </rPr>
      <t>Jørgen Strand Larsen</t>
    </r>
  </si>
  <si>
    <r>
      <t xml:space="preserve">no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</si>
  <si>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Crystal Palace</t>
    </r>
  </si>
  <si>
    <t>£ 120,000 (€ 138,556, $161,044)</t>
  </si>
  <si>
    <t>£ 6,240,000 (€ 7,204,895, $8,374,281)</t>
  </si>
  <si>
    <r>
      <rPr>
        <rFont val="Verdana, sans-serif"/>
        <color rgb="FF1155CC"/>
        <u/>
      </rPr>
      <t>Leon Bailey</t>
    </r>
  </si>
  <si>
    <r>
      <t xml:space="preserve">jm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</si>
  <si>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</si>
  <si>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Samuel Chukwueze</t>
    </r>
  </si>
  <si>
    <r>
      <t xml:space="preserve">ng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</si>
  <si>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</si>
  <si>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Amad Diallo</t>
    </r>
  </si>
  <si>
    <r>
      <t xml:space="preserve">ci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</si>
  <si>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Manchester Utd</t>
    </r>
  </si>
  <si>
    <t>£ 120,000 (€ 138,440, $161,228)</t>
  </si>
  <si>
    <t>£ 6,240,000 (€ 7,198,893, $8,383,875)</t>
  </si>
  <si>
    <r>
      <rPr>
        <rFont val="Verdana, sans-serif"/>
        <color rgb="FF1155CC"/>
        <u/>
      </rPr>
      <t>Lisandro Martínez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</si>
  <si>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</si>
  <si>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</si>
  <si>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Manuel Ugarte</t>
    </r>
  </si>
  <si>
    <r>
      <t xml:space="preserve">uy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</si>
  <si>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</si>
  <si>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Alphonse Areola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</si>
  <si>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</si>
  <si>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</si>
  <si>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Dominik Szoboszlai</t>
    </r>
  </si>
  <si>
    <r>
      <t xml:space="preserve">hu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</si>
  <si>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</si>
  <si>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Victor Lindelöf</t>
    </r>
  </si>
  <si>
    <r>
      <t xml:space="preserve">se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</si>
  <si>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</si>
  <si>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Aaron Ramsdale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</si>
  <si>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</si>
  <si>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</si>
  <si>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Jacob Ramsey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</si>
  <si>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</si>
  <si>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</si>
  <si>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Kieran Trippier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</si>
  <si>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</si>
  <si>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</si>
  <si>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Rayan Aït-Nouri</t>
    </r>
  </si>
  <si>
    <r>
      <t xml:space="preserve">dz </t>
    </r>
    <r>
      <rPr>
        <rFont val="Verdana, sans-serif"/>
        <color rgb="FF1155CC"/>
        <sz val="8.0"/>
        <u/>
      </rPr>
      <t>ALG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</si>
  <si>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</si>
  <si>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Jorrel Hato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</si>
  <si>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</si>
  <si>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</si>
  <si>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Tosin Adarabioyo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</si>
  <si>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</si>
  <si>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</si>
  <si>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Idrissa Gana Gueye</t>
    </r>
  </si>
  <si>
    <r>
      <t xml:space="preserve">sn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</si>
  <si>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</si>
  <si>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James Tarkowski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</si>
  <si>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</si>
  <si>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</si>
  <si>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Jarrad Branthwaite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</si>
  <si>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</si>
  <si>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</si>
  <si>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Riccardo Calafiori</t>
    </r>
  </si>
  <si>
    <r>
      <t xml:space="preserve">it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</si>
  <si>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</si>
  <si>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Leny Yoro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</si>
  <si>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</si>
  <si>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Manchester Utd</t>
    </r>
  </si>
  <si>
    <t>£ 115,000 (€ 132,672, $154,511)</t>
  </si>
  <si>
    <t>£ 5,980,000 (€ 6,898,939, $8,034,547)</t>
  </si>
  <si>
    <r>
      <rPr>
        <rFont val="Verdana, sans-serif"/>
        <color rgb="FF1155CC"/>
        <u/>
      </rPr>
      <t>James Ward-Prowse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</si>
  <si>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</si>
  <si>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</si>
  <si>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Brennan Johnson</t>
    </r>
  </si>
  <si>
    <r>
      <t xml:space="preserve">wls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</si>
  <si>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Crystal Palace</t>
    </r>
  </si>
  <si>
    <t>£ 110,000 (€ 127,009, $147,624)</t>
  </si>
  <si>
    <t>£ 5,720,000 (€ 6,604,487, $7,676,424)</t>
  </si>
  <si>
    <r>
      <rPr>
        <rFont val="Verdana, sans-serif"/>
        <color rgb="FF1155CC"/>
        <u/>
      </rPr>
      <t>Dejan Kulusevski</t>
    </r>
  </si>
  <si>
    <r>
      <t xml:space="preserve">se </t>
    </r>
    <r>
      <rPr>
        <rFont val="Verdana, sans-serif"/>
        <color rgb="FF1155CC"/>
        <sz val="8.0"/>
        <u/>
      </rPr>
      <t>SWE</t>
    </r>
  </si>
  <si>
    <t>AM</t>
  </si>
  <si>
    <r>
      <rPr>
        <rFont val="Verdana, sans-serif"/>
        <color rgb="FF1155CC"/>
        <u/>
      </rPr>
      <t>Tottenham Hotspur</t>
    </r>
  </si>
  <si>
    <t>£ 110,000 (€ 126,904, $147,793)</t>
  </si>
  <si>
    <t>£ 5,720,000 (€ 6,598,985, $7,685,219)</t>
  </si>
  <si>
    <r>
      <rPr>
        <rFont val="Verdana, sans-serif"/>
        <color rgb="FF1155CC"/>
        <u/>
      </rPr>
      <t>Tyrone Mings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</si>
  <si>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</si>
  <si>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</si>
  <si>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Granit Xhaka</t>
    </r>
  </si>
  <si>
    <r>
      <t xml:space="preserve">ch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</si>
  <si>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</si>
  <si>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Alejandro Garnacho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</si>
  <si>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</si>
  <si>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</si>
  <si>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Morgan Gibbs-White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</si>
  <si>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</si>
  <si>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</si>
  <si>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Jamie Gittens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</si>
  <si>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</si>
  <si>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</si>
  <si>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t>£ 108,000 (€ 124,596, $145,106)</t>
  </si>
  <si>
    <t>£ 5,616,000 (€ 6,479,004, $7,545,487)</t>
  </si>
  <si>
    <r>
      <rPr>
        <rFont val="Verdana, sans-serif"/>
        <color rgb="FF1155CC"/>
        <u/>
      </rPr>
      <t>Joshua Zirkzee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</si>
  <si>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</si>
  <si>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</si>
  <si>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t>£ 105,000 (€ 121,135, $141,075)</t>
  </si>
  <si>
    <t>£ 5,460,000 (€ 6,299,032, $7,335,891)</t>
  </si>
  <si>
    <r>
      <rPr>
        <rFont val="Verdana, sans-serif"/>
        <color rgb="FF1155CC"/>
        <u/>
      </rPr>
      <t>Daichi Kamada</t>
    </r>
  </si>
  <si>
    <r>
      <t xml:space="preserve">jp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</si>
  <si>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</si>
  <si>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João Gomes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</si>
  <si>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</si>
  <si>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</si>
  <si>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Nikola Milenković</t>
    </r>
  </si>
  <si>
    <r>
      <t xml:space="preserve">rs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</si>
  <si>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</si>
  <si>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Dean Henderson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</si>
  <si>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</si>
  <si>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</si>
  <si>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t>£ 100,000 (€ 115,367, $134,357)</t>
  </si>
  <si>
    <t>£ 5,200,000 (€ 5,999,078, $6,986,562)</t>
  </si>
  <si>
    <r>
      <rPr>
        <rFont val="Verdana, sans-serif"/>
        <color rgb="FF1155CC"/>
        <u/>
      </rPr>
      <t>Dominic Calvert-Lewin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</si>
  <si>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</si>
  <si>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</si>
  <si>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Max Kilman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</si>
  <si>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</si>
  <si>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</si>
  <si>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Jeremie Frimpong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</si>
  <si>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</si>
  <si>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</si>
  <si>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Ian Maatsen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</si>
  <si>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</si>
  <si>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</si>
  <si>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Matty Cash</t>
    </r>
  </si>
  <si>
    <r>
      <t xml:space="preserve">pl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</si>
  <si>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</si>
  <si>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Pau Torres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</si>
  <si>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</si>
  <si>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</si>
  <si>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Nordi Mukiele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</si>
  <si>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</si>
  <si>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</si>
  <si>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Anthony Elanga</t>
    </r>
  </si>
  <si>
    <r>
      <t xml:space="preserve">se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</si>
  <si>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</si>
  <si>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Levi Colwill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</si>
  <si>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</si>
  <si>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</si>
  <si>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Liam Delap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</si>
  <si>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</si>
  <si>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</si>
  <si>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Mykhailo Mudryk</t>
    </r>
  </si>
  <si>
    <r>
      <t xml:space="preserve">ua </t>
    </r>
    <r>
      <rPr>
        <rFont val="Verdana, sans-serif"/>
        <color rgb="FF1155CC"/>
        <sz val="8.0"/>
        <u/>
      </rPr>
      <t>UKR</t>
    </r>
  </si>
  <si>
    <t>LW</t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</si>
  <si>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</si>
  <si>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Raúl Jiménez</t>
    </r>
  </si>
  <si>
    <r>
      <t xml:space="preserve">mx </t>
    </r>
    <r>
      <rPr>
        <rFont val="Verdana, sans-serif"/>
        <color rgb="FF1155CC"/>
        <sz val="8.0"/>
        <u/>
      </rPr>
      <t>MEX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</si>
  <si>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</si>
  <si>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David Raya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</si>
  <si>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</si>
  <si>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</si>
  <si>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Pascal Groß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</si>
  <si>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</si>
  <si>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Brighton</t>
    </r>
  </si>
  <si>
    <t>£ 90,000 (€ 103,917, $120,783)</t>
  </si>
  <si>
    <t>£ 4,680,000 (€ 5,403,671, $6,280,711)</t>
  </si>
  <si>
    <r>
      <rPr>
        <rFont val="Verdana, sans-serif"/>
        <color rgb="FF1155CC"/>
        <u/>
      </rPr>
      <t>Micky van de Ven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</si>
  <si>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</si>
  <si>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Tottenham Hotspur</t>
    </r>
  </si>
  <si>
    <t>£ 90,000 (€ 103,830, $120,921)</t>
  </si>
  <si>
    <t>£ 4,680,000 (€ 5,399,170, $6,287,906)</t>
  </si>
  <si>
    <r>
      <rPr>
        <rFont val="Verdana, sans-serif"/>
        <color rgb="FF1155CC"/>
        <u/>
      </rPr>
      <t>Richarlison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</si>
  <si>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</si>
  <si>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</si>
  <si>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Eddie Nketiah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</si>
  <si>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</si>
  <si>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</si>
  <si>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Jack Harrison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</si>
  <si>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</si>
  <si>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</si>
  <si>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Aaron Wan-Bissaka</t>
    </r>
  </si>
  <si>
    <r>
      <t xml:space="preserve">cd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</si>
  <si>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</si>
  <si>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Niclas Füllkrug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</si>
  <si>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</si>
  <si>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</si>
  <si>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Tomáš Souček</t>
    </r>
  </si>
  <si>
    <r>
      <t xml:space="preserve">cz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</si>
  <si>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</si>
  <si>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Sven Botman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</si>
  <si>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</si>
  <si>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</si>
  <si>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Benoît Badiashile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</si>
  <si>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</si>
  <si>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</si>
  <si>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Kiernan Dewsbury-Hall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</si>
  <si>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</si>
  <si>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</si>
  <si>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Callum Hudson-Odoi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</si>
  <si>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</si>
  <si>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</si>
  <si>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Chris Wood</t>
    </r>
  </si>
  <si>
    <r>
      <t xml:space="preserve">nz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</si>
  <si>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</si>
  <si>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Joachim Andersen</t>
    </r>
  </si>
  <si>
    <r>
      <t xml:space="preserve">dk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</si>
  <si>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</si>
  <si>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Jurriën Timber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</si>
  <si>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</si>
  <si>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</si>
  <si>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Ferdi Kadioglu</t>
    </r>
  </si>
  <si>
    <r>
      <t xml:space="preserve">tr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</si>
  <si>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Brighton</t>
    </r>
  </si>
  <si>
    <t>£ 87,500 (€ 100,946, $117,562)</t>
  </si>
  <si>
    <t>£ 4,550,000 (€ 5,249,193, $6,113,242)</t>
  </si>
  <si>
    <r>
      <rPr>
        <rFont val="Verdana, sans-serif"/>
        <color rgb="FF1155CC"/>
        <u/>
      </rPr>
      <t>Diogo Dalot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</si>
  <si>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</si>
  <si>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Utd</t>
    </r>
  </si>
  <si>
    <t>£ 85,000 (€ 98,062, $114,203)</t>
  </si>
  <si>
    <t>£ 4,420,000 (€ 5,099,216, $5,938,578)</t>
  </si>
  <si>
    <r>
      <rPr>
        <rFont val="Verdana, sans-serif"/>
        <color rgb="FF1155CC"/>
        <u/>
      </rPr>
      <t>Pedro Porro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</si>
  <si>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</si>
  <si>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</si>
  <si>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Radu Drăgușin</t>
    </r>
  </si>
  <si>
    <r>
      <t xml:space="preserve">ro </t>
    </r>
    <r>
      <rPr>
        <rFont val="Verdana, sans-serif"/>
        <color rgb="FF1155CC"/>
        <sz val="8.0"/>
        <u/>
      </rPr>
      <t>ROU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</si>
  <si>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</si>
  <si>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Evanilson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</si>
  <si>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</si>
  <si>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</si>
  <si>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Giorgi Mamardashvili</t>
    </r>
  </si>
  <si>
    <r>
      <t xml:space="preserve">ge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</si>
  <si>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</si>
  <si>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Joe Gomez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</si>
  <si>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</si>
  <si>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</si>
  <si>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Emmanuel Agbadou</t>
    </r>
  </si>
  <si>
    <r>
      <t xml:space="preserve">ci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</si>
  <si>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</si>
  <si>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Lutsharel Geertruida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</si>
  <si>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</si>
  <si>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</si>
  <si>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Dan Ndoye</t>
    </r>
  </si>
  <si>
    <r>
      <t xml:space="preserve">ch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</si>
  <si>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</si>
  <si>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Ben Davies</t>
    </r>
  </si>
  <si>
    <r>
      <t xml:space="preserve">wls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</si>
  <si>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Tottenham Hotspur</t>
    </r>
  </si>
  <si>
    <t>£ 80,000 (€ 92,294, $107,486)</t>
  </si>
  <si>
    <t>£ 4,160,000 (€ 4,799,262, $5,589,250)</t>
  </si>
  <si>
    <r>
      <rPr>
        <rFont val="Verdana, sans-serif"/>
        <color rgb="FF1155CC"/>
        <u/>
      </rPr>
      <t>Justin Kluivert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</si>
  <si>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</si>
  <si>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</si>
  <si>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Sean Longstaff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</si>
  <si>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</si>
  <si>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</si>
  <si>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Jean-Clair Todibo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</si>
  <si>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</si>
  <si>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</si>
  <si>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Toti Gomes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</si>
  <si>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</si>
  <si>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</si>
  <si>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Harvey Barnes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</si>
  <si>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</si>
  <si>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</si>
  <si>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Joe Willock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</si>
  <si>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</si>
  <si>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</si>
  <si>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Sávio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</si>
  <si>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</si>
  <si>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</si>
  <si>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Kaoru Mitoma</t>
    </r>
  </si>
  <si>
    <r>
      <t xml:space="preserve">jp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</si>
  <si>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</si>
  <si>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Lewis Dunk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</si>
  <si>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</si>
  <si>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</si>
  <si>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Michael Keane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</si>
  <si>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</si>
  <si>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</si>
  <si>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Alex Iwobi</t>
    </r>
  </si>
  <si>
    <r>
      <t xml:space="preserve">ng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</si>
  <si>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</si>
  <si>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Ethan Nwaneri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</si>
  <si>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</si>
  <si>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</si>
  <si>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Valentín Castellanos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</si>
  <si>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</si>
  <si>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West Ham United</t>
    </r>
  </si>
  <si>
    <t>£ 75,000 (€ 86,597, $100,652)</t>
  </si>
  <si>
    <t>£ 3,900,000 (€ 4,503,059, $5,233,926)</t>
  </si>
  <si>
    <r>
      <rPr>
        <rFont val="Verdana, sans-serif"/>
        <color rgb="FF1155CC"/>
        <u/>
      </rPr>
      <t>Tyrell Malacia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</si>
  <si>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</si>
  <si>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</si>
  <si>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t>£ 75,000 (€ 86,525, $100,768)</t>
  </si>
  <si>
    <t>£ 3,900,000 (€ 4,499,308, $5,239,922)</t>
  </si>
  <si>
    <r>
      <rPr>
        <rFont val="Verdana, sans-serif"/>
        <color rgb="FF1155CC"/>
        <u/>
      </rPr>
      <t>Archie Gray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</si>
  <si>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</si>
  <si>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</si>
  <si>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Destiny Udogie</t>
    </r>
  </si>
  <si>
    <r>
      <t xml:space="preserve">it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</si>
  <si>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</si>
  <si>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Guglielmo Vicario</t>
    </r>
  </si>
  <si>
    <r>
      <t xml:space="preserve">it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</si>
  <si>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</si>
  <si>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Rodrigo Bentancur</t>
    </r>
  </si>
  <si>
    <r>
      <t xml:space="preserve">uy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</si>
  <si>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</si>
  <si>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Daniel James</t>
    </r>
  </si>
  <si>
    <r>
      <t xml:space="preserve">wls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</si>
  <si>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</si>
  <si>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Conor Bradley</t>
    </r>
  </si>
  <si>
    <r>
      <t xml:space="preserve">nir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</si>
  <si>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</si>
  <si>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Milos Kerkez</t>
    </r>
  </si>
  <si>
    <r>
      <t xml:space="preserve">hu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</si>
  <si>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</si>
  <si>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Emi Buendía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</si>
  <si>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</si>
  <si>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</si>
  <si>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Ezri Konsa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</si>
  <si>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</si>
  <si>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</si>
  <si>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Jean-Ricner Bellegarde</t>
    </r>
  </si>
  <si>
    <r>
      <t xml:space="preserve">ht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</si>
  <si>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</si>
  <si>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Tolu Arokodare</t>
    </r>
  </si>
  <si>
    <r>
      <t xml:space="preserve">ng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</si>
  <si>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</si>
  <si>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Enzo Le Fée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</si>
  <si>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</si>
  <si>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</si>
  <si>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Kyle Walker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</si>
  <si>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</si>
  <si>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</si>
  <si>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Malick Thiaw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</si>
  <si>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</si>
  <si>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</si>
  <si>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Jack Grealish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</si>
  <si>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</si>
  <si>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</si>
  <si>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Nicolás González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</si>
  <si>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</si>
  <si>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</si>
  <si>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Jordan Henderson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</si>
  <si>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</si>
  <si>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</si>
  <si>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Mikkel Damsgaard</t>
    </r>
  </si>
  <si>
    <r>
      <t xml:space="preserve">dk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</si>
  <si>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</si>
  <si>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Georginio Rutter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</si>
  <si>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</si>
  <si>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</si>
  <si>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Ibrahim Sangaré</t>
    </r>
  </si>
  <si>
    <r>
      <t xml:space="preserve">ci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</si>
  <si>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</si>
  <si>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Murillo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</si>
  <si>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</si>
  <si>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</si>
  <si>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Martín Zubimendi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</si>
  <si>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</si>
  <si>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</si>
  <si>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Noah Okafor</t>
    </r>
  </si>
  <si>
    <r>
      <t xml:space="preserve">ch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</si>
  <si>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Leeds United</t>
    </r>
  </si>
  <si>
    <t>£ 72,500 (€ 83,641, $97,409)</t>
  </si>
  <si>
    <t>£ 3,770,000 (€ 4,349,331, $5,065,258)</t>
  </si>
  <si>
    <r>
      <rPr>
        <rFont val="Verdana, sans-serif"/>
        <color rgb="FF1155CC"/>
        <u/>
      </rPr>
      <t>Adama Traoré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</si>
  <si>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</si>
  <si>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West Ham United</t>
    </r>
  </si>
  <si>
    <t>£ 70,000 (€ 80,824, $93,942)</t>
  </si>
  <si>
    <t>£ 3,640,000 (€ 4,202,855, $4,884,997)</t>
  </si>
  <si>
    <r>
      <rPr>
        <rFont val="Verdana, sans-serif"/>
        <color rgb="FF1155CC"/>
        <u/>
      </rPr>
      <t>Pape Matar Sarr</t>
    </r>
  </si>
  <si>
    <r>
      <t xml:space="preserve">sn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</si>
  <si>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Tottenham Hotspur</t>
    </r>
  </si>
  <si>
    <t>£ 70,000 (€ 80,757, $94,050)</t>
  </si>
  <si>
    <t>£ 3,640,000 (€ 4,199,354, $4,890,594)</t>
  </si>
  <si>
    <r>
      <rPr>
        <rFont val="Verdana, sans-serif"/>
        <color rgb="FF1155CC"/>
        <u/>
      </rPr>
      <t>Cheick Doucouré</t>
    </r>
  </si>
  <si>
    <r>
      <t xml:space="preserve">ml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</si>
  <si>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</si>
  <si>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Ismaila Sarr</t>
    </r>
  </si>
  <si>
    <r>
      <t xml:space="preserve">sn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</si>
  <si>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</si>
  <si>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Jefferson Lerma</t>
    </r>
  </si>
  <si>
    <r>
      <t xml:space="preserve">co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</si>
  <si>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</si>
  <si>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Bafodé Diakité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</si>
  <si>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</si>
  <si>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</si>
  <si>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Ryan Christie</t>
    </r>
  </si>
  <si>
    <r>
      <t xml:space="preserve">sct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</si>
  <si>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</si>
  <si>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Ibrahima Konaté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</si>
  <si>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</si>
  <si>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</si>
  <si>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Hwang Hee-chan</t>
    </r>
  </si>
  <si>
    <r>
      <t xml:space="preserve">kr </t>
    </r>
    <r>
      <rPr>
        <rFont val="Verdana, sans-serif"/>
        <color rgb="FF1155CC"/>
        <sz val="8.0"/>
        <u/>
      </rPr>
      <t>KOR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</si>
  <si>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</si>
  <si>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Marshall Munetsi</t>
    </r>
  </si>
  <si>
    <r>
      <t xml:space="preserve">zw </t>
    </r>
    <r>
      <rPr>
        <rFont val="Verdana, sans-serif"/>
        <color rgb="FF1155CC"/>
        <sz val="8.0"/>
        <u/>
      </rPr>
      <t>ZIM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</si>
  <si>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</si>
  <si>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Simon Adingra</t>
    </r>
  </si>
  <si>
    <r>
      <t xml:space="preserve">ci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</si>
  <si>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</si>
  <si>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Dan Burn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</si>
  <si>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</si>
  <si>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</si>
  <si>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Fabian Schär</t>
    </r>
  </si>
  <si>
    <r>
      <t xml:space="preserve">ch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</si>
  <si>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</si>
  <si>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Aaron Hickey</t>
    </r>
  </si>
  <si>
    <r>
      <t xml:space="preserve">sct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</si>
  <si>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</si>
  <si>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Reiss Nelson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</si>
  <si>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</si>
  <si>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</si>
  <si>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Dilane Bakwa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</si>
  <si>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</si>
  <si>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</si>
  <si>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Emile Smith Rowe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</si>
  <si>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</si>
  <si>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</si>
  <si>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Issa Diop</t>
    </r>
  </si>
  <si>
    <r>
      <t xml:space="preserve">ma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</si>
  <si>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</si>
  <si>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Douglas Luiz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</si>
  <si>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</si>
  <si>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Aston Villa</t>
    </r>
  </si>
  <si>
    <t>£ 67,500 (€ 77,938, $90,587)</t>
  </si>
  <si>
    <t>£ 3,510,000 (€ 4,052,753, $4,710,533)</t>
  </si>
  <si>
    <r>
      <rPr>
        <rFont val="Verdana, sans-serif"/>
        <color rgb="FF1155CC"/>
        <u/>
      </rPr>
      <t>Adam Armstrong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</si>
  <si>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</si>
  <si>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</si>
  <si>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t>£ 65,000 (€ 75,051, $87,232)</t>
  </si>
  <si>
    <t>£ 3,380,000 (€ 3,902,651, $4,536,069)</t>
  </si>
  <si>
    <r>
      <rPr>
        <rFont val="Verdana, sans-serif"/>
        <color rgb="FF1155CC"/>
        <u/>
      </rPr>
      <t>Matt O'Riley</t>
    </r>
  </si>
  <si>
    <r>
      <t xml:space="preserve">dk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</si>
  <si>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</si>
  <si>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Oscar Bobb</t>
    </r>
  </si>
  <si>
    <r>
      <t xml:space="preserve">no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</si>
  <si>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</si>
  <si>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Kevin Danso</t>
    </r>
  </si>
  <si>
    <r>
      <t xml:space="preserve">at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</si>
  <si>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Tottenham Hotspur</t>
    </r>
  </si>
  <si>
    <t>£ 65,000 (€ 74,988, $87,332)</t>
  </si>
  <si>
    <t>£ 3,380,000 (€ 3,899,400, $4,541,266)</t>
  </si>
  <si>
    <r>
      <rPr>
        <rFont val="Verdana, sans-serif"/>
        <color rgb="FF1155CC"/>
        <u/>
      </rPr>
      <t>Marcus Tavernier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</si>
  <si>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</si>
  <si>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</si>
  <si>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Harvey Elliott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</si>
  <si>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</si>
  <si>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</si>
  <si>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Jackson Tchatchoua</t>
    </r>
  </si>
  <si>
    <r>
      <t xml:space="preserve">cm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</si>
  <si>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</si>
  <si>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Jhon Arias</t>
    </r>
  </si>
  <si>
    <r>
      <t xml:space="preserve">co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</si>
  <si>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</si>
  <si>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Bertrand Traoré</t>
    </r>
  </si>
  <si>
    <r>
      <t xml:space="preserve">bf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</si>
  <si>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</si>
  <si>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Omar Alderete</t>
    </r>
  </si>
  <si>
    <r>
      <t xml:space="preserve">py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</si>
  <si>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</si>
  <si>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Dango Ouattara</t>
    </r>
  </si>
  <si>
    <r>
      <t xml:space="preserve">bf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</si>
  <si>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</si>
  <si>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Neco Williams</t>
    </r>
  </si>
  <si>
    <r>
      <t xml:space="preserve">wls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</si>
  <si>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</si>
  <si>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Kenny Tete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</si>
  <si>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</si>
  <si>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</si>
  <si>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Timothy Castagne</t>
    </r>
  </si>
  <si>
    <r>
      <t xml:space="preserve">be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</si>
  <si>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</si>
  <si>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Christian Nørgaard</t>
    </r>
  </si>
  <si>
    <r>
      <t xml:space="preserve">dk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</si>
  <si>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</si>
  <si>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Piero Hincapié</t>
    </r>
  </si>
  <si>
    <r>
      <t xml:space="preserve">ec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</si>
  <si>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</si>
  <si>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Saša Lukić</t>
    </r>
  </si>
  <si>
    <r>
      <t xml:space="preserve">rs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</si>
  <si>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Fulham</t>
    </r>
  </si>
  <si>
    <t>£ 63,000 (€ 72,681, $84,645)</t>
  </si>
  <si>
    <t>£ 3,276,000 (€ 3,779,419, $4,401,534)</t>
  </si>
  <si>
    <r>
      <rPr>
        <rFont val="Verdana, sans-serif"/>
        <color rgb="FF1155CC"/>
        <u/>
      </rPr>
      <t>Senne Lammens</t>
    </r>
  </si>
  <si>
    <r>
      <t xml:space="preserve">be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</si>
  <si>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Manchester Utd</t>
    </r>
  </si>
  <si>
    <t>£ 60,000 (€ 69,220, $80,614)</t>
  </si>
  <si>
    <t>£ 3,120,000 (€ 3,599,447, $4,191,937)</t>
  </si>
  <si>
    <r>
      <rPr>
        <rFont val="Verdana, sans-serif"/>
        <color rgb="FF1155CC"/>
        <u/>
      </rPr>
      <t>Lucas Bergvall</t>
    </r>
  </si>
  <si>
    <r>
      <t xml:space="preserve">se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</si>
  <si>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</si>
  <si>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Daniel Muñoz</t>
    </r>
  </si>
  <si>
    <r>
      <t xml:space="preserve">co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</si>
  <si>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</si>
  <si>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Will Hughes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</si>
  <si>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</si>
  <si>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</si>
  <si>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Yeremi Pino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</si>
  <si>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</si>
  <si>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</si>
  <si>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Amine Adli</t>
    </r>
  </si>
  <si>
    <r>
      <t xml:space="preserve">ma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</si>
  <si>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</si>
  <si>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Đorđe Petrović</t>
    </r>
  </si>
  <si>
    <r>
      <t xml:space="preserve">rs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</si>
  <si>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</si>
  <si>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Lewis Cook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</si>
  <si>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</si>
  <si>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</si>
  <si>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Tyler Adams</t>
    </r>
  </si>
  <si>
    <r>
      <t xml:space="preserve">us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</si>
  <si>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</si>
  <si>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Mateus Fernandes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</si>
  <si>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</si>
  <si>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</si>
  <si>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Ross Barkley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</si>
  <si>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</si>
  <si>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</si>
  <si>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André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</si>
  <si>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</si>
  <si>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</si>
  <si>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José Sá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</si>
  <si>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</si>
  <si>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</si>
  <si>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Brian Brobbey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</si>
  <si>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</si>
  <si>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</si>
  <si>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Nick Pope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</si>
  <si>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</si>
  <si>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</si>
  <si>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t>Estêvão</t>
  </si>
  <si>
    <t>RW</t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</si>
  <si>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</si>
  <si>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Robert Sánchez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</si>
  <si>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</si>
  <si>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</si>
  <si>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Danny Welbeck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</si>
  <si>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</si>
  <si>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</si>
  <si>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James Milner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</si>
  <si>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</si>
  <si>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</si>
  <si>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Mats Wieffer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</si>
  <si>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</si>
  <si>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</si>
  <si>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Olivier Boscagli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</si>
  <si>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</si>
  <si>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</si>
  <si>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Beto</t>
    </r>
  </si>
  <si>
    <r>
      <t xml:space="preserve">gw </t>
    </r>
    <r>
      <rPr>
        <rFont val="Verdana, sans-serif"/>
        <color rgb="FF1155CC"/>
        <sz val="8.0"/>
        <u/>
      </rPr>
      <t>GNB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</si>
  <si>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</si>
  <si>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Arnaud Kalimuendo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</si>
  <si>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</si>
  <si>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</si>
  <si>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Ola Aina</t>
    </r>
  </si>
  <si>
    <r>
      <t xml:space="preserve">ng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</si>
  <si>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</si>
  <si>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Antonee Robinson</t>
    </r>
  </si>
  <si>
    <r>
      <t xml:space="preserve">us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</si>
  <si>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</si>
  <si>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Rodrigo Muniz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</si>
  <si>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</si>
  <si>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</si>
  <si>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Kepa Arrizabalaga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</si>
  <si>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</si>
  <si>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</si>
  <si>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Vitaliy Mykolenko</t>
    </r>
  </si>
  <si>
    <r>
      <t xml:space="preserve">ua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</si>
  <si>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Everton</t>
    </r>
  </si>
  <si>
    <t>£ 58,000 (€ 66,913, $77,927)</t>
  </si>
  <si>
    <t>£ 3,016,000 (€ 3,479,465, $4,052,206)</t>
  </si>
  <si>
    <r>
      <rPr>
        <rFont val="Verdana, sans-serif"/>
        <color rgb="FF1155CC"/>
        <u/>
      </rPr>
      <t>André Onana</t>
    </r>
  </si>
  <si>
    <r>
      <t xml:space="preserve">cm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</si>
  <si>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Manchester Utd</t>
    </r>
  </si>
  <si>
    <t>£ 57,500 (€ 66,336, $77,255)</t>
  </si>
  <si>
    <t>£ 2,990,000 (€ 3,449,470, $4,017,273)</t>
  </si>
  <si>
    <r>
      <rPr>
        <rFont val="Verdana, sans-serif"/>
        <color rgb="FF1155CC"/>
        <u/>
      </rPr>
      <t>Mathys Tel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</si>
  <si>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</si>
  <si>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</si>
  <si>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t>£ 55,000 (€ 63,452, $73,896)</t>
  </si>
  <si>
    <t>£ 2,860,000 (€ 3,299,493, $3,842,609)</t>
  </si>
  <si>
    <r>
      <rPr>
        <rFont val="Verdana, sans-serif"/>
        <color rgb="FF1155CC"/>
        <u/>
      </rPr>
      <t>Yves Bissouma</t>
    </r>
  </si>
  <si>
    <r>
      <t xml:space="preserve">ml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</si>
  <si>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</si>
  <si>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Chris Richards</t>
    </r>
  </si>
  <si>
    <r>
      <t xml:space="preserve">us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</si>
  <si>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</si>
  <si>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Kyle Walker-Peters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</si>
  <si>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</si>
  <si>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</si>
  <si>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Giovanni Leoni</t>
    </r>
  </si>
  <si>
    <r>
      <t xml:space="preserve">it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</si>
  <si>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</si>
  <si>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Arthur Masuaku</t>
    </r>
  </si>
  <si>
    <r>
      <t xml:space="preserve">cd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</si>
  <si>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</si>
  <si>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Josh Cullen</t>
    </r>
  </si>
  <si>
    <r>
      <t xml:space="preserve">ie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</si>
  <si>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</si>
  <si>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Lesley Ugochukwu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</si>
  <si>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</si>
  <si>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</si>
  <si>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Emil Krafth</t>
    </r>
  </si>
  <si>
    <r>
      <t xml:space="preserve">se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</si>
  <si>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</si>
  <si>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Caoimhín Kelleher</t>
    </r>
  </si>
  <si>
    <r>
      <t xml:space="preserve">ie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</si>
  <si>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</si>
  <si>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Adam Webster</t>
    </r>
  </si>
  <si>
    <r>
      <t xml:space="preserve">eng </t>
    </r>
    <r>
      <rPr>
        <rFont val="Verdana, sans-serif"/>
        <color rgb="FF1155CC"/>
        <sz val="8.0"/>
        <u/>
      </rPr>
      <t>ENG</t>
    </r>
  </si>
  <si>
    <t>CB</t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</si>
  <si>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</si>
  <si>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Maxim De Cuyper</t>
    </r>
  </si>
  <si>
    <r>
      <t xml:space="preserve">be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</si>
  <si>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</si>
  <si>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Séamus Coleman</t>
    </r>
  </si>
  <si>
    <r>
      <t xml:space="preserve">ie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</si>
  <si>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</si>
  <si>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Omari Hutchinson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</si>
  <si>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</si>
  <si>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</si>
  <si>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Harry Wilson</t>
    </r>
  </si>
  <si>
    <r>
      <t xml:space="preserve">wls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</si>
  <si>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</si>
  <si>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Sander Berge</t>
    </r>
  </si>
  <si>
    <r>
      <t xml:space="preserve">no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</si>
  <si>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</si>
  <si>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Cristhian Mosquera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</si>
  <si>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</si>
  <si>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</si>
  <si>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Jadon Sancho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</si>
  <si>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</si>
  <si>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</si>
  <si>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t>£ 50,000 (€ 57,683, $67,178)</t>
  </si>
  <si>
    <t>£ 2,600,000 (€ 2,999,539, $3,493,281)</t>
  </si>
  <si>
    <r>
      <rPr>
        <rFont val="Verdana, sans-serif"/>
        <color rgb="FF1155CC"/>
        <u/>
      </rPr>
      <t>Jean-Philippe Mateta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</si>
  <si>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</si>
  <si>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</si>
  <si>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Maxence Lacroix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</si>
  <si>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</si>
  <si>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</si>
  <si>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Nathaniel Clyne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</si>
  <si>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</si>
  <si>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</si>
  <si>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David Brooks</t>
    </r>
  </si>
  <si>
    <r>
      <t xml:space="preserve">wls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</si>
  <si>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</si>
  <si>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Marcos Senesi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</si>
  <si>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</si>
  <si>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</si>
  <si>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Lucas Perri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</si>
  <si>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</si>
  <si>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</si>
  <si>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Pascal Struijk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</si>
  <si>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</si>
  <si>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</si>
  <si>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Callum Wilson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</si>
  <si>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</si>
  <si>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</si>
  <si>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Konstantinos Mavropanos</t>
    </r>
  </si>
  <si>
    <r>
      <t xml:space="preserve">gr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</si>
  <si>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</si>
  <si>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Łukasz Fabiański</t>
    </r>
  </si>
  <si>
    <r>
      <t xml:space="preserve">pl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</si>
  <si>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</si>
  <si>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Curtis Jones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</si>
  <si>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</si>
  <si>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</si>
  <si>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Wataru Endo</t>
    </r>
  </si>
  <si>
    <r>
      <t xml:space="preserve">jp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</si>
  <si>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</si>
  <si>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Matt Doherty</t>
    </r>
  </si>
  <si>
    <r>
      <t xml:space="preserve">ie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</si>
  <si>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</si>
  <si>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Sam Johnstone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</si>
  <si>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</si>
  <si>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</si>
  <si>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Habib Diarra</t>
    </r>
  </si>
  <si>
    <r>
      <t xml:space="preserve">sn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</si>
  <si>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</si>
  <si>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Reinildo Mandava</t>
    </r>
  </si>
  <si>
    <r>
      <t xml:space="preserve">mz </t>
    </r>
    <r>
      <rPr>
        <rFont val="Verdana, sans-serif"/>
        <color rgb="FF1155CC"/>
        <sz val="8.0"/>
        <u/>
      </rPr>
      <t>MOZ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</si>
  <si>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</si>
  <si>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Marcus Edwards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</si>
  <si>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</si>
  <si>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</si>
  <si>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Maxime Estève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</si>
  <si>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</si>
  <si>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</si>
  <si>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Tino Livramento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</si>
  <si>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</si>
  <si>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</si>
  <si>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Abdukodir Khusanov</t>
    </r>
  </si>
  <si>
    <r>
      <t xml:space="preserve">uz </t>
    </r>
    <r>
      <rPr>
        <rFont val="Verdana, sans-serif"/>
        <color rgb="FF1155CC"/>
        <sz val="8.0"/>
        <u/>
      </rPr>
      <t>UZB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</si>
  <si>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</si>
  <si>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James Trafford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</si>
  <si>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</si>
  <si>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</si>
  <si>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Jeremy Doku</t>
    </r>
  </si>
  <si>
    <r>
      <t xml:space="preserve">be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</si>
  <si>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</si>
  <si>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Igor Thiago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</si>
  <si>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</si>
  <si>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</si>
  <si>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Keane Lewis-Potter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</si>
  <si>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</si>
  <si>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</si>
  <si>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Mathias Jensen</t>
    </r>
  </si>
  <si>
    <r>
      <t xml:space="preserve">dk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</si>
  <si>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</si>
  <si>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Filip Jørgensen</t>
    </r>
  </si>
  <si>
    <r>
      <t xml:space="preserve">dk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</si>
  <si>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</si>
  <si>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Marc Guiu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</si>
  <si>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</si>
  <si>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</si>
  <si>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Trevoh Chalobah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</si>
  <si>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</si>
  <si>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</si>
  <si>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Brajan Gruda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</si>
  <si>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</si>
  <si>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</si>
  <si>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Jan Paul van Hecke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</si>
  <si>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</si>
  <si>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</si>
  <si>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Joël Veltman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</si>
  <si>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</si>
  <si>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</si>
  <si>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Solly March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</si>
  <si>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</si>
  <si>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</si>
  <si>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Igor Jesus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</si>
  <si>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</si>
  <si>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</si>
  <si>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Ryan Yates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</si>
  <si>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</si>
  <si>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</si>
  <si>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Taiwo Awoniyi</t>
    </r>
  </si>
  <si>
    <r>
      <t xml:space="preserve">ng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</si>
  <si>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</si>
  <si>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Harrison Reed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</si>
  <si>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</si>
  <si>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</si>
  <si>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Kevin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</si>
  <si>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</si>
  <si>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</si>
  <si>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t>Rayan</t>
  </si>
  <si>
    <t>CF</t>
  </si>
  <si>
    <r>
      <rPr>
        <rFont val="Verdana, sans-serif"/>
        <color rgb="FF1155CC"/>
        <u/>
      </rPr>
      <t>Bournemouth</t>
    </r>
  </si>
  <si>
    <t>£ 45,000 (€ 51,958, $60,391)</t>
  </si>
  <si>
    <t>£ 2,340,000 (€ 2,701,836, $3,140,355)</t>
  </si>
  <si>
    <r>
      <rPr>
        <rFont val="Verdana, sans-serif"/>
        <color rgb="FF1155CC"/>
        <u/>
      </rPr>
      <t>Igor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</si>
  <si>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</si>
  <si>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</si>
  <si>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Stefan Ortega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</si>
  <si>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</si>
  <si>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</si>
  <si>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Tom Heaton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</si>
  <si>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</si>
  <si>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</si>
  <si>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t>£ 45,000 (€ 51,915, $60,461)</t>
  </si>
  <si>
    <t>£ 2,340,000 (€ 2,699,585, $3,143,953)</t>
  </si>
  <si>
    <r>
      <rPr>
        <rFont val="Verdana, sans-serif"/>
        <color rgb="FF1155CC"/>
        <u/>
      </rPr>
      <t>Anton Stach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</si>
  <si>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</si>
  <si>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</si>
  <si>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Brenden Aaronson</t>
    </r>
  </si>
  <si>
    <r>
      <t xml:space="preserve">us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</si>
  <si>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</si>
  <si>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Jaka Bijol</t>
    </r>
  </si>
  <si>
    <r>
      <t xml:space="preserve">si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</si>
  <si>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</si>
  <si>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Sebastiaan Bornauw</t>
    </r>
  </si>
  <si>
    <r>
      <t xml:space="preserve">be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</si>
  <si>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</si>
  <si>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Crysencio Summerville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</si>
  <si>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</si>
  <si>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</si>
  <si>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Mads Hermansen</t>
    </r>
  </si>
  <si>
    <r>
      <t xml:space="preserve">dk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</si>
  <si>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</si>
  <si>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Marco Bizot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</si>
  <si>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</si>
  <si>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</si>
  <si>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Ladislav Krejčí</t>
    </r>
  </si>
  <si>
    <r>
      <t xml:space="preserve">cz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</si>
  <si>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</si>
  <si>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Trai Hume</t>
    </r>
  </si>
  <si>
    <r>
      <t xml:space="preserve">nir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</si>
  <si>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</si>
  <si>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Armando Broja</t>
    </r>
  </si>
  <si>
    <r>
      <t xml:space="preserve">al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</si>
  <si>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</si>
  <si>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Axel Tuanzebe</t>
    </r>
  </si>
  <si>
    <r>
      <t xml:space="preserve">cd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</si>
  <si>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</si>
  <si>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Jacob Bruun Larsen</t>
    </r>
  </si>
  <si>
    <r>
      <t xml:space="preserve">dk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</si>
  <si>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</si>
  <si>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Jaidon Anthony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</si>
  <si>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</si>
  <si>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</si>
  <si>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Loum Tchaouna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</si>
  <si>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</si>
  <si>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</si>
  <si>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Quilindschy Hartman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</si>
  <si>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</si>
  <si>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</si>
  <si>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Lewis Hall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</si>
  <si>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</si>
  <si>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</si>
  <si>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Malo Gusto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</si>
  <si>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</si>
  <si>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</si>
  <si>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Roméo Lavia</t>
    </r>
  </si>
  <si>
    <r>
      <t xml:space="preserve">be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</si>
  <si>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</si>
  <si>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Iliman Ndiaye</t>
    </r>
  </si>
  <si>
    <r>
      <t xml:space="preserve">sn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</si>
  <si>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</si>
  <si>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Thierno Barry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</si>
  <si>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</si>
  <si>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</si>
  <si>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Nicolò Savona</t>
    </r>
  </si>
  <si>
    <r>
      <t xml:space="preserve">it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</si>
  <si>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</si>
  <si>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Calvin Bassey</t>
    </r>
  </si>
  <si>
    <r>
      <t xml:space="preserve">ng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</si>
  <si>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</si>
  <si>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Ryan Sessegnon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</si>
  <si>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</si>
  <si>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</si>
  <si>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Myles Lewis-Skelly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</si>
  <si>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</si>
  <si>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</si>
  <si>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t>Alex Tóth</t>
  </si>
  <si>
    <t>CM</t>
  </si>
  <si>
    <r>
      <rPr>
        <rFont val="Verdana, sans-serif"/>
        <color rgb="FF1155CC"/>
        <u/>
      </rPr>
      <t>Bournemouth</t>
    </r>
  </si>
  <si>
    <t>£ 40,000 (€ 46,185, $53,681)</t>
  </si>
  <si>
    <t>£ 2,080,000 (€ 2,401,632, $2,791,427)</t>
  </si>
  <si>
    <r>
      <rPr>
        <rFont val="Verdana, sans-serif"/>
        <color rgb="FF1155CC"/>
        <u/>
      </rPr>
      <t>Fraser Forster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</si>
  <si>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</si>
  <si>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</si>
  <si>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Axel Disasi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</si>
  <si>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</si>
  <si>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</si>
  <si>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Patrick Dorgu</t>
    </r>
  </si>
  <si>
    <r>
      <t xml:space="preserve">dk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</si>
  <si>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Manchester Utd</t>
    </r>
  </si>
  <si>
    <t>£ 40,000 (€ 46,147, $53,743)</t>
  </si>
  <si>
    <t>£ 2,080,000 (€ 2,399,631, $2,794,625)</t>
  </si>
  <si>
    <r>
      <rPr>
        <rFont val="Verdana, sans-serif"/>
        <color rgb="FF1155CC"/>
        <u/>
      </rPr>
      <t>Djed Spence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</si>
  <si>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</si>
  <si>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</si>
  <si>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Wilson Odobert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</si>
  <si>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</si>
  <si>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</si>
  <si>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Tyrick Mitchell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</si>
  <si>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</si>
  <si>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</si>
  <si>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Adam Smith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</si>
  <si>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</si>
  <si>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</si>
  <si>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Alex Scott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</si>
  <si>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</si>
  <si>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</si>
  <si>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Ethan Ampadu</t>
    </r>
  </si>
  <si>
    <r>
      <t xml:space="preserve">wls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</si>
  <si>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</si>
  <si>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Gabriel Gudmundsson</t>
    </r>
  </si>
  <si>
    <r>
      <t xml:space="preserve">se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</si>
  <si>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</si>
  <si>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Joe Rodon</t>
    </r>
  </si>
  <si>
    <r>
      <t xml:space="preserve">wls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</si>
  <si>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</si>
  <si>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Joël Piroe</t>
    </r>
  </si>
  <si>
    <r>
      <t xml:space="preserve">sr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</si>
  <si>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</si>
  <si>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Wilfried Gnonto</t>
    </r>
  </si>
  <si>
    <r>
      <t xml:space="preserve">it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</si>
  <si>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</si>
  <si>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Stefan Bajcetic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</si>
  <si>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</si>
  <si>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</si>
  <si>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Ki-Jana Hoever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</si>
  <si>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</si>
  <si>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</si>
  <si>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Santiago Bueno</t>
    </r>
  </si>
  <si>
    <r>
      <t xml:space="preserve">uy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</si>
  <si>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</si>
  <si>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Chemsdine Talbi</t>
    </r>
  </si>
  <si>
    <r>
      <t xml:space="preserve">ma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</si>
  <si>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</si>
  <si>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Noah Sadiki</t>
    </r>
  </si>
  <si>
    <r>
      <t xml:space="preserve">cd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</si>
  <si>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</si>
  <si>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Bashir Humphreys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</si>
  <si>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</si>
  <si>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</si>
  <si>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Florentino Luís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</si>
  <si>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</si>
  <si>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</si>
  <si>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Joe Worrall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</si>
  <si>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</si>
  <si>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</si>
  <si>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Martin Dúbravka</t>
    </r>
  </si>
  <si>
    <r>
      <t xml:space="preserve">sk </t>
    </r>
    <r>
      <rPr>
        <rFont val="Verdana, sans-serif"/>
        <color rgb="FF1155CC"/>
        <sz val="8.0"/>
        <u/>
      </rPr>
      <t>SVK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</si>
  <si>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</si>
  <si>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Matt Targett</t>
    </r>
  </si>
  <si>
    <r>
      <t xml:space="preserve">eng </t>
    </r>
    <r>
      <rPr>
        <rFont val="Verdana, sans-serif"/>
        <color rgb="FF1155CC"/>
        <sz val="8.0"/>
        <u/>
      </rPr>
      <t>ENG</t>
    </r>
  </si>
  <si>
    <t>LB</t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</si>
  <si>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</si>
  <si>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Fabio Carvalho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</si>
  <si>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</si>
  <si>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</si>
  <si>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Frank Onyeka</t>
    </r>
  </si>
  <si>
    <r>
      <t xml:space="preserve">ng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</si>
  <si>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</si>
  <si>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Kristoffer Ajer</t>
    </r>
  </si>
  <si>
    <r>
      <t xml:space="preserve">no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</si>
  <si>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</si>
  <si>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Michael Kayode</t>
    </r>
  </si>
  <si>
    <r>
      <t xml:space="preserve">it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</si>
  <si>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</si>
  <si>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Dario Essugo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</si>
  <si>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</si>
  <si>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</si>
  <si>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Gaga Slonina</t>
    </r>
  </si>
  <si>
    <r>
      <t xml:space="preserve">us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</si>
  <si>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</si>
  <si>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Charalampos Kostoulas</t>
    </r>
  </si>
  <si>
    <r>
      <t xml:space="preserve">gr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</si>
  <si>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</si>
  <si>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Yankuba Minteh</t>
    </r>
  </si>
  <si>
    <r>
      <t xml:space="preserve">gm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</si>
  <si>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Brighton</t>
    </r>
  </si>
  <si>
    <t>Tyler Dibling</t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</si>
  <si>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</si>
  <si>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Elliot Anderson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</si>
  <si>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</si>
  <si>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</si>
  <si>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James Mcatee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</si>
  <si>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</si>
  <si>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</si>
  <si>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John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</si>
  <si>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</si>
  <si>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</si>
  <si>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Matz Sels</t>
    </r>
  </si>
  <si>
    <r>
      <t xml:space="preserve">be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</si>
  <si>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</si>
  <si>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Willy Boly</t>
    </r>
  </si>
  <si>
    <r>
      <t xml:space="preserve">ci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</si>
  <si>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</si>
  <si>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Evann Guessand</t>
    </r>
  </si>
  <si>
    <r>
      <t xml:space="preserve">ci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</si>
  <si>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Crystal Palace</t>
    </r>
  </si>
  <si>
    <t>£ 37,500 (€ 43,299, $50,326)</t>
  </si>
  <si>
    <t>£ 1,950,000 (€ 2,251,530, $2,616,963)</t>
  </si>
  <si>
    <r>
      <rPr>
        <rFont val="Verdana, sans-serif"/>
        <color rgb="FF1155CC"/>
        <u/>
      </rPr>
      <t>Angel Gomes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</si>
  <si>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</si>
  <si>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</si>
  <si>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t>£ 35,000 (€ 40,412, $46,971)</t>
  </si>
  <si>
    <t>£ 1,820,000 (€ 2,101,428, $2,442,499)</t>
  </si>
  <si>
    <r>
      <rPr>
        <rFont val="Verdana, sans-serif"/>
        <color rgb="FF1155CC"/>
        <u/>
      </rPr>
      <t>Mamadou Sarr</t>
    </r>
  </si>
  <si>
    <r>
      <t xml:space="preserve">sn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</si>
  <si>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</si>
  <si>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Luca Netz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</si>
  <si>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</si>
  <si>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</si>
  <si>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Altay Bayındır</t>
    </r>
  </si>
  <si>
    <r>
      <t xml:space="preserve">tr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</si>
  <si>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Manchester Utd</t>
    </r>
  </si>
  <si>
    <t>£ 35,000 (€ 40,378, $47,025)</t>
  </si>
  <si>
    <t>£ 1,820,000 (€ 2,099,677, $2,445,297)</t>
  </si>
  <si>
    <r>
      <rPr>
        <rFont val="Verdana, sans-serif"/>
        <color rgb="FF1155CC"/>
        <u/>
      </rPr>
      <t>Adam Wharton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</si>
  <si>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</si>
  <si>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</si>
  <si>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Borna Sosa</t>
    </r>
  </si>
  <si>
    <r>
      <t xml:space="preserve">hr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</si>
  <si>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</si>
  <si>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Walter Benítez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</si>
  <si>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</si>
  <si>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</si>
  <si>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Adrien Truffert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</si>
  <si>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</si>
  <si>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</si>
  <si>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Luis Sinisterra</t>
    </r>
  </si>
  <si>
    <r>
      <t xml:space="preserve">co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</si>
  <si>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</si>
  <si>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Romain Faivre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</si>
  <si>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</si>
  <si>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</si>
  <si>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James Justin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</si>
  <si>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</si>
  <si>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</si>
  <si>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Lukas Nmecha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</si>
  <si>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</si>
  <si>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</si>
  <si>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El Hadji Malick Diouf</t>
    </r>
  </si>
  <si>
    <r>
      <t xml:space="preserve">sn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</si>
  <si>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</si>
  <si>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Soungoutou Magassa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</si>
  <si>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</si>
  <si>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</si>
  <si>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Chris Rigg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</si>
  <si>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</si>
  <si>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</si>
  <si>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Daniel Ballard</t>
    </r>
  </si>
  <si>
    <r>
      <t xml:space="preserve">nir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</si>
  <si>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</si>
  <si>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Connor Roberts</t>
    </r>
  </si>
  <si>
    <r>
      <t xml:space="preserve">wls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</si>
  <si>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</si>
  <si>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Zeki Amdouni</t>
    </r>
  </si>
  <si>
    <r>
      <t xml:space="preserve">ch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</si>
  <si>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</si>
  <si>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Jacob Murphy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</si>
  <si>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</si>
  <si>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</si>
  <si>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Marcus Bettinelli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</si>
  <si>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</si>
  <si>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</si>
  <si>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Rico Henry</t>
    </r>
  </si>
  <si>
    <r>
      <t xml:space="preserve">jm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</si>
  <si>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</si>
  <si>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Andrey Santos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</si>
  <si>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</si>
  <si>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</si>
  <si>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Bart Verbruggen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</si>
  <si>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</si>
  <si>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</si>
  <si>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Jake O'Brien</t>
    </r>
  </si>
  <si>
    <r>
      <t xml:space="preserve">ie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</si>
  <si>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</si>
  <si>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Cuiabano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</si>
  <si>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</si>
  <si>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</si>
  <si>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Jair Cunha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</si>
  <si>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</si>
  <si>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</si>
  <si>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Morato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</si>
  <si>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</si>
  <si>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</si>
  <si>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Nicolás Domínguez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</si>
  <si>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</si>
  <si>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</si>
  <si>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Tom Cairney</t>
    </r>
  </si>
  <si>
    <r>
      <t xml:space="preserve">sct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</si>
  <si>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</si>
  <si>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Max Dowman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</si>
  <si>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</si>
  <si>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</si>
  <si>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Lorenzo Lucca</t>
    </r>
  </si>
  <si>
    <r>
      <t xml:space="preserve">it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</si>
  <si>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Nottingham Forest</t>
    </r>
  </si>
  <si>
    <t>£ 30,500 (€ 35,216, $40,932)</t>
  </si>
  <si>
    <t>£ 1,586,000 (€ 1,831,244, $2,128,463)</t>
  </si>
  <si>
    <r>
      <rPr>
        <rFont val="Verdana, sans-serif"/>
        <color rgb="FF1155CC"/>
        <u/>
      </rPr>
      <t>Josh Dasilva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</si>
  <si>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</si>
  <si>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</si>
  <si>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t>£ 30,000 (€ 34,639, $40,261)</t>
  </si>
  <si>
    <t>£ 1,560,000 (€ 1,801,224, $2,093,570)</t>
  </si>
  <si>
    <r>
      <rPr>
        <rFont val="Verdana, sans-serif"/>
        <color rgb="FF1155CC"/>
        <u/>
      </rPr>
      <t>Antonín Kinský</t>
    </r>
  </si>
  <si>
    <r>
      <t xml:space="preserve">cz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</si>
  <si>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Tottenham Hotspur</t>
    </r>
  </si>
  <si>
    <t>£ 30,000 (€ 34,610, $40,307)</t>
  </si>
  <si>
    <t>£ 1,560,000 (€ 1,799,723, $2,095,969)</t>
  </si>
  <si>
    <r>
      <rPr>
        <rFont val="Verdana, sans-serif"/>
        <color rgb="FF1155CC"/>
        <u/>
      </rPr>
      <t>Chadi Riad</t>
    </r>
  </si>
  <si>
    <r>
      <t xml:space="preserve">ma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</si>
  <si>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</si>
  <si>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Christantus Uche</t>
    </r>
  </si>
  <si>
    <r>
      <t xml:space="preserve">ng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</si>
  <si>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Crystal Palace</t>
    </r>
  </si>
  <si>
    <t>Ben Gannon-Doak</t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</si>
  <si>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</si>
  <si>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Illan Meslier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</si>
  <si>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</si>
  <si>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</si>
  <si>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Jayden Bogle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</si>
  <si>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</si>
  <si>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</si>
  <si>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Karl Darlow</t>
    </r>
  </si>
  <si>
    <r>
      <t xml:space="preserve">wls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</si>
  <si>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</si>
  <si>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Lamare Bogarde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</si>
  <si>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</si>
  <si>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</si>
  <si>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David Møller Wolfe</t>
    </r>
  </si>
  <si>
    <r>
      <t xml:space="preserve">no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</si>
  <si>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</si>
  <si>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Yerson Mosquera</t>
    </r>
  </si>
  <si>
    <r>
      <t xml:space="preserve">co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</si>
  <si>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</si>
  <si>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Eliezer Mayenda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</si>
  <si>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</si>
  <si>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</si>
  <si>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Robin Roefs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</si>
  <si>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</si>
  <si>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</si>
  <si>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Mike Trésor</t>
    </r>
  </si>
  <si>
    <r>
      <t xml:space="preserve">be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</si>
  <si>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</si>
  <si>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Lewis Miley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</si>
  <si>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</si>
  <si>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</si>
  <si>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t>Nico O'Reilly</t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</si>
  <si>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</si>
  <si>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Antoni Milambo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</si>
  <si>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</si>
  <si>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</si>
  <si>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Ethan Pinnock</t>
    </r>
  </si>
  <si>
    <r>
      <t xml:space="preserve">jm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</si>
  <si>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</si>
  <si>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Nathan Collins</t>
    </r>
  </si>
  <si>
    <r>
      <t xml:space="preserve">ie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</si>
  <si>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</si>
  <si>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Vitaly Janelt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</si>
  <si>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</si>
  <si>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</si>
  <si>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James Garner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</si>
  <si>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</si>
  <si>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</si>
  <si>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Angus Gunn</t>
    </r>
  </si>
  <si>
    <r>
      <t xml:space="preserve">sct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</si>
  <si>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</si>
  <si>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Benjamin Lecomte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</si>
  <si>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</si>
  <si>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</si>
  <si>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Nathan Patterson</t>
    </r>
  </si>
  <si>
    <r>
      <t xml:space="preserve">sct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</si>
  <si>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Everton</t>
    </r>
  </si>
  <si>
    <t>£ 28,000 (€ 32,303, $37,620)</t>
  </si>
  <si>
    <t>£ 1,456,000 (€ 1,679,742, $1,956,237)</t>
  </si>
  <si>
    <r>
      <rPr>
        <rFont val="Verdana, sans-serif"/>
        <color rgb="FF1155CC"/>
        <u/>
      </rPr>
      <t>Boubacar Traoré</t>
    </r>
  </si>
  <si>
    <r>
      <t xml:space="preserve">ml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</si>
  <si>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Wolves</t>
    </r>
  </si>
  <si>
    <t>£ 27,500 (€ 31,726, $36,948)</t>
  </si>
  <si>
    <t>£ 1,430,000 (€ 1,649,746, $1,921,305)</t>
  </si>
  <si>
    <t>Souza</t>
  </si>
  <si>
    <r>
      <rPr>
        <rFont val="Verdana, sans-serif"/>
        <color rgb="FF1155CC"/>
        <u/>
      </rPr>
      <t>Tottenham Hotspur</t>
    </r>
  </si>
  <si>
    <t>£ 25,000 (€ 28,866, $33,551)</t>
  </si>
  <si>
    <t>£ 1,300,000 (€ 1,501,020, $1,744,642)</t>
  </si>
  <si>
    <r>
      <rPr>
        <rFont val="Verdana, sans-serif"/>
        <color rgb="FF1155CC"/>
        <u/>
      </rPr>
      <t>Pablo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</si>
  <si>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</si>
  <si>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</si>
  <si>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Nilson Angulo</t>
    </r>
  </si>
  <si>
    <r>
      <t xml:space="preserve">ec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</si>
  <si>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</si>
  <si>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Ayden Heaven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</si>
  <si>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</si>
  <si>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</si>
  <si>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t>£ 25,000 (€ 28,842, $33,589)</t>
  </si>
  <si>
    <t>£ 1,300,000 (€ 1,499,769, $1,746,641)</t>
  </si>
  <si>
    <r>
      <rPr>
        <rFont val="Verdana, sans-serif"/>
        <color rgb="FF1155CC"/>
        <u/>
      </rPr>
      <t>Diego León</t>
    </r>
  </si>
  <si>
    <r>
      <t xml:space="preserve">py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</si>
  <si>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</si>
  <si>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Kobbie Mainoo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</si>
  <si>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</si>
  <si>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</si>
  <si>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Tyler Fredricson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</si>
  <si>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</si>
  <si>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</si>
  <si>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Kōta Takai</t>
    </r>
  </si>
  <si>
    <r>
      <t xml:space="preserve">jp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</si>
  <si>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</si>
  <si>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Jaydee Canvot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</si>
  <si>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</si>
  <si>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</si>
  <si>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James Hill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</si>
  <si>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</si>
  <si>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</si>
  <si>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Julian Araujo</t>
    </r>
  </si>
  <si>
    <r>
      <t xml:space="preserve">mx </t>
    </r>
    <r>
      <rPr>
        <rFont val="Verdana, sans-serif"/>
        <color rgb="FF1155CC"/>
        <sz val="8.0"/>
        <u/>
      </rPr>
      <t>MEX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</si>
  <si>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</si>
  <si>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Veljko Milosavljević</t>
    </r>
  </si>
  <si>
    <r>
      <t xml:space="preserve">rs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</si>
  <si>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</si>
  <si>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Ao Tanaka</t>
    </r>
  </si>
  <si>
    <r>
      <t xml:space="preserve">jp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</si>
  <si>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</si>
  <si>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Sam Byram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</si>
  <si>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</si>
  <si>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</si>
  <si>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Freddie Woodman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</si>
  <si>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</si>
  <si>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</si>
  <si>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Rio Ngumoha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</si>
  <si>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</si>
  <si>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</si>
  <si>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Trey Nyoni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</si>
  <si>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</si>
  <si>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</si>
  <si>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t>Fer López</t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</si>
  <si>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</si>
  <si>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Hugo Bueno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</si>
  <si>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</si>
  <si>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</si>
  <si>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Rodrigo Gomes</t>
    </r>
  </si>
  <si>
    <r>
      <t xml:space="preserve">pt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</si>
  <si>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</si>
  <si>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Wilson Isidor</t>
    </r>
  </si>
  <si>
    <r>
      <t xml:space="preserve">ht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</si>
  <si>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</si>
  <si>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Ashley Barnes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</si>
  <si>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</si>
  <si>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</si>
  <si>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Hjalmar Ekdal</t>
    </r>
  </si>
  <si>
    <r>
      <t xml:space="preserve">se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</si>
  <si>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</si>
  <si>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Jordan Beyer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</si>
  <si>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</si>
  <si>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</si>
  <si>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Max Weiß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</si>
  <si>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</si>
  <si>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</si>
  <si>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William Osula</t>
    </r>
  </si>
  <si>
    <r>
      <t xml:space="preserve">dk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</si>
  <si>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</si>
  <si>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Rico Lewis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</si>
  <si>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</si>
  <si>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</si>
  <si>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Gustavo Nunes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</si>
  <si>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</si>
  <si>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Brentford</t>
    </r>
  </si>
  <si>
    <t>Yegor Yarmolyuk</t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</si>
  <si>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</si>
  <si>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Diego Coppola</t>
    </r>
  </si>
  <si>
    <r>
      <t xml:space="preserve">it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</si>
  <si>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</si>
  <si>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Diego Gómez</t>
    </r>
  </si>
  <si>
    <r>
      <t xml:space="preserve">py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</si>
  <si>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</si>
  <si>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Jack Hinshelwood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</si>
  <si>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</si>
  <si>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</si>
  <si>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Adam Aznou</t>
    </r>
  </si>
  <si>
    <r>
      <t xml:space="preserve">ma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</si>
  <si>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</si>
  <si>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Dwight McNeil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</si>
  <si>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</si>
  <si>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</si>
  <si>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Mark Travers</t>
    </r>
  </si>
  <si>
    <r>
      <t xml:space="preserve">ie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</si>
  <si>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</si>
  <si>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Jonah Kusi-Asare</t>
    </r>
  </si>
  <si>
    <r>
      <t xml:space="preserve">se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</si>
  <si>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</si>
  <si>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Jorge Cuenca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</si>
  <si>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</si>
  <si>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Fulham</t>
    </r>
  </si>
  <si>
    <t>Alysson</t>
  </si>
  <si>
    <r>
      <rPr>
        <rFont val="Verdana, sans-serif"/>
        <color rgb="FF1155CC"/>
        <u/>
      </rPr>
      <t>Aston Villa</t>
    </r>
  </si>
  <si>
    <t>£ 20,000 (€ 23,093, $26,841)</t>
  </si>
  <si>
    <t>£ 1,040,000 (€ 1,200,816, $1,395,714)</t>
  </si>
  <si>
    <t>Kaye Furo</t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</si>
  <si>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</si>
  <si>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Justin Devenny</t>
    </r>
  </si>
  <si>
    <r>
      <t xml:space="preserve">nir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</si>
  <si>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Crystal Palace</t>
    </r>
  </si>
  <si>
    <t>£ 20,000 (€ 23,073, $26,871)</t>
  </si>
  <si>
    <t>£ 1,040,000 (€ 1,199,816, $1,397,312)</t>
  </si>
  <si>
    <r>
      <rPr>
        <rFont val="Verdana, sans-serif"/>
        <color rgb="FF1155CC"/>
        <u/>
      </rPr>
      <t>Eli Junior Kroupi</t>
    </r>
  </si>
  <si>
    <r>
      <t xml:space="preserve">fr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</si>
  <si>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</si>
  <si>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Julio Soler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</si>
  <si>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</si>
  <si>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</si>
  <si>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Oliver Scarles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</si>
  <si>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</si>
  <si>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</si>
  <si>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Daniel Bentley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</si>
  <si>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</si>
  <si>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</si>
  <si>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Sasa Kalajdzic</t>
    </r>
  </si>
  <si>
    <r>
      <t xml:space="preserve">at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</si>
  <si>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</si>
  <si>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Anthony Patterson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</si>
  <si>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</si>
  <si>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</si>
  <si>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Dennis Cirkin</t>
    </r>
  </si>
  <si>
    <r>
      <t xml:space="preserve">lv </t>
    </r>
    <r>
      <rPr>
        <rFont val="Verdana, sans-serif"/>
        <color rgb="FF1155CC"/>
        <sz val="8.0"/>
        <u/>
      </rPr>
      <t>LVA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</si>
  <si>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</si>
  <si>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Ian Poveda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</si>
  <si>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</si>
  <si>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</si>
  <si>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Luke O'Nien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</si>
  <si>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</si>
  <si>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</si>
  <si>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Josh Laurent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</si>
  <si>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</si>
  <si>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Burnley</t>
    </r>
  </si>
  <si>
    <t>Lucas Pires</t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</si>
  <si>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</si>
  <si>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Zian Flemming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</si>
  <si>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</si>
  <si>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</si>
  <si>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Sepp van den Berg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</si>
  <si>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</si>
  <si>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</si>
  <si>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Jason Steele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</si>
  <si>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</si>
  <si>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</si>
  <si>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Stefanos Tzimas</t>
    </r>
  </si>
  <si>
    <r>
      <t xml:space="preserve">gr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</si>
  <si>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</si>
  <si>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Tom Watson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</si>
  <si>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</si>
  <si>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</si>
  <si>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Carlos Alcaraz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</si>
  <si>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</si>
  <si>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</si>
  <si>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Tim Iroegbunam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</si>
  <si>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</si>
  <si>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</si>
  <si>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t>Josh King</t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</si>
  <si>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</si>
  <si>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Álex Jiménez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</si>
  <si>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</si>
  <si>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Bournemouth</t>
    </r>
  </si>
  <si>
    <t>£ 18,000 (€ 20,783, $24,157)</t>
  </si>
  <si>
    <t>£ 936,000 (€ 1,080,734, $1,256,142)</t>
  </si>
  <si>
    <r>
      <rPr>
        <rFont val="Verdana, sans-serif"/>
        <color rgb="FF1155CC"/>
        <u/>
      </rPr>
      <t>Merlin Röhl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</si>
  <si>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</si>
  <si>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Everton</t>
    </r>
  </si>
  <si>
    <t>£ 15,500 (€ 17,882, $20,825)</t>
  </si>
  <si>
    <t>£ 806,000 (€ 929,857, $1,082,917)</t>
  </si>
  <si>
    <r>
      <rPr>
        <rFont val="Verdana, sans-serif"/>
        <color rgb="FF1155CC"/>
        <u/>
      </rPr>
      <t>Pedro Lima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</si>
  <si>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</si>
  <si>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</si>
  <si>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t>£ 15,000 (€ 17,398, $20,366)</t>
  </si>
  <si>
    <t>£ 780,000 (€ 904,684, $1,059,006)</t>
  </si>
  <si>
    <t>Chido Obi</t>
  </si>
  <si>
    <r>
      <rPr>
        <rFont val="Verdana, sans-serif"/>
        <color rgb="FF1155CC"/>
        <u/>
      </rPr>
      <t>Manchester Utd</t>
    </r>
  </si>
  <si>
    <t>£ 15,000 (€ 17,305, $20,154)</t>
  </si>
  <si>
    <t>£ 780,000 (€ 899,862, $1,047,984)</t>
  </si>
  <si>
    <r>
      <rPr>
        <rFont val="Verdana, sans-serif"/>
        <color rgb="FF1155CC"/>
        <u/>
      </rPr>
      <t>Brandon Austin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</si>
  <si>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</si>
  <si>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</si>
  <si>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Dane Scarlett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</si>
  <si>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</si>
  <si>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</si>
  <si>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Romain Esse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</si>
  <si>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</si>
  <si>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</si>
  <si>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Enes Ünal</t>
    </r>
  </si>
  <si>
    <r>
      <t xml:space="preserve">tr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</si>
  <si>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</si>
  <si>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Ilia Gruev</t>
    </r>
  </si>
  <si>
    <r>
      <t xml:space="preserve">bg </t>
    </r>
    <r>
      <rPr>
        <rFont val="Verdana, sans-serif"/>
        <color rgb="FF1155CC"/>
        <sz val="8.0"/>
        <u/>
      </rPr>
      <t>BUL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</si>
  <si>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</si>
  <si>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Freddie Potts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</si>
  <si>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</si>
  <si>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</si>
  <si>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George Earthy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</si>
  <si>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</si>
  <si>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</si>
  <si>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Andrés García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</si>
  <si>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</si>
  <si>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</si>
  <si>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Samuel Iling-Junior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</si>
  <si>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</si>
  <si>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</si>
  <si>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t>Zepiqueno Redmond</t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</si>
  <si>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</si>
  <si>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Enso Gonzalez</t>
    </r>
  </si>
  <si>
    <r>
      <t xml:space="preserve">py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</si>
  <si>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</si>
  <si>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Ajibola Alese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</si>
  <si>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</si>
  <si>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</si>
  <si>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Dan Neil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</si>
  <si>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</si>
  <si>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</si>
  <si>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Simon Moore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</si>
  <si>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</si>
  <si>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</si>
  <si>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Benson Manuel</t>
    </r>
  </si>
  <si>
    <r>
      <t xml:space="preserve">ao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</si>
  <si>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</si>
  <si>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Harrison Ashby</t>
    </r>
  </si>
  <si>
    <r>
      <t xml:space="preserve">sct </t>
    </r>
    <r>
      <rPr>
        <rFont val="Verdana, sans-serif"/>
        <color rgb="FF1155CC"/>
        <sz val="8.0"/>
        <u/>
      </rPr>
      <t>SCO</t>
    </r>
  </si>
  <si>
    <t>RB</t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</si>
  <si>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</si>
  <si>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John Ruddy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</si>
  <si>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</si>
  <si>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</si>
  <si>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Mark Gillespie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</si>
  <si>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</si>
  <si>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</si>
  <si>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Romelle Donovan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</si>
  <si>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</si>
  <si>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</si>
  <si>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Yunus Emre Konak</t>
    </r>
  </si>
  <si>
    <r>
      <t xml:space="preserve">tr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</si>
  <si>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</si>
  <si>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David Datro Fofana</t>
    </r>
  </si>
  <si>
    <r>
      <t xml:space="preserve">ci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</si>
  <si>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</si>
  <si>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Tom McGill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</si>
  <si>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</si>
  <si>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</si>
  <si>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Tom King</t>
    </r>
  </si>
  <si>
    <r>
      <t xml:space="preserve">wls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</si>
  <si>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</si>
  <si>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Omar Richards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</si>
  <si>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</si>
  <si>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</si>
  <si>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t>Ishé Samuels-Smith</t>
  </si>
  <si>
    <r>
      <rPr>
        <rFont val="Verdana, sans-serif"/>
        <color rgb="FF1155CC"/>
        <u/>
      </rPr>
      <t>Chelsea</t>
    </r>
  </si>
  <si>
    <t>£ 14,000 (€ 16,165, $18,788)</t>
  </si>
  <si>
    <t>£ 728,000 (€ 840,571, $976,999)</t>
  </si>
  <si>
    <r>
      <rPr>
        <rFont val="Verdana, sans-serif"/>
        <color rgb="FF1155CC"/>
        <u/>
      </rPr>
      <t>Christos Mandas</t>
    </r>
  </si>
  <si>
    <r>
      <t xml:space="preserve">gr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</si>
  <si>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Bournemouth</t>
    </r>
  </si>
  <si>
    <t>£ 12,500 (€ 14,433, $16,775)</t>
  </si>
  <si>
    <t>£ 650,000 (€ 750,510, $872,321)</t>
  </si>
  <si>
    <r>
      <rPr>
        <rFont val="Verdana, sans-serif"/>
        <color rgb="FF1155CC"/>
        <u/>
      </rPr>
      <t>Facundo Buonanotte</t>
    </r>
  </si>
  <si>
    <r>
      <t xml:space="preserve">ar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</si>
  <si>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</si>
  <si>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Caleb Kporha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</si>
  <si>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</si>
  <si>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</si>
  <si>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t>£ 12,500 (€ 14,421, $16,795)</t>
  </si>
  <si>
    <t>£ 650,000 (€ 749,885, $873,320)</t>
  </si>
  <si>
    <r>
      <rPr>
        <rFont val="Verdana, sans-serif"/>
        <color rgb="FF1155CC"/>
        <u/>
      </rPr>
      <t>Remi Matthews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</si>
  <si>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</si>
  <si>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</si>
  <si>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Carlos Baleba</t>
    </r>
  </si>
  <si>
    <r>
      <t xml:space="preserve">cm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</si>
  <si>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</si>
  <si>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Zach Abbott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</si>
  <si>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</si>
  <si>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</si>
  <si>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Václav Hladký</t>
    </r>
  </si>
  <si>
    <r>
      <t xml:space="preserve">cz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</si>
  <si>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Burnley</t>
    </r>
  </si>
  <si>
    <t>£ 12,000 (€ 13,844, $16,123)</t>
  </si>
  <si>
    <t>£ 624,000 (€ 719,889, $838,387)</t>
  </si>
  <si>
    <t>Keiber Lamadrid</t>
  </si>
  <si>
    <r>
      <rPr>
        <rFont val="Verdana, sans-serif"/>
        <color rgb="FF1155CC"/>
        <u/>
      </rPr>
      <t>West Ham United</t>
    </r>
  </si>
  <si>
    <t>£ 10,000 (€ 11,546, $13,420)</t>
  </si>
  <si>
    <t>£ 520,000 (€ 600,408, $697,857)</t>
  </si>
  <si>
    <t>Melker Ellborg</t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</si>
  <si>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</si>
  <si>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Michael Olakigbe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</si>
  <si>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</si>
  <si>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</si>
  <si>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t>Jesurun Rak-Sakyi</t>
  </si>
  <si>
    <r>
      <rPr>
        <rFont val="Verdana, sans-serif"/>
        <color rgb="FF1155CC"/>
        <u/>
      </rPr>
      <t>Crystal Palace</t>
    </r>
  </si>
  <si>
    <t>£ 10,000 (€ 11,537, $13,436)</t>
  </si>
  <si>
    <t>£ 520,000 (€ 599,908, $698,656)</t>
  </si>
  <si>
    <r>
      <rPr>
        <rFont val="Verdana, sans-serif"/>
        <color rgb="FF1155CC"/>
        <u/>
      </rPr>
      <t>Max Aarons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</si>
  <si>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</si>
  <si>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</si>
  <si>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Alex Cairns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</si>
  <si>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</si>
  <si>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</si>
  <si>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Rhys Williams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</si>
  <si>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</si>
  <si>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</si>
  <si>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Nathan Fraser</t>
    </r>
  </si>
  <si>
    <r>
      <t xml:space="preserve">ie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</si>
  <si>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Wolves</t>
    </r>
  </si>
  <si>
    <t>Tawanda Chirewa</t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</si>
  <si>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</si>
  <si>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Abdoullah Ba</t>
    </r>
  </si>
  <si>
    <r>
      <t xml:space="preserve">fr </t>
    </r>
    <r>
      <rPr>
        <rFont val="Verdana, sans-serif"/>
        <color rgb="FF1155CC"/>
        <sz val="8.0"/>
        <u/>
      </rPr>
      <t>FRA</t>
    </r>
  </si>
  <si>
    <t>RM</t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</si>
  <si>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</si>
  <si>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Leo Fuhr Hjelde</t>
    </r>
  </si>
  <si>
    <r>
      <t xml:space="preserve">no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</si>
  <si>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</si>
  <si>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Romaine Mundle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</si>
  <si>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</si>
  <si>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</si>
  <si>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t>Jaydon Banel</t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</si>
  <si>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</si>
  <si>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Issa Kaboré</t>
    </r>
  </si>
  <si>
    <r>
      <t xml:space="preserve">bf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</si>
  <si>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</si>
  <si>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Ellery Balcombe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</si>
  <si>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</si>
  <si>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</si>
  <si>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Hákon Valdimarsson</t>
    </r>
  </si>
  <si>
    <r>
      <t xml:space="preserve">is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</si>
  <si>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</si>
  <si>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Kevin Schade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</si>
  <si>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</si>
  <si>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Brentford</t>
    </r>
  </si>
  <si>
    <t>Luke Harris</t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</si>
  <si>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</si>
  <si>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Eric da Silva Moreira</t>
    </r>
  </si>
  <si>
    <r>
      <t xml:space="preserve">de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</si>
  <si>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</si>
  <si>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t>£ 8,000 (€ 9,279, $10,862)</t>
  </si>
  <si>
    <t>£ 416,000 (€ 482,498, $564,803)</t>
  </si>
  <si>
    <t>Jocelin Ta Bi</t>
  </si>
  <si>
    <r>
      <rPr>
        <rFont val="Verdana, sans-serif"/>
        <color rgb="FF1155CC"/>
        <u/>
      </rPr>
      <t>Sunderland</t>
    </r>
  </si>
  <si>
    <t>£ 8,000 (€ 9,237, $10,736)</t>
  </si>
  <si>
    <t>£ 416,000 (€ 480,326, $558,285)</t>
  </si>
  <si>
    <r>
      <rPr>
        <rFont val="Verdana, sans-serif"/>
        <color rgb="FF1155CC"/>
        <u/>
      </rPr>
      <t>Matheus França</t>
    </r>
  </si>
  <si>
    <r>
      <t xml:space="preserve">br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</si>
  <si>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Crystal Palace</t>
    </r>
  </si>
  <si>
    <t>£ 8,000 (€ 9,229, $10,749)</t>
  </si>
  <si>
    <t>£ 416,000 (€ 479,926, $558,925)</t>
  </si>
  <si>
    <r>
      <rPr>
        <rFont val="Verdana, sans-serif"/>
        <color rgb="FF1155CC"/>
        <u/>
      </rPr>
      <t>Will Dennis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</si>
  <si>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</si>
  <si>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</si>
  <si>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Dexter Lembikisa</t>
    </r>
  </si>
  <si>
    <r>
      <t xml:space="preserve">jm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</si>
  <si>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Wolves</t>
    </r>
  </si>
  <si>
    <t>Mateus Mané</t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</si>
  <si>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</si>
  <si>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Nigel Lonwijk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</si>
  <si>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</si>
  <si>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</si>
  <si>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Ahmed Abdullahi</t>
    </r>
  </si>
  <si>
    <r>
      <t xml:space="preserve">ng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</si>
  <si>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</si>
  <si>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Alex Murphy</t>
    </r>
  </si>
  <si>
    <r>
      <t xml:space="preserve">ie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</si>
  <si>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</si>
  <si>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Benjamin Arthur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</si>
  <si>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</si>
  <si>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</si>
  <si>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Yasin Ayari</t>
    </r>
  </si>
  <si>
    <r>
      <t xml:space="preserve">se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</si>
  <si>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</si>
  <si>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Tyrique George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</si>
  <si>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</si>
  <si>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</si>
  <si>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t>£ 7,500 (€ 8,660, $10,065)</t>
  </si>
  <si>
    <t>£ 390,000 (€ 450,306, $523,393)</t>
  </si>
  <si>
    <r>
      <rPr>
        <rFont val="Verdana, sans-serif"/>
        <color rgb="FF1155CC"/>
        <u/>
      </rPr>
      <t>Tayo Adaramola</t>
    </r>
  </si>
  <si>
    <r>
      <t xml:space="preserve">ie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</si>
  <si>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Crystal Palace</t>
    </r>
  </si>
  <si>
    <t>£ 7,500 (€ 8,653, $10,077)</t>
  </si>
  <si>
    <t>£ 390,000 (€ 449,931, $523,992)</t>
  </si>
  <si>
    <r>
      <rPr>
        <rFont val="Verdana, sans-serif"/>
        <color rgb="FF1155CC"/>
        <u/>
      </rPr>
      <t>Lewis Dobbin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</si>
  <si>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</si>
  <si>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</si>
  <si>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Tommi O'Reilly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</si>
  <si>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</si>
  <si>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</si>
  <si>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t>Ezra Mayers</t>
  </si>
  <si>
    <r>
      <rPr>
        <rFont val="Verdana, sans-serif"/>
        <color rgb="FF1155CC"/>
        <u/>
      </rPr>
      <t>West Ham United</t>
    </r>
  </si>
  <si>
    <t>£ 7,000 (€ 8,082, $9,394)</t>
  </si>
  <si>
    <t>£ 364,000 (€ 420,286, $488,500)</t>
  </si>
  <si>
    <r>
      <rPr>
        <rFont val="Verdana, sans-serif"/>
        <color rgb="FF1155CC"/>
        <u/>
      </rPr>
      <t>Matthew Cox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</si>
  <si>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</si>
  <si>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</si>
  <si>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t>£ 7,000 (€ 8,076, $9,405)</t>
  </si>
  <si>
    <t>£ 364,000 (€ 419,935, $489,059)</t>
  </si>
  <si>
    <r>
      <rPr>
        <rFont val="Verdana, sans-serif"/>
        <color rgb="FF1155CC"/>
        <u/>
      </rPr>
      <t>Lino Sousa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</si>
  <si>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</si>
  <si>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</si>
  <si>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t>£ 6,000 (€ 6,928, $8,052)</t>
  </si>
  <si>
    <t>£ 312,000 (€ 360,245, $418,714)</t>
  </si>
  <si>
    <t>Oliver Irow</t>
  </si>
  <si>
    <r>
      <rPr>
        <rFont val="Verdana, sans-serif"/>
        <color rgb="FF1155CC"/>
        <u/>
      </rPr>
      <t>Tottenham Hotspur</t>
    </r>
  </si>
  <si>
    <t>£ 5,000 (€ 5,773, $6,710)</t>
  </si>
  <si>
    <t>£ 260,000 (€ 300,204, $348,928)</t>
  </si>
  <si>
    <t>Yusuf Akhamrich</t>
  </si>
  <si>
    <r>
      <rPr>
        <rFont val="Verdana, sans-serif"/>
        <color rgb="FF1155CC"/>
        <u/>
      </rPr>
      <t>Tottenham Hotspur</t>
    </r>
  </si>
  <si>
    <t>Kane Taylor</t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</si>
  <si>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</si>
  <si>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Ethan Wheatley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</si>
  <si>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</si>
  <si>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</si>
  <si>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t>£ 5,000 (€ 5,768, $6,718)</t>
  </si>
  <si>
    <t>£ 260,000 (€ 299,954, $349,328)</t>
  </si>
  <si>
    <r>
      <rPr>
        <rFont val="Verdana, sans-serif"/>
        <color rgb="FF1155CC"/>
        <u/>
      </rPr>
      <t>Joe Hugill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</si>
  <si>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</si>
  <si>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</si>
  <si>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t>Ashley Phillips</t>
  </si>
  <si>
    <r>
      <rPr>
        <rFont val="Verdana, sans-serif"/>
        <color rgb="FF1155CC"/>
        <u/>
      </rPr>
      <t>Tottenham Hotspur</t>
    </r>
  </si>
  <si>
    <t>Joe Whitworth</t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</si>
  <si>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</si>
  <si>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Rio Cardines</t>
    </r>
  </si>
  <si>
    <r>
      <t xml:space="preserve">tt </t>
    </r>
    <r>
      <rPr>
        <rFont val="Verdana, sans-serif"/>
        <color rgb="FF1155CC"/>
        <sz val="8.0"/>
        <u/>
      </rPr>
      <t>TRI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</si>
  <si>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</si>
  <si>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Daniel Jebbison</t>
    </r>
  </si>
  <si>
    <r>
      <t xml:space="preserve">ca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</si>
  <si>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</si>
  <si>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Joe Gauci</t>
    </r>
  </si>
  <si>
    <r>
      <t xml:space="preserve">au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</si>
  <si>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</si>
  <si>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Harrison Jones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</si>
  <si>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</si>
  <si>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</si>
  <si>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Milan Aleksić</t>
    </r>
  </si>
  <si>
    <r>
      <t xml:space="preserve">rs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</si>
  <si>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Sunderland</t>
    </r>
  </si>
  <si>
    <t>Sverre Nypan</t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</si>
  <si>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</si>
  <si>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Jayden Meghoma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</si>
  <si>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</si>
  <si>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</si>
  <si>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Myles Peart-Harris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</si>
  <si>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</si>
  <si>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</si>
  <si>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t>Josh Acheampong</t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</si>
  <si>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</si>
  <si>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Tyler Bindon</t>
    </r>
  </si>
  <si>
    <r>
      <t xml:space="preserve">nz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</si>
  <si>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Nottingham Forest</t>
    </r>
  </si>
  <si>
    <t>Nazarii Rusyn</t>
  </si>
  <si>
    <r>
      <rPr>
        <rFont val="Verdana, sans-serif"/>
        <color rgb="FF1155CC"/>
        <u/>
      </rPr>
      <t>Sunderland</t>
    </r>
  </si>
  <si>
    <t>£ 4,500 (€ 5,192, $6,046)</t>
  </si>
  <si>
    <t>£ 234,000 (€ 269,958, $314,395)</t>
  </si>
  <si>
    <r>
      <rPr>
        <rFont val="Verdana, sans-serif"/>
        <color rgb="FF1155CC"/>
        <u/>
      </rPr>
      <t>Kadan Young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</si>
  <si>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</si>
  <si>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</si>
  <si>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t>£ 4,000 (€ 4,619, $5,368)</t>
  </si>
  <si>
    <t>£ 208,000 (€ 240,163, $279,143)</t>
  </si>
  <si>
    <t>Ronnie Stutter</t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</si>
  <si>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</si>
  <si>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Matai Akinmboni</t>
    </r>
  </si>
  <si>
    <r>
      <t xml:space="preserve">us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</si>
  <si>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Bournemouth</t>
    </r>
  </si>
  <si>
    <t>£ 4,000 (€ 4,615, $5,374)</t>
  </si>
  <si>
    <t>£ 208,000 (€ 239,963, $279,462)</t>
  </si>
  <si>
    <r>
      <rPr>
        <rFont val="Verdana, sans-serif"/>
        <color rgb="FF1155CC"/>
        <u/>
      </rPr>
      <t>Kerr Smith</t>
    </r>
  </si>
  <si>
    <r>
      <t xml:space="preserve">sct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</si>
  <si>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</si>
  <si>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Alan Browne</t>
    </r>
  </si>
  <si>
    <r>
      <t xml:space="preserve">ie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</si>
  <si>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</si>
  <si>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Mahamadou Susoho</t>
    </r>
  </si>
  <si>
    <r>
      <t xml:space="preserve">es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</si>
  <si>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Manchester City</t>
    </r>
  </si>
  <si>
    <t>£ 3,500 (€ 4,038, $4,703)</t>
  </si>
  <si>
    <t>£ 182,000 (€ 209,968, $244,530)</t>
  </si>
  <si>
    <t>Dan Gore</t>
  </si>
  <si>
    <r>
      <rPr>
        <rFont val="Verdana, sans-serif"/>
        <color rgb="FF1155CC"/>
        <u/>
      </rPr>
      <t>Manchester Utd</t>
    </r>
  </si>
  <si>
    <t>£ 3,000 (€ 3,461, $4,031)</t>
  </si>
  <si>
    <t>£ 156,000 (€ 179,972, $209,597)</t>
  </si>
  <si>
    <t>Isaac Mabaya</t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</si>
  <si>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</si>
  <si>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Louie Barry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</si>
  <si>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</si>
  <si>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</si>
  <si>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t>Brodi Hughes</t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</si>
  <si>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</si>
  <si>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Caleb Wiley</t>
    </r>
  </si>
  <si>
    <r>
      <t xml:space="preserve">us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</si>
  <si>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Chelsea</t>
    </r>
  </si>
  <si>
    <t>Teddy Sharman-Lowe</t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</si>
  <si>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</si>
  <si>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Amario Cozier-Duberry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</si>
  <si>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</si>
  <si>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</si>
  <si>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t>Donnell McNeilly</t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</si>
  <si>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</si>
  <si>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Luke Chambers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</si>
  <si>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</si>
  <si>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</si>
  <si>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t>£ 2,500 (€ 2,887, $3,355)</t>
  </si>
  <si>
    <t>£ 130,000 (€ 150,102, $174,464)</t>
  </si>
  <si>
    <t>Min-hyeok Yang</t>
  </si>
  <si>
    <r>
      <rPr>
        <rFont val="Verdana, sans-serif"/>
        <color rgb="FF1155CC"/>
        <u/>
      </rPr>
      <t>Tottenham Hotspur</t>
    </r>
  </si>
  <si>
    <t>£ 2,500 (€ 2,884, $3,359)</t>
  </si>
  <si>
    <r>
      <rPr>
        <rFont val="Verdana, sans-serif"/>
        <color rgb="FF1155CC"/>
        <u/>
      </rPr>
      <t>Will Lankshear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</si>
  <si>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</si>
  <si>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</si>
  <si>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Jemiah Umolu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</si>
  <si>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</si>
  <si>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</si>
  <si>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Niall Huggins</t>
    </r>
  </si>
  <si>
    <r>
      <t xml:space="preserve">wls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</si>
  <si>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</si>
  <si>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Finley Burns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</si>
  <si>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</si>
  <si>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</si>
  <si>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t>Max Alleyne</t>
  </si>
  <si>
    <r>
      <rPr>
        <rFont val="Verdana, sans-serif"/>
        <color rgb="FF1155CC"/>
        <u/>
      </rPr>
      <t>Manchester City</t>
    </r>
  </si>
  <si>
    <t>Jimmy-Jay Morgan</t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</si>
  <si>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</si>
  <si>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Calum Scanlon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</si>
  <si>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</si>
  <si>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</si>
  <si>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t>£ 2,000 (€ 2,309, $2,684)</t>
  </si>
  <si>
    <t>£ 104,000 (€ 120,082, $139,571)</t>
  </si>
  <si>
    <t>Divine Mukasa</t>
  </si>
  <si>
    <r>
      <rPr>
        <rFont val="Verdana, sans-serif"/>
        <color rgb="FF1155CC"/>
        <u/>
      </rPr>
      <t>Manchester City</t>
    </r>
  </si>
  <si>
    <t>Emilio Lawrence</t>
  </si>
  <si>
    <r>
      <rPr>
        <rFont val="Verdana, sans-serif"/>
        <color rgb="FF1155CC"/>
        <u/>
      </rPr>
      <t>Manchester City</t>
    </r>
  </si>
  <si>
    <t>Stephen Mfuni</t>
  </si>
  <si>
    <r>
      <rPr>
        <rFont val="Verdana, sans-serif"/>
        <color rgb="FF1155CC"/>
        <u/>
      </rPr>
      <t>Manchester City</t>
    </r>
  </si>
  <si>
    <t>Iwan Morgan</t>
  </si>
  <si>
    <r>
      <rPr>
        <rFont val="Verdana, sans-serif"/>
        <color rgb="FF1155CC"/>
        <u/>
      </rPr>
      <t>Brentford</t>
    </r>
  </si>
  <si>
    <t>Ben Winterburn</t>
  </si>
  <si>
    <r>
      <rPr>
        <rFont val="Verdana, sans-serif"/>
        <color rgb="FF1155CC"/>
        <u/>
      </rPr>
      <t>Bournemouth</t>
    </r>
  </si>
  <si>
    <t>£ 2,000 (€ 2,307, $2,687)</t>
  </si>
  <si>
    <t>£ 104,000 (€ 119,982, $139,731)</t>
  </si>
  <si>
    <r>
      <rPr>
        <rFont val="Verdana, sans-serif"/>
        <color rgb="FF1155CC"/>
        <u/>
      </rPr>
      <t>Harvey Davies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</si>
  <si>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</si>
  <si>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</si>
  <si>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Josh Feeney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</si>
  <si>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</si>
  <si>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</si>
  <si>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Divin Mubama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</si>
  <si>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</si>
  <si>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</si>
  <si>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t>Lakyle Samuel</t>
  </si>
  <si>
    <r>
      <rPr>
        <rFont val="Verdana, sans-serif"/>
        <color rgb="FF1155CC"/>
        <u/>
      </rPr>
      <t>Manchester City</t>
    </r>
  </si>
  <si>
    <t>Omari Kellyman</t>
  </si>
  <si>
    <r>
      <rPr>
        <rFont val="Verdana, sans-serif"/>
        <color rgb="FF1155CC"/>
        <u/>
      </rPr>
      <t>Chelsea</t>
    </r>
  </si>
  <si>
    <t>Caylan Vickers</t>
  </si>
  <si>
    <r>
      <rPr>
        <rFont val="Verdana, sans-serif"/>
        <color rgb="FF1155CC"/>
        <u/>
      </rPr>
      <t>Brighton</t>
    </r>
  </si>
  <si>
    <t>Matt Dibley-Dias</t>
  </si>
  <si>
    <r>
      <rPr>
        <rFont val="Verdana, sans-serif"/>
        <color rgb="FF1155CC"/>
        <u/>
      </rPr>
      <t>Fulham</t>
    </r>
  </si>
  <si>
    <t>Will Dickson</t>
  </si>
  <si>
    <r>
      <rPr>
        <rFont val="Verdana, sans-serif"/>
        <color rgb="FF1155CC"/>
        <u/>
      </rPr>
      <t>Manchester City</t>
    </r>
  </si>
  <si>
    <t>£ 1,800 (€ 2,077, $2,418)</t>
  </si>
  <si>
    <t>£ 93,600 (€ 107,983, $125,758)</t>
  </si>
  <si>
    <t>James Scanlon</t>
  </si>
  <si>
    <r>
      <rPr>
        <rFont val="Verdana, sans-serif"/>
        <color rgb="FF1155CC"/>
        <u/>
      </rPr>
      <t>Manchester Utd</t>
    </r>
  </si>
  <si>
    <t>£ 1,500 (€ 1,732, $2,013)</t>
  </si>
  <si>
    <t>£ 78,000 (€ 90,061, $104,679)</t>
  </si>
  <si>
    <t>Aidan Borland</t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</si>
  <si>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</si>
  <si>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Alfie Pond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</si>
  <si>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</si>
  <si>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</si>
  <si>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t>Timur Tuterov</t>
  </si>
  <si>
    <r>
      <rPr>
        <rFont val="Verdana, sans-serif"/>
        <color rgb="FF1155CC"/>
        <u/>
      </rPr>
      <t>Sunderland</t>
    </r>
  </si>
  <si>
    <t>Radek Vítek</t>
  </si>
  <si>
    <r>
      <rPr>
        <rFont val="Verdana, sans-serif"/>
        <color rgb="FF1155CC"/>
        <u/>
      </rPr>
      <t>Manchester Utd</t>
    </r>
  </si>
  <si>
    <t>£ 1,500 (€ 1,731, $2,015)</t>
  </si>
  <si>
    <t>£ 78,000 (€ 89,986, $104,798)</t>
  </si>
  <si>
    <r>
      <rPr>
        <rFont val="Verdana, sans-serif"/>
        <color rgb="FF1155CC"/>
        <u/>
      </rPr>
      <t>Sil Swinkels</t>
    </r>
  </si>
  <si>
    <r>
      <t xml:space="preserve">nl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</si>
  <si>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</si>
  <si>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t>Logan Pye</t>
  </si>
  <si>
    <r>
      <rPr>
        <rFont val="Verdana, sans-serif"/>
        <color rgb="FF1155CC"/>
        <u/>
      </rPr>
      <t>Burnley</t>
    </r>
  </si>
  <si>
    <t>Michael Mellon</t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</si>
  <si>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</si>
  <si>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Joe White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</si>
  <si>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</si>
  <si>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</si>
  <si>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t>Ben Krauhaus</t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</si>
  <si>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</si>
  <si>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Kamari Doyle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</si>
  <si>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</si>
  <si>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</si>
  <si>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t>Gabriele Biancheri</t>
  </si>
  <si>
    <r>
      <rPr>
        <rFont val="Verdana, sans-serif"/>
        <color rgb="FF1155CC"/>
        <u/>
      </rPr>
      <t>Manchester Utd</t>
    </r>
  </si>
  <si>
    <t>£ 1,250 (€ 1,443, $1,678)</t>
  </si>
  <si>
    <t>Ben Broggio</t>
  </si>
  <si>
    <r>
      <rPr>
        <rFont val="Verdana, sans-serif"/>
        <color rgb="FF1155CC"/>
        <u/>
      </rPr>
      <t>Aston Villa</t>
    </r>
  </si>
  <si>
    <t>£ 1,200 (€ 1,386, $1,610)</t>
  </si>
  <si>
    <t>£ 62,400 (€ 72,049, $83,743)</t>
  </si>
  <si>
    <t>Jaden Heskey</t>
  </si>
  <si>
    <r>
      <rPr>
        <rFont val="Verdana, sans-serif"/>
        <color rgb="FF1155CC"/>
        <u/>
      </rPr>
      <t>Manchester City</t>
    </r>
  </si>
  <si>
    <t>£ 1,000 (€ 1,155, $1,342)</t>
  </si>
  <si>
    <t>£ 52,000 (€ 60,041, $69,786)</t>
  </si>
  <si>
    <r>
      <rPr>
        <rFont val="Verdana, sans-serif"/>
        <color rgb="FF1155CC"/>
        <u/>
      </rPr>
      <t>Elijah Campbell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</si>
  <si>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</si>
  <si>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</si>
  <si>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t>Roman Dixon</t>
  </si>
  <si>
    <r>
      <rPr>
        <rFont val="Verdana, sans-serif"/>
        <color rgb="FF1155CC"/>
        <u/>
      </rPr>
      <t>Everton</t>
    </r>
  </si>
  <si>
    <t>Ben Hammond</t>
  </si>
  <si>
    <r>
      <rPr>
        <rFont val="Verdana, sans-serif"/>
        <color rgb="FF1155CC"/>
        <u/>
      </rPr>
      <t>Nottingham Forest</t>
    </r>
  </si>
  <si>
    <t>Elyh Harrison</t>
  </si>
  <si>
    <r>
      <rPr>
        <rFont val="Verdana, sans-serif"/>
        <color rgb="FF1155CC"/>
        <u/>
      </rPr>
      <t>Manchester Utd</t>
    </r>
  </si>
  <si>
    <t>£ 1,000 (€ 1,154, $1,344)</t>
  </si>
  <si>
    <t>£ 52,000 (€ 59,991, $69,866)</t>
  </si>
  <si>
    <r>
      <rPr>
        <rFont val="Verdana, sans-serif"/>
        <color rgb="FF1155CC"/>
        <u/>
      </rPr>
      <t>Ethan Ennis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</si>
  <si>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</si>
  <si>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</si>
  <si>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Ethan Williams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</si>
  <si>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</si>
  <si>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</si>
  <si>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t>Habeeb Ogunneye</t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</si>
  <si>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</si>
  <si>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Owen Goodman</t>
    </r>
  </si>
  <si>
    <r>
      <t xml:space="preserve">ca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</si>
  <si>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Crystal Palace</t>
    </r>
  </si>
  <si>
    <t>Michael Forbes</t>
  </si>
  <si>
    <r>
      <rPr>
        <rFont val="Verdana, sans-serif"/>
        <color rgb="FF1155CC"/>
        <u/>
      </rPr>
      <t>West Ham United</t>
    </r>
  </si>
  <si>
    <t>Owen Dodgson</t>
  </si>
  <si>
    <r>
      <rPr>
        <rFont val="Verdana, sans-serif"/>
        <color rgb="FF1155CC"/>
        <u/>
      </rPr>
      <t>Burnley</t>
    </r>
  </si>
  <si>
    <t>Tommy McDermott</t>
  </si>
  <si>
    <r>
      <rPr>
        <rFont val="Verdana, sans-serif"/>
        <color rgb="FF1155CC"/>
        <u/>
      </rPr>
      <t>Burnley</t>
    </r>
  </si>
  <si>
    <t>Joel Ndala</t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</si>
  <si>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</si>
  <si>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Ethan Brierley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</si>
  <si>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</si>
  <si>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</si>
  <si>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t>Jacob Slater</t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</si>
  <si>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</si>
  <si>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Francis Okoronkwo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</si>
  <si>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</si>
  <si>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</si>
  <si>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t>Detlef Esapa Osong</t>
  </si>
  <si>
    <r>
      <rPr>
        <rFont val="Verdana, sans-serif"/>
        <color rgb="FF1155CC"/>
        <u/>
      </rPr>
      <t>Nottingham Forest</t>
    </r>
  </si>
  <si>
    <t>Ismeal Kabia</t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</si>
  <si>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</si>
  <si>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Lyle Foster</t>
    </r>
  </si>
  <si>
    <r>
      <t xml:space="preserve">za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</si>
  <si>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Burnley</t>
    </r>
  </si>
  <si>
    <t>£ 769 (€ 887, $1,034)</t>
  </si>
  <si>
    <t>Temple Ojinnaka</t>
  </si>
  <si>
    <r>
      <rPr>
        <rFont val="Verdana, sans-serif"/>
        <color rgb="FF1155CC"/>
        <u/>
      </rPr>
      <t>Wolves</t>
    </r>
  </si>
  <si>
    <t>£ 750 (€ 866, $1,007)</t>
  </si>
  <si>
    <t>£ 39,000 (€ 45,031, $52,339)</t>
  </si>
  <si>
    <t>Aaron Loupalo-Bi</t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</si>
  <si>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</si>
  <si>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Sonny Aljofree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</si>
  <si>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</si>
  <si>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</si>
  <si>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t>£ 750 (€ 865, $1,008)</t>
  </si>
  <si>
    <t>£ 39,000 (€ 44,993, $52,399)</t>
  </si>
  <si>
    <r>
      <rPr>
        <rFont val="Verdana, sans-serif"/>
        <color rgb="FF1155CC"/>
        <u/>
      </rPr>
      <t>Tony Yogane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</si>
  <si>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</si>
  <si>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</si>
  <si>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Mark O'Mahony</t>
    </r>
  </si>
  <si>
    <r>
      <t xml:space="preserve">ie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</si>
  <si>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Brighton</t>
    </r>
  </si>
  <si>
    <t>Josh Powell</t>
  </si>
  <si>
    <r>
      <rPr>
        <rFont val="Verdana, sans-serif"/>
        <color rgb="FF1155CC"/>
        <u/>
      </rPr>
      <t>Nottingham Forest</t>
    </r>
  </si>
  <si>
    <t>Devan Tanton</t>
  </si>
  <si>
    <r>
      <rPr>
        <rFont val="Verdana, sans-serif"/>
        <color rgb="FF1155CC"/>
        <u/>
      </rPr>
      <t>Fulham</t>
    </r>
  </si>
  <si>
    <t>Lewis Orford</t>
  </si>
  <si>
    <r>
      <rPr>
        <rFont val="Verdana, sans-serif"/>
        <color rgb="FF1155CC"/>
        <u/>
      </rPr>
      <t>West Ham United</t>
    </r>
  </si>
  <si>
    <t>£ 600 (€ 692, $806)</t>
  </si>
  <si>
    <t>£ 31,200 (€ 35,994, $41,919)</t>
  </si>
  <si>
    <t>Martin Sherif</t>
  </si>
  <si>
    <r>
      <rPr>
        <rFont val="Verdana, sans-serif"/>
        <color rgb="FF1155CC"/>
        <u/>
      </rPr>
      <t>Everton</t>
    </r>
  </si>
  <si>
    <t>Hannibal</t>
  </si>
  <si>
    <r>
      <rPr>
        <rFont val="Verdana, sans-serif"/>
        <color rgb="FF1155CC"/>
        <u/>
      </rPr>
      <t>Burnley</t>
    </r>
  </si>
  <si>
    <t>£ 577 (€ 666, $775)</t>
  </si>
  <si>
    <t>Harry Gray</t>
  </si>
  <si>
    <r>
      <rPr>
        <rFont val="Verdana, sans-serif"/>
        <color rgb="FF1155CC"/>
        <u/>
      </rPr>
      <t>Leeds United</t>
    </r>
  </si>
  <si>
    <t>£ 500 (€ 577, $671)</t>
  </si>
  <si>
    <t>£ 26,000 (€ 30,020, $34,893)</t>
  </si>
  <si>
    <r>
      <rPr>
        <rFont val="Verdana, sans-serif"/>
        <color rgb="FF1155CC"/>
        <u/>
      </rPr>
      <t>George Abbott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</si>
  <si>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</si>
  <si>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</si>
  <si>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t>£ 500 (€ 577, $672)</t>
  </si>
  <si>
    <t>£ 26,000 (€ 29,995, $34,933)</t>
  </si>
  <si>
    <t>Tyrese Hall</t>
  </si>
  <si>
    <r>
      <rPr>
        <rFont val="Verdana, sans-serif"/>
        <color rgb="FF1155CC"/>
        <u/>
      </rPr>
      <t>Tottenham Hotspur</t>
    </r>
  </si>
  <si>
    <t>Trey Samuel-Ogunsuyi</t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</si>
  <si>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</si>
  <si>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Danny Imray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</si>
  <si>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</si>
  <si>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</si>
  <si>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t>£ 400 (€ 461, $537)</t>
  </si>
  <si>
    <t>£ 20,800 (€ 23,996, $27,946)</t>
  </si>
  <si>
    <r>
      <rPr>
        <rFont val="Verdana, sans-serif"/>
        <color rgb="FF1155CC"/>
        <u/>
      </rPr>
      <t>Luca Stephenson</t>
    </r>
  </si>
  <si>
    <r>
      <t xml:space="preserve">eng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</si>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</sst>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rgb="FF990000"/>
      <name val="Verdana"/>
    </font>
    <font/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  <font>
      <color rgb="FF888888"/>
      <name val="Verdana"/>
    </font>
    <font>
      <u/>
      <color rgb="FF0000FF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  <font>
      <u/>
      <color rgb="FF0000FF"/>
      <name val="Verdana"/>
    </font>
    <font>
      <b/>
      <color rgb="FF000000"/>
      <name val="Verdana"/>
    </font>
    <font>
      <color rgb="FF008800"/>
      <name val="Verdana"/>
    </font>
    <font>
      <color rgb="FFCC0000"/>
      <name val="Verdana"/>
    </font>
    <font>
      <u/>
      <sz val="8.0"/>
      <color rgb="FF0000FF"/>
      <name val="Verdana"/>
    </font>
    <font>
      <u/>
      <sz val="8.0"/>
      <color rgb="FF0000FF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88"/>
        <bgColor rgb="FFFFFF88"/>
      </patternFill>
    </fill>
    <fill>
      <patternFill patternType="solid">
        <fgColor rgb="FFFFCC66"/>
        <bgColor rgb="FFFFCC66"/>
      </patternFill>
    </fill>
  </fills>
  <borders count="16">
    <border/>
    <border>
      <left style="thin">
        <color rgb="FF747678"/>
      </left>
      <bottom style="thin">
        <color rgb="FF747678"/>
      </bottom>
    </border>
    <border>
      <bottom style="thin">
        <color rgb="FF747678"/>
      </bottom>
    </border>
    <border>
      <right style="thin">
        <color rgb="FF949698"/>
      </righ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right style="thin">
        <color rgb="FF747678"/>
      </right>
      <bottom style="thin">
        <color rgb="FF747678"/>
      </bottom>
    </border>
    <border>
      <left style="thin">
        <color rgb="FF747678"/>
      </left>
      <bottom style="thin">
        <color rgb="FFDDDDDD"/>
      </bottom>
    </border>
    <border>
      <left style="thin">
        <color rgb="FF747678"/>
      </left>
      <right style="thin">
        <color rgb="FF747678"/>
      </right>
      <bottom style="thin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right style="thin">
        <color rgb="FF747678"/>
      </right>
      <top style="thin">
        <color rgb="FF747678"/>
      </top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  <border>
      <left style="thin">
        <color rgb="FF747678"/>
      </left>
      <bottom style="hair">
        <color rgb="FFDDDDDD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wrapText="0"/>
    </xf>
    <xf borderId="5" fillId="2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6" fillId="2" fontId="1" numFmtId="0" xfId="0" applyAlignment="1" applyBorder="1" applyFont="1">
      <alignment horizontal="left" readingOrder="0" shrinkToFit="0" wrapText="0"/>
    </xf>
    <xf borderId="5" fillId="2" fontId="1" numFmtId="0" xfId="0" applyAlignment="1" applyBorder="1" applyFont="1">
      <alignment horizontal="center" readingOrder="0" shrinkToFit="0" wrapText="0"/>
    </xf>
    <xf borderId="7" fillId="3" fontId="3" numFmtId="0" xfId="0" applyAlignment="1" applyBorder="1" applyFill="1" applyFont="1">
      <alignment horizontal="right" readingOrder="0" shrinkToFit="0" wrapText="0"/>
    </xf>
    <xf borderId="8" fillId="0" fontId="4" numFmtId="0" xfId="0" applyAlignment="1" applyBorder="1" applyFont="1">
      <alignment horizontal="left" readingOrder="0" shrinkToFit="0" wrapText="0"/>
    </xf>
    <xf borderId="9" fillId="0" fontId="5" numFmtId="0" xfId="0" applyAlignment="1" applyBorder="1" applyFont="1">
      <alignment horizontal="left" readingOrder="0" shrinkToFit="0" wrapText="0"/>
    </xf>
    <xf borderId="9" fillId="3" fontId="3" numFmtId="0" xfId="0" applyAlignment="1" applyBorder="1" applyFont="1">
      <alignment horizontal="center" readingOrder="0" shrinkToFit="0" wrapText="0"/>
    </xf>
    <xf borderId="9" fillId="0" fontId="6" numFmtId="0" xfId="0" applyAlignment="1" applyBorder="1" applyFont="1">
      <alignment horizontal="left" readingOrder="0" shrinkToFit="0" wrapText="0"/>
    </xf>
    <xf borderId="10" fillId="3" fontId="3" numFmtId="0" xfId="0" applyAlignment="1" applyBorder="1" applyFont="1">
      <alignment horizontal="right" readingOrder="0" shrinkToFit="0" wrapText="0"/>
    </xf>
    <xf borderId="9" fillId="3" fontId="3" numFmtId="0" xfId="0" applyAlignment="1" applyBorder="1" applyFont="1">
      <alignment horizontal="right" readingOrder="0" shrinkToFit="0" wrapText="0"/>
    </xf>
    <xf borderId="9" fillId="3" fontId="3" numFmtId="3" xfId="0" applyAlignment="1" applyBorder="1" applyFont="1" applyNumberFormat="1">
      <alignment horizontal="right" readingOrder="0" shrinkToFit="0" wrapText="0"/>
    </xf>
    <xf borderId="10" fillId="4" fontId="3" numFmtId="0" xfId="0" applyAlignment="1" applyBorder="1" applyFill="1" applyFont="1">
      <alignment horizontal="right" readingOrder="0" shrinkToFit="0" wrapText="0"/>
    </xf>
    <xf borderId="9" fillId="4" fontId="3" numFmtId="0" xfId="0" applyAlignment="1" applyBorder="1" applyFont="1">
      <alignment horizontal="right" readingOrder="0" shrinkToFit="0" wrapText="0"/>
    </xf>
    <xf borderId="9" fillId="4" fontId="7" numFmtId="0" xfId="0" applyAlignment="1" applyBorder="1" applyFont="1">
      <alignment horizontal="right" readingOrder="0" shrinkToFit="0" wrapText="0"/>
    </xf>
    <xf borderId="10" fillId="0" fontId="8" numFmtId="0" xfId="0" applyAlignment="1" applyBorder="1" applyFont="1">
      <alignment horizontal="left" readingOrder="0" shrinkToFit="0" wrapText="0"/>
    </xf>
    <xf borderId="9" fillId="3" fontId="7" numFmtId="0" xfId="0" applyAlignment="1" applyBorder="1" applyFont="1">
      <alignment horizontal="right" readingOrder="0" shrinkToFit="0" wrapText="0"/>
    </xf>
    <xf borderId="10" fillId="4" fontId="7" numFmtId="0" xfId="0" applyAlignment="1" applyBorder="1" applyFont="1">
      <alignment horizontal="right" readingOrder="0" shrinkToFit="0" wrapText="0"/>
    </xf>
    <xf borderId="10" fillId="3" fontId="7" numFmtId="0" xfId="0" applyAlignment="1" applyBorder="1" applyFont="1">
      <alignment horizontal="right" readingOrder="0" shrinkToFit="0" wrapText="0"/>
    </xf>
    <xf borderId="1" fillId="3" fontId="3" numFmtId="0" xfId="0" applyAlignment="1" applyBorder="1" applyFont="1">
      <alignment horizontal="right" readingOrder="0" shrinkToFit="0" wrapText="0"/>
    </xf>
    <xf borderId="6" fillId="0" fontId="9" numFmtId="0" xfId="0" applyAlignment="1" applyBorder="1" applyFont="1">
      <alignment horizontal="left" readingOrder="0" shrinkToFit="0" wrapText="0"/>
    </xf>
    <xf borderId="5" fillId="0" fontId="10" numFmtId="0" xfId="0" applyAlignment="1" applyBorder="1" applyFont="1">
      <alignment horizontal="lef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5" fillId="0" fontId="11" numFmtId="0" xfId="0" applyAlignment="1" applyBorder="1" applyFont="1">
      <alignment horizontal="left" readingOrder="0" shrinkToFit="0" wrapText="0"/>
    </xf>
    <xf borderId="4" fillId="3" fontId="3" numFmtId="0" xfId="0" applyAlignment="1" applyBorder="1" applyFont="1">
      <alignment horizontal="right" readingOrder="0" shrinkToFit="0" wrapText="0"/>
    </xf>
    <xf borderId="5" fillId="3" fontId="3" numFmtId="0" xfId="0" applyAlignment="1" applyBorder="1" applyFont="1">
      <alignment horizontal="right" readingOrder="0" shrinkToFit="0" wrapText="0"/>
    </xf>
    <xf borderId="5" fillId="3" fontId="3" numFmtId="3" xfId="0" applyAlignment="1" applyBorder="1" applyFont="1" applyNumberFormat="1">
      <alignment horizontal="right" readingOrder="0" shrinkToFit="0" wrapText="0"/>
    </xf>
    <xf borderId="4" fillId="4" fontId="3" numFmtId="0" xfId="0" applyAlignment="1" applyBorder="1" applyFont="1">
      <alignment horizontal="right" readingOrder="0" shrinkToFit="0" wrapText="0"/>
    </xf>
    <xf borderId="5" fillId="4" fontId="3" numFmtId="0" xfId="0" applyAlignment="1" applyBorder="1" applyFont="1">
      <alignment horizontal="right" readingOrder="0" shrinkToFit="0" wrapText="0"/>
    </xf>
    <xf borderId="5" fillId="4" fontId="7" numFmtId="0" xfId="0" applyAlignment="1" applyBorder="1" applyFont="1">
      <alignment horizontal="right" readingOrder="0" shrinkToFit="0" wrapText="0"/>
    </xf>
    <xf borderId="4" fillId="0" fontId="12" numFmtId="0" xfId="0" applyAlignment="1" applyBorder="1" applyFont="1">
      <alignment horizontal="left" readingOrder="0" shrinkToFit="0" wrapText="0"/>
    </xf>
    <xf borderId="9" fillId="3" fontId="7" numFmtId="0" xfId="0" applyAlignment="1" applyBorder="1" applyFont="1">
      <alignment horizontal="right" shrinkToFit="0" wrapText="0"/>
    </xf>
    <xf borderId="11" fillId="2" fontId="1" numFmtId="0" xfId="0" applyAlignment="1" applyBorder="1" applyFont="1">
      <alignment horizontal="center" readingOrder="0" shrinkToFit="0" wrapText="0"/>
    </xf>
    <xf borderId="12" fillId="2" fontId="13" numFmtId="0" xfId="0" applyAlignment="1" applyBorder="1" applyFont="1">
      <alignment horizontal="left" readingOrder="0" shrinkToFit="0" wrapText="0"/>
    </xf>
    <xf borderId="13" fillId="2" fontId="13" numFmtId="0" xfId="0" applyAlignment="1" applyBorder="1" applyFont="1">
      <alignment horizontal="center" readingOrder="0" shrinkToFit="0" wrapText="0"/>
    </xf>
    <xf borderId="14" fillId="2" fontId="13" numFmtId="0" xfId="0" applyAlignment="1" applyBorder="1" applyFont="1">
      <alignment horizontal="center" readingOrder="0" shrinkToFit="0" wrapText="0"/>
    </xf>
    <xf borderId="1" fillId="5" fontId="3" numFmtId="0" xfId="0" applyAlignment="1" applyBorder="1" applyFill="1" applyFont="1">
      <alignment horizontal="right" readingOrder="0" shrinkToFit="0" wrapText="0"/>
    </xf>
    <xf borderId="5" fillId="5" fontId="3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right" readingOrder="0" shrinkToFit="0" wrapText="0"/>
    </xf>
    <xf borderId="5" fillId="5" fontId="3" numFmtId="0" xfId="0" applyAlignment="1" applyBorder="1" applyFont="1">
      <alignment horizontal="right" readingOrder="0" shrinkToFit="0" wrapText="0"/>
    </xf>
    <xf borderId="5" fillId="5" fontId="7" numFmtId="0" xfId="0" applyAlignment="1" applyBorder="1" applyFont="1">
      <alignment horizontal="right" readingOrder="0" shrinkToFit="0" wrapText="0"/>
    </xf>
    <xf borderId="4" fillId="5" fontId="7" numFmtId="0" xfId="0" applyAlignment="1" applyBorder="1" applyFont="1">
      <alignment horizontal="right" readingOrder="0" shrinkToFit="0" wrapText="0"/>
    </xf>
    <xf borderId="5" fillId="5" fontId="7" numFmtId="0" xfId="0" applyAlignment="1" applyBorder="1" applyFont="1">
      <alignment horizontal="right" shrinkToFit="0" wrapText="0"/>
    </xf>
    <xf borderId="1" fillId="2" fontId="1" numFmtId="0" xfId="0" applyAlignment="1" applyBorder="1" applyFont="1">
      <alignment horizontal="center" shrinkToFit="0" wrapText="0"/>
    </xf>
    <xf borderId="5" fillId="2" fontId="1" numFmtId="0" xfId="0" applyAlignment="1" applyBorder="1" applyFont="1">
      <alignment horizontal="left" readingOrder="0" shrinkToFit="0" wrapText="0"/>
    </xf>
    <xf borderId="15" fillId="3" fontId="3" numFmtId="0" xfId="0" applyAlignment="1" applyBorder="1" applyFont="1">
      <alignment horizontal="right" readingOrder="0" shrinkToFit="0" wrapText="0"/>
    </xf>
    <xf borderId="13" fillId="2" fontId="13" numFmtId="0" xfId="0" applyAlignment="1" applyBorder="1" applyFont="1">
      <alignment horizontal="left" readingOrder="0" shrinkToFit="0" wrapText="0"/>
    </xf>
    <xf borderId="4" fillId="4" fontId="7" numFmtId="0" xfId="0" applyAlignment="1" applyBorder="1" applyFont="1">
      <alignment horizontal="right" readingOrder="0" shrinkToFit="0" wrapText="0"/>
    </xf>
    <xf borderId="5" fillId="3" fontId="7" numFmtId="0" xfId="0" applyAlignment="1" applyBorder="1" applyFont="1">
      <alignment horizontal="right" shrinkToFit="0" wrapText="0"/>
    </xf>
    <xf borderId="9" fillId="4" fontId="14" numFmtId="0" xfId="0" applyAlignment="1" applyBorder="1" applyFont="1">
      <alignment horizontal="right" readingOrder="0" shrinkToFit="0" wrapText="0"/>
    </xf>
    <xf borderId="9" fillId="3" fontId="14" numFmtId="0" xfId="0" applyAlignment="1" applyBorder="1" applyFont="1">
      <alignment horizontal="right" shrinkToFit="0" wrapText="0"/>
    </xf>
    <xf borderId="9" fillId="4" fontId="15" numFmtId="0" xfId="0" applyAlignment="1" applyBorder="1" applyFont="1">
      <alignment horizontal="right" readingOrder="0" shrinkToFit="0" wrapText="0"/>
    </xf>
    <xf borderId="9" fillId="3" fontId="15" numFmtId="0" xfId="0" applyAlignment="1" applyBorder="1" applyFont="1">
      <alignment horizontal="right" readingOrder="0" shrinkToFit="0" wrapText="0"/>
    </xf>
    <xf borderId="10" fillId="3" fontId="7" numFmtId="0" xfId="0" applyAlignment="1" applyBorder="1" applyFont="1">
      <alignment horizontal="right" shrinkToFit="0" wrapText="0"/>
    </xf>
    <xf borderId="13" fillId="2" fontId="13" numFmtId="0" xfId="0" applyAlignment="1" applyBorder="1" applyFont="1">
      <alignment horizontal="center" shrinkToFit="0" wrapText="0"/>
    </xf>
    <xf borderId="15" fillId="6" fontId="3" numFmtId="0" xfId="0" applyAlignment="1" applyBorder="1" applyFill="1" applyFont="1">
      <alignment horizontal="right" readingOrder="0" shrinkToFit="0" wrapText="0"/>
    </xf>
    <xf borderId="9" fillId="6" fontId="3" numFmtId="0" xfId="0" applyAlignment="1" applyBorder="1" applyFont="1">
      <alignment horizontal="center" readingOrder="0" shrinkToFit="0" wrapText="0"/>
    </xf>
    <xf borderId="10" fillId="6" fontId="7" numFmtId="0" xfId="0" applyAlignment="1" applyBorder="1" applyFont="1">
      <alignment horizontal="right" readingOrder="0" shrinkToFit="0" wrapText="0"/>
    </xf>
    <xf borderId="9" fillId="6" fontId="7" numFmtId="0" xfId="0" applyAlignment="1" applyBorder="1" applyFont="1">
      <alignment horizontal="right" shrinkToFit="0" wrapText="0"/>
    </xf>
    <xf borderId="9" fillId="6" fontId="7" numFmtId="0" xfId="0" applyAlignment="1" applyBorder="1" applyFont="1">
      <alignment horizontal="right" readingOrder="0" shrinkToFit="0" wrapText="0"/>
    </xf>
    <xf borderId="9" fillId="6" fontId="3" numFmtId="0" xfId="0" applyAlignment="1" applyBorder="1" applyFont="1">
      <alignment horizontal="right" readingOrder="0" shrinkToFit="0" wrapText="0"/>
    </xf>
    <xf borderId="10" fillId="6" fontId="7" numFmtId="0" xfId="0" applyAlignment="1" applyBorder="1" applyFont="1">
      <alignment horizontal="right" shrinkToFit="0" wrapText="0"/>
    </xf>
    <xf borderId="9" fillId="3" fontId="7" numFmtId="0" xfId="0" applyAlignment="1" applyBorder="1" applyFont="1">
      <alignment horizontal="left" shrinkToFit="0" wrapText="0"/>
    </xf>
    <xf borderId="9" fillId="3" fontId="7" numFmtId="0" xfId="0" applyAlignment="1" applyBorder="1" applyFont="1">
      <alignment horizontal="center" shrinkToFit="0" wrapText="0"/>
    </xf>
    <xf borderId="5" fillId="4" fontId="14" numFmtId="0" xfId="0" applyAlignment="1" applyBorder="1" applyFont="1">
      <alignment horizontal="right" readingOrder="0" shrinkToFit="0" wrapText="0"/>
    </xf>
    <xf borderId="5" fillId="3" fontId="14" numFmtId="0" xfId="0" applyAlignment="1" applyBorder="1" applyFont="1">
      <alignment horizontal="right" shrinkToFit="0" wrapText="0"/>
    </xf>
    <xf borderId="5" fillId="3" fontId="15" numFmtId="0" xfId="0" applyAlignment="1" applyBorder="1" applyFont="1">
      <alignment horizontal="right" readingOrder="0" shrinkToFit="0" wrapText="0"/>
    </xf>
    <xf borderId="10" fillId="0" fontId="16" numFmtId="0" xfId="0" applyAlignment="1" applyBorder="1" applyFont="1">
      <alignment horizontal="left" readingOrder="0" shrinkToFit="0" wrapText="0"/>
    </xf>
    <xf borderId="9" fillId="3" fontId="3" numFmtId="0" xfId="0" applyAlignment="1" applyBorder="1" applyFont="1">
      <alignment horizontal="left" shrinkToFit="0" wrapText="0"/>
    </xf>
    <xf borderId="9" fillId="3" fontId="3" numFmtId="0" xfId="0" applyAlignment="1" applyBorder="1" applyFont="1">
      <alignment horizontal="left" readingOrder="0" shrinkToFit="0" wrapText="0"/>
    </xf>
    <xf borderId="10" fillId="3" fontId="3" numFmtId="0" xfId="0" applyAlignment="1" applyBorder="1" applyFont="1">
      <alignment horizontal="left" shrinkToFit="0" wrapText="0"/>
    </xf>
    <xf borderId="4" fillId="0" fontId="17" numFmtId="0" xfId="0" applyAlignment="1" applyBorder="1" applyFont="1">
      <alignment horizontal="left" readingOrder="0" shrinkToFit="0" wrapText="0"/>
    </xf>
    <xf borderId="5" fillId="3" fontId="3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0442183b/matchlogs/2025-2026/summary/Nathaniel-Clyne-Match-Logs" TargetMode="External"/><Relationship Id="rId391" Type="http://schemas.openxmlformats.org/officeDocument/2006/relationships/hyperlink" Target="https://fbref.com/en/squads/47c64c55/Crystal-Palace-Stats" TargetMode="External"/><Relationship Id="rId390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players/5bc43860/Brenden-Aaronson" TargetMode="External"/><Relationship Id="rId2" Type="http://schemas.openxmlformats.org/officeDocument/2006/relationships/hyperlink" Target="https://fbref.com/en/country/USA/United-States-Football" TargetMode="External"/><Relationship Id="rId3" Type="http://schemas.openxmlformats.org/officeDocument/2006/relationships/hyperlink" Target="https://fbref.com/en/squads/5bfb9659/Leeds-United-Stats" TargetMode="External"/><Relationship Id="rId4" Type="http://schemas.openxmlformats.org/officeDocument/2006/relationships/hyperlink" Target="https://fbref.com/en/players/5bc43860/matchlogs/2025-2026/summary/Brenden-Aaronson-Match-Logs" TargetMode="External"/><Relationship Id="rId2180" Type="http://schemas.openxmlformats.org/officeDocument/2006/relationships/hyperlink" Target="https://fbref.com/en/players/907a5d7c/matchlogs/2025-2026/summary/Yehor-Yarmoliuk-Match-Logs" TargetMode="External"/><Relationship Id="rId2181" Type="http://schemas.openxmlformats.org/officeDocument/2006/relationships/hyperlink" Target="https://fbref.com/en/players/c1fe2a48/Ryan-Yates" TargetMode="External"/><Relationship Id="rId2182" Type="http://schemas.openxmlformats.org/officeDocument/2006/relationships/hyperlink" Target="https://fbref.com/en/country/ENG/England-Football" TargetMode="External"/><Relationship Id="rId2183" Type="http://schemas.openxmlformats.org/officeDocument/2006/relationships/hyperlink" Target="https://fbref.com/en/squads/e4a775cb/Nottingham-Forest-Stats" TargetMode="External"/><Relationship Id="rId9" Type="http://schemas.openxmlformats.org/officeDocument/2006/relationships/hyperlink" Target="https://fbref.com/en/players/c103921a/Zach-Abbott" TargetMode="External"/><Relationship Id="rId385" Type="http://schemas.openxmlformats.org/officeDocument/2006/relationships/hyperlink" Target="https://fbref.com/en/players/307ea3b6/Dennis-Cirkin" TargetMode="External"/><Relationship Id="rId2184" Type="http://schemas.openxmlformats.org/officeDocument/2006/relationships/hyperlink" Target="https://fbref.com/en/players/c1fe2a48/matchlogs/2025-2026/summary/Ryan-Yates-Match-Logs" TargetMode="External"/><Relationship Id="rId384" Type="http://schemas.openxmlformats.org/officeDocument/2006/relationships/hyperlink" Target="https://fbref.com/en/players/b8a642fc/matchlogs/2025-2026/summary/Samuel-Chukwueze-Match-Logs" TargetMode="External"/><Relationship Id="rId2185" Type="http://schemas.openxmlformats.org/officeDocument/2006/relationships/hyperlink" Target="https://fbref.com/en/players/6763f716/Leny-Yoro" TargetMode="External"/><Relationship Id="rId383" Type="http://schemas.openxmlformats.org/officeDocument/2006/relationships/hyperlink" Target="https://fbref.com/en/squads/fd962109/Fulham-Stats" TargetMode="External"/><Relationship Id="rId2186" Type="http://schemas.openxmlformats.org/officeDocument/2006/relationships/hyperlink" Target="https://fbref.com/en/country/FRA/France-Football" TargetMode="External"/><Relationship Id="rId382" Type="http://schemas.openxmlformats.org/officeDocument/2006/relationships/hyperlink" Target="https://fbref.com/en/country/NGA/Nigeria-Football" TargetMode="External"/><Relationship Id="rId2187" Type="http://schemas.openxmlformats.org/officeDocument/2006/relationships/hyperlink" Target="https://fbref.com/en/squads/19538871/Manchester-United-Stats" TargetMode="External"/><Relationship Id="rId5" Type="http://schemas.openxmlformats.org/officeDocument/2006/relationships/hyperlink" Target="https://fbref.com/en/players/4f504fcc/Jerome-Abbey" TargetMode="External"/><Relationship Id="rId389" Type="http://schemas.openxmlformats.org/officeDocument/2006/relationships/hyperlink" Target="https://fbref.com/en/players/0442183b/Nathaniel-Clyne" TargetMode="External"/><Relationship Id="rId2188" Type="http://schemas.openxmlformats.org/officeDocument/2006/relationships/hyperlink" Target="https://fbref.com/en/players/6763f716/matchlogs/2025-2026/summary/Leny-Yoro-Match-Logs" TargetMode="External"/><Relationship Id="rId6" Type="http://schemas.openxmlformats.org/officeDocument/2006/relationships/hyperlink" Target="https://fbref.com/en/country/ENG/England-Football" TargetMode="External"/><Relationship Id="rId388" Type="http://schemas.openxmlformats.org/officeDocument/2006/relationships/hyperlink" Target="https://fbref.com/en/players/307ea3b6/matchlogs/2025-2026/summary/Dennis-Cirkin-Match-Logs" TargetMode="External"/><Relationship Id="rId2189" Type="http://schemas.openxmlformats.org/officeDocument/2006/relationships/hyperlink" Target="https://fbref.com/en/players/51cf8561/Oleksandr-Zinchenko" TargetMode="External"/><Relationship Id="rId7" Type="http://schemas.openxmlformats.org/officeDocument/2006/relationships/hyperlink" Target="https://fbref.com/en/squads/8cec06e1/Wolverhampton-Wanderers-Stats" TargetMode="External"/><Relationship Id="rId387" Type="http://schemas.openxmlformats.org/officeDocument/2006/relationships/hyperlink" Target="https://fbref.com/en/squads/8ef52968/Sunderland-Stats" TargetMode="External"/><Relationship Id="rId8" Type="http://schemas.openxmlformats.org/officeDocument/2006/relationships/hyperlink" Target="https://fbref.com/en/players/4f504fcc/matchlogs/2025-2026/summary/Jerome-Abbey-Match-Logs" TargetMode="External"/><Relationship Id="rId386" Type="http://schemas.openxmlformats.org/officeDocument/2006/relationships/hyperlink" Target="https://fbref.com/en/country/LVA/Latvia-Football" TargetMode="External"/><Relationship Id="rId381" Type="http://schemas.openxmlformats.org/officeDocument/2006/relationships/hyperlink" Target="https://fbref.com/en/players/b8a642fc/Samuel-Chukwueze" TargetMode="External"/><Relationship Id="rId380" Type="http://schemas.openxmlformats.org/officeDocument/2006/relationships/hyperlink" Target="https://fbref.com/en/players/26ce2263/matchlogs/2025-2026/summary/Ryan-Christie-Match-Logs" TargetMode="External"/><Relationship Id="rId379" Type="http://schemas.openxmlformats.org/officeDocument/2006/relationships/hyperlink" Target="https://fbref.com/en/squads/4ba7cbea/Bournemouth-Stats" TargetMode="External"/><Relationship Id="rId2170" Type="http://schemas.openxmlformats.org/officeDocument/2006/relationships/hyperlink" Target="https://fbref.com/en/country/ENG/England-Football" TargetMode="External"/><Relationship Id="rId2171" Type="http://schemas.openxmlformats.org/officeDocument/2006/relationships/hyperlink" Target="https://fbref.com/en/squads/943e8050/Burnley-Stats" TargetMode="External"/><Relationship Id="rId2172" Type="http://schemas.openxmlformats.org/officeDocument/2006/relationships/hyperlink" Target="https://fbref.com/en/players/a5212312/matchlogs/2025-2026/summary/Joe-Worrall-Match-Logs" TargetMode="External"/><Relationship Id="rId374" Type="http://schemas.openxmlformats.org/officeDocument/2006/relationships/hyperlink" Target="https://fbref.com/en/country/ZIM/Zimbabwe-Football" TargetMode="External"/><Relationship Id="rId2173" Type="http://schemas.openxmlformats.org/officeDocument/2006/relationships/hyperlink" Target="https://fbref.com/en/players/e61b8aee/Granit-Xhaka" TargetMode="External"/><Relationship Id="rId373" Type="http://schemas.openxmlformats.org/officeDocument/2006/relationships/hyperlink" Target="https://fbref.com/en/players/34721c11/Tawanda-Chirewa" TargetMode="External"/><Relationship Id="rId2174" Type="http://schemas.openxmlformats.org/officeDocument/2006/relationships/hyperlink" Target="https://fbref.com/en/country/SUI/Switzerland-Football" TargetMode="External"/><Relationship Id="rId372" Type="http://schemas.openxmlformats.org/officeDocument/2006/relationships/hyperlink" Target="https://fbref.com/en/players/b0f7e36c/matchlogs/2025-2026/summary/Federico-Chiesa-Match-Logs" TargetMode="External"/><Relationship Id="rId2175" Type="http://schemas.openxmlformats.org/officeDocument/2006/relationships/hyperlink" Target="https://fbref.com/en/squads/8ef52968/Sunderland-Stats" TargetMode="External"/><Relationship Id="rId371" Type="http://schemas.openxmlformats.org/officeDocument/2006/relationships/hyperlink" Target="https://fbref.com/en/squads/822bd0ba/Liverpool-Stats" TargetMode="External"/><Relationship Id="rId2176" Type="http://schemas.openxmlformats.org/officeDocument/2006/relationships/hyperlink" Target="https://fbref.com/en/players/e61b8aee/matchlogs/2025-2026/summary/Granit-Xhaka-Match-Logs" TargetMode="External"/><Relationship Id="rId378" Type="http://schemas.openxmlformats.org/officeDocument/2006/relationships/hyperlink" Target="https://fbref.com/en/country/SCO/Scotland-Football" TargetMode="External"/><Relationship Id="rId2177" Type="http://schemas.openxmlformats.org/officeDocument/2006/relationships/hyperlink" Target="https://fbref.com/en/players/907a5d7c/Yehor-Yarmoliuk" TargetMode="External"/><Relationship Id="rId377" Type="http://schemas.openxmlformats.org/officeDocument/2006/relationships/hyperlink" Target="https://fbref.com/en/players/26ce2263/Ryan-Christie" TargetMode="External"/><Relationship Id="rId2178" Type="http://schemas.openxmlformats.org/officeDocument/2006/relationships/hyperlink" Target="https://fbref.com/en/country/UKR/Ukraine-Football" TargetMode="External"/><Relationship Id="rId376" Type="http://schemas.openxmlformats.org/officeDocument/2006/relationships/hyperlink" Target="https://fbref.com/en/players/34721c11/matchlogs/2025-2026/summary/Tawanda-Chirewa-Match-Logs" TargetMode="External"/><Relationship Id="rId2179" Type="http://schemas.openxmlformats.org/officeDocument/2006/relationships/hyperlink" Target="https://fbref.com/en/squads/cd051869/Brentford-Stats" TargetMode="External"/><Relationship Id="rId375" Type="http://schemas.openxmlformats.org/officeDocument/2006/relationships/hyperlink" Target="https://fbref.com/en/squads/8cec06e1/Wolverhampton-Wanderers-Stats" TargetMode="External"/><Relationship Id="rId2190" Type="http://schemas.openxmlformats.org/officeDocument/2006/relationships/hyperlink" Target="https://fbref.com/en/country/UKR/Ukraine-Football" TargetMode="External"/><Relationship Id="rId2191" Type="http://schemas.openxmlformats.org/officeDocument/2006/relationships/hyperlink" Target="https://fbref.com/en/squads/e4a775cb/Nottingham-Forest-Stats" TargetMode="External"/><Relationship Id="rId2192" Type="http://schemas.openxmlformats.org/officeDocument/2006/relationships/hyperlink" Target="https://fbref.com/en/players/51cf8561/matchlogs/2025-2026/summary/Oleksandr-Zinchenko-Match-Logs" TargetMode="External"/><Relationship Id="rId2193" Type="http://schemas.openxmlformats.org/officeDocument/2006/relationships/hyperlink" Target="https://fbref.com/en/players/028e70b9/Joshua-Zirkzee" TargetMode="External"/><Relationship Id="rId2194" Type="http://schemas.openxmlformats.org/officeDocument/2006/relationships/hyperlink" Target="https://fbref.com/en/country/NED/Netherlands-Football" TargetMode="External"/><Relationship Id="rId396" Type="http://schemas.openxmlformats.org/officeDocument/2006/relationships/hyperlink" Target="https://fbref.com/en/players/0420d84f/matchlogs/2025-2026/summary/Seamus-Coleman-Match-Logs" TargetMode="External"/><Relationship Id="rId2195" Type="http://schemas.openxmlformats.org/officeDocument/2006/relationships/hyperlink" Target="https://fbref.com/en/squads/19538871/Manchester-United-Stats" TargetMode="External"/><Relationship Id="rId395" Type="http://schemas.openxmlformats.org/officeDocument/2006/relationships/hyperlink" Target="https://fbref.com/en/squads/d3fd31cc/Everton-Stats" TargetMode="External"/><Relationship Id="rId2196" Type="http://schemas.openxmlformats.org/officeDocument/2006/relationships/hyperlink" Target="https://fbref.com/en/players/028e70b9/matchlogs/2025-2026/summary/Joshua-Zirkzee-Match-Logs" TargetMode="External"/><Relationship Id="rId394" Type="http://schemas.openxmlformats.org/officeDocument/2006/relationships/hyperlink" Target="https://fbref.com/en/country/IRL/Republic-of-Ireland-Football" TargetMode="External"/><Relationship Id="rId2197" Type="http://schemas.openxmlformats.org/officeDocument/2006/relationships/hyperlink" Target="https://fbref.com/en/players/3ee0dd59/Martin-Zubimendi" TargetMode="External"/><Relationship Id="rId393" Type="http://schemas.openxmlformats.org/officeDocument/2006/relationships/hyperlink" Target="https://fbref.com/en/players/0420d84f/Seamus-Coleman" TargetMode="External"/><Relationship Id="rId2198" Type="http://schemas.openxmlformats.org/officeDocument/2006/relationships/hyperlink" Target="https://fbref.com/en/country/ESP/Spain-Football" TargetMode="External"/><Relationship Id="rId2199" Type="http://schemas.openxmlformats.org/officeDocument/2006/relationships/hyperlink" Target="https://fbref.com/en/squads/18bb7c10/Arsenal-Stats" TargetMode="External"/><Relationship Id="rId399" Type="http://schemas.openxmlformats.org/officeDocument/2006/relationships/hyperlink" Target="https://fbref.com/en/squads/cd051869/Brentford-Stats" TargetMode="External"/><Relationship Id="rId398" Type="http://schemas.openxmlformats.org/officeDocument/2006/relationships/hyperlink" Target="https://fbref.com/en/country/IRL/Republic-of-Ireland-Football" TargetMode="External"/><Relationship Id="rId397" Type="http://schemas.openxmlformats.org/officeDocument/2006/relationships/hyperlink" Target="https://fbref.com/en/players/a8c19eb8/Nathan-Collins" TargetMode="External"/><Relationship Id="rId1730" Type="http://schemas.openxmlformats.org/officeDocument/2006/relationships/hyperlink" Target="https://fbref.com/en/country/GER/Germany-Football" TargetMode="External"/><Relationship Id="rId1731" Type="http://schemas.openxmlformats.org/officeDocument/2006/relationships/hyperlink" Target="https://fbref.com/en/squads/d3fd31cc/Everton-Stats" TargetMode="External"/><Relationship Id="rId1732" Type="http://schemas.openxmlformats.org/officeDocument/2006/relationships/hyperlink" Target="https://fbref.com/en/players/1f2c7b55/matchlogs/2025-2026/summary/Merlin-Rohl-Match-Logs" TargetMode="External"/><Relationship Id="rId1733" Type="http://schemas.openxmlformats.org/officeDocument/2006/relationships/hyperlink" Target="https://fbref.com/en/players/a3d94a58/Cristian-Romero" TargetMode="External"/><Relationship Id="rId1734" Type="http://schemas.openxmlformats.org/officeDocument/2006/relationships/hyperlink" Target="https://fbref.com/en/country/ARG/Argentina-Football" TargetMode="External"/><Relationship Id="rId1735" Type="http://schemas.openxmlformats.org/officeDocument/2006/relationships/hyperlink" Target="https://fbref.com/en/squads/361ca564/Tottenham-Hotspur-Stats" TargetMode="External"/><Relationship Id="rId1736" Type="http://schemas.openxmlformats.org/officeDocument/2006/relationships/hyperlink" Target="https://fbref.com/en/players/a3d94a58/matchlogs/2025-2026/summary/Cristian-Romero-Match-Logs" TargetMode="External"/><Relationship Id="rId1737" Type="http://schemas.openxmlformats.org/officeDocument/2006/relationships/hyperlink" Target="https://fbref.com/en/players/419147f7/James-Rowswell" TargetMode="External"/><Relationship Id="rId1738" Type="http://schemas.openxmlformats.org/officeDocument/2006/relationships/hyperlink" Target="https://fbref.com/en/country/ENG/England-Football" TargetMode="External"/><Relationship Id="rId1739" Type="http://schemas.openxmlformats.org/officeDocument/2006/relationships/hyperlink" Target="https://fbref.com/en/squads/361ca564/Tottenham-Hotspur-Stats" TargetMode="External"/><Relationship Id="rId1720" Type="http://schemas.openxmlformats.org/officeDocument/2006/relationships/hyperlink" Target="https://fbref.com/en/players/34e393f2/matchlogs/2025-2026/summary/Guido-Rodriguez-Match-Logs" TargetMode="External"/><Relationship Id="rId1721" Type="http://schemas.openxmlformats.org/officeDocument/2006/relationships/hyperlink" Target="https://fbref.com/en/players/349fa918/Robin-Roefs" TargetMode="External"/><Relationship Id="rId1722" Type="http://schemas.openxmlformats.org/officeDocument/2006/relationships/hyperlink" Target="https://fbref.com/en/country/NED/Netherlands-Football" TargetMode="External"/><Relationship Id="rId1723" Type="http://schemas.openxmlformats.org/officeDocument/2006/relationships/hyperlink" Target="https://fbref.com/en/squads/8ef52968/Sunderland-Stats" TargetMode="External"/><Relationship Id="rId1724" Type="http://schemas.openxmlformats.org/officeDocument/2006/relationships/hyperlink" Target="https://fbref.com/en/players/349fa918/matchlogs/2025-2026/summary/Robin-Roefs-Match-Logs" TargetMode="External"/><Relationship Id="rId1725" Type="http://schemas.openxmlformats.org/officeDocument/2006/relationships/hyperlink" Target="https://fbref.com/en/players/2e5915f1/Morgan-Rogers" TargetMode="External"/><Relationship Id="rId1726" Type="http://schemas.openxmlformats.org/officeDocument/2006/relationships/hyperlink" Target="https://fbref.com/en/country/ENG/England-Football" TargetMode="External"/><Relationship Id="rId1727" Type="http://schemas.openxmlformats.org/officeDocument/2006/relationships/hyperlink" Target="https://fbref.com/en/squads/8602292d/Aston-Villa-Stats" TargetMode="External"/><Relationship Id="rId1728" Type="http://schemas.openxmlformats.org/officeDocument/2006/relationships/hyperlink" Target="https://fbref.com/en/players/2e5915f1/matchlogs/2025-2026/summary/Morgan-Rogers-Match-Logs" TargetMode="External"/><Relationship Id="rId1729" Type="http://schemas.openxmlformats.org/officeDocument/2006/relationships/hyperlink" Target="https://fbref.com/en/players/1f2c7b55/Merlin-Rohl" TargetMode="External"/><Relationship Id="rId1752" Type="http://schemas.openxmlformats.org/officeDocument/2006/relationships/hyperlink" Target="https://fbref.com/en/players/645481cc/matchlogs/2025-2026/summary/Noah-Sadiki-Match-Logs" TargetMode="External"/><Relationship Id="rId1753" Type="http://schemas.openxmlformats.org/officeDocument/2006/relationships/hyperlink" Target="https://fbref.com/en/players/bc7dc64d/Bukayo-Saka" TargetMode="External"/><Relationship Id="rId1754" Type="http://schemas.openxmlformats.org/officeDocument/2006/relationships/hyperlink" Target="https://fbref.com/en/country/ENG/England-Football" TargetMode="External"/><Relationship Id="rId1755" Type="http://schemas.openxmlformats.org/officeDocument/2006/relationships/hyperlink" Target="https://fbref.com/en/squads/18bb7c10/Arsenal-Stats" TargetMode="External"/><Relationship Id="rId1756" Type="http://schemas.openxmlformats.org/officeDocument/2006/relationships/hyperlink" Target="https://fbref.com/en/players/bc7dc64d/matchlogs/2025-2026/summary/Bukayo-Saka-Match-Logs" TargetMode="External"/><Relationship Id="rId1757" Type="http://schemas.openxmlformats.org/officeDocument/2006/relationships/hyperlink" Target="https://fbref.com/en/players/e342ad68/Mohamed-Salah" TargetMode="External"/><Relationship Id="rId1758" Type="http://schemas.openxmlformats.org/officeDocument/2006/relationships/hyperlink" Target="https://fbref.com/en/country/EGY/Egypt-Football" TargetMode="External"/><Relationship Id="rId1759" Type="http://schemas.openxmlformats.org/officeDocument/2006/relationships/hyperlink" Target="https://fbref.com/en/squads/822bd0ba/Liverpool-Stats" TargetMode="External"/><Relationship Id="rId808" Type="http://schemas.openxmlformats.org/officeDocument/2006/relationships/hyperlink" Target="https://fbref.com/en/players/b73f17f8/matchlogs/2025-2026/summary/Evann-Guessand-Match-Logs" TargetMode="External"/><Relationship Id="rId807" Type="http://schemas.openxmlformats.org/officeDocument/2006/relationships/hyperlink" Target="https://fbref.com/en/squads/47c64c55/Crystal-Palace-Stats" TargetMode="External"/><Relationship Id="rId806" Type="http://schemas.openxmlformats.org/officeDocument/2006/relationships/hyperlink" Target="https://fbref.com/en/country/CIV/Cote-dIvoire-Football" TargetMode="External"/><Relationship Id="rId805" Type="http://schemas.openxmlformats.org/officeDocument/2006/relationships/hyperlink" Target="https://fbref.com/en/players/b73f17f8/Evann-Guessand" TargetMode="External"/><Relationship Id="rId809" Type="http://schemas.openxmlformats.org/officeDocument/2006/relationships/hyperlink" Target="https://fbref.com/en/players/b73f17f8/Evann-Guessand" TargetMode="External"/><Relationship Id="rId800" Type="http://schemas.openxmlformats.org/officeDocument/2006/relationships/hyperlink" Target="https://fbref.com/en/players/d0706b27/matchlogs/2025-2026/summary/Marc-Guehi-Match-Logs" TargetMode="External"/><Relationship Id="rId804" Type="http://schemas.openxmlformats.org/officeDocument/2006/relationships/hyperlink" Target="https://fbref.com/en/players/d0706b27/matchlogs/2025-2026/summary/Marc-Guehi-Match-Logs" TargetMode="External"/><Relationship Id="rId803" Type="http://schemas.openxmlformats.org/officeDocument/2006/relationships/hyperlink" Target="https://fbref.com/en/squads/b8fd03ef/Manchester-City-Stats" TargetMode="External"/><Relationship Id="rId802" Type="http://schemas.openxmlformats.org/officeDocument/2006/relationships/hyperlink" Target="https://fbref.com/en/country/ENG/England-Football" TargetMode="External"/><Relationship Id="rId801" Type="http://schemas.openxmlformats.org/officeDocument/2006/relationships/hyperlink" Target="https://fbref.com/en/players/d0706b27/Marc-Guehi" TargetMode="External"/><Relationship Id="rId1750" Type="http://schemas.openxmlformats.org/officeDocument/2006/relationships/hyperlink" Target="https://fbref.com/en/country/COD/Congo-DR-Football" TargetMode="External"/><Relationship Id="rId1751" Type="http://schemas.openxmlformats.org/officeDocument/2006/relationships/hyperlink" Target="https://fbref.com/en/squads/8ef52968/Sunderland-Stats" TargetMode="External"/><Relationship Id="rId1741" Type="http://schemas.openxmlformats.org/officeDocument/2006/relationships/hyperlink" Target="https://fbref.com/en/players/c64c01fc/Georginio-Rutter" TargetMode="External"/><Relationship Id="rId1742" Type="http://schemas.openxmlformats.org/officeDocument/2006/relationships/hyperlink" Target="https://fbref.com/en/country/FRA/France-Football" TargetMode="External"/><Relationship Id="rId1743" Type="http://schemas.openxmlformats.org/officeDocument/2006/relationships/hyperlink" Target="https://fbref.com/en/squads/d07537b9/Brighton-and-Hove-Albion-Stats" TargetMode="External"/><Relationship Id="rId1744" Type="http://schemas.openxmlformats.org/officeDocument/2006/relationships/hyperlink" Target="https://fbref.com/en/players/c64c01fc/matchlogs/2025-2026/summary/Georginio-Rutter-Match-Logs" TargetMode="External"/><Relationship Id="rId1745" Type="http://schemas.openxmlformats.org/officeDocument/2006/relationships/hyperlink" Target="https://fbref.com/en/players/903b6e8b/Jose-Sa" TargetMode="External"/><Relationship Id="rId1746" Type="http://schemas.openxmlformats.org/officeDocument/2006/relationships/hyperlink" Target="https://fbref.com/en/country/POR/Portugal-Football" TargetMode="External"/><Relationship Id="rId1747" Type="http://schemas.openxmlformats.org/officeDocument/2006/relationships/hyperlink" Target="https://fbref.com/en/squads/8cec06e1/Wolverhampton-Wanderers-Stats" TargetMode="External"/><Relationship Id="rId1748" Type="http://schemas.openxmlformats.org/officeDocument/2006/relationships/hyperlink" Target="https://fbref.com/en/players/903b6e8b/matchlogs/2025-2026/summary/Jose-Sa-Match-Logs" TargetMode="External"/><Relationship Id="rId1749" Type="http://schemas.openxmlformats.org/officeDocument/2006/relationships/hyperlink" Target="https://fbref.com/en/players/645481cc/Noah-Sadiki" TargetMode="External"/><Relationship Id="rId1740" Type="http://schemas.openxmlformats.org/officeDocument/2006/relationships/hyperlink" Target="https://fbref.com/en/players/419147f7/matchlogs/2025-2026/summary/James-Rowswell-Match-Logs" TargetMode="External"/><Relationship Id="rId1710" Type="http://schemas.openxmlformats.org/officeDocument/2006/relationships/hyperlink" Target="https://fbref.com/en/country/WAL/Wales-Football" TargetMode="External"/><Relationship Id="rId1711" Type="http://schemas.openxmlformats.org/officeDocument/2006/relationships/hyperlink" Target="https://fbref.com/en/squads/5bfb9659/Leeds-United-Stats" TargetMode="External"/><Relationship Id="rId1712" Type="http://schemas.openxmlformats.org/officeDocument/2006/relationships/hyperlink" Target="https://fbref.com/en/players/8d62d31a/matchlogs/2025-2026/summary/Joe-Rodon-Match-Logs" TargetMode="External"/><Relationship Id="rId1713" Type="http://schemas.openxmlformats.org/officeDocument/2006/relationships/hyperlink" Target="https://fbref.com/en/players/6434f10d/Rodri" TargetMode="External"/><Relationship Id="rId1714" Type="http://schemas.openxmlformats.org/officeDocument/2006/relationships/hyperlink" Target="https://fbref.com/en/country/ESP/Spain-Football" TargetMode="External"/><Relationship Id="rId1715" Type="http://schemas.openxmlformats.org/officeDocument/2006/relationships/hyperlink" Target="https://fbref.com/en/squads/b8fd03ef/Manchester-City-Stats" TargetMode="External"/><Relationship Id="rId1716" Type="http://schemas.openxmlformats.org/officeDocument/2006/relationships/hyperlink" Target="https://fbref.com/en/players/6434f10d/matchlogs/2025-2026/summary/Rodri-Match-Logs" TargetMode="External"/><Relationship Id="rId1717" Type="http://schemas.openxmlformats.org/officeDocument/2006/relationships/hyperlink" Target="https://fbref.com/en/players/34e393f2/Guido-Rodriguez" TargetMode="External"/><Relationship Id="rId1718" Type="http://schemas.openxmlformats.org/officeDocument/2006/relationships/hyperlink" Target="https://fbref.com/en/country/ARG/Argentina-Football" TargetMode="External"/><Relationship Id="rId1719" Type="http://schemas.openxmlformats.org/officeDocument/2006/relationships/hyperlink" Target="https://fbref.com/en/squads/7c21e445/West-Ham-United-Stats" TargetMode="External"/><Relationship Id="rId1700" Type="http://schemas.openxmlformats.org/officeDocument/2006/relationships/hyperlink" Target="https://fbref.com/en/players/2e4f5f03/matchlogs/2025-2026/summary/Andrew-Robertson-Match-Logs" TargetMode="External"/><Relationship Id="rId1701" Type="http://schemas.openxmlformats.org/officeDocument/2006/relationships/hyperlink" Target="https://fbref.com/en/players/289601e6/Antonee-Robinson" TargetMode="External"/><Relationship Id="rId1702" Type="http://schemas.openxmlformats.org/officeDocument/2006/relationships/hyperlink" Target="https://fbref.com/en/country/USA/United-States-Football" TargetMode="External"/><Relationship Id="rId1703" Type="http://schemas.openxmlformats.org/officeDocument/2006/relationships/hyperlink" Target="https://fbref.com/en/squads/fd962109/Fulham-Stats" TargetMode="External"/><Relationship Id="rId1704" Type="http://schemas.openxmlformats.org/officeDocument/2006/relationships/hyperlink" Target="https://fbref.com/en/players/289601e6/matchlogs/2025-2026/summary/Antonee-Robinson-Match-Logs" TargetMode="External"/><Relationship Id="rId1705" Type="http://schemas.openxmlformats.org/officeDocument/2006/relationships/hyperlink" Target="https://fbref.com/en/players/49375cdd/Kaden-Rodney" TargetMode="External"/><Relationship Id="rId1706" Type="http://schemas.openxmlformats.org/officeDocument/2006/relationships/hyperlink" Target="https://fbref.com/en/country/ENG/England-Football" TargetMode="External"/><Relationship Id="rId1707" Type="http://schemas.openxmlformats.org/officeDocument/2006/relationships/hyperlink" Target="https://fbref.com/en/squads/47c64c55/Crystal-Palace-Stats" TargetMode="External"/><Relationship Id="rId1708" Type="http://schemas.openxmlformats.org/officeDocument/2006/relationships/hyperlink" Target="https://fbref.com/en/players/49375cdd/matchlogs/2025-2026/summary/Kaden-Rodney-Match-Logs" TargetMode="External"/><Relationship Id="rId1709" Type="http://schemas.openxmlformats.org/officeDocument/2006/relationships/hyperlink" Target="https://fbref.com/en/players/8d62d31a/Joe-Rodon" TargetMode="External"/><Relationship Id="rId40" Type="http://schemas.openxmlformats.org/officeDocument/2006/relationships/hyperlink" Target="https://fbref.com/en/players/75f1ed80/matchlogs/2025-2026/summary/Emmanuel-Agbadou-Match-Logs" TargetMode="External"/><Relationship Id="rId1334" Type="http://schemas.openxmlformats.org/officeDocument/2006/relationships/hyperlink" Target="https://fbref.com/en/country/SEN/Senegal-Football" TargetMode="External"/><Relationship Id="rId1335" Type="http://schemas.openxmlformats.org/officeDocument/2006/relationships/hyperlink" Target="https://fbref.com/en/squads/361ca564/Tottenham-Hotspur-Stats" TargetMode="External"/><Relationship Id="rId42" Type="http://schemas.openxmlformats.org/officeDocument/2006/relationships/hyperlink" Target="https://fbref.com/en/country/MAR/Morocco-Football" TargetMode="External"/><Relationship Id="rId1336" Type="http://schemas.openxmlformats.org/officeDocument/2006/relationships/hyperlink" Target="https://fbref.com/en/players/feb5d972/matchlogs/2025-2026/summary/Pape-Matar-Sarr-Match-Logs" TargetMode="External"/><Relationship Id="rId41" Type="http://schemas.openxmlformats.org/officeDocument/2006/relationships/hyperlink" Target="https://fbref.com/en/players/288e1e13/Nayef-Aguerd" TargetMode="External"/><Relationship Id="rId1337" Type="http://schemas.openxmlformats.org/officeDocument/2006/relationships/hyperlink" Target="https://fbref.com/en/players/50e6dc35/Jean-Philippe-Mateta" TargetMode="External"/><Relationship Id="rId44" Type="http://schemas.openxmlformats.org/officeDocument/2006/relationships/hyperlink" Target="https://fbref.com/en/players/288e1e13/matchlogs/2025-2026/summary/Nayef-Aguerd-Match-Logs" TargetMode="External"/><Relationship Id="rId1338" Type="http://schemas.openxmlformats.org/officeDocument/2006/relationships/hyperlink" Target="https://fbref.com/en/country/FRA/France-Football" TargetMode="External"/><Relationship Id="rId43" Type="http://schemas.openxmlformats.org/officeDocument/2006/relationships/hyperlink" Target="https://fbref.com/en/squads/7c21e445/West-Ham-United-Stats" TargetMode="External"/><Relationship Id="rId1339" Type="http://schemas.openxmlformats.org/officeDocument/2006/relationships/hyperlink" Target="https://fbref.com/en/squads/47c64c55/Crystal-Palace-Stats" TargetMode="External"/><Relationship Id="rId46" Type="http://schemas.openxmlformats.org/officeDocument/2006/relationships/hyperlink" Target="https://fbref.com/en/country/NGA/Nigeria-Football" TargetMode="External"/><Relationship Id="rId45" Type="http://schemas.openxmlformats.org/officeDocument/2006/relationships/hyperlink" Target="https://fbref.com/en/players/246d153b/Ola-Aina" TargetMode="External"/><Relationship Id="rId745" Type="http://schemas.openxmlformats.org/officeDocument/2006/relationships/hyperlink" Target="https://fbref.com/en/players/8dcf77c0/Rodrigo-Gomes" TargetMode="External"/><Relationship Id="rId744" Type="http://schemas.openxmlformats.org/officeDocument/2006/relationships/hyperlink" Target="https://fbref.com/en/players/8b57ad2c/matchlogs/2025-2026/summary/Joao-Gomes-Match-Logs" TargetMode="External"/><Relationship Id="rId743" Type="http://schemas.openxmlformats.org/officeDocument/2006/relationships/hyperlink" Target="https://fbref.com/en/squads/8cec06e1/Wolverhampton-Wanderers-Stats" TargetMode="External"/><Relationship Id="rId742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players/f0caab96/Toti-Gomes" TargetMode="External"/><Relationship Id="rId748" Type="http://schemas.openxmlformats.org/officeDocument/2006/relationships/hyperlink" Target="https://fbref.com/en/players/8dcf77c0/matchlogs/2025-2026/summary/Rodrigo-Gomes-Match-Logs" TargetMode="External"/><Relationship Id="rId747" Type="http://schemas.openxmlformats.org/officeDocument/2006/relationships/hyperlink" Target="https://fbref.com/en/squads/8cec06e1/Wolverhampton-Wanderers-Stats" TargetMode="External"/><Relationship Id="rId746" Type="http://schemas.openxmlformats.org/officeDocument/2006/relationships/hyperlink" Target="https://fbref.com/en/country/POR/Portugal-Football" TargetMode="External"/><Relationship Id="rId48" Type="http://schemas.openxmlformats.org/officeDocument/2006/relationships/hyperlink" Target="https://fbref.com/en/players/246d153b/matchlogs/2025-2026/summary/Ola-Aina-Match-Logs" TargetMode="External"/><Relationship Id="rId47" Type="http://schemas.openxmlformats.org/officeDocument/2006/relationships/hyperlink" Target="https://fbref.com/en/squads/e4a775cb/Nottingham-Forest-Stats" TargetMode="External"/><Relationship Id="rId49" Type="http://schemas.openxmlformats.org/officeDocument/2006/relationships/hyperlink" Target="https://fbref.com/en/players/9b398aea/Rayan-Ait-Nouri" TargetMode="External"/><Relationship Id="rId741" Type="http://schemas.openxmlformats.org/officeDocument/2006/relationships/hyperlink" Target="https://fbref.com/en/players/8b57ad2c/Joao-Gomes" TargetMode="External"/><Relationship Id="rId1330" Type="http://schemas.openxmlformats.org/officeDocument/2006/relationships/hyperlink" Target="https://fbref.com/en/country/COD/Congo-DR-Football" TargetMode="External"/><Relationship Id="rId740" Type="http://schemas.openxmlformats.org/officeDocument/2006/relationships/hyperlink" Target="https://fbref.com/en/players/645a3363/matchlogs/2025-2026/summary/Angel-Gomes-Match-Logs" TargetMode="External"/><Relationship Id="rId1331" Type="http://schemas.openxmlformats.org/officeDocument/2006/relationships/hyperlink" Target="https://fbref.com/en/squads/8ef52968/Sunderland-Stats" TargetMode="External"/><Relationship Id="rId1332" Type="http://schemas.openxmlformats.org/officeDocument/2006/relationships/hyperlink" Target="https://fbref.com/en/players/57df7a11/matchlogs/2025-2026/summary/Arthur-Masuaku-Match-Logs" TargetMode="External"/><Relationship Id="rId1333" Type="http://schemas.openxmlformats.org/officeDocument/2006/relationships/hyperlink" Target="https://fbref.com/en/players/feb5d972/Pape-Matar-Sarr" TargetMode="External"/><Relationship Id="rId1323" Type="http://schemas.openxmlformats.org/officeDocument/2006/relationships/hyperlink" Target="https://fbref.com/en/squads/8602292d/Aston-Villa-Stats" TargetMode="External"/><Relationship Id="rId1324" Type="http://schemas.openxmlformats.org/officeDocument/2006/relationships/hyperlink" Target="https://fbref.com/en/players/7956236f/matchlogs/2025-2026/summary/Emiliano-Martinez-Match-Logs" TargetMode="External"/><Relationship Id="rId31" Type="http://schemas.openxmlformats.org/officeDocument/2006/relationships/hyperlink" Target="https://fbref.com/en/squads/8ef52968/Sunderland-Stats" TargetMode="External"/><Relationship Id="rId1325" Type="http://schemas.openxmlformats.org/officeDocument/2006/relationships/hyperlink" Target="https://fbref.com/en/players/bac46a10/Lisandro-Martinez" TargetMode="External"/><Relationship Id="rId30" Type="http://schemas.openxmlformats.org/officeDocument/2006/relationships/hyperlink" Target="https://fbref.com/en/country/CIV/Cote-dIvoire-Football" TargetMode="External"/><Relationship Id="rId1326" Type="http://schemas.openxmlformats.org/officeDocument/2006/relationships/hyperlink" Target="https://fbref.com/en/country/ARG/Argentina-Football" TargetMode="External"/><Relationship Id="rId33" Type="http://schemas.openxmlformats.org/officeDocument/2006/relationships/hyperlink" Target="https://fbref.com/en/players/dcfb17f4/Amine-Adli" TargetMode="External"/><Relationship Id="rId1327" Type="http://schemas.openxmlformats.org/officeDocument/2006/relationships/hyperlink" Target="https://fbref.com/en/squads/19538871/Manchester-United-Stats" TargetMode="External"/><Relationship Id="rId32" Type="http://schemas.openxmlformats.org/officeDocument/2006/relationships/hyperlink" Target="https://fbref.com/en/players/4dcec659/matchlogs/2025-2026/summary/Simon-Adingra-Match-Logs" TargetMode="External"/><Relationship Id="rId1328" Type="http://schemas.openxmlformats.org/officeDocument/2006/relationships/hyperlink" Target="https://fbref.com/en/players/bac46a10/matchlogs/2025-2026/summary/Lisandro-Martinez-Match-Logs" TargetMode="External"/><Relationship Id="rId35" Type="http://schemas.openxmlformats.org/officeDocument/2006/relationships/hyperlink" Target="https://fbref.com/en/squads/4ba7cbea/Bournemouth-Stats" TargetMode="External"/><Relationship Id="rId1329" Type="http://schemas.openxmlformats.org/officeDocument/2006/relationships/hyperlink" Target="https://fbref.com/en/players/57df7a11/Arthur-Masuaku" TargetMode="External"/><Relationship Id="rId34" Type="http://schemas.openxmlformats.org/officeDocument/2006/relationships/hyperlink" Target="https://fbref.com/en/country/MAR/Morocco-Football" TargetMode="External"/><Relationship Id="rId739" Type="http://schemas.openxmlformats.org/officeDocument/2006/relationships/hyperlink" Target="https://fbref.com/en/squads/8cec06e1/Wolverhampton-Wanderers-Stats" TargetMode="External"/><Relationship Id="rId734" Type="http://schemas.openxmlformats.org/officeDocument/2006/relationships/hyperlink" Target="https://fbref.com/en/country/ITA/Italy-Football" TargetMode="External"/><Relationship Id="rId733" Type="http://schemas.openxmlformats.org/officeDocument/2006/relationships/hyperlink" Target="https://fbref.com/en/players/75fdd638/Wilfried-Gnonto" TargetMode="External"/><Relationship Id="rId732" Type="http://schemas.openxmlformats.org/officeDocument/2006/relationships/hyperlink" Target="https://fbref.com/en/players/10745192/matchlogs/2025-2026/summary/Jamie-Gittens-Match-Logs" TargetMode="External"/><Relationship Id="rId731" Type="http://schemas.openxmlformats.org/officeDocument/2006/relationships/hyperlink" Target="https://fbref.com/en/squads/cff3d9bb/Chelsea-Stats" TargetMode="External"/><Relationship Id="rId738" Type="http://schemas.openxmlformats.org/officeDocument/2006/relationships/hyperlink" Target="https://fbref.com/en/country/ENG/England-Football" TargetMode="External"/><Relationship Id="rId737" Type="http://schemas.openxmlformats.org/officeDocument/2006/relationships/hyperlink" Target="https://fbref.com/en/players/645a3363/Angel-Gomes" TargetMode="External"/><Relationship Id="rId736" Type="http://schemas.openxmlformats.org/officeDocument/2006/relationships/hyperlink" Target="https://fbref.com/en/players/75fdd638/matchlogs/2025-2026/summary/Wilfried-Gnonto-Match-Logs" TargetMode="External"/><Relationship Id="rId735" Type="http://schemas.openxmlformats.org/officeDocument/2006/relationships/hyperlink" Target="https://fbref.com/en/squads/5bfb9659/Leeds-United-Stats" TargetMode="External"/><Relationship Id="rId37" Type="http://schemas.openxmlformats.org/officeDocument/2006/relationships/hyperlink" Target="https://fbref.com/en/players/75f1ed80/Emmanuel-Agbadou" TargetMode="External"/><Relationship Id="rId36" Type="http://schemas.openxmlformats.org/officeDocument/2006/relationships/hyperlink" Target="https://fbref.com/en/players/dcfb17f4/matchlogs/2025-2026/summary/Amine-Adli-Match-Logs" TargetMode="External"/><Relationship Id="rId39" Type="http://schemas.openxmlformats.org/officeDocument/2006/relationships/hyperlink" Target="https://fbref.com/en/squads/8cec06e1/Wolverhampton-Wanderers-Stats" TargetMode="External"/><Relationship Id="rId38" Type="http://schemas.openxmlformats.org/officeDocument/2006/relationships/hyperlink" Target="https://fbref.com/en/country/CIV/Cote-dIvoire-Football" TargetMode="External"/><Relationship Id="rId730" Type="http://schemas.openxmlformats.org/officeDocument/2006/relationships/hyperlink" Target="https://fbref.com/en/country/ENG/England-Football" TargetMode="External"/><Relationship Id="rId1320" Type="http://schemas.openxmlformats.org/officeDocument/2006/relationships/hyperlink" Target="https://fbref.com/en/players/48a5a5d6/matchlogs/2025-2026/summary/Gabriel-Martinelli-Match-Logs" TargetMode="External"/><Relationship Id="rId1321" Type="http://schemas.openxmlformats.org/officeDocument/2006/relationships/hyperlink" Target="https://fbref.com/en/players/7956236f/Emiliano-Martinez" TargetMode="External"/><Relationship Id="rId1322" Type="http://schemas.openxmlformats.org/officeDocument/2006/relationships/hyperlink" Target="https://fbref.com/en/country/ARG/Argentina-Football" TargetMode="External"/><Relationship Id="rId1356" Type="http://schemas.openxmlformats.org/officeDocument/2006/relationships/hyperlink" Target="https://fbref.com/en/players/b74277a0/matchlogs/2025-2026/summary/Noussair-Mazraoui-Match-Logs" TargetMode="External"/><Relationship Id="rId2203" Type="http://schemas.openxmlformats.org/officeDocument/2006/relationships/hyperlink" Target="https://fbref.com/en/squads/18bb7c10/Arsenal-Stats" TargetMode="External"/><Relationship Id="rId1357" Type="http://schemas.openxmlformats.org/officeDocument/2006/relationships/hyperlink" Target="https://fbref.com/en/players/6afaebf2/Bryan-Mbeumo" TargetMode="External"/><Relationship Id="rId2204" Type="http://schemas.openxmlformats.org/officeDocument/2006/relationships/hyperlink" Target="https://fbref.com/en/players/79300479/matchlogs/2025-2026/summary/Martin-Odegaard-Match-Logs" TargetMode="External"/><Relationship Id="rId20" Type="http://schemas.openxmlformats.org/officeDocument/2006/relationships/hyperlink" Target="https://fbref.com/en/players/b7e62e1d/matchlogs/2025-2026/summary/Joshua-Acheampong-Match-Logs" TargetMode="External"/><Relationship Id="rId1358" Type="http://schemas.openxmlformats.org/officeDocument/2006/relationships/hyperlink" Target="https://fbref.com/en/country/CMR/Cameroon-Football" TargetMode="External"/><Relationship Id="rId2205" Type="http://schemas.openxmlformats.org/officeDocument/2006/relationships/drawing" Target="../drawings/drawing1.xml"/><Relationship Id="rId1359" Type="http://schemas.openxmlformats.org/officeDocument/2006/relationships/hyperlink" Target="https://fbref.com/en/squads/19538871/Manchester-United-Stats" TargetMode="External"/><Relationship Id="rId22" Type="http://schemas.openxmlformats.org/officeDocument/2006/relationships/hyperlink" Target="https://fbref.com/en/country/USA/United-States-Football" TargetMode="External"/><Relationship Id="rId21" Type="http://schemas.openxmlformats.org/officeDocument/2006/relationships/hyperlink" Target="https://fbref.com/en/players/2b09d998/Tyler-Adams" TargetMode="External"/><Relationship Id="rId24" Type="http://schemas.openxmlformats.org/officeDocument/2006/relationships/hyperlink" Target="https://fbref.com/en/players/2b09d998/matchlogs/2025-2026/summary/Tyler-Adams-Match-Logs" TargetMode="External"/><Relationship Id="rId23" Type="http://schemas.openxmlformats.org/officeDocument/2006/relationships/hyperlink" Target="https://fbref.com/en/squads/4ba7cbea/Bournemouth-Stats" TargetMode="External"/><Relationship Id="rId767" Type="http://schemas.openxmlformats.org/officeDocument/2006/relationships/hyperlink" Target="https://fbref.com/en/squads/b2b47a98/Newcastle-United-Stats" TargetMode="External"/><Relationship Id="rId766" Type="http://schemas.openxmlformats.org/officeDocument/2006/relationships/hyperlink" Target="https://fbref.com/en/country/ENG/England-Football" TargetMode="External"/><Relationship Id="rId765" Type="http://schemas.openxmlformats.org/officeDocument/2006/relationships/hyperlink" Target="https://fbref.com/en/players/2bd83368/Anthony-Gordon" TargetMode="External"/><Relationship Id="rId764" Type="http://schemas.openxmlformats.org/officeDocument/2006/relationships/hyperlink" Target="https://fbref.com/en/players/2c56a792/matchlogs/2025-2026/summary/Nicolas-Gonzalez-Match-Logs" TargetMode="External"/><Relationship Id="rId769" Type="http://schemas.openxmlformats.org/officeDocument/2006/relationships/hyperlink" Target="https://fbref.com/en/players/b8e740fb/Ryan-Gravenberch" TargetMode="External"/><Relationship Id="rId768" Type="http://schemas.openxmlformats.org/officeDocument/2006/relationships/hyperlink" Target="https://fbref.com/en/players/2bd83368/matchlogs/2025-2026/summary/Anthony-Gordon-Match-Logs" TargetMode="External"/><Relationship Id="rId26" Type="http://schemas.openxmlformats.org/officeDocument/2006/relationships/hyperlink" Target="https://fbref.com/en/country/ENG/England-Football" TargetMode="External"/><Relationship Id="rId25" Type="http://schemas.openxmlformats.org/officeDocument/2006/relationships/hyperlink" Target="https://fbref.com/en/players/c81d773d/Tosin-Adarabioyo" TargetMode="External"/><Relationship Id="rId28" Type="http://schemas.openxmlformats.org/officeDocument/2006/relationships/hyperlink" Target="https://fbref.com/en/players/c81d773d/matchlogs/2025-2026/summary/Tosin-Adarabioyo-Match-Logs" TargetMode="External"/><Relationship Id="rId1350" Type="http://schemas.openxmlformats.org/officeDocument/2006/relationships/hyperlink" Target="https://fbref.com/en/country/BRB/Barbados-Football" TargetMode="External"/><Relationship Id="rId27" Type="http://schemas.openxmlformats.org/officeDocument/2006/relationships/hyperlink" Target="https://fbref.com/en/squads/cff3d9bb/Chelsea-Stats" TargetMode="External"/><Relationship Id="rId1351" Type="http://schemas.openxmlformats.org/officeDocument/2006/relationships/hyperlink" Target="https://fbref.com/en/squads/7c21e445/West-Ham-United-Stats" TargetMode="External"/><Relationship Id="rId763" Type="http://schemas.openxmlformats.org/officeDocument/2006/relationships/hyperlink" Target="https://fbref.com/en/squads/b8fd03ef/Manchester-City-Stats" TargetMode="External"/><Relationship Id="rId1352" Type="http://schemas.openxmlformats.org/officeDocument/2006/relationships/hyperlink" Target="https://fbref.com/en/players/9a85a651/matchlogs/2025-2026/summary/Ezra-Mayers-Match-Logs" TargetMode="External"/><Relationship Id="rId29" Type="http://schemas.openxmlformats.org/officeDocument/2006/relationships/hyperlink" Target="https://fbref.com/en/players/4dcec659/Simon-Adingra" TargetMode="External"/><Relationship Id="rId762" Type="http://schemas.openxmlformats.org/officeDocument/2006/relationships/hyperlink" Target="https://fbref.com/en/country/ESP/Spain-Football" TargetMode="External"/><Relationship Id="rId1353" Type="http://schemas.openxmlformats.org/officeDocument/2006/relationships/hyperlink" Target="https://fbref.com/en/players/b74277a0/Noussair-Mazraoui" TargetMode="External"/><Relationship Id="rId2200" Type="http://schemas.openxmlformats.org/officeDocument/2006/relationships/hyperlink" Target="https://fbref.com/en/players/3ee0dd59/matchlogs/2025-2026/summary/Martin-Zubimendi-Match-Logs" TargetMode="External"/><Relationship Id="rId761" Type="http://schemas.openxmlformats.org/officeDocument/2006/relationships/hyperlink" Target="https://fbref.com/en/players/2c56a792/Nicolas-Gonzalez" TargetMode="External"/><Relationship Id="rId1354" Type="http://schemas.openxmlformats.org/officeDocument/2006/relationships/hyperlink" Target="https://fbref.com/en/country/MAR/Morocco-Football" TargetMode="External"/><Relationship Id="rId2201" Type="http://schemas.openxmlformats.org/officeDocument/2006/relationships/hyperlink" Target="https://fbref.com/en/players/79300479/Martin-Odegaard" TargetMode="External"/><Relationship Id="rId760" Type="http://schemas.openxmlformats.org/officeDocument/2006/relationships/hyperlink" Target="https://fbref.com/en/players/7a11550b/matchlogs/2025-2026/summary/Joe-Gomez-Match-Logs" TargetMode="External"/><Relationship Id="rId1355" Type="http://schemas.openxmlformats.org/officeDocument/2006/relationships/hyperlink" Target="https://fbref.com/en/squads/19538871/Manchester-United-Stats" TargetMode="External"/><Relationship Id="rId2202" Type="http://schemas.openxmlformats.org/officeDocument/2006/relationships/hyperlink" Target="https://fbref.com/en/country/NOR/Norway-Football" TargetMode="External"/><Relationship Id="rId1345" Type="http://schemas.openxmlformats.org/officeDocument/2006/relationships/hyperlink" Target="https://fbref.com/en/players/6a021e43/Eliezer-Mayenda" TargetMode="External"/><Relationship Id="rId1346" Type="http://schemas.openxmlformats.org/officeDocument/2006/relationships/hyperlink" Target="https://fbref.com/en/country/ESP/Spain-Football" TargetMode="External"/><Relationship Id="rId1347" Type="http://schemas.openxmlformats.org/officeDocument/2006/relationships/hyperlink" Target="https://fbref.com/en/squads/8ef52968/Sunderland-Stats" TargetMode="External"/><Relationship Id="rId1348" Type="http://schemas.openxmlformats.org/officeDocument/2006/relationships/hyperlink" Target="https://fbref.com/en/players/6a021e43/matchlogs/2025-2026/summary/Eliezer-Mayenda-Match-Logs" TargetMode="External"/><Relationship Id="rId11" Type="http://schemas.openxmlformats.org/officeDocument/2006/relationships/hyperlink" Target="https://fbref.com/en/squads/e4a775cb/Nottingham-Forest-Stats" TargetMode="External"/><Relationship Id="rId1349" Type="http://schemas.openxmlformats.org/officeDocument/2006/relationships/hyperlink" Target="https://fbref.com/en/players/9a85a651/Ezra-Mayers" TargetMode="External"/><Relationship Id="rId10" Type="http://schemas.openxmlformats.org/officeDocument/2006/relationships/hyperlink" Target="https://fbref.com/en/country/ENG/England-Football" TargetMode="External"/><Relationship Id="rId13" Type="http://schemas.openxmlformats.org/officeDocument/2006/relationships/hyperlink" Target="https://fbref.com/en/players/f586779e/Tammy-Abraham" TargetMode="External"/><Relationship Id="rId12" Type="http://schemas.openxmlformats.org/officeDocument/2006/relationships/hyperlink" Target="https://fbref.com/en/players/c103921a/matchlogs/2025-2026/summary/Zach-Abbott-Match-Logs" TargetMode="External"/><Relationship Id="rId756" Type="http://schemas.openxmlformats.org/officeDocument/2006/relationships/hyperlink" Target="https://fbref.com/en/players/916728da/matchlogs/2025-2026/summary/Diego-Gomez-Match-Logs" TargetMode="External"/><Relationship Id="rId755" Type="http://schemas.openxmlformats.org/officeDocument/2006/relationships/hyperlink" Target="https://fbref.com/en/squads/d07537b9/Brighton-and-Hove-Albion-Stats" TargetMode="External"/><Relationship Id="rId754" Type="http://schemas.openxmlformats.org/officeDocument/2006/relationships/hyperlink" Target="https://fbref.com/en/country/PAR/Paraguay-Football" TargetMode="External"/><Relationship Id="rId753" Type="http://schemas.openxmlformats.org/officeDocument/2006/relationships/hyperlink" Target="https://fbref.com/en/players/916728da/Diego-Gomez" TargetMode="External"/><Relationship Id="rId759" Type="http://schemas.openxmlformats.org/officeDocument/2006/relationships/hyperlink" Target="https://fbref.com/en/squads/822bd0ba/Liverpool-Stats" TargetMode="External"/><Relationship Id="rId758" Type="http://schemas.openxmlformats.org/officeDocument/2006/relationships/hyperlink" Target="https://fbref.com/en/country/ENG/England-Football" TargetMode="External"/><Relationship Id="rId757" Type="http://schemas.openxmlformats.org/officeDocument/2006/relationships/hyperlink" Target="https://fbref.com/en/players/7a11550b/Joe-Gomez" TargetMode="External"/><Relationship Id="rId15" Type="http://schemas.openxmlformats.org/officeDocument/2006/relationships/hyperlink" Target="https://fbref.com/en/squads/8602292d/Aston-Villa-Stats" TargetMode="External"/><Relationship Id="rId14" Type="http://schemas.openxmlformats.org/officeDocument/2006/relationships/hyperlink" Target="https://fbref.com/en/country/ENG/England-Football" TargetMode="External"/><Relationship Id="rId17" Type="http://schemas.openxmlformats.org/officeDocument/2006/relationships/hyperlink" Target="https://fbref.com/en/players/b7e62e1d/Joshua-Acheampong" TargetMode="External"/><Relationship Id="rId16" Type="http://schemas.openxmlformats.org/officeDocument/2006/relationships/hyperlink" Target="https://fbref.com/en/players/f586779e/matchlogs/2025-2026/summary/Tammy-Abraham-Match-Logs" TargetMode="External"/><Relationship Id="rId1340" Type="http://schemas.openxmlformats.org/officeDocument/2006/relationships/hyperlink" Target="https://fbref.com/en/players/50e6dc35/matchlogs/2025-2026/summary/Jean-Philippe-Mateta-Match-Logs" TargetMode="External"/><Relationship Id="rId19" Type="http://schemas.openxmlformats.org/officeDocument/2006/relationships/hyperlink" Target="https://fbref.com/en/squads/cff3d9bb/Chelsea-Stats" TargetMode="External"/><Relationship Id="rId752" Type="http://schemas.openxmlformats.org/officeDocument/2006/relationships/hyperlink" Target="https://fbref.com/en/players/f0caab96/matchlogs/2025-2026/summary/Toti-Gomes-Match-Logs" TargetMode="External"/><Relationship Id="rId1341" Type="http://schemas.openxmlformats.org/officeDocument/2006/relationships/hyperlink" Target="https://fbref.com/en/players/00963611/Konstantinos-Mavropanos" TargetMode="External"/><Relationship Id="rId18" Type="http://schemas.openxmlformats.org/officeDocument/2006/relationships/hyperlink" Target="https://fbref.com/en/country/ENG/England-Football" TargetMode="External"/><Relationship Id="rId751" Type="http://schemas.openxmlformats.org/officeDocument/2006/relationships/hyperlink" Target="https://fbref.com/en/squads/8cec06e1/Wolverhampton-Wanderers-Stats" TargetMode="External"/><Relationship Id="rId1342" Type="http://schemas.openxmlformats.org/officeDocument/2006/relationships/hyperlink" Target="https://fbref.com/en/country/GRE/Greece-Football" TargetMode="External"/><Relationship Id="rId750" Type="http://schemas.openxmlformats.org/officeDocument/2006/relationships/hyperlink" Target="https://fbref.com/en/country/POR/Portugal-Football" TargetMode="External"/><Relationship Id="rId1343" Type="http://schemas.openxmlformats.org/officeDocument/2006/relationships/hyperlink" Target="https://fbref.com/en/squads/7c21e445/West-Ham-United-Stats" TargetMode="External"/><Relationship Id="rId1344" Type="http://schemas.openxmlformats.org/officeDocument/2006/relationships/hyperlink" Target="https://fbref.com/en/players/00963611/matchlogs/2025-2026/summary/Konstantinos-Mavropanos-Match-Logs" TargetMode="External"/><Relationship Id="rId84" Type="http://schemas.openxmlformats.org/officeDocument/2006/relationships/hyperlink" Target="https://fbref.com/en/players/2ee5b0c9/matchlogs/2025-2026/summary/Zeki-Amdouni-Match-Logs" TargetMode="External"/><Relationship Id="rId1774" Type="http://schemas.openxmlformats.org/officeDocument/2006/relationships/hyperlink" Target="https://fbref.com/en/country/CIV/Cote-dIvoire-Football" TargetMode="External"/><Relationship Id="rId83" Type="http://schemas.openxmlformats.org/officeDocument/2006/relationships/hyperlink" Target="https://fbref.com/en/squads/943e8050/Burnley-Stats" TargetMode="External"/><Relationship Id="rId1775" Type="http://schemas.openxmlformats.org/officeDocument/2006/relationships/hyperlink" Target="https://fbref.com/en/squads/e4a775cb/Nottingham-Forest-Stats" TargetMode="External"/><Relationship Id="rId86" Type="http://schemas.openxmlformats.org/officeDocument/2006/relationships/hyperlink" Target="https://fbref.com/en/country/WAL/Wales-Football" TargetMode="External"/><Relationship Id="rId1776" Type="http://schemas.openxmlformats.org/officeDocument/2006/relationships/hyperlink" Target="https://fbref.com/en/players/bced0375/matchlogs/2025-2026/summary/Ibrahim-Sangare-Match-Logs" TargetMode="External"/><Relationship Id="rId85" Type="http://schemas.openxmlformats.org/officeDocument/2006/relationships/hyperlink" Target="https://fbref.com/en/players/10b9fa99/Ethan-Ampadu" TargetMode="External"/><Relationship Id="rId1777" Type="http://schemas.openxmlformats.org/officeDocument/2006/relationships/hyperlink" Target="https://fbref.com/en/players/dd745366/Andrey-Santos" TargetMode="External"/><Relationship Id="rId88" Type="http://schemas.openxmlformats.org/officeDocument/2006/relationships/hyperlink" Target="https://fbref.com/en/players/10b9fa99/matchlogs/2025-2026/summary/Ethan-Ampadu-Match-Logs" TargetMode="External"/><Relationship Id="rId1778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5bfb9659/Leeds-United-Stats" TargetMode="External"/><Relationship Id="rId1779" Type="http://schemas.openxmlformats.org/officeDocument/2006/relationships/hyperlink" Target="https://fbref.com/en/squads/cff3d9bb/Chelsea-Stats" TargetMode="External"/><Relationship Id="rId89" Type="http://schemas.openxmlformats.org/officeDocument/2006/relationships/hyperlink" Target="https://fbref.com/en/players/e34fc66d/Joachim-Andersen" TargetMode="External"/><Relationship Id="rId709" Type="http://schemas.openxmlformats.org/officeDocument/2006/relationships/hyperlink" Target="https://fbref.com/en/players/4e015693/James-Garner" TargetMode="External"/><Relationship Id="rId708" Type="http://schemas.openxmlformats.org/officeDocument/2006/relationships/hyperlink" Target="https://fbref.com/en/players/7aa8adfe/matchlogs/2025-2026/summary/Alejandro-Garnacho-Match-Logs" TargetMode="External"/><Relationship Id="rId707" Type="http://schemas.openxmlformats.org/officeDocument/2006/relationships/hyperlink" Target="https://fbref.com/en/squads/cff3d9bb/Chelsea-Stats" TargetMode="External"/><Relationship Id="rId706" Type="http://schemas.openxmlformats.org/officeDocument/2006/relationships/hyperlink" Target="https://fbref.com/en/country/ARG/Argentina-Football" TargetMode="External"/><Relationship Id="rId80" Type="http://schemas.openxmlformats.org/officeDocument/2006/relationships/hyperlink" Target="https://fbref.com/en/players/98e0d76c/matchlogs/2025-2026/summary/Jaydon-Amauri-Banel-Match-Logs" TargetMode="External"/><Relationship Id="rId82" Type="http://schemas.openxmlformats.org/officeDocument/2006/relationships/hyperlink" Target="https://fbref.com/en/country/SUI/Switzerland-Football" TargetMode="External"/><Relationship Id="rId81" Type="http://schemas.openxmlformats.org/officeDocument/2006/relationships/hyperlink" Target="https://fbref.com/en/players/2ee5b0c9/Zeki-Amdouni" TargetMode="External"/><Relationship Id="rId701" Type="http://schemas.openxmlformats.org/officeDocument/2006/relationships/hyperlink" Target="https://fbref.com/en/players/40498af1/Andres-Garcia" TargetMode="External"/><Relationship Id="rId700" Type="http://schemas.openxmlformats.org/officeDocument/2006/relationships/hyperlink" Target="https://fbref.com/en/players/733f1a7d/matchlogs/2025-2026/summary/Ben-Gannon-Doak-Match-Logs" TargetMode="External"/><Relationship Id="rId705" Type="http://schemas.openxmlformats.org/officeDocument/2006/relationships/hyperlink" Target="https://fbref.com/en/players/7aa8adfe/Alejandro-Garnacho" TargetMode="External"/><Relationship Id="rId704" Type="http://schemas.openxmlformats.org/officeDocument/2006/relationships/hyperlink" Target="https://fbref.com/en/players/40498af1/matchlogs/2025-2026/summary/Andres-Garcia-Match-Logs" TargetMode="External"/><Relationship Id="rId703" Type="http://schemas.openxmlformats.org/officeDocument/2006/relationships/hyperlink" Target="https://fbref.com/en/squads/8602292d/Aston-Villa-Stats" TargetMode="External"/><Relationship Id="rId702" Type="http://schemas.openxmlformats.org/officeDocument/2006/relationships/hyperlink" Target="https://fbref.com/en/country/ESP/Spain-Football" TargetMode="External"/><Relationship Id="rId1770" Type="http://schemas.openxmlformats.org/officeDocument/2006/relationships/hyperlink" Target="https://fbref.com/en/country/ENG/England-Football" TargetMode="External"/><Relationship Id="rId1771" Type="http://schemas.openxmlformats.org/officeDocument/2006/relationships/hyperlink" Target="https://fbref.com/en/squads/8602292d/Aston-Villa-Stats" TargetMode="External"/><Relationship Id="rId1772" Type="http://schemas.openxmlformats.org/officeDocument/2006/relationships/hyperlink" Target="https://fbref.com/en/players/dbf053da/matchlogs/2025-2026/summary/Jadon-Sancho-Match-Logs" TargetMode="External"/><Relationship Id="rId1773" Type="http://schemas.openxmlformats.org/officeDocument/2006/relationships/hyperlink" Target="https://fbref.com/en/players/bced0375/Ibrahim-Sangare" TargetMode="External"/><Relationship Id="rId73" Type="http://schemas.openxmlformats.org/officeDocument/2006/relationships/hyperlink" Target="https://fbref.com/en/players/defcfd32/Max-Alleyne" TargetMode="External"/><Relationship Id="rId1763" Type="http://schemas.openxmlformats.org/officeDocument/2006/relationships/hyperlink" Target="https://fbref.com/en/squads/18bb7c10/Arsenal-Stats" TargetMode="External"/><Relationship Id="rId72" Type="http://schemas.openxmlformats.org/officeDocument/2006/relationships/hyperlink" Target="https://fbref.com/en/players/7a2e46a8/matchlogs/2025-2026/summary/Alisson-Match-Logs" TargetMode="External"/><Relationship Id="rId1764" Type="http://schemas.openxmlformats.org/officeDocument/2006/relationships/hyperlink" Target="https://fbref.com/en/players/972aeb2a/matchlogs/2025-2026/summary/William-Saliba-Match-Logs" TargetMode="External"/><Relationship Id="rId75" Type="http://schemas.openxmlformats.org/officeDocument/2006/relationships/hyperlink" Target="https://fbref.com/en/squads/b8fd03ef/Manchester-City-Stats" TargetMode="External"/><Relationship Id="rId1765" Type="http://schemas.openxmlformats.org/officeDocument/2006/relationships/hyperlink" Target="https://fbref.com/en/players/6a713852/Robert-Sanchez" TargetMode="External"/><Relationship Id="rId74" Type="http://schemas.openxmlformats.org/officeDocument/2006/relationships/hyperlink" Target="https://fbref.com/en/country/ENG/England-Football" TargetMode="External"/><Relationship Id="rId1766" Type="http://schemas.openxmlformats.org/officeDocument/2006/relationships/hyperlink" Target="https://fbref.com/en/country/ESP/Spain-Football" TargetMode="External"/><Relationship Id="rId77" Type="http://schemas.openxmlformats.org/officeDocument/2006/relationships/hyperlink" Target="https://fbref.com/en/players/98e0d76c/Jaydon-Amauri-Banel" TargetMode="External"/><Relationship Id="rId1767" Type="http://schemas.openxmlformats.org/officeDocument/2006/relationships/hyperlink" Target="https://fbref.com/en/squads/cff3d9bb/Chelsea-Stats" TargetMode="External"/><Relationship Id="rId76" Type="http://schemas.openxmlformats.org/officeDocument/2006/relationships/hyperlink" Target="https://fbref.com/en/players/defcfd32/matchlogs/2025-2026/summary/Max-Alleyne-Match-Logs" TargetMode="External"/><Relationship Id="rId1768" Type="http://schemas.openxmlformats.org/officeDocument/2006/relationships/hyperlink" Target="https://fbref.com/en/players/6a713852/matchlogs/2025-2026/summary/Robert-Sanchez-Match-Logs" TargetMode="External"/><Relationship Id="rId79" Type="http://schemas.openxmlformats.org/officeDocument/2006/relationships/hyperlink" Target="https://fbref.com/en/squads/943e8050/Burnley-Stats" TargetMode="External"/><Relationship Id="rId1769" Type="http://schemas.openxmlformats.org/officeDocument/2006/relationships/hyperlink" Target="https://fbref.com/en/players/dbf053da/Jadon-Sancho" TargetMode="External"/><Relationship Id="rId78" Type="http://schemas.openxmlformats.org/officeDocument/2006/relationships/hyperlink" Target="https://fbref.com/en/country/NED/Netherlands-Football" TargetMode="External"/><Relationship Id="rId71" Type="http://schemas.openxmlformats.org/officeDocument/2006/relationships/hyperlink" Target="https://fbref.com/en/squads/822bd0ba/Liverpool-Stats" TargetMode="External"/><Relationship Id="rId70" Type="http://schemas.openxmlformats.org/officeDocument/2006/relationships/hyperlink" Target="https://fbref.com/en/country/BRA/Brazil-Football" TargetMode="External"/><Relationship Id="rId1760" Type="http://schemas.openxmlformats.org/officeDocument/2006/relationships/hyperlink" Target="https://fbref.com/en/players/e342ad68/matchlogs/2025-2026/summary/Mohamed-Salah-Match-Logs" TargetMode="External"/><Relationship Id="rId1761" Type="http://schemas.openxmlformats.org/officeDocument/2006/relationships/hyperlink" Target="https://fbref.com/en/players/972aeb2a/William-Saliba" TargetMode="External"/><Relationship Id="rId1762" Type="http://schemas.openxmlformats.org/officeDocument/2006/relationships/hyperlink" Target="https://fbref.com/en/country/FRA/France-Football" TargetMode="External"/><Relationship Id="rId62" Type="http://schemas.openxmlformats.org/officeDocument/2006/relationships/hyperlink" Target="https://fbref.com/en/country/ARG/Argentina-Football" TargetMode="External"/><Relationship Id="rId1312" Type="http://schemas.openxmlformats.org/officeDocument/2006/relationships/hyperlink" Target="https://fbref.com/en/players/0e0102eb/matchlogs/2025-2026/summary/Omar-Marmoush-Match-Logs" TargetMode="External"/><Relationship Id="rId1796" Type="http://schemas.openxmlformats.org/officeDocument/2006/relationships/hyperlink" Target="https://fbref.com/en/players/e041497d/matchlogs/2025-2026/summary/Nicolo-Savona-Match-Logs" TargetMode="External"/><Relationship Id="rId61" Type="http://schemas.openxmlformats.org/officeDocument/2006/relationships/hyperlink" Target="https://fbref.com/en/players/4abac767/Carlos-Alcaraz" TargetMode="External"/><Relationship Id="rId1313" Type="http://schemas.openxmlformats.org/officeDocument/2006/relationships/hyperlink" Target="https://fbref.com/en/players/3a27f1bf/Callum-Marshall" TargetMode="External"/><Relationship Id="rId1797" Type="http://schemas.openxmlformats.org/officeDocument/2006/relationships/hyperlink" Target="https://fbref.com/en/players/242e5e6d/Oliver-Scarles" TargetMode="External"/><Relationship Id="rId64" Type="http://schemas.openxmlformats.org/officeDocument/2006/relationships/hyperlink" Target="https://fbref.com/en/players/4abac767/matchlogs/2025-2026/summary/Carlos-Alcaraz-Match-Logs" TargetMode="External"/><Relationship Id="rId1314" Type="http://schemas.openxmlformats.org/officeDocument/2006/relationships/hyperlink" Target="https://fbref.com/en/country/NIR/Northern-Ireland-Football" TargetMode="External"/><Relationship Id="rId1798" Type="http://schemas.openxmlformats.org/officeDocument/2006/relationships/hyperlink" Target="https://fbref.com/en/country/ENG/England-Football" TargetMode="External"/><Relationship Id="rId63" Type="http://schemas.openxmlformats.org/officeDocument/2006/relationships/hyperlink" Target="https://fbref.com/en/squads/d3fd31cc/Everton-Stats" TargetMode="External"/><Relationship Id="rId1315" Type="http://schemas.openxmlformats.org/officeDocument/2006/relationships/hyperlink" Target="https://fbref.com/en/squads/7c21e445/West-Ham-United-Stats" TargetMode="External"/><Relationship Id="rId1799" Type="http://schemas.openxmlformats.org/officeDocument/2006/relationships/hyperlink" Target="https://fbref.com/en/squads/7c21e445/West-Ham-United-Stats" TargetMode="External"/><Relationship Id="rId66" Type="http://schemas.openxmlformats.org/officeDocument/2006/relationships/hyperlink" Target="https://fbref.com/en/country/PAR/Paraguay-Football" TargetMode="External"/><Relationship Id="rId1316" Type="http://schemas.openxmlformats.org/officeDocument/2006/relationships/hyperlink" Target="https://fbref.com/en/players/3a27f1bf/matchlogs/2025-2026/summary/Callum-Marshall-Match-Logs" TargetMode="External"/><Relationship Id="rId65" Type="http://schemas.openxmlformats.org/officeDocument/2006/relationships/hyperlink" Target="https://fbref.com/en/players/bb08bce9/Omar-Alderete" TargetMode="External"/><Relationship Id="rId1317" Type="http://schemas.openxmlformats.org/officeDocument/2006/relationships/hyperlink" Target="https://fbref.com/en/players/48a5a5d6/Gabriel-Martinelli" TargetMode="External"/><Relationship Id="rId68" Type="http://schemas.openxmlformats.org/officeDocument/2006/relationships/hyperlink" Target="https://fbref.com/en/players/bb08bce9/matchlogs/2025-2026/summary/Omar-Alderete-Match-Logs" TargetMode="External"/><Relationship Id="rId1318" Type="http://schemas.openxmlformats.org/officeDocument/2006/relationships/hyperlink" Target="https://fbref.com/en/country/BRA/Brazil-Football" TargetMode="External"/><Relationship Id="rId67" Type="http://schemas.openxmlformats.org/officeDocument/2006/relationships/hyperlink" Target="https://fbref.com/en/squads/8ef52968/Sunderland-Stats" TargetMode="External"/><Relationship Id="rId1319" Type="http://schemas.openxmlformats.org/officeDocument/2006/relationships/hyperlink" Target="https://fbref.com/en/squads/18bb7c10/Arsenal-Stats" TargetMode="External"/><Relationship Id="rId729" Type="http://schemas.openxmlformats.org/officeDocument/2006/relationships/hyperlink" Target="https://fbref.com/en/players/10745192/Jamie-Gittens" TargetMode="External"/><Relationship Id="rId728" Type="http://schemas.openxmlformats.org/officeDocument/2006/relationships/hyperlink" Target="https://fbref.com/en/players/32f60ed8/matchlogs/2025-2026/summary/Morgan-Gibbs-White-Match-Logs" TargetMode="External"/><Relationship Id="rId60" Type="http://schemas.openxmlformats.org/officeDocument/2006/relationships/hyperlink" Target="https://fbref.com/en/players/eaeca114/matchlogs/2025-2026/summary/Nathan-Ake-Match-Logs" TargetMode="External"/><Relationship Id="rId723" Type="http://schemas.openxmlformats.org/officeDocument/2006/relationships/hyperlink" Target="https://fbref.com/en/squads/d3fd31cc/Everton-Stats" TargetMode="External"/><Relationship Id="rId722" Type="http://schemas.openxmlformats.org/officeDocument/2006/relationships/hyperlink" Target="https://fbref.com/en/country/ENG/England-Football" TargetMode="External"/><Relationship Id="rId721" Type="http://schemas.openxmlformats.org/officeDocument/2006/relationships/hyperlink" Target="https://fbref.com/en/players/e6f7797e/Tyrique-George" TargetMode="External"/><Relationship Id="rId720" Type="http://schemas.openxmlformats.org/officeDocument/2006/relationships/hyperlink" Target="https://fbref.com/en/players/e6f7797e/matchlogs/2025-2026/summary/Tyrique-George-Match-Logs" TargetMode="External"/><Relationship Id="rId727" Type="http://schemas.openxmlformats.org/officeDocument/2006/relationships/hyperlink" Target="https://fbref.com/en/squads/e4a775cb/Nottingham-Forest-Stats" TargetMode="External"/><Relationship Id="rId726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players/32f60ed8/Morgan-Gibbs-White" TargetMode="External"/><Relationship Id="rId724" Type="http://schemas.openxmlformats.org/officeDocument/2006/relationships/hyperlink" Target="https://fbref.com/en/players/e6f7797e/matchlogs/2025-2026/summary/Tyrique-George-Match-Logs" TargetMode="External"/><Relationship Id="rId69" Type="http://schemas.openxmlformats.org/officeDocument/2006/relationships/hyperlink" Target="https://fbref.com/en/players/7a2e46a8/Alisson" TargetMode="External"/><Relationship Id="rId1790" Type="http://schemas.openxmlformats.org/officeDocument/2006/relationships/hyperlink" Target="https://fbref.com/en/country/BRA/Brazil-Football" TargetMode="External"/><Relationship Id="rId1791" Type="http://schemas.openxmlformats.org/officeDocument/2006/relationships/hyperlink" Target="https://fbref.com/en/squads/b8fd03ef/Manchester-City-Stats" TargetMode="External"/><Relationship Id="rId1792" Type="http://schemas.openxmlformats.org/officeDocument/2006/relationships/hyperlink" Target="https://fbref.com/en/players/fe6e7156/matchlogs/2025-2026/summary/Savio-Match-Logs" TargetMode="External"/><Relationship Id="rId1793" Type="http://schemas.openxmlformats.org/officeDocument/2006/relationships/hyperlink" Target="https://fbref.com/en/players/e041497d/Nicolo-Savona" TargetMode="External"/><Relationship Id="rId1310" Type="http://schemas.openxmlformats.org/officeDocument/2006/relationships/hyperlink" Target="https://fbref.com/en/country/EGY/Egypt-Football" TargetMode="External"/><Relationship Id="rId1794" Type="http://schemas.openxmlformats.org/officeDocument/2006/relationships/hyperlink" Target="https://fbref.com/en/country/ITA/Italy-Football" TargetMode="External"/><Relationship Id="rId1311" Type="http://schemas.openxmlformats.org/officeDocument/2006/relationships/hyperlink" Target="https://fbref.com/en/squads/b8fd03ef/Manchester-City-Stats" TargetMode="External"/><Relationship Id="rId1795" Type="http://schemas.openxmlformats.org/officeDocument/2006/relationships/hyperlink" Target="https://fbref.com/en/squads/e4a775cb/Nottingham-Forest-Stats" TargetMode="External"/><Relationship Id="rId51" Type="http://schemas.openxmlformats.org/officeDocument/2006/relationships/hyperlink" Target="https://fbref.com/en/squads/b8fd03ef/Manchester-City-Stats" TargetMode="External"/><Relationship Id="rId1301" Type="http://schemas.openxmlformats.org/officeDocument/2006/relationships/hyperlink" Target="https://fbref.com/en/players/e8a55b80/Bendito-Mantato" TargetMode="External"/><Relationship Id="rId1785" Type="http://schemas.openxmlformats.org/officeDocument/2006/relationships/hyperlink" Target="https://fbref.com/en/players/61f80c89/Mamadou-Sarr" TargetMode="External"/><Relationship Id="rId50" Type="http://schemas.openxmlformats.org/officeDocument/2006/relationships/hyperlink" Target="https://fbref.com/en/country/ALG/Algeria-Football" TargetMode="External"/><Relationship Id="rId1302" Type="http://schemas.openxmlformats.org/officeDocument/2006/relationships/hyperlink" Target="https://fbref.com/en/country/ENG/England-Football" TargetMode="External"/><Relationship Id="rId1786" Type="http://schemas.openxmlformats.org/officeDocument/2006/relationships/hyperlink" Target="https://fbref.com/en/country/SEN/Senegal-Football" TargetMode="External"/><Relationship Id="rId53" Type="http://schemas.openxmlformats.org/officeDocument/2006/relationships/hyperlink" Target="https://fbref.com/en/players/a8c0acb7/Kristoffer-Ajer" TargetMode="External"/><Relationship Id="rId1303" Type="http://schemas.openxmlformats.org/officeDocument/2006/relationships/hyperlink" Target="https://fbref.com/en/squads/19538871/Manchester-United-Stats" TargetMode="External"/><Relationship Id="rId1787" Type="http://schemas.openxmlformats.org/officeDocument/2006/relationships/hyperlink" Target="https://fbref.com/en/squads/cff3d9bb/Chelsea-Stats" TargetMode="External"/><Relationship Id="rId52" Type="http://schemas.openxmlformats.org/officeDocument/2006/relationships/hyperlink" Target="https://fbref.com/en/players/9b398aea/matchlogs/2025-2026/summary/Rayan-Ait-Nouri-Match-Logs" TargetMode="External"/><Relationship Id="rId1304" Type="http://schemas.openxmlformats.org/officeDocument/2006/relationships/hyperlink" Target="https://fbref.com/en/players/e8a55b80/matchlogs/2025-2026/summary/Bendito-Mantato-Match-Logs" TargetMode="External"/><Relationship Id="rId1788" Type="http://schemas.openxmlformats.org/officeDocument/2006/relationships/hyperlink" Target="https://fbref.com/en/players/61f80c89/matchlogs/2025-2026/summary/Mamadou-Sarr-Match-Logs" TargetMode="External"/><Relationship Id="rId55" Type="http://schemas.openxmlformats.org/officeDocument/2006/relationships/hyperlink" Target="https://fbref.com/en/squads/cd051869/Brentford-Stats" TargetMode="External"/><Relationship Id="rId1305" Type="http://schemas.openxmlformats.org/officeDocument/2006/relationships/hyperlink" Target="https://fbref.com/en/players/bb5fbd2b/Solly-March" TargetMode="External"/><Relationship Id="rId1789" Type="http://schemas.openxmlformats.org/officeDocument/2006/relationships/hyperlink" Target="https://fbref.com/en/players/fe6e7156/Savio" TargetMode="External"/><Relationship Id="rId54" Type="http://schemas.openxmlformats.org/officeDocument/2006/relationships/hyperlink" Target="https://fbref.com/en/country/NOR/Norway-Football" TargetMode="External"/><Relationship Id="rId1306" Type="http://schemas.openxmlformats.org/officeDocument/2006/relationships/hyperlink" Target="https://fbref.com/en/country/ENG/England-Football" TargetMode="External"/><Relationship Id="rId57" Type="http://schemas.openxmlformats.org/officeDocument/2006/relationships/hyperlink" Target="https://fbref.com/en/players/eaeca114/Nathan-Ake" TargetMode="External"/><Relationship Id="rId1307" Type="http://schemas.openxmlformats.org/officeDocument/2006/relationships/hyperlink" Target="https://fbref.com/en/squads/d07537b9/Brighton-and-Hove-Albion-Stats" TargetMode="External"/><Relationship Id="rId56" Type="http://schemas.openxmlformats.org/officeDocument/2006/relationships/hyperlink" Target="https://fbref.com/en/players/a8c0acb7/matchlogs/2025-2026/summary/Kristoffer-Ajer-Match-Logs" TargetMode="External"/><Relationship Id="rId1308" Type="http://schemas.openxmlformats.org/officeDocument/2006/relationships/hyperlink" Target="https://fbref.com/en/players/bb5fbd2b/matchlogs/2025-2026/summary/Solly-March-Match-Logs" TargetMode="External"/><Relationship Id="rId1309" Type="http://schemas.openxmlformats.org/officeDocument/2006/relationships/hyperlink" Target="https://fbref.com/en/players/0e0102eb/Omar-Marmoush" TargetMode="External"/><Relationship Id="rId719" Type="http://schemas.openxmlformats.org/officeDocument/2006/relationships/hyperlink" Target="https://fbref.com/en/squads/cff3d9bb/Chelsea-Stats" TargetMode="External"/><Relationship Id="rId718" Type="http://schemas.openxmlformats.org/officeDocument/2006/relationships/hyperlink" Target="https://fbref.com/en/country/ENG/England-Football" TargetMode="External"/><Relationship Id="rId717" Type="http://schemas.openxmlformats.org/officeDocument/2006/relationships/hyperlink" Target="https://fbref.com/en/players/e6f7797e/Tyrique-George" TargetMode="External"/><Relationship Id="rId712" Type="http://schemas.openxmlformats.org/officeDocument/2006/relationships/hyperlink" Target="https://fbref.com/en/players/4e015693/matchlogs/2025-2026/summary/James-Garner-Match-Logs" TargetMode="External"/><Relationship Id="rId711" Type="http://schemas.openxmlformats.org/officeDocument/2006/relationships/hyperlink" Target="https://fbref.com/en/squads/d3fd31cc/Everton-Stats" TargetMode="External"/><Relationship Id="rId710" Type="http://schemas.openxmlformats.org/officeDocument/2006/relationships/hyperlink" Target="https://fbref.com/en/country/ENG/England-Football" TargetMode="External"/><Relationship Id="rId716" Type="http://schemas.openxmlformats.org/officeDocument/2006/relationships/hyperlink" Target="https://fbref.com/en/players/242e1043/matchlogs/2025-2026/summary/Lutsharel-Geertruida-Match-Logs" TargetMode="External"/><Relationship Id="rId715" Type="http://schemas.openxmlformats.org/officeDocument/2006/relationships/hyperlink" Target="https://fbref.com/en/squads/8ef52968/Sunderland-Stats" TargetMode="External"/><Relationship Id="rId714" Type="http://schemas.openxmlformats.org/officeDocument/2006/relationships/hyperlink" Target="https://fbref.com/en/country/NED/Netherlands-Football" TargetMode="External"/><Relationship Id="rId713" Type="http://schemas.openxmlformats.org/officeDocument/2006/relationships/hyperlink" Target="https://fbref.com/en/players/242e1043/Lutsharel-Geertruida" TargetMode="External"/><Relationship Id="rId59" Type="http://schemas.openxmlformats.org/officeDocument/2006/relationships/hyperlink" Target="https://fbref.com/en/squads/b8fd03ef/Manchester-City-Stats" TargetMode="External"/><Relationship Id="rId58" Type="http://schemas.openxmlformats.org/officeDocument/2006/relationships/hyperlink" Target="https://fbref.com/en/country/NED/Netherlands-Football" TargetMode="External"/><Relationship Id="rId1780" Type="http://schemas.openxmlformats.org/officeDocument/2006/relationships/hyperlink" Target="https://fbref.com/en/players/dd745366/matchlogs/2025-2026/summary/Andrey-Santos-Match-Logs" TargetMode="External"/><Relationship Id="rId1781" Type="http://schemas.openxmlformats.org/officeDocument/2006/relationships/hyperlink" Target="https://fbref.com/en/players/bfdb33aa/Ismaila-Sarr" TargetMode="External"/><Relationship Id="rId1782" Type="http://schemas.openxmlformats.org/officeDocument/2006/relationships/hyperlink" Target="https://fbref.com/en/country/SEN/Senegal-Football" TargetMode="External"/><Relationship Id="rId1783" Type="http://schemas.openxmlformats.org/officeDocument/2006/relationships/hyperlink" Target="https://fbref.com/en/squads/47c64c55/Crystal-Palace-Stats" TargetMode="External"/><Relationship Id="rId1300" Type="http://schemas.openxmlformats.org/officeDocument/2006/relationships/hyperlink" Target="https://fbref.com/en/players/c15cb409/matchlogs/2025-2026/summary/Mateus-Mane-Match-Logs" TargetMode="External"/><Relationship Id="rId1784" Type="http://schemas.openxmlformats.org/officeDocument/2006/relationships/hyperlink" Target="https://fbref.com/en/players/bfdb33aa/matchlogs/2025-2026/summary/Ismaila-Sarr-Match-Logs" TargetMode="External"/><Relationship Id="rId349" Type="http://schemas.openxmlformats.org/officeDocument/2006/relationships/hyperlink" Target="https://fbref.com/en/players/2389cdc2/Matty-Cash" TargetMode="External"/><Relationship Id="rId348" Type="http://schemas.openxmlformats.org/officeDocument/2006/relationships/hyperlink" Target="https://fbref.com/en/players/4d224fe8/matchlogs/2025-2026/summary/Casemiro-Match-Logs" TargetMode="External"/><Relationship Id="rId347" Type="http://schemas.openxmlformats.org/officeDocument/2006/relationships/hyperlink" Target="https://fbref.com/en/squads/19538871/Manchester-United-Stats" TargetMode="External"/><Relationship Id="rId346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966e28d0/Fabio-Carvalho" TargetMode="External"/><Relationship Id="rId340" Type="http://schemas.openxmlformats.org/officeDocument/2006/relationships/hyperlink" Target="https://fbref.com/en/players/702812fe/matchlogs/2025-2026/summary/Rio-Cardines-Match-Logs" TargetMode="External"/><Relationship Id="rId345" Type="http://schemas.openxmlformats.org/officeDocument/2006/relationships/hyperlink" Target="https://fbref.com/en/players/4d224fe8/Casemiro" TargetMode="External"/><Relationship Id="rId344" Type="http://schemas.openxmlformats.org/officeDocument/2006/relationships/hyperlink" Target="https://fbref.com/en/players/966e28d0/matchlogs/2025-2026/summary/Fabio-Carvalho-Match-Logs" TargetMode="External"/><Relationship Id="rId343" Type="http://schemas.openxmlformats.org/officeDocument/2006/relationships/hyperlink" Target="https://fbref.com/en/squads/cd051869/Brentford-Stats" TargetMode="External"/><Relationship Id="rId342" Type="http://schemas.openxmlformats.org/officeDocument/2006/relationships/hyperlink" Target="https://fbref.com/en/country/POR/Portugal-Football" TargetMode="External"/><Relationship Id="rId338" Type="http://schemas.openxmlformats.org/officeDocument/2006/relationships/hyperlink" Target="https://fbref.com/en/country/TRI/Trinidad-and-Tobago-Football" TargetMode="External"/><Relationship Id="rId337" Type="http://schemas.openxmlformats.org/officeDocument/2006/relationships/hyperlink" Target="https://fbref.com/en/players/702812fe/Rio-Cardines" TargetMode="External"/><Relationship Id="rId336" Type="http://schemas.openxmlformats.org/officeDocument/2006/relationships/hyperlink" Target="https://fbref.com/en/players/3684108d/matchlogs/2025-2026/summary/Jaydee-Canvot-Match-Logs" TargetMode="External"/><Relationship Id="rId335" Type="http://schemas.openxmlformats.org/officeDocument/2006/relationships/hyperlink" Target="https://fbref.com/en/squads/47c64c55/Crystal-Palace-Stats" TargetMode="External"/><Relationship Id="rId339" Type="http://schemas.openxmlformats.org/officeDocument/2006/relationships/hyperlink" Target="https://fbref.com/en/squads/47c64c55/Crystal-Palace-Stats" TargetMode="External"/><Relationship Id="rId330" Type="http://schemas.openxmlformats.org/officeDocument/2006/relationships/hyperlink" Target="https://fbref.com/en/country/ENG/England-Football" TargetMode="External"/><Relationship Id="rId334" Type="http://schemas.openxmlformats.org/officeDocument/2006/relationships/hyperlink" Target="https://fbref.com/en/country/FRA/France-Football" TargetMode="External"/><Relationship Id="rId333" Type="http://schemas.openxmlformats.org/officeDocument/2006/relationships/hyperlink" Target="https://fbref.com/en/players/3684108d/Jaydee-Canvot" TargetMode="External"/><Relationship Id="rId332" Type="http://schemas.openxmlformats.org/officeDocument/2006/relationships/hyperlink" Target="https://fbref.com/en/players/59e6e5bf/matchlogs/2025-2026/summary/Dominic-Calvert-Lewin-Match-Logs" TargetMode="External"/><Relationship Id="rId331" Type="http://schemas.openxmlformats.org/officeDocument/2006/relationships/hyperlink" Target="https://fbref.com/en/squads/5bfb9659/Leeds-United-Stats" TargetMode="External"/><Relationship Id="rId370" Type="http://schemas.openxmlformats.org/officeDocument/2006/relationships/hyperlink" Target="https://fbref.com/en/country/ITA/Italy-Football" TargetMode="External"/><Relationship Id="rId369" Type="http://schemas.openxmlformats.org/officeDocument/2006/relationships/hyperlink" Target="https://fbref.com/en/players/b0f7e36c/Federico-Chiesa" TargetMode="External"/><Relationship Id="rId368" Type="http://schemas.openxmlformats.org/officeDocument/2006/relationships/hyperlink" Target="https://fbref.com/en/players/b34c63a5/matchlogs/2025-2026/summary/Rayan-Cherki-Match-Logs" TargetMode="External"/><Relationship Id="rId363" Type="http://schemas.openxmlformats.org/officeDocument/2006/relationships/hyperlink" Target="https://fbref.com/en/squads/cff3d9bb/Chelsea-Stats" TargetMode="External"/><Relationship Id="rId362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5515376c/Trevoh-Chalobah" TargetMode="External"/><Relationship Id="rId360" Type="http://schemas.openxmlformats.org/officeDocument/2006/relationships/hyperlink" Target="https://fbref.com/en/players/da76bab4/matchlogs/2025-2026/summary/Valentin-Castellanos-Match-Logs" TargetMode="External"/><Relationship Id="rId367" Type="http://schemas.openxmlformats.org/officeDocument/2006/relationships/hyperlink" Target="https://fbref.com/en/squads/b8fd03ef/Manchester-City-Stats" TargetMode="External"/><Relationship Id="rId366" Type="http://schemas.openxmlformats.org/officeDocument/2006/relationships/hyperlink" Target="https://fbref.com/en/country/FRA/France-Football" TargetMode="External"/><Relationship Id="rId365" Type="http://schemas.openxmlformats.org/officeDocument/2006/relationships/hyperlink" Target="https://fbref.com/en/players/b34c63a5/Rayan-Cherki" TargetMode="External"/><Relationship Id="rId364" Type="http://schemas.openxmlformats.org/officeDocument/2006/relationships/hyperlink" Target="https://fbref.com/en/players/5515376c/matchlogs/2025-2026/summary/Trevoh-Chalobah-Match-Logs" TargetMode="External"/><Relationship Id="rId95" Type="http://schemas.openxmlformats.org/officeDocument/2006/relationships/hyperlink" Target="https://fbref.com/en/squads/e4a775cb/Nottingham-Forest-Stats" TargetMode="External"/><Relationship Id="rId94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ec604e2c/Andre" TargetMode="External"/><Relationship Id="rId96" Type="http://schemas.openxmlformats.org/officeDocument/2006/relationships/hyperlink" Target="https://fbref.com/en/players/de31038e/matchlogs/2025-2026/summary/Elliot-Anderson-Match-Logs" TargetMode="External"/><Relationship Id="rId99" Type="http://schemas.openxmlformats.org/officeDocument/2006/relationships/hyperlink" Target="https://fbref.com/en/squads/8cec06e1/Wolverhampton-Wanderers-Stats" TargetMode="External"/><Relationship Id="rId98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fd962109/Fulham-Stats" TargetMode="External"/><Relationship Id="rId90" Type="http://schemas.openxmlformats.org/officeDocument/2006/relationships/hyperlink" Target="https://fbref.com/en/country/DEN/Denmark-Football" TargetMode="External"/><Relationship Id="rId93" Type="http://schemas.openxmlformats.org/officeDocument/2006/relationships/hyperlink" Target="https://fbref.com/en/players/de31038e/Elliot-Anderson" TargetMode="External"/><Relationship Id="rId92" Type="http://schemas.openxmlformats.org/officeDocument/2006/relationships/hyperlink" Target="https://fbref.com/en/players/e34fc66d/matchlogs/2025-2026/summary/Joachim-Andersen-Match-Logs" TargetMode="External"/><Relationship Id="rId359" Type="http://schemas.openxmlformats.org/officeDocument/2006/relationships/hyperlink" Target="https://fbref.com/en/squads/7c21e445/West-Ham-United-Stats" TargetMode="External"/><Relationship Id="rId358" Type="http://schemas.openxmlformats.org/officeDocument/2006/relationships/hyperlink" Target="https://fbref.com/en/country/ARG/Argentina-Football" TargetMode="External"/><Relationship Id="rId357" Type="http://schemas.openxmlformats.org/officeDocument/2006/relationships/hyperlink" Target="https://fbref.com/en/players/da76bab4/Valentin-Castellanos" TargetMode="External"/><Relationship Id="rId352" Type="http://schemas.openxmlformats.org/officeDocument/2006/relationships/hyperlink" Target="https://fbref.com/en/players/2389cdc2/matchlogs/2025-2026/summary/Matty-Cash-Match-Logs" TargetMode="External"/><Relationship Id="rId351" Type="http://schemas.openxmlformats.org/officeDocument/2006/relationships/hyperlink" Target="https://fbref.com/en/squads/8602292d/Aston-Villa-Stats" TargetMode="External"/><Relationship Id="rId350" Type="http://schemas.openxmlformats.org/officeDocument/2006/relationships/hyperlink" Target="https://fbref.com/en/country/POL/Poland-Football" TargetMode="External"/><Relationship Id="rId356" Type="http://schemas.openxmlformats.org/officeDocument/2006/relationships/hyperlink" Target="https://fbref.com/en/players/197640fd/matchlogs/2025-2026/summary/Timothy-Castagne-Match-Logs" TargetMode="External"/><Relationship Id="rId355" Type="http://schemas.openxmlformats.org/officeDocument/2006/relationships/hyperlink" Target="https://fbref.com/en/squads/fd962109/Fulham-Stats" TargetMode="External"/><Relationship Id="rId354" Type="http://schemas.openxmlformats.org/officeDocument/2006/relationships/hyperlink" Target="https://fbref.com/en/country/BEL/Belgium-Football" TargetMode="External"/><Relationship Id="rId353" Type="http://schemas.openxmlformats.org/officeDocument/2006/relationships/hyperlink" Target="https://fbref.com/en/players/197640fd/Timothy-Castagne" TargetMode="External"/><Relationship Id="rId1378" Type="http://schemas.openxmlformats.org/officeDocument/2006/relationships/hyperlink" Target="https://fbref.com/en/country/ESP/Spain-Football" TargetMode="External"/><Relationship Id="rId1379" Type="http://schemas.openxmlformats.org/officeDocument/2006/relationships/hyperlink" Target="https://fbref.com/en/squads/18bb7c10/Arsenal-Stats" TargetMode="External"/><Relationship Id="rId305" Type="http://schemas.openxmlformats.org/officeDocument/2006/relationships/hyperlink" Target="https://fbref.com/en/players/802ee5ca/Bradley-Burrowes" TargetMode="External"/><Relationship Id="rId789" Type="http://schemas.openxmlformats.org/officeDocument/2006/relationships/hyperlink" Target="https://fbref.com/en/players/1fc4f3d1/Ilia-Gruev" TargetMode="External"/><Relationship Id="rId304" Type="http://schemas.openxmlformats.org/officeDocument/2006/relationships/hyperlink" Target="https://fbref.com/en/players/b2d31e83/matchlogs/2025-2026/summary/Dan-Burn-Match-Logs" TargetMode="External"/><Relationship Id="rId788" Type="http://schemas.openxmlformats.org/officeDocument/2006/relationships/hyperlink" Target="https://fbref.com/en/players/ae9b998d/matchlogs/2025-2026/summary/Brajan-Gruda-Match-Logs" TargetMode="External"/><Relationship Id="rId303" Type="http://schemas.openxmlformats.org/officeDocument/2006/relationships/hyperlink" Target="https://fbref.com/en/squads/b2b47a98/Newcastle-United-Stats" TargetMode="External"/><Relationship Id="rId787" Type="http://schemas.openxmlformats.org/officeDocument/2006/relationships/hyperlink" Target="https://fbref.com/en/squads/d07537b9/Brighton-and-Hove-Albion-Stats" TargetMode="External"/><Relationship Id="rId302" Type="http://schemas.openxmlformats.org/officeDocument/2006/relationships/hyperlink" Target="https://fbref.com/en/country/ENG/England-Football" TargetMode="External"/><Relationship Id="rId786" Type="http://schemas.openxmlformats.org/officeDocument/2006/relationships/hyperlink" Target="https://fbref.com/en/country/GER/Germany-Football" TargetMode="External"/><Relationship Id="rId309" Type="http://schemas.openxmlformats.org/officeDocument/2006/relationships/hyperlink" Target="https://fbref.com/en/players/0312881b/Junai-Byfield" TargetMode="External"/><Relationship Id="rId308" Type="http://schemas.openxmlformats.org/officeDocument/2006/relationships/hyperlink" Target="https://fbref.com/en/players/802ee5ca/matchlogs/2025-2026/summary/Bradley-Burrowes-Match-Logs" TargetMode="External"/><Relationship Id="rId307" Type="http://schemas.openxmlformats.org/officeDocument/2006/relationships/hyperlink" Target="https://fbref.com/en/squads/8602292d/Aston-Villa-Stats" TargetMode="External"/><Relationship Id="rId306" Type="http://schemas.openxmlformats.org/officeDocument/2006/relationships/hyperlink" Target="https://fbref.com/en/country/ENG/England-Football" TargetMode="External"/><Relationship Id="rId781" Type="http://schemas.openxmlformats.org/officeDocument/2006/relationships/hyperlink" Target="https://fbref.com/en/players/8aec0537/Pascal-Gross" TargetMode="External"/><Relationship Id="rId1370" Type="http://schemas.openxmlformats.org/officeDocument/2006/relationships/hyperlink" Target="https://fbref.com/en/country/ENG/England-Football" TargetMode="External"/><Relationship Id="rId780" Type="http://schemas.openxmlformats.org/officeDocument/2006/relationships/hyperlink" Target="https://fbref.com/en/players/b0b4fd3e/matchlogs/2025-2026/summary/Jack-Grealish-Match-Logs" TargetMode="External"/><Relationship Id="rId1371" Type="http://schemas.openxmlformats.org/officeDocument/2006/relationships/hyperlink" Target="https://fbref.com/en/squads/d3fd31cc/Everton-Stats" TargetMode="External"/><Relationship Id="rId1372" Type="http://schemas.openxmlformats.org/officeDocument/2006/relationships/hyperlink" Target="https://fbref.com/en/players/fc15fb84/matchlogs/2025-2026/summary/Dwight-McNeil-Match-Logs" TargetMode="External"/><Relationship Id="rId1373" Type="http://schemas.openxmlformats.org/officeDocument/2006/relationships/hyperlink" Target="https://fbref.com/en/players/ca22ccb0/Hannibal-Mejbri" TargetMode="External"/><Relationship Id="rId301" Type="http://schemas.openxmlformats.org/officeDocument/2006/relationships/hyperlink" Target="https://fbref.com/en/players/b2d31e83/Dan-Burn" TargetMode="External"/><Relationship Id="rId785" Type="http://schemas.openxmlformats.org/officeDocument/2006/relationships/hyperlink" Target="https://fbref.com/en/players/ae9b998d/Brajan-Gruda" TargetMode="External"/><Relationship Id="rId1374" Type="http://schemas.openxmlformats.org/officeDocument/2006/relationships/hyperlink" Target="https://fbref.com/en/country/TUN/Tunisia-Football" TargetMode="External"/><Relationship Id="rId300" Type="http://schemas.openxmlformats.org/officeDocument/2006/relationships/hyperlink" Target="https://fbref.com/en/players/468a7a91/matchlogs/2025-2026/summary/Facundo-Buonanotte-Match-Logs" TargetMode="External"/><Relationship Id="rId784" Type="http://schemas.openxmlformats.org/officeDocument/2006/relationships/hyperlink" Target="https://fbref.com/en/players/8aec0537/matchlogs/2025-2026/summary/Pascal-Gross-Match-Logs" TargetMode="External"/><Relationship Id="rId1375" Type="http://schemas.openxmlformats.org/officeDocument/2006/relationships/hyperlink" Target="https://fbref.com/en/squads/943e8050/Burnley-Stats" TargetMode="External"/><Relationship Id="rId783" Type="http://schemas.openxmlformats.org/officeDocument/2006/relationships/hyperlink" Target="https://fbref.com/en/squads/d07537b9/Brighton-and-Hove-Albion-Stats" TargetMode="External"/><Relationship Id="rId1376" Type="http://schemas.openxmlformats.org/officeDocument/2006/relationships/hyperlink" Target="https://fbref.com/en/players/ca22ccb0/matchlogs/2025-2026/summary/Hannibal-Mejbri-Match-Logs" TargetMode="External"/><Relationship Id="rId782" Type="http://schemas.openxmlformats.org/officeDocument/2006/relationships/hyperlink" Target="https://fbref.com/en/country/GER/Germany-Football" TargetMode="External"/><Relationship Id="rId1377" Type="http://schemas.openxmlformats.org/officeDocument/2006/relationships/hyperlink" Target="https://fbref.com/en/players/d080ed5e/Mikel-Merino" TargetMode="External"/><Relationship Id="rId1367" Type="http://schemas.openxmlformats.org/officeDocument/2006/relationships/hyperlink" Target="https://fbref.com/en/squads/8602292d/Aston-Villa-Stats" TargetMode="External"/><Relationship Id="rId1368" Type="http://schemas.openxmlformats.org/officeDocument/2006/relationships/hyperlink" Target="https://fbref.com/en/players/90f91999/matchlogs/2025-2026/summary/John-McGinn-Match-Logs" TargetMode="External"/><Relationship Id="rId1369" Type="http://schemas.openxmlformats.org/officeDocument/2006/relationships/hyperlink" Target="https://fbref.com/en/players/fc15fb84/Dwight-McNeil" TargetMode="External"/><Relationship Id="rId778" Type="http://schemas.openxmlformats.org/officeDocument/2006/relationships/hyperlink" Target="https://fbref.com/en/country/ENG/England-Football" TargetMode="External"/><Relationship Id="rId777" Type="http://schemas.openxmlformats.org/officeDocument/2006/relationships/hyperlink" Target="https://fbref.com/en/players/b0b4fd3e/Jack-Grealish" TargetMode="External"/><Relationship Id="rId776" Type="http://schemas.openxmlformats.org/officeDocument/2006/relationships/hyperlink" Target="https://fbref.com/en/players/f58515f5/matchlogs/2025-2026/summary/Archie-Gray-Match-Logs" TargetMode="External"/><Relationship Id="rId775" Type="http://schemas.openxmlformats.org/officeDocument/2006/relationships/hyperlink" Target="https://fbref.com/en/squads/361ca564/Tottenham-Hotspur-Stats" TargetMode="External"/><Relationship Id="rId779" Type="http://schemas.openxmlformats.org/officeDocument/2006/relationships/hyperlink" Target="https://fbref.com/en/squads/d3fd31cc/Everton-Stats" TargetMode="External"/><Relationship Id="rId770" Type="http://schemas.openxmlformats.org/officeDocument/2006/relationships/hyperlink" Target="https://fbref.com/en/country/NED/Netherlands-Football" TargetMode="External"/><Relationship Id="rId1360" Type="http://schemas.openxmlformats.org/officeDocument/2006/relationships/hyperlink" Target="https://fbref.com/en/players/6afaebf2/matchlogs/2025-2026/summary/Bryan-Mbeumo-Match-Logs" TargetMode="External"/><Relationship Id="rId1361" Type="http://schemas.openxmlformats.org/officeDocument/2006/relationships/hyperlink" Target="https://fbref.com/en/players/96593e89/James-Mcatee" TargetMode="External"/><Relationship Id="rId1362" Type="http://schemas.openxmlformats.org/officeDocument/2006/relationships/hyperlink" Target="https://fbref.com/en/country/ENG/England-Football" TargetMode="External"/><Relationship Id="rId774" Type="http://schemas.openxmlformats.org/officeDocument/2006/relationships/hyperlink" Target="https://fbref.com/en/country/ENG/England-Football" TargetMode="External"/><Relationship Id="rId1363" Type="http://schemas.openxmlformats.org/officeDocument/2006/relationships/hyperlink" Target="https://fbref.com/en/squads/e4a775cb/Nottingham-Forest-Stats" TargetMode="External"/><Relationship Id="rId773" Type="http://schemas.openxmlformats.org/officeDocument/2006/relationships/hyperlink" Target="https://fbref.com/en/players/f58515f5/Archie-Gray" TargetMode="External"/><Relationship Id="rId1364" Type="http://schemas.openxmlformats.org/officeDocument/2006/relationships/hyperlink" Target="https://fbref.com/en/players/96593e89/matchlogs/2025-2026/summary/James-Mcatee-Match-Logs" TargetMode="External"/><Relationship Id="rId772" Type="http://schemas.openxmlformats.org/officeDocument/2006/relationships/hyperlink" Target="https://fbref.com/en/players/b8e740fb/matchlogs/2025-2026/summary/Ryan-Gravenberch-Match-Logs" TargetMode="External"/><Relationship Id="rId1365" Type="http://schemas.openxmlformats.org/officeDocument/2006/relationships/hyperlink" Target="https://fbref.com/en/players/90f91999/John-McGinn" TargetMode="External"/><Relationship Id="rId771" Type="http://schemas.openxmlformats.org/officeDocument/2006/relationships/hyperlink" Target="https://fbref.com/en/squads/822bd0ba/Liverpool-Stats" TargetMode="External"/><Relationship Id="rId1366" Type="http://schemas.openxmlformats.org/officeDocument/2006/relationships/hyperlink" Target="https://fbref.com/en/country/SCO/Scotland-Football" TargetMode="External"/><Relationship Id="rId327" Type="http://schemas.openxmlformats.org/officeDocument/2006/relationships/hyperlink" Target="https://fbref.com/en/squads/18bb7c10/Arsenal-Stats" TargetMode="External"/><Relationship Id="rId326" Type="http://schemas.openxmlformats.org/officeDocument/2006/relationships/hyperlink" Target="https://fbref.com/en/country/ITA/Italy-Football" TargetMode="External"/><Relationship Id="rId325" Type="http://schemas.openxmlformats.org/officeDocument/2006/relationships/hyperlink" Target="https://fbref.com/en/players/aded8e6f/Riccardo-Calafiori" TargetMode="External"/><Relationship Id="rId324" Type="http://schemas.openxmlformats.org/officeDocument/2006/relationships/hyperlink" Target="https://fbref.com/en/players/a8748947/matchlogs/2025-2026/summary/Tom-Cairney-Match-Logs" TargetMode="External"/><Relationship Id="rId329" Type="http://schemas.openxmlformats.org/officeDocument/2006/relationships/hyperlink" Target="https://fbref.com/en/players/59e6e5bf/Dominic-Calvert-Lewin" TargetMode="External"/><Relationship Id="rId1390" Type="http://schemas.openxmlformats.org/officeDocument/2006/relationships/hyperlink" Target="https://fbref.com/en/country/SRB/Serbia-Football" TargetMode="External"/><Relationship Id="rId328" Type="http://schemas.openxmlformats.org/officeDocument/2006/relationships/hyperlink" Target="https://fbref.com/en/players/aded8e6f/matchlogs/2025-2026/summary/Riccardo-Calafiori-Match-Logs" TargetMode="External"/><Relationship Id="rId1391" Type="http://schemas.openxmlformats.org/officeDocument/2006/relationships/hyperlink" Target="https://fbref.com/en/squads/e4a775cb/Nottingham-Forest-Stats" TargetMode="External"/><Relationship Id="rId1392" Type="http://schemas.openxmlformats.org/officeDocument/2006/relationships/hyperlink" Target="https://fbref.com/en/players/bee704fc/matchlogs/2025-2026/summary/Nikola-Milenkovic-Match-Logs" TargetMode="External"/><Relationship Id="rId1393" Type="http://schemas.openxmlformats.org/officeDocument/2006/relationships/hyperlink" Target="https://fbref.com/en/players/2c6835e5/Lewis-Miley" TargetMode="External"/><Relationship Id="rId1394" Type="http://schemas.openxmlformats.org/officeDocument/2006/relationships/hyperlink" Target="https://fbref.com/en/country/ENG/England-Football" TargetMode="External"/><Relationship Id="rId1395" Type="http://schemas.openxmlformats.org/officeDocument/2006/relationships/hyperlink" Target="https://fbref.com/en/squads/b2b47a98/Newcastle-United-Stats" TargetMode="External"/><Relationship Id="rId323" Type="http://schemas.openxmlformats.org/officeDocument/2006/relationships/hyperlink" Target="https://fbref.com/en/squads/fd962109/Fulham-Stats" TargetMode="External"/><Relationship Id="rId1396" Type="http://schemas.openxmlformats.org/officeDocument/2006/relationships/hyperlink" Target="https://fbref.com/en/players/2c6835e5/matchlogs/2025-2026/summary/Lewis-Miley-Match-Logs" TargetMode="External"/><Relationship Id="rId322" Type="http://schemas.openxmlformats.org/officeDocument/2006/relationships/hyperlink" Target="https://fbref.com/en/country/SCO/Scotland-Football" TargetMode="External"/><Relationship Id="rId1397" Type="http://schemas.openxmlformats.org/officeDocument/2006/relationships/hyperlink" Target="https://fbref.com/en/players/2f90f6b8/James-Milner" TargetMode="External"/><Relationship Id="rId321" Type="http://schemas.openxmlformats.org/officeDocument/2006/relationships/hyperlink" Target="https://fbref.com/en/players/a8748947/Tom-Cairney" TargetMode="External"/><Relationship Id="rId1398" Type="http://schemas.openxmlformats.org/officeDocument/2006/relationships/hyperlink" Target="https://fbref.com/en/country/ENG/England-Football" TargetMode="External"/><Relationship Id="rId320" Type="http://schemas.openxmlformats.org/officeDocument/2006/relationships/hyperlink" Target="https://fbref.com/en/players/16264a81/matchlogs/2025-2026/summary/Moises-Caicedo-Match-Logs" TargetMode="External"/><Relationship Id="rId1399" Type="http://schemas.openxmlformats.org/officeDocument/2006/relationships/hyperlink" Target="https://fbref.com/en/squads/d07537b9/Brighton-and-Hove-Albion-Stats" TargetMode="External"/><Relationship Id="rId1389" Type="http://schemas.openxmlformats.org/officeDocument/2006/relationships/hyperlink" Target="https://fbref.com/en/players/bee704fc/Nikola-Milenkovic" TargetMode="External"/><Relationship Id="rId316" Type="http://schemas.openxmlformats.org/officeDocument/2006/relationships/hyperlink" Target="https://fbref.com/en/players/1bf811d4/matchlogs/2025-2026/summary/Sam-Byram-Match-Logs" TargetMode="External"/><Relationship Id="rId315" Type="http://schemas.openxmlformats.org/officeDocument/2006/relationships/hyperlink" Target="https://fbref.com/en/squads/5bfb9659/Leeds-United-Stats" TargetMode="External"/><Relationship Id="rId799" Type="http://schemas.openxmlformats.org/officeDocument/2006/relationships/hyperlink" Target="https://fbref.com/en/squads/47c64c55/Crystal-Palace-Stats" TargetMode="External"/><Relationship Id="rId314" Type="http://schemas.openxmlformats.org/officeDocument/2006/relationships/hyperlink" Target="https://fbref.com/en/country/ENG/England-Football" TargetMode="External"/><Relationship Id="rId798" Type="http://schemas.openxmlformats.org/officeDocument/2006/relationships/hyperlink" Target="https://fbref.com/en/country/ENG/England-Football" TargetMode="External"/><Relationship Id="rId313" Type="http://schemas.openxmlformats.org/officeDocument/2006/relationships/hyperlink" Target="https://fbref.com/en/players/1bf811d4/Sam-Byram" TargetMode="External"/><Relationship Id="rId797" Type="http://schemas.openxmlformats.org/officeDocument/2006/relationships/hyperlink" Target="https://fbref.com/en/players/d0706b27/Marc-Guehi" TargetMode="External"/><Relationship Id="rId319" Type="http://schemas.openxmlformats.org/officeDocument/2006/relationships/hyperlink" Target="https://fbref.com/en/squads/cff3d9bb/Chelsea-Stats" TargetMode="External"/><Relationship Id="rId318" Type="http://schemas.openxmlformats.org/officeDocument/2006/relationships/hyperlink" Target="https://fbref.com/en/country/ECU/Ecuador-Football" TargetMode="External"/><Relationship Id="rId317" Type="http://schemas.openxmlformats.org/officeDocument/2006/relationships/hyperlink" Target="https://fbref.com/en/players/16264a81/Moises-Caicedo" TargetMode="External"/><Relationship Id="rId1380" Type="http://schemas.openxmlformats.org/officeDocument/2006/relationships/hyperlink" Target="https://fbref.com/en/players/d080ed5e/matchlogs/2025-2026/summary/Mikel-Merino-Match-Logs" TargetMode="External"/><Relationship Id="rId792" Type="http://schemas.openxmlformats.org/officeDocument/2006/relationships/hyperlink" Target="https://fbref.com/en/players/1fc4f3d1/matchlogs/2025-2026/summary/Ilia-Gruev-Match-Logs" TargetMode="External"/><Relationship Id="rId1381" Type="http://schemas.openxmlformats.org/officeDocument/2006/relationships/hyperlink" Target="https://fbref.com/en/players/43d0b694/Shumaira-Mheuka" TargetMode="External"/><Relationship Id="rId791" Type="http://schemas.openxmlformats.org/officeDocument/2006/relationships/hyperlink" Target="https://fbref.com/en/squads/5bfb9659/Leeds-United-Stats" TargetMode="External"/><Relationship Id="rId1382" Type="http://schemas.openxmlformats.org/officeDocument/2006/relationships/hyperlink" Target="https://fbref.com/en/country/ENG/England-Football" TargetMode="External"/><Relationship Id="rId790" Type="http://schemas.openxmlformats.org/officeDocument/2006/relationships/hyperlink" Target="https://fbref.com/en/country/BUL/Bulgaria-Football" TargetMode="External"/><Relationship Id="rId1383" Type="http://schemas.openxmlformats.org/officeDocument/2006/relationships/hyperlink" Target="https://fbref.com/en/squads/cff3d9bb/Chelsea-Stats" TargetMode="External"/><Relationship Id="rId1384" Type="http://schemas.openxmlformats.org/officeDocument/2006/relationships/hyperlink" Target="https://fbref.com/en/players/43d0b694/matchlogs/2025-2026/summary/Shumaira-Mheuka-Match-Logs" TargetMode="External"/><Relationship Id="rId312" Type="http://schemas.openxmlformats.org/officeDocument/2006/relationships/hyperlink" Target="https://fbref.com/en/players/0312881b/matchlogs/2025-2026/summary/Junai-Byfield-Match-Logs" TargetMode="External"/><Relationship Id="rId796" Type="http://schemas.openxmlformats.org/officeDocument/2006/relationships/hyperlink" Target="https://fbref.com/en/players/d5d22a58/matchlogs/2025-2026/summary/Gabriel-Gudmundsson-Match-Logs" TargetMode="External"/><Relationship Id="rId1385" Type="http://schemas.openxmlformats.org/officeDocument/2006/relationships/hyperlink" Target="https://fbref.com/en/players/b05f4787/Antoni-Milambo" TargetMode="External"/><Relationship Id="rId311" Type="http://schemas.openxmlformats.org/officeDocument/2006/relationships/hyperlink" Target="https://fbref.com/en/squads/361ca564/Tottenham-Hotspur-Stats" TargetMode="External"/><Relationship Id="rId795" Type="http://schemas.openxmlformats.org/officeDocument/2006/relationships/hyperlink" Target="https://fbref.com/en/squads/5bfb9659/Leeds-United-Stats" TargetMode="External"/><Relationship Id="rId1386" Type="http://schemas.openxmlformats.org/officeDocument/2006/relationships/hyperlink" Target="https://fbref.com/en/country/NED/Netherlands-Football" TargetMode="External"/><Relationship Id="rId310" Type="http://schemas.openxmlformats.org/officeDocument/2006/relationships/hyperlink" Target="https://fbref.com/en/country/ENG/England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squads/cd051869/Brentford-Stats" TargetMode="External"/><Relationship Id="rId793" Type="http://schemas.openxmlformats.org/officeDocument/2006/relationships/hyperlink" Target="https://fbref.com/en/players/d5d22a58/Gabriel-Gudmundsson" TargetMode="External"/><Relationship Id="rId1388" Type="http://schemas.openxmlformats.org/officeDocument/2006/relationships/hyperlink" Target="https://fbref.com/en/players/b05f4787/matchlogs/2025-2026/summary/Antoni-Milambo-Match-Logs" TargetMode="External"/><Relationship Id="rId297" Type="http://schemas.openxmlformats.org/officeDocument/2006/relationships/hyperlink" Target="https://fbref.com/en/players/468a7a91/Facundo-Buonanotte" TargetMode="External"/><Relationship Id="rId296" Type="http://schemas.openxmlformats.org/officeDocument/2006/relationships/hyperlink" Target="https://fbref.com/en/players/468a7a91/matchlogs/2025-2026/summary/Facundo-Buonanotte-Match-Logs" TargetMode="External"/><Relationship Id="rId295" Type="http://schemas.openxmlformats.org/officeDocument/2006/relationships/hyperlink" Target="https://fbref.com/en/squads/cff3d9bb/Chelsea-Stats" TargetMode="External"/><Relationship Id="rId294" Type="http://schemas.openxmlformats.org/officeDocument/2006/relationships/hyperlink" Target="https://fbref.com/en/country/ARG/Argentina-Football" TargetMode="External"/><Relationship Id="rId299" Type="http://schemas.openxmlformats.org/officeDocument/2006/relationships/hyperlink" Target="https://fbref.com/en/squads/5bfb9659/Leeds-United-Stats" TargetMode="External"/><Relationship Id="rId298" Type="http://schemas.openxmlformats.org/officeDocument/2006/relationships/hyperlink" Target="https://fbref.com/en/country/ARG/Argentina-Football" TargetMode="External"/><Relationship Id="rId271" Type="http://schemas.openxmlformats.org/officeDocument/2006/relationships/hyperlink" Target="https://fbref.com/en/squads/943e8050/Burnley-Stats" TargetMode="External"/><Relationship Id="rId270" Type="http://schemas.openxmlformats.org/officeDocument/2006/relationships/hyperlink" Target="https://fbref.com/en/country/ALB/Albania-Football" TargetMode="External"/><Relationship Id="rId269" Type="http://schemas.openxmlformats.org/officeDocument/2006/relationships/hyperlink" Target="https://fbref.com/en/players/97220da2/Armando-Broja" TargetMode="External"/><Relationship Id="rId264" Type="http://schemas.openxmlformats.org/officeDocument/2006/relationships/hyperlink" Target="https://fbref.com/en/players/c1949191/matchlogs/2025-2026/summary/Jarrad-Branthwaite-Match-Logs" TargetMode="External"/><Relationship Id="rId263" Type="http://schemas.openxmlformats.org/officeDocument/2006/relationships/hyperlink" Target="https://fbref.com/en/squads/d3fd31cc/Everton-Stats" TargetMode="External"/><Relationship Id="rId262" Type="http://schemas.openxmlformats.org/officeDocument/2006/relationships/hyperlink" Target="https://fbref.com/en/country/ENG/England-Football" TargetMode="External"/><Relationship Id="rId261" Type="http://schemas.openxmlformats.org/officeDocument/2006/relationships/hyperlink" Target="https://fbref.com/en/players/c1949191/Jarrad-Branthwaite" TargetMode="External"/><Relationship Id="rId268" Type="http://schemas.openxmlformats.org/officeDocument/2006/relationships/hyperlink" Target="https://fbref.com/en/players/4c184730/matchlogs/2025-2026/summary/Brian-Brobbey-Match-Logs" TargetMode="External"/><Relationship Id="rId267" Type="http://schemas.openxmlformats.org/officeDocument/2006/relationships/hyperlink" Target="https://fbref.com/en/squads/8ef52968/Sunderland-Stats" TargetMode="External"/><Relationship Id="rId266" Type="http://schemas.openxmlformats.org/officeDocument/2006/relationships/hyperlink" Target="https://fbref.com/en/country/NED/Netherlands-Football" TargetMode="External"/><Relationship Id="rId265" Type="http://schemas.openxmlformats.org/officeDocument/2006/relationships/hyperlink" Target="https://fbref.com/en/players/4c184730/Brian-Brobbey" TargetMode="External"/><Relationship Id="rId260" Type="http://schemas.openxmlformats.org/officeDocument/2006/relationships/hyperlink" Target="https://fbref.com/en/players/bbd67769/matchlogs/2025-2026/summary/Conor-Bradley-Match-Logs" TargetMode="External"/><Relationship Id="rId259" Type="http://schemas.openxmlformats.org/officeDocument/2006/relationships/hyperlink" Target="https://fbref.com/en/squads/822bd0ba/Liverpool-Stats" TargetMode="External"/><Relationship Id="rId258" Type="http://schemas.openxmlformats.org/officeDocument/2006/relationships/hyperlink" Target="https://fbref.com/en/country/NIR/Northern-Ireland-Football" TargetMode="External"/><Relationship Id="rId253" Type="http://schemas.openxmlformats.org/officeDocument/2006/relationships/hyperlink" Target="https://fbref.com/en/players/79c84d1c/Jarrod-Bowen" TargetMode="External"/><Relationship Id="rId252" Type="http://schemas.openxmlformats.org/officeDocument/2006/relationships/hyperlink" Target="https://fbref.com/en/players/ccce7025/matchlogs/2025-2026/summary/Sven-Botman-Match-Logs" TargetMode="External"/><Relationship Id="rId251" Type="http://schemas.openxmlformats.org/officeDocument/2006/relationships/hyperlink" Target="https://fbref.com/en/squads/b2b47a98/Newcastle-United-Stats" TargetMode="External"/><Relationship Id="rId250" Type="http://schemas.openxmlformats.org/officeDocument/2006/relationships/hyperlink" Target="https://fbref.com/en/country/NED/Netherlands-Football" TargetMode="External"/><Relationship Id="rId257" Type="http://schemas.openxmlformats.org/officeDocument/2006/relationships/hyperlink" Target="https://fbref.com/en/players/bbd67769/Conor-Bradley" TargetMode="External"/><Relationship Id="rId256" Type="http://schemas.openxmlformats.org/officeDocument/2006/relationships/hyperlink" Target="https://fbref.com/en/players/79c84d1c/matchlogs/2025-2026/summary/Jarrod-Bowen-Match-Logs" TargetMode="External"/><Relationship Id="rId255" Type="http://schemas.openxmlformats.org/officeDocument/2006/relationships/hyperlink" Target="https://fbref.com/en/squads/7c21e445/West-Ham-United-Stats" TargetMode="External"/><Relationship Id="rId254" Type="http://schemas.openxmlformats.org/officeDocument/2006/relationships/hyperlink" Target="https://fbref.com/en/country/ENG/England-Football" TargetMode="External"/><Relationship Id="rId293" Type="http://schemas.openxmlformats.org/officeDocument/2006/relationships/hyperlink" Target="https://fbref.com/en/players/468a7a91/Facundo-Buonanotte" TargetMode="External"/><Relationship Id="rId292" Type="http://schemas.openxmlformats.org/officeDocument/2006/relationships/hyperlink" Target="https://fbref.com/en/players/edc98fac/matchlogs/2025-2026/summary/Santiago-Bueno-Match-Logs" TargetMode="External"/><Relationship Id="rId291" Type="http://schemas.openxmlformats.org/officeDocument/2006/relationships/hyperlink" Target="https://fbref.com/en/squads/8cec06e1/Wolverhampton-Wanderers-Stats" TargetMode="External"/><Relationship Id="rId290" Type="http://schemas.openxmlformats.org/officeDocument/2006/relationships/hyperlink" Target="https://fbref.com/en/country/URU/Uruguay-Football" TargetMode="External"/><Relationship Id="rId286" Type="http://schemas.openxmlformats.org/officeDocument/2006/relationships/hyperlink" Target="https://fbref.com/en/country/ESP/Spain-Football" TargetMode="External"/><Relationship Id="rId285" Type="http://schemas.openxmlformats.org/officeDocument/2006/relationships/hyperlink" Target="https://fbref.com/en/players/bfc3b3a0/Hugo-Bueno" TargetMode="External"/><Relationship Id="rId284" Type="http://schemas.openxmlformats.org/officeDocument/2006/relationships/hyperlink" Target="https://fbref.com/en/players/66b76d44/matchlogs/2025-2026/summary/Emi-Buendia-Match-Logs" TargetMode="External"/><Relationship Id="rId283" Type="http://schemas.openxmlformats.org/officeDocument/2006/relationships/hyperlink" Target="https://fbref.com/en/squads/8602292d/Aston-Villa-Stats" TargetMode="External"/><Relationship Id="rId289" Type="http://schemas.openxmlformats.org/officeDocument/2006/relationships/hyperlink" Target="https://fbref.com/en/players/edc98fac/Santiago-Bueno" TargetMode="External"/><Relationship Id="rId288" Type="http://schemas.openxmlformats.org/officeDocument/2006/relationships/hyperlink" Target="https://fbref.com/en/players/bfc3b3a0/matchlogs/2025-2026/summary/Hugo-Bueno-Match-Logs" TargetMode="External"/><Relationship Id="rId287" Type="http://schemas.openxmlformats.org/officeDocument/2006/relationships/hyperlink" Target="https://fbref.com/en/squads/8cec06e1/Wolverhampton-Wanderers-Stats" TargetMode="External"/><Relationship Id="rId282" Type="http://schemas.openxmlformats.org/officeDocument/2006/relationships/hyperlink" Target="https://fbref.com/en/country/ARG/Argentina-Football" TargetMode="External"/><Relationship Id="rId281" Type="http://schemas.openxmlformats.org/officeDocument/2006/relationships/hyperlink" Target="https://fbref.com/en/players/66b76d44/Emi-Buendia" TargetMode="External"/><Relationship Id="rId280" Type="http://schemas.openxmlformats.org/officeDocument/2006/relationships/hyperlink" Target="https://fbref.com/en/players/4e204552/matchlogs/2025-2026/summary/Jacob-Bruun-Larsen-Match-Logs" TargetMode="External"/><Relationship Id="rId275" Type="http://schemas.openxmlformats.org/officeDocument/2006/relationships/hyperlink" Target="https://fbref.com/en/squads/4ba7cbea/Bournemouth-Stats" TargetMode="External"/><Relationship Id="rId274" Type="http://schemas.openxmlformats.org/officeDocument/2006/relationships/hyperlink" Target="https://fbref.com/en/country/WAL/Wales-Football" TargetMode="External"/><Relationship Id="rId273" Type="http://schemas.openxmlformats.org/officeDocument/2006/relationships/hyperlink" Target="https://fbref.com/en/players/dc4cae05/David-Brooks" TargetMode="External"/><Relationship Id="rId272" Type="http://schemas.openxmlformats.org/officeDocument/2006/relationships/hyperlink" Target="https://fbref.com/en/players/97220da2/matchlogs/2025-2026/summary/Armando-Broja-Match-Logs" TargetMode="External"/><Relationship Id="rId279" Type="http://schemas.openxmlformats.org/officeDocument/2006/relationships/hyperlink" Target="https://fbref.com/en/squads/943e8050/Burnley-Stats" TargetMode="External"/><Relationship Id="rId278" Type="http://schemas.openxmlformats.org/officeDocument/2006/relationships/hyperlink" Target="https://fbref.com/en/country/DEN/Denmark-Football" TargetMode="External"/><Relationship Id="rId277" Type="http://schemas.openxmlformats.org/officeDocument/2006/relationships/hyperlink" Target="https://fbref.com/en/players/4e204552/Jacob-Bruun-Larsen" TargetMode="External"/><Relationship Id="rId276" Type="http://schemas.openxmlformats.org/officeDocument/2006/relationships/hyperlink" Target="https://fbref.com/en/players/dc4cae05/matchlogs/2025-2026/summary/David-Brooks-Match-Logs" TargetMode="External"/><Relationship Id="rId1851" Type="http://schemas.openxmlformats.org/officeDocument/2006/relationships/hyperlink" Target="https://fbref.com/en/squads/b8fd03ef/Manchester-City-Stats" TargetMode="External"/><Relationship Id="rId1852" Type="http://schemas.openxmlformats.org/officeDocument/2006/relationships/hyperlink" Target="https://fbref.com/en/players/3eb22ec9/matchlogs/2025-2026/summary/Bernardo-Silva-Match-Logs" TargetMode="External"/><Relationship Id="rId1853" Type="http://schemas.openxmlformats.org/officeDocument/2006/relationships/hyperlink" Target="https://fbref.com/en/players/4d77e622/Jota-Silva" TargetMode="External"/><Relationship Id="rId1854" Type="http://schemas.openxmlformats.org/officeDocument/2006/relationships/hyperlink" Target="https://fbref.com/en/country/POR/Portugal-Football" TargetMode="External"/><Relationship Id="rId1855" Type="http://schemas.openxmlformats.org/officeDocument/2006/relationships/hyperlink" Target="https://fbref.com/en/squads/e4a775cb/Nottingham-Forest-Stats" TargetMode="External"/><Relationship Id="rId1856" Type="http://schemas.openxmlformats.org/officeDocument/2006/relationships/hyperlink" Target="https://fbref.com/en/players/4d77e622/matchlogs/2025-2026/summary/Jota-Silva-Match-Logs" TargetMode="External"/><Relationship Id="rId1857" Type="http://schemas.openxmlformats.org/officeDocument/2006/relationships/hyperlink" Target="https://fbref.com/en/players/da4d670f/Xavi-Simons" TargetMode="External"/><Relationship Id="rId1858" Type="http://schemas.openxmlformats.org/officeDocument/2006/relationships/hyperlink" Target="https://fbref.com/en/country/NED/Netherlands-Football" TargetMode="External"/><Relationship Id="rId1859" Type="http://schemas.openxmlformats.org/officeDocument/2006/relationships/hyperlink" Target="https://fbref.com/en/squads/361ca564/Tottenham-Hotspur-Stats" TargetMode="External"/><Relationship Id="rId1850" Type="http://schemas.openxmlformats.org/officeDocument/2006/relationships/hyperlink" Target="https://fbref.com/en/country/POR/Portugal-Football" TargetMode="External"/><Relationship Id="rId1840" Type="http://schemas.openxmlformats.org/officeDocument/2006/relationships/hyperlink" Target="https://fbref.com/en/players/3260690c/matchlogs/2025-2026/summary/Benjamin-Sesko-Match-Logs" TargetMode="External"/><Relationship Id="rId1841" Type="http://schemas.openxmlformats.org/officeDocument/2006/relationships/hyperlink" Target="https://fbref.com/en/players/6aa3e78b/Ryan-Sessegnon" TargetMode="External"/><Relationship Id="rId1842" Type="http://schemas.openxmlformats.org/officeDocument/2006/relationships/hyperlink" Target="https://fbref.com/en/country/ENG/England-Football" TargetMode="External"/><Relationship Id="rId1843" Type="http://schemas.openxmlformats.org/officeDocument/2006/relationships/hyperlink" Target="https://fbref.com/en/squads/fd962109/Fulham-Stats" TargetMode="External"/><Relationship Id="rId1844" Type="http://schemas.openxmlformats.org/officeDocument/2006/relationships/hyperlink" Target="https://fbref.com/en/players/6aa3e78b/matchlogs/2025-2026/summary/Ryan-Sessegnon-Match-Logs" TargetMode="External"/><Relationship Id="rId1845" Type="http://schemas.openxmlformats.org/officeDocument/2006/relationships/hyperlink" Target="https://fbref.com/en/players/9c94165b/Luke-Shaw" TargetMode="External"/><Relationship Id="rId1846" Type="http://schemas.openxmlformats.org/officeDocument/2006/relationships/hyperlink" Target="https://fbref.com/en/country/ENG/England-Football" TargetMode="External"/><Relationship Id="rId1847" Type="http://schemas.openxmlformats.org/officeDocument/2006/relationships/hyperlink" Target="https://fbref.com/en/squads/19538871/Manchester-United-Stats" TargetMode="External"/><Relationship Id="rId1848" Type="http://schemas.openxmlformats.org/officeDocument/2006/relationships/hyperlink" Target="https://fbref.com/en/players/9c94165b/matchlogs/2025-2026/summary/Luke-Shaw-Match-Logs" TargetMode="External"/><Relationship Id="rId1849" Type="http://schemas.openxmlformats.org/officeDocument/2006/relationships/hyperlink" Target="https://fbref.com/en/players/3eb22ec9/Bernardo-Silva" TargetMode="External"/><Relationship Id="rId1873" Type="http://schemas.openxmlformats.org/officeDocument/2006/relationships/hyperlink" Target="https://fbref.com/en/players/98c8559a/Julio-Soler" TargetMode="External"/><Relationship Id="rId1874" Type="http://schemas.openxmlformats.org/officeDocument/2006/relationships/hyperlink" Target="https://fbref.com/en/country/ARG/Argentina-Football" TargetMode="External"/><Relationship Id="rId1875" Type="http://schemas.openxmlformats.org/officeDocument/2006/relationships/hyperlink" Target="https://fbref.com/en/squads/4ba7cbea/Bournemouth-Stats" TargetMode="External"/><Relationship Id="rId1876" Type="http://schemas.openxmlformats.org/officeDocument/2006/relationships/hyperlink" Target="https://fbref.com/en/players/98c8559a/matchlogs/2025-2026/summary/Julio-Soler-Match-Logs" TargetMode="External"/><Relationship Id="rId1877" Type="http://schemas.openxmlformats.org/officeDocument/2006/relationships/hyperlink" Target="https://fbref.com/en/players/b66b8d5e/Oliver-Sonne" TargetMode="External"/><Relationship Id="rId1878" Type="http://schemas.openxmlformats.org/officeDocument/2006/relationships/hyperlink" Target="https://fbref.com/en/country/PER/Peru-Football" TargetMode="External"/><Relationship Id="rId1879" Type="http://schemas.openxmlformats.org/officeDocument/2006/relationships/hyperlink" Target="https://fbref.com/en/squads/943e8050/Burnley-Stats" TargetMode="External"/><Relationship Id="rId1870" Type="http://schemas.openxmlformats.org/officeDocument/2006/relationships/hyperlink" Target="https://fbref.com/en/country/ENG/England-Football" TargetMode="External"/><Relationship Id="rId1871" Type="http://schemas.openxmlformats.org/officeDocument/2006/relationships/hyperlink" Target="https://fbref.com/en/squads/361ca564/Tottenham-Hotspur-Stats" TargetMode="External"/><Relationship Id="rId1872" Type="http://schemas.openxmlformats.org/officeDocument/2006/relationships/hyperlink" Target="https://fbref.com/en/players/e77dc3b2/matchlogs/2025-2026/summary/Dominic-Solanke-Match-Logs" TargetMode="External"/><Relationship Id="rId1862" Type="http://schemas.openxmlformats.org/officeDocument/2006/relationships/hyperlink" Target="https://fbref.com/en/country/ENG/England-Football" TargetMode="External"/><Relationship Id="rId1863" Type="http://schemas.openxmlformats.org/officeDocument/2006/relationships/hyperlink" Target="https://fbref.com/en/squads/4ba7cbea/Bournemouth-Stats" TargetMode="External"/><Relationship Id="rId1864" Type="http://schemas.openxmlformats.org/officeDocument/2006/relationships/hyperlink" Target="https://fbref.com/en/players/20b104bc/matchlogs/2025-2026/summary/Adam-Smith-Match-Logs" TargetMode="External"/><Relationship Id="rId1865" Type="http://schemas.openxmlformats.org/officeDocument/2006/relationships/hyperlink" Target="https://fbref.com/en/players/17695062/Emile-Smith-Rowe" TargetMode="External"/><Relationship Id="rId1866" Type="http://schemas.openxmlformats.org/officeDocument/2006/relationships/hyperlink" Target="https://fbref.com/en/country/ENG/England-Football" TargetMode="External"/><Relationship Id="rId1867" Type="http://schemas.openxmlformats.org/officeDocument/2006/relationships/hyperlink" Target="https://fbref.com/en/squads/fd962109/Fulham-Stats" TargetMode="External"/><Relationship Id="rId1868" Type="http://schemas.openxmlformats.org/officeDocument/2006/relationships/hyperlink" Target="https://fbref.com/en/players/17695062/matchlogs/2025-2026/summary/Emile-Smith-Rowe-Match-Logs" TargetMode="External"/><Relationship Id="rId1869" Type="http://schemas.openxmlformats.org/officeDocument/2006/relationships/hyperlink" Target="https://fbref.com/en/players/e77dc3b2/Dominic-Solanke" TargetMode="External"/><Relationship Id="rId1860" Type="http://schemas.openxmlformats.org/officeDocument/2006/relationships/hyperlink" Target="https://fbref.com/en/players/da4d670f/matchlogs/2025-2026/summary/Xavi-Simons-Match-Logs" TargetMode="External"/><Relationship Id="rId1861" Type="http://schemas.openxmlformats.org/officeDocument/2006/relationships/hyperlink" Target="https://fbref.com/en/players/20b104bc/Adam-Smith" TargetMode="External"/><Relationship Id="rId1810" Type="http://schemas.openxmlformats.org/officeDocument/2006/relationships/hyperlink" Target="https://fbref.com/en/country/SUI/Switzerland-Football" TargetMode="External"/><Relationship Id="rId1811" Type="http://schemas.openxmlformats.org/officeDocument/2006/relationships/hyperlink" Target="https://fbref.com/en/squads/b2b47a98/Newcastle-United-Stats" TargetMode="External"/><Relationship Id="rId1812" Type="http://schemas.openxmlformats.org/officeDocument/2006/relationships/hyperlink" Target="https://fbref.com/en/players/c8aa95da/matchlogs/2025-2026/summary/Fabian-Schar-Match-Logs" TargetMode="External"/><Relationship Id="rId1813" Type="http://schemas.openxmlformats.org/officeDocument/2006/relationships/hyperlink" Target="https://fbref.com/en/players/104d0bb8/Alex-Scott" TargetMode="External"/><Relationship Id="rId1814" Type="http://schemas.openxmlformats.org/officeDocument/2006/relationships/hyperlink" Target="https://fbref.com/en/country/ENG/England-Football" TargetMode="External"/><Relationship Id="rId1815" Type="http://schemas.openxmlformats.org/officeDocument/2006/relationships/hyperlink" Target="https://fbref.com/en/squads/4ba7cbea/Bournemouth-Stats" TargetMode="External"/><Relationship Id="rId1816" Type="http://schemas.openxmlformats.org/officeDocument/2006/relationships/hyperlink" Target="https://fbref.com/en/players/104d0bb8/matchlogs/2025-2026/summary/Alex-Scott-Match-Logs" TargetMode="External"/><Relationship Id="rId1817" Type="http://schemas.openxmlformats.org/officeDocument/2006/relationships/hyperlink" Target="https://fbref.com/en/players/ec75ee25/Jenson-Seelt" TargetMode="External"/><Relationship Id="rId1818" Type="http://schemas.openxmlformats.org/officeDocument/2006/relationships/hyperlink" Target="https://fbref.com/en/country/NED/Netherlands-Football" TargetMode="External"/><Relationship Id="rId1819" Type="http://schemas.openxmlformats.org/officeDocument/2006/relationships/hyperlink" Target="https://fbref.com/en/squads/8ef52968/Sunderland-Stats" TargetMode="External"/><Relationship Id="rId1800" Type="http://schemas.openxmlformats.org/officeDocument/2006/relationships/hyperlink" Target="https://fbref.com/en/players/242e5e6d/matchlogs/2025-2026/summary/Oliver-Scarles-Match-Logs" TargetMode="External"/><Relationship Id="rId1801" Type="http://schemas.openxmlformats.org/officeDocument/2006/relationships/hyperlink" Target="https://fbref.com/en/players/21945a9e/Dane-Scarlett" TargetMode="External"/><Relationship Id="rId1802" Type="http://schemas.openxmlformats.org/officeDocument/2006/relationships/hyperlink" Target="https://fbref.com/en/country/ENG/England-Football" TargetMode="External"/><Relationship Id="rId1803" Type="http://schemas.openxmlformats.org/officeDocument/2006/relationships/hyperlink" Target="https://fbref.com/en/squads/361ca564/Tottenham-Hotspur-Stats" TargetMode="External"/><Relationship Id="rId1804" Type="http://schemas.openxmlformats.org/officeDocument/2006/relationships/hyperlink" Target="https://fbref.com/en/players/21945a9e/matchlogs/2025-2026/summary/Dane-Scarlett-Match-Logs" TargetMode="External"/><Relationship Id="rId1805" Type="http://schemas.openxmlformats.org/officeDocument/2006/relationships/hyperlink" Target="https://fbref.com/en/players/52afb588/Kevin-Schade" TargetMode="External"/><Relationship Id="rId1806" Type="http://schemas.openxmlformats.org/officeDocument/2006/relationships/hyperlink" Target="https://fbref.com/en/country/GER/Germany-Football" TargetMode="External"/><Relationship Id="rId1807" Type="http://schemas.openxmlformats.org/officeDocument/2006/relationships/hyperlink" Target="https://fbref.com/en/squads/cd051869/Brentford-Stats" TargetMode="External"/><Relationship Id="rId1808" Type="http://schemas.openxmlformats.org/officeDocument/2006/relationships/hyperlink" Target="https://fbref.com/en/players/52afb588/matchlogs/2025-2026/summary/Kevin-Schade-Match-Logs" TargetMode="External"/><Relationship Id="rId1809" Type="http://schemas.openxmlformats.org/officeDocument/2006/relationships/hyperlink" Target="https://fbref.com/en/players/c8aa95da/Fabian-Schar" TargetMode="External"/><Relationship Id="rId1830" Type="http://schemas.openxmlformats.org/officeDocument/2006/relationships/hyperlink" Target="https://fbref.com/en/country/GHA/Ghana-Football" TargetMode="External"/><Relationship Id="rId1831" Type="http://schemas.openxmlformats.org/officeDocument/2006/relationships/hyperlink" Target="https://fbref.com/en/squads/4ba7cbea/Bournemouth-Stats" TargetMode="External"/><Relationship Id="rId1832" Type="http://schemas.openxmlformats.org/officeDocument/2006/relationships/hyperlink" Target="https://fbref.com/en/players/efd2ec23/matchlogs/2025-2026/summary/Antoine-Semenyo-Match-Logs" TargetMode="External"/><Relationship Id="rId1833" Type="http://schemas.openxmlformats.org/officeDocument/2006/relationships/hyperlink" Target="https://fbref.com/en/players/35141f4c/Marcos-Senesi" TargetMode="External"/><Relationship Id="rId1834" Type="http://schemas.openxmlformats.org/officeDocument/2006/relationships/hyperlink" Target="https://fbref.com/en/country/ARG/Argentina-Football" TargetMode="External"/><Relationship Id="rId1835" Type="http://schemas.openxmlformats.org/officeDocument/2006/relationships/hyperlink" Target="https://fbref.com/en/squads/4ba7cbea/Bournemouth-Stats" TargetMode="External"/><Relationship Id="rId1836" Type="http://schemas.openxmlformats.org/officeDocument/2006/relationships/hyperlink" Target="https://fbref.com/en/players/35141f4c/matchlogs/2025-2026/summary/Marcos-Senesi-Match-Logs" TargetMode="External"/><Relationship Id="rId1837" Type="http://schemas.openxmlformats.org/officeDocument/2006/relationships/hyperlink" Target="https://fbref.com/en/players/3260690c/Benjamin-Sesko" TargetMode="External"/><Relationship Id="rId1838" Type="http://schemas.openxmlformats.org/officeDocument/2006/relationships/hyperlink" Target="https://fbref.com/en/country/SVN/Slovenia-Football" TargetMode="External"/><Relationship Id="rId1839" Type="http://schemas.openxmlformats.org/officeDocument/2006/relationships/hyperlink" Target="https://fbref.com/en/squads/19538871/Manchester-United-Stats" TargetMode="External"/><Relationship Id="rId1820" Type="http://schemas.openxmlformats.org/officeDocument/2006/relationships/hyperlink" Target="https://fbref.com/en/players/ec75ee25/matchlogs/2025-2026/summary/Jenson-Seelt-Match-Logs" TargetMode="External"/><Relationship Id="rId1821" Type="http://schemas.openxmlformats.org/officeDocument/2006/relationships/hyperlink" Target="https://fbref.com/en/players/834b5c4c/Matz-Sels" TargetMode="External"/><Relationship Id="rId1822" Type="http://schemas.openxmlformats.org/officeDocument/2006/relationships/hyperlink" Target="https://fbref.com/en/country/BEL/Belgium-Football" TargetMode="External"/><Relationship Id="rId1823" Type="http://schemas.openxmlformats.org/officeDocument/2006/relationships/hyperlink" Target="https://fbref.com/en/squads/e4a775cb/Nottingham-Forest-Stats" TargetMode="External"/><Relationship Id="rId1824" Type="http://schemas.openxmlformats.org/officeDocument/2006/relationships/hyperlink" Target="https://fbref.com/en/players/834b5c4c/matchlogs/2025-2026/summary/Matz-Sels-Match-Logs" TargetMode="External"/><Relationship Id="rId1825" Type="http://schemas.openxmlformats.org/officeDocument/2006/relationships/hyperlink" Target="https://fbref.com/en/players/efd2ec23/Antoine-Semenyo" TargetMode="External"/><Relationship Id="rId1826" Type="http://schemas.openxmlformats.org/officeDocument/2006/relationships/hyperlink" Target="https://fbref.com/en/country/GHA/Ghana-Football" TargetMode="External"/><Relationship Id="rId1827" Type="http://schemas.openxmlformats.org/officeDocument/2006/relationships/hyperlink" Target="https://fbref.com/en/squads/b8fd03ef/Manchester-City-Stats" TargetMode="External"/><Relationship Id="rId1828" Type="http://schemas.openxmlformats.org/officeDocument/2006/relationships/hyperlink" Target="https://fbref.com/en/players/efd2ec23/matchlogs/2025-2026/summary/Antoine-Semenyo-Match-Logs" TargetMode="External"/><Relationship Id="rId1829" Type="http://schemas.openxmlformats.org/officeDocument/2006/relationships/hyperlink" Target="https://fbref.com/en/players/efd2ec23/Antoine-Semenyo" TargetMode="External"/><Relationship Id="rId1455" Type="http://schemas.openxmlformats.org/officeDocument/2006/relationships/hyperlink" Target="https://fbref.com/en/squads/fd962109/Fulham-Stats" TargetMode="External"/><Relationship Id="rId1456" Type="http://schemas.openxmlformats.org/officeDocument/2006/relationships/hyperlink" Target="https://fbref.com/en/players/a755db8c/matchlogs/2025-2026/summary/Rodrigo-Muniz-Match-Logs" TargetMode="External"/><Relationship Id="rId1457" Type="http://schemas.openxmlformats.org/officeDocument/2006/relationships/hyperlink" Target="https://fbref.com/en/players/778ef829/Daniel-Munoz" TargetMode="External"/><Relationship Id="rId1458" Type="http://schemas.openxmlformats.org/officeDocument/2006/relationships/hyperlink" Target="https://fbref.com/en/country/COL/Colombia-Football" TargetMode="External"/><Relationship Id="rId1459" Type="http://schemas.openxmlformats.org/officeDocument/2006/relationships/hyperlink" Target="https://fbref.com/en/squads/47c64c55/Crystal-Palace-Stats" TargetMode="External"/><Relationship Id="rId629" Type="http://schemas.openxmlformats.org/officeDocument/2006/relationships/hyperlink" Target="https://fbref.com/en/players/ae4fc6a4/Eberechi-Eze" TargetMode="External"/><Relationship Id="rId624" Type="http://schemas.openxmlformats.org/officeDocument/2006/relationships/hyperlink" Target="https://fbref.com/en/players/6f3cc2fe/matchlogs/2025-2026/summary/Evanilson-Match-Logs" TargetMode="External"/><Relationship Id="rId623" Type="http://schemas.openxmlformats.org/officeDocument/2006/relationships/hyperlink" Target="https://fbref.com/en/squads/4ba7cbea/Bournemouth-Stats" TargetMode="External"/><Relationship Id="rId622" Type="http://schemas.openxmlformats.org/officeDocument/2006/relationships/hyperlink" Target="https://fbref.com/en/country/BRA/Brazil-Football" TargetMode="External"/><Relationship Id="rId621" Type="http://schemas.openxmlformats.org/officeDocument/2006/relationships/hyperlink" Target="https://fbref.com/en/players/6f3cc2fe/Evanilson" TargetMode="External"/><Relationship Id="rId628" Type="http://schemas.openxmlformats.org/officeDocument/2006/relationships/hyperlink" Target="https://fbref.com/en/players/ae4fc6a4/matchlogs/2025-2026/summary/Eberechi-Eze-Match-Logs" TargetMode="External"/><Relationship Id="rId627" Type="http://schemas.openxmlformats.org/officeDocument/2006/relationships/hyperlink" Target="https://fbref.com/en/squads/47c64c55/Crystal-Palace-Stats" TargetMode="External"/><Relationship Id="rId626" Type="http://schemas.openxmlformats.org/officeDocument/2006/relationships/hyperlink" Target="https://fbref.com/en/country/ENG/England-Football" TargetMode="External"/><Relationship Id="rId625" Type="http://schemas.openxmlformats.org/officeDocument/2006/relationships/hyperlink" Target="https://fbref.com/en/players/ae4fc6a4/Eberechi-Eze" TargetMode="External"/><Relationship Id="rId1450" Type="http://schemas.openxmlformats.org/officeDocument/2006/relationships/hyperlink" Target="https://fbref.com/en/country/ZIM/Zimbabwe-Football" TargetMode="External"/><Relationship Id="rId620" Type="http://schemas.openxmlformats.org/officeDocument/2006/relationships/hyperlink" Target="https://fbref.com/en/players/1a066e69/matchlogs/2025-2026/summary/Maxime-Esteve-Match-Logs" TargetMode="External"/><Relationship Id="rId1451" Type="http://schemas.openxmlformats.org/officeDocument/2006/relationships/hyperlink" Target="https://fbref.com/en/squads/8cec06e1/Wolverhampton-Wanderers-Stats" TargetMode="External"/><Relationship Id="rId1452" Type="http://schemas.openxmlformats.org/officeDocument/2006/relationships/hyperlink" Target="https://fbref.com/en/players/2acf0cd7/matchlogs/2025-2026/summary/Marshall-Munetsi-Match-Logs" TargetMode="External"/><Relationship Id="rId1453" Type="http://schemas.openxmlformats.org/officeDocument/2006/relationships/hyperlink" Target="https://fbref.com/en/players/a755db8c/Rodrigo-Muniz" TargetMode="External"/><Relationship Id="rId1454" Type="http://schemas.openxmlformats.org/officeDocument/2006/relationships/hyperlink" Target="https://fbref.com/en/country/BRA/Brazil-Football" TargetMode="External"/><Relationship Id="rId1444" Type="http://schemas.openxmlformats.org/officeDocument/2006/relationships/hyperlink" Target="https://fbref.com/en/players/ac73ec79/matchlogs/2025-2026/summary/Nordi-Mukiele-Match-Logs" TargetMode="External"/><Relationship Id="rId1445" Type="http://schemas.openxmlformats.org/officeDocument/2006/relationships/hyperlink" Target="https://fbref.com/en/players/597610cd/Romaine-Mundle" TargetMode="External"/><Relationship Id="rId1446" Type="http://schemas.openxmlformats.org/officeDocument/2006/relationships/hyperlink" Target="https://fbref.com/en/country/ENG/England-Football" TargetMode="External"/><Relationship Id="rId1447" Type="http://schemas.openxmlformats.org/officeDocument/2006/relationships/hyperlink" Target="https://fbref.com/en/squads/8ef52968/Sunderland-Stats" TargetMode="External"/><Relationship Id="rId1448" Type="http://schemas.openxmlformats.org/officeDocument/2006/relationships/hyperlink" Target="https://fbref.com/en/players/597610cd/matchlogs/2025-2026/summary/Romaine-Mundle-Match-Logs" TargetMode="External"/><Relationship Id="rId1449" Type="http://schemas.openxmlformats.org/officeDocument/2006/relationships/hyperlink" Target="https://fbref.com/en/players/2acf0cd7/Marshall-Munetsi" TargetMode="External"/><Relationship Id="rId619" Type="http://schemas.openxmlformats.org/officeDocument/2006/relationships/hyperlink" Target="https://fbref.com/en/squads/943e8050/Burnley-Stats" TargetMode="External"/><Relationship Id="rId618" Type="http://schemas.openxmlformats.org/officeDocument/2006/relationships/hyperlink" Target="https://fbref.com/en/country/FRA/France-Football" TargetMode="External"/><Relationship Id="rId613" Type="http://schemas.openxmlformats.org/officeDocument/2006/relationships/hyperlink" Target="https://fbref.com/en/players/1e4319ac/Dario-Essugo" TargetMode="External"/><Relationship Id="rId612" Type="http://schemas.openxmlformats.org/officeDocument/2006/relationships/hyperlink" Target="https://fbref.com/en/players/87189f25/matchlogs/2025-2026/summary/Romain-Esse-Match-Logs" TargetMode="External"/><Relationship Id="rId611" Type="http://schemas.openxmlformats.org/officeDocument/2006/relationships/hyperlink" Target="https://fbref.com/en/squads/47c64c55/Crystal-Palace-Stats" TargetMode="External"/><Relationship Id="rId610" Type="http://schemas.openxmlformats.org/officeDocument/2006/relationships/hyperlink" Target="https://fbref.com/en/country/ENG/England-Football" TargetMode="External"/><Relationship Id="rId617" Type="http://schemas.openxmlformats.org/officeDocument/2006/relationships/hyperlink" Target="https://fbref.com/en/players/1a066e69/Maxime-Esteve" TargetMode="External"/><Relationship Id="rId616" Type="http://schemas.openxmlformats.org/officeDocument/2006/relationships/hyperlink" Target="https://fbref.com/en/players/1e4319ac/matchlogs/2025-2026/summary/Dario-Essugo-Match-Logs" TargetMode="External"/><Relationship Id="rId615" Type="http://schemas.openxmlformats.org/officeDocument/2006/relationships/hyperlink" Target="https://fbref.com/en/squads/cff3d9bb/Chelsea-Stats" TargetMode="External"/><Relationship Id="rId614" Type="http://schemas.openxmlformats.org/officeDocument/2006/relationships/hyperlink" Target="https://fbref.com/en/country/POR/Portugal-Football" TargetMode="External"/><Relationship Id="rId1440" Type="http://schemas.openxmlformats.org/officeDocument/2006/relationships/hyperlink" Target="https://fbref.com/en/players/ce7ae86a/matchlogs/2025-2026/summary/Divine-Mukasa-Match-Logs" TargetMode="External"/><Relationship Id="rId1441" Type="http://schemas.openxmlformats.org/officeDocument/2006/relationships/hyperlink" Target="https://fbref.com/en/players/ac73ec79/Nordi-Mukiele" TargetMode="External"/><Relationship Id="rId1442" Type="http://schemas.openxmlformats.org/officeDocument/2006/relationships/hyperlink" Target="https://fbref.com/en/country/FRA/France-Football" TargetMode="External"/><Relationship Id="rId1443" Type="http://schemas.openxmlformats.org/officeDocument/2006/relationships/hyperlink" Target="https://fbref.com/en/squads/8ef52968/Sunderland-Stats" TargetMode="External"/><Relationship Id="rId1477" Type="http://schemas.openxmlformats.org/officeDocument/2006/relationships/hyperlink" Target="https://fbref.com/en/players/9affc5f2/David-Moller-Wolfe" TargetMode="External"/><Relationship Id="rId1478" Type="http://schemas.openxmlformats.org/officeDocument/2006/relationships/hyperlink" Target="https://fbref.com/en/country/NOR/Norway-Football" TargetMode="External"/><Relationship Id="rId1479" Type="http://schemas.openxmlformats.org/officeDocument/2006/relationships/hyperlink" Target="https://fbref.com/en/squads/8cec06e1/Wolverhampton-Wanderers-Stats" TargetMode="External"/><Relationship Id="rId646" Type="http://schemas.openxmlformats.org/officeDocument/2006/relationships/hyperlink" Target="https://fbref.com/en/country/NED/Netherlands-Football" TargetMode="External"/><Relationship Id="rId645" Type="http://schemas.openxmlformats.org/officeDocument/2006/relationships/hyperlink" Target="https://fbref.com/en/players/b3f36e72/Zian-Flemming" TargetMode="External"/><Relationship Id="rId644" Type="http://schemas.openxmlformats.org/officeDocument/2006/relationships/hyperlink" Target="https://fbref.com/en/players/5ff4ab71/matchlogs/2025-2026/summary/Enzo-Fernandez-Match-Logs" TargetMode="External"/><Relationship Id="rId643" Type="http://schemas.openxmlformats.org/officeDocument/2006/relationships/hyperlink" Target="https://fbref.com/en/squads/cff3d9bb/Chelsea-Stats" TargetMode="External"/><Relationship Id="rId649" Type="http://schemas.openxmlformats.org/officeDocument/2006/relationships/hyperlink" Target="https://fbref.com/en/players/38a6c944/Jack-Fletcher" TargetMode="External"/><Relationship Id="rId648" Type="http://schemas.openxmlformats.org/officeDocument/2006/relationships/hyperlink" Target="https://fbref.com/en/players/b3f36e72/matchlogs/2025-2026/summary/Zian-Flemming-Match-Logs" TargetMode="External"/><Relationship Id="rId647" Type="http://schemas.openxmlformats.org/officeDocument/2006/relationships/hyperlink" Target="https://fbref.com/en/squads/943e8050/Burnley-Stats" TargetMode="External"/><Relationship Id="rId1470" Type="http://schemas.openxmlformats.org/officeDocument/2006/relationships/hyperlink" Target="https://fbref.com/en/country/ENG/England-Football" TargetMode="External"/><Relationship Id="rId1471" Type="http://schemas.openxmlformats.org/officeDocument/2006/relationships/hyperlink" Target="https://fbref.com/en/squads/b2b47a98/Newcastle-United-Stats" TargetMode="External"/><Relationship Id="rId1472" Type="http://schemas.openxmlformats.org/officeDocument/2006/relationships/hyperlink" Target="https://fbref.com/en/players/de112b84/matchlogs/2025-2026/summary/Jacob-Murphy-Match-Logs" TargetMode="External"/><Relationship Id="rId642" Type="http://schemas.openxmlformats.org/officeDocument/2006/relationships/hyperlink" Target="https://fbref.com/en/country/ARG/Argentina-Football" TargetMode="External"/><Relationship Id="rId1473" Type="http://schemas.openxmlformats.org/officeDocument/2006/relationships/hyperlink" Target="https://fbref.com/en/players/30d4a2e5/Vitaliy-Mykolenko" TargetMode="External"/><Relationship Id="rId641" Type="http://schemas.openxmlformats.org/officeDocument/2006/relationships/hyperlink" Target="https://fbref.com/en/players/5ff4ab71/Enzo-Fernandez" TargetMode="External"/><Relationship Id="rId1474" Type="http://schemas.openxmlformats.org/officeDocument/2006/relationships/hyperlink" Target="https://fbref.com/en/country/UKR/Ukraine-Football" TargetMode="External"/><Relationship Id="rId640" Type="http://schemas.openxmlformats.org/officeDocument/2006/relationships/hyperlink" Target="https://fbref.com/en/players/ef491564/matchlogs/2025-2026/summary/Mateus-Fernandes-Match-Logs" TargetMode="External"/><Relationship Id="rId1475" Type="http://schemas.openxmlformats.org/officeDocument/2006/relationships/hyperlink" Target="https://fbref.com/en/squads/d3fd31cc/Everton-Stats" TargetMode="External"/><Relationship Id="rId1476" Type="http://schemas.openxmlformats.org/officeDocument/2006/relationships/hyperlink" Target="https://fbref.com/en/players/30d4a2e5/matchlogs/2025-2026/summary/Vitaliy-Mykolenko-Match-Logs" TargetMode="External"/><Relationship Id="rId1466" Type="http://schemas.openxmlformats.org/officeDocument/2006/relationships/hyperlink" Target="https://fbref.com/en/country/IRL/Republic-of-Ireland-Football" TargetMode="External"/><Relationship Id="rId1467" Type="http://schemas.openxmlformats.org/officeDocument/2006/relationships/hyperlink" Target="https://fbref.com/en/squads/b2b47a98/Newcastle-United-Stats" TargetMode="External"/><Relationship Id="rId1468" Type="http://schemas.openxmlformats.org/officeDocument/2006/relationships/hyperlink" Target="https://fbref.com/en/players/f1c42eb3/matchlogs/2025-2026/summary/Alex-Murphy-Match-Logs" TargetMode="External"/><Relationship Id="rId1469" Type="http://schemas.openxmlformats.org/officeDocument/2006/relationships/hyperlink" Target="https://fbref.com/en/players/de112b84/Jacob-Murphy" TargetMode="External"/><Relationship Id="rId635" Type="http://schemas.openxmlformats.org/officeDocument/2006/relationships/hyperlink" Target="https://fbref.com/en/squads/19538871/Manchester-United-Stats" TargetMode="External"/><Relationship Id="rId634" Type="http://schemas.openxmlformats.org/officeDocument/2006/relationships/hyperlink" Target="https://fbref.com/en/country/POR/Portugal-Football" TargetMode="External"/><Relationship Id="rId633" Type="http://schemas.openxmlformats.org/officeDocument/2006/relationships/hyperlink" Target="https://fbref.com/en/players/507c7bdf/Bruno-Fernandes" TargetMode="External"/><Relationship Id="rId632" Type="http://schemas.openxmlformats.org/officeDocument/2006/relationships/hyperlink" Target="https://fbref.com/en/players/ae4fc6a4/matchlogs/2025-2026/summary/Eberechi-Eze-Match-Logs" TargetMode="External"/><Relationship Id="rId639" Type="http://schemas.openxmlformats.org/officeDocument/2006/relationships/hyperlink" Target="https://fbref.com/en/squads/7c21e445/West-Ham-United-Stats" TargetMode="External"/><Relationship Id="rId638" Type="http://schemas.openxmlformats.org/officeDocument/2006/relationships/hyperlink" Target="https://fbref.com/en/country/POR/Portugal-Football" TargetMode="External"/><Relationship Id="rId637" Type="http://schemas.openxmlformats.org/officeDocument/2006/relationships/hyperlink" Target="https://fbref.com/en/players/ef491564/Mateus-Fernandes" TargetMode="External"/><Relationship Id="rId636" Type="http://schemas.openxmlformats.org/officeDocument/2006/relationships/hyperlink" Target="https://fbref.com/en/players/507c7bdf/matchlogs/2025-2026/summary/Bruno-Fernandes-Match-Logs" TargetMode="External"/><Relationship Id="rId1460" Type="http://schemas.openxmlformats.org/officeDocument/2006/relationships/hyperlink" Target="https://fbref.com/en/players/778ef829/matchlogs/2025-2026/summary/Daniel-Munoz-Match-Logs" TargetMode="External"/><Relationship Id="rId1461" Type="http://schemas.openxmlformats.org/officeDocument/2006/relationships/hyperlink" Target="https://fbref.com/en/players/1704b0b8/Murillo" TargetMode="External"/><Relationship Id="rId631" Type="http://schemas.openxmlformats.org/officeDocument/2006/relationships/hyperlink" Target="https://fbref.com/en/squads/18bb7c10/Arsenal-Stats" TargetMode="External"/><Relationship Id="rId1462" Type="http://schemas.openxmlformats.org/officeDocument/2006/relationships/hyperlink" Target="https://fbref.com/en/country/BRA/Brazil-Football" TargetMode="External"/><Relationship Id="rId630" Type="http://schemas.openxmlformats.org/officeDocument/2006/relationships/hyperlink" Target="https://fbref.com/en/country/ENG/England-Football" TargetMode="External"/><Relationship Id="rId1463" Type="http://schemas.openxmlformats.org/officeDocument/2006/relationships/hyperlink" Target="https://fbref.com/en/squads/e4a775cb/Nottingham-Forest-Stats" TargetMode="External"/><Relationship Id="rId1464" Type="http://schemas.openxmlformats.org/officeDocument/2006/relationships/hyperlink" Target="https://fbref.com/en/players/1704b0b8/matchlogs/2025-2026/summary/Murillo-Match-Logs" TargetMode="External"/><Relationship Id="rId1465" Type="http://schemas.openxmlformats.org/officeDocument/2006/relationships/hyperlink" Target="https://fbref.com/en/players/f1c42eb3/Alex-Murphy" TargetMode="External"/><Relationship Id="rId1411" Type="http://schemas.openxmlformats.org/officeDocument/2006/relationships/hyperlink" Target="https://fbref.com/en/squads/d07537b9/Brighton-and-Hove-Albion-Stats" TargetMode="External"/><Relationship Id="rId1895" Type="http://schemas.openxmlformats.org/officeDocument/2006/relationships/hyperlink" Target="https://fbref.com/en/squads/361ca564/Tottenham-Hotspur-Stats" TargetMode="External"/><Relationship Id="rId1412" Type="http://schemas.openxmlformats.org/officeDocument/2006/relationships/hyperlink" Target="https://fbref.com/en/players/c3cf087d/matchlogs/2025-2026/summary/Yankuba-Minteh-Match-Logs" TargetMode="External"/><Relationship Id="rId1896" Type="http://schemas.openxmlformats.org/officeDocument/2006/relationships/hyperlink" Target="https://fbref.com/en/players/9bc9a519/matchlogs/2025-2026/summary/Djed-Spence-Match-Logs" TargetMode="External"/><Relationship Id="rId1413" Type="http://schemas.openxmlformats.org/officeDocument/2006/relationships/hyperlink" Target="https://fbref.com/en/players/5cbd1eb0/Tyrick-Mitchell" TargetMode="External"/><Relationship Id="rId1897" Type="http://schemas.openxmlformats.org/officeDocument/2006/relationships/hyperlink" Target="https://fbref.com/en/players/0f59a7bf/Anton-Stach" TargetMode="External"/><Relationship Id="rId1414" Type="http://schemas.openxmlformats.org/officeDocument/2006/relationships/hyperlink" Target="https://fbref.com/en/country/ENG/England-Football" TargetMode="External"/><Relationship Id="rId1898" Type="http://schemas.openxmlformats.org/officeDocument/2006/relationships/hyperlink" Target="https://fbref.com/en/country/GER/Germany-Football" TargetMode="External"/><Relationship Id="rId1415" Type="http://schemas.openxmlformats.org/officeDocument/2006/relationships/hyperlink" Target="https://fbref.com/en/squads/47c64c55/Crystal-Palace-Stats" TargetMode="External"/><Relationship Id="rId1899" Type="http://schemas.openxmlformats.org/officeDocument/2006/relationships/hyperlink" Target="https://fbref.com/en/squads/5bfb9659/Leeds-United-Stats" TargetMode="External"/><Relationship Id="rId1416" Type="http://schemas.openxmlformats.org/officeDocument/2006/relationships/hyperlink" Target="https://fbref.com/en/players/5cbd1eb0/matchlogs/2025-2026/summary/Tyrick-Mitchell-Match-Logs" TargetMode="External"/><Relationship Id="rId1417" Type="http://schemas.openxmlformats.org/officeDocument/2006/relationships/hyperlink" Target="https://fbref.com/en/players/74618572/Kaoru-Mitoma" TargetMode="External"/><Relationship Id="rId1418" Type="http://schemas.openxmlformats.org/officeDocument/2006/relationships/hyperlink" Target="https://fbref.com/en/country/JPN/Japan-Football" TargetMode="External"/><Relationship Id="rId1419" Type="http://schemas.openxmlformats.org/officeDocument/2006/relationships/hyperlink" Target="https://fbref.com/en/squads/d07537b9/Brighton-and-Hove-Albion-Stats" TargetMode="External"/><Relationship Id="rId1890" Type="http://schemas.openxmlformats.org/officeDocument/2006/relationships/hyperlink" Target="https://fbref.com/en/country/BRA/Brazil-Football" TargetMode="External"/><Relationship Id="rId1891" Type="http://schemas.openxmlformats.org/officeDocument/2006/relationships/hyperlink" Target="https://fbref.com/en/squads/361ca564/Tottenham-Hotspur-Stats" TargetMode="External"/><Relationship Id="rId1892" Type="http://schemas.openxmlformats.org/officeDocument/2006/relationships/hyperlink" Target="https://fbref.com/en/players/10b0c6f4/matchlogs/2025-2026/summary/Souza-Match-Logs" TargetMode="External"/><Relationship Id="rId1893" Type="http://schemas.openxmlformats.org/officeDocument/2006/relationships/hyperlink" Target="https://fbref.com/en/players/9bc9a519/Djed-Spence" TargetMode="External"/><Relationship Id="rId1410" Type="http://schemas.openxmlformats.org/officeDocument/2006/relationships/hyperlink" Target="https://fbref.com/en/country/GAM/Gambia-Football" TargetMode="External"/><Relationship Id="rId1894" Type="http://schemas.openxmlformats.org/officeDocument/2006/relationships/hyperlink" Target="https://fbref.com/en/country/ENG/England-Football" TargetMode="External"/><Relationship Id="rId1400" Type="http://schemas.openxmlformats.org/officeDocument/2006/relationships/hyperlink" Target="https://fbref.com/en/players/2f90f6b8/matchlogs/2025-2026/summary/James-Milner-Match-Logs" TargetMode="External"/><Relationship Id="rId1884" Type="http://schemas.openxmlformats.org/officeDocument/2006/relationships/hyperlink" Target="https://fbref.com/en/players/af0d79a9/matchlogs/2025-2026/summary/Borna-Sosa-Match-Logs" TargetMode="External"/><Relationship Id="rId1401" Type="http://schemas.openxmlformats.org/officeDocument/2006/relationships/hyperlink" Target="https://fbref.com/en/players/c478319d/Veljko-Milosavljevic" TargetMode="External"/><Relationship Id="rId1885" Type="http://schemas.openxmlformats.org/officeDocument/2006/relationships/hyperlink" Target="https://fbref.com/en/players/6613c819/Tomas-Soucek" TargetMode="External"/><Relationship Id="rId1402" Type="http://schemas.openxmlformats.org/officeDocument/2006/relationships/hyperlink" Target="https://fbref.com/en/country/SRB/Serbia-Football" TargetMode="External"/><Relationship Id="rId1886" Type="http://schemas.openxmlformats.org/officeDocument/2006/relationships/hyperlink" Target="https://fbref.com/en/country/CZE/Czech-Republic-Football" TargetMode="External"/><Relationship Id="rId1403" Type="http://schemas.openxmlformats.org/officeDocument/2006/relationships/hyperlink" Target="https://fbref.com/en/squads/4ba7cbea/Bournemouth-Stats" TargetMode="External"/><Relationship Id="rId1887" Type="http://schemas.openxmlformats.org/officeDocument/2006/relationships/hyperlink" Target="https://fbref.com/en/squads/7c21e445/West-Ham-United-Stats" TargetMode="External"/><Relationship Id="rId1404" Type="http://schemas.openxmlformats.org/officeDocument/2006/relationships/hyperlink" Target="https://fbref.com/en/players/c478319d/matchlogs/2025-2026/summary/Veljko-Milosavljevic-Match-Logs" TargetMode="External"/><Relationship Id="rId1888" Type="http://schemas.openxmlformats.org/officeDocument/2006/relationships/hyperlink" Target="https://fbref.com/en/players/6613c819/matchlogs/2025-2026/summary/Tomas-Soucek-Match-Logs" TargetMode="External"/><Relationship Id="rId1405" Type="http://schemas.openxmlformats.org/officeDocument/2006/relationships/hyperlink" Target="https://fbref.com/en/players/8397a50c/Tyrone-Mings" TargetMode="External"/><Relationship Id="rId1889" Type="http://schemas.openxmlformats.org/officeDocument/2006/relationships/hyperlink" Target="https://fbref.com/en/players/10b0c6f4/Souza" TargetMode="External"/><Relationship Id="rId1406" Type="http://schemas.openxmlformats.org/officeDocument/2006/relationships/hyperlink" Target="https://fbref.com/en/country/ENG/England-Football" TargetMode="External"/><Relationship Id="rId1407" Type="http://schemas.openxmlformats.org/officeDocument/2006/relationships/hyperlink" Target="https://fbref.com/en/squads/8602292d/Aston-Villa-Stats" TargetMode="External"/><Relationship Id="rId1408" Type="http://schemas.openxmlformats.org/officeDocument/2006/relationships/hyperlink" Target="https://fbref.com/en/players/8397a50c/matchlogs/2025-2026/summary/Tyrone-Mings-Match-Logs" TargetMode="External"/><Relationship Id="rId1409" Type="http://schemas.openxmlformats.org/officeDocument/2006/relationships/hyperlink" Target="https://fbref.com/en/players/c3cf087d/Yankuba-Minteh" TargetMode="External"/><Relationship Id="rId1880" Type="http://schemas.openxmlformats.org/officeDocument/2006/relationships/hyperlink" Target="https://fbref.com/en/players/b66b8d5e/matchlogs/2025-2026/summary/Oliver-Sonne-Match-Logs" TargetMode="External"/><Relationship Id="rId1881" Type="http://schemas.openxmlformats.org/officeDocument/2006/relationships/hyperlink" Target="https://fbref.com/en/players/af0d79a9/Borna-Sosa" TargetMode="External"/><Relationship Id="rId1882" Type="http://schemas.openxmlformats.org/officeDocument/2006/relationships/hyperlink" Target="https://fbref.com/en/country/CRO/Croatia-Football" TargetMode="External"/><Relationship Id="rId1883" Type="http://schemas.openxmlformats.org/officeDocument/2006/relationships/hyperlink" Target="https://fbref.com/en/squads/47c64c55/Crystal-Palace-Stats" TargetMode="External"/><Relationship Id="rId1433" Type="http://schemas.openxmlformats.org/officeDocument/2006/relationships/hyperlink" Target="https://fbref.com/en/players/9674002f/Mason-Mount" TargetMode="External"/><Relationship Id="rId1434" Type="http://schemas.openxmlformats.org/officeDocument/2006/relationships/hyperlink" Target="https://fbref.com/en/country/ENG/England-Football" TargetMode="External"/><Relationship Id="rId1435" Type="http://schemas.openxmlformats.org/officeDocument/2006/relationships/hyperlink" Target="https://fbref.com/en/squads/19538871/Manchester-United-Stats" TargetMode="External"/><Relationship Id="rId1436" Type="http://schemas.openxmlformats.org/officeDocument/2006/relationships/hyperlink" Target="https://fbref.com/en/players/9674002f/matchlogs/2025-2026/summary/Mason-Mount-Match-Logs" TargetMode="External"/><Relationship Id="rId1437" Type="http://schemas.openxmlformats.org/officeDocument/2006/relationships/hyperlink" Target="https://fbref.com/en/players/ce7ae86a/Divine-Mukasa" TargetMode="External"/><Relationship Id="rId1438" Type="http://schemas.openxmlformats.org/officeDocument/2006/relationships/hyperlink" Target="https://fbref.com/en/country/ENG/England-Football" TargetMode="External"/><Relationship Id="rId1439" Type="http://schemas.openxmlformats.org/officeDocument/2006/relationships/hyperlink" Target="https://fbref.com/en/squads/b8fd03ef/Manchester-City-Stats" TargetMode="External"/><Relationship Id="rId609" Type="http://schemas.openxmlformats.org/officeDocument/2006/relationships/hyperlink" Target="https://fbref.com/en/players/87189f25/Romain-Esse" TargetMode="External"/><Relationship Id="rId608" Type="http://schemas.openxmlformats.org/officeDocument/2006/relationships/hyperlink" Target="https://fbref.com/en/players/c149016b/matchlogs/2025-2026/summary/Wataru-Endo-Match-Logs" TargetMode="External"/><Relationship Id="rId607" Type="http://schemas.openxmlformats.org/officeDocument/2006/relationships/hyperlink" Target="https://fbref.com/en/squads/822bd0ba/Liverpool-Stats" TargetMode="External"/><Relationship Id="rId602" Type="http://schemas.openxmlformats.org/officeDocument/2006/relationships/hyperlink" Target="https://fbref.com/en/country/ENG/England-Football" TargetMode="External"/><Relationship Id="rId601" Type="http://schemas.openxmlformats.org/officeDocument/2006/relationships/hyperlink" Target="https://fbref.com/en/players/b9e1436c/Harvey-Elliott" TargetMode="External"/><Relationship Id="rId600" Type="http://schemas.openxmlformats.org/officeDocument/2006/relationships/hyperlink" Target="https://fbref.com/en/players/b9e1436c/matchlogs/2025-2026/summary/Harvey-Elliott-Match-Logs" TargetMode="External"/><Relationship Id="rId606" Type="http://schemas.openxmlformats.org/officeDocument/2006/relationships/hyperlink" Target="https://fbref.com/en/country/JPN/Japan-Football" TargetMode="External"/><Relationship Id="rId605" Type="http://schemas.openxmlformats.org/officeDocument/2006/relationships/hyperlink" Target="https://fbref.com/en/players/c149016b/Wataru-Endo" TargetMode="External"/><Relationship Id="rId604" Type="http://schemas.openxmlformats.org/officeDocument/2006/relationships/hyperlink" Target="https://fbref.com/en/players/b9e1436c/matchlogs/2025-2026/summary/Harvey-Elliott-Match-Logs" TargetMode="External"/><Relationship Id="rId603" Type="http://schemas.openxmlformats.org/officeDocument/2006/relationships/hyperlink" Target="https://fbref.com/en/squads/8602292d/Aston-Villa-Stats" TargetMode="External"/><Relationship Id="rId1430" Type="http://schemas.openxmlformats.org/officeDocument/2006/relationships/hyperlink" Target="https://fbref.com/en/country/COL/Colombia-Football" TargetMode="External"/><Relationship Id="rId1431" Type="http://schemas.openxmlformats.org/officeDocument/2006/relationships/hyperlink" Target="https://fbref.com/en/squads/8cec06e1/Wolverhampton-Wanderers-Stats" TargetMode="External"/><Relationship Id="rId1432" Type="http://schemas.openxmlformats.org/officeDocument/2006/relationships/hyperlink" Target="https://fbref.com/en/players/1e159d70/matchlogs/2025-2026/summary/Yerson-Mosquera-Match-Logs" TargetMode="External"/><Relationship Id="rId1422" Type="http://schemas.openxmlformats.org/officeDocument/2006/relationships/hyperlink" Target="https://fbref.com/en/country/BRA/Brazil-Football" TargetMode="External"/><Relationship Id="rId1423" Type="http://schemas.openxmlformats.org/officeDocument/2006/relationships/hyperlink" Target="https://fbref.com/en/squads/e4a775cb/Nottingham-Forest-Stats" TargetMode="External"/><Relationship Id="rId1424" Type="http://schemas.openxmlformats.org/officeDocument/2006/relationships/hyperlink" Target="https://fbref.com/en/players/0f41e2ee/matchlogs/2025-2026/summary/Morato-Match-Logs" TargetMode="External"/><Relationship Id="rId1425" Type="http://schemas.openxmlformats.org/officeDocument/2006/relationships/hyperlink" Target="https://fbref.com/en/players/dc1ce4f5/Cristhian-Mosquera" TargetMode="External"/><Relationship Id="rId1426" Type="http://schemas.openxmlformats.org/officeDocument/2006/relationships/hyperlink" Target="https://fbref.com/en/country/ESP/Spain-Football" TargetMode="External"/><Relationship Id="rId1427" Type="http://schemas.openxmlformats.org/officeDocument/2006/relationships/hyperlink" Target="https://fbref.com/en/squads/18bb7c10/Arsenal-Stats" TargetMode="External"/><Relationship Id="rId1428" Type="http://schemas.openxmlformats.org/officeDocument/2006/relationships/hyperlink" Target="https://fbref.com/en/players/dc1ce4f5/matchlogs/2025-2026/summary/Cristhian-Mosquera-Match-Logs" TargetMode="External"/><Relationship Id="rId1429" Type="http://schemas.openxmlformats.org/officeDocument/2006/relationships/hyperlink" Target="https://fbref.com/en/players/1e159d70/Yerson-Mosquera" TargetMode="External"/><Relationship Id="rId1420" Type="http://schemas.openxmlformats.org/officeDocument/2006/relationships/hyperlink" Target="https://fbref.com/en/players/74618572/matchlogs/2025-2026/summary/Kaoru-Mitoma-Match-Logs" TargetMode="External"/><Relationship Id="rId1421" Type="http://schemas.openxmlformats.org/officeDocument/2006/relationships/hyperlink" Target="https://fbref.com/en/players/0f41e2ee/Morato" TargetMode="External"/><Relationship Id="rId1059" Type="http://schemas.openxmlformats.org/officeDocument/2006/relationships/hyperlink" Target="https://fbref.com/en/squads/e4a775cb/Nottingham-Forest-Stats" TargetMode="External"/><Relationship Id="rId228" Type="http://schemas.openxmlformats.org/officeDocument/2006/relationships/hyperlink" Target="https://fbref.com/en/players/eed2427e/matchlogs/2025-2026/summary/Oscar-Bobb-Match-Logs" TargetMode="External"/><Relationship Id="rId227" Type="http://schemas.openxmlformats.org/officeDocument/2006/relationships/hyperlink" Target="https://fbref.com/en/squads/b8fd03ef/Manchester-City-Stats" TargetMode="External"/><Relationship Id="rId226" Type="http://schemas.openxmlformats.org/officeDocument/2006/relationships/hyperlink" Target="https://fbref.com/en/country/NOR/Norway-Football" TargetMode="External"/><Relationship Id="rId225" Type="http://schemas.openxmlformats.org/officeDocument/2006/relationships/hyperlink" Target="https://fbref.com/en/players/eed2427e/Oscar-Bobb" TargetMode="External"/><Relationship Id="rId229" Type="http://schemas.openxmlformats.org/officeDocument/2006/relationships/hyperlink" Target="https://fbref.com/en/players/eed2427e/Oscar-Bobb" TargetMode="External"/><Relationship Id="rId1050" Type="http://schemas.openxmlformats.org/officeDocument/2006/relationships/hyperlink" Target="https://fbref.com/en/country/TUR/Turkey-Football" TargetMode="External"/><Relationship Id="rId220" Type="http://schemas.openxmlformats.org/officeDocument/2006/relationships/hyperlink" Target="https://fbref.com/en/players/6c203af0/matchlogs/2025-2026/summary/Yves-Bissouma-Match-Logs" TargetMode="External"/><Relationship Id="rId1051" Type="http://schemas.openxmlformats.org/officeDocument/2006/relationships/hyperlink" Target="https://fbref.com/en/squads/d07537b9/Brighton-and-Hove-Albion-Stats" TargetMode="External"/><Relationship Id="rId1052" Type="http://schemas.openxmlformats.org/officeDocument/2006/relationships/hyperlink" Target="https://fbref.com/en/players/66c52a77/matchlogs/2025-2026/summary/Ferdi-Kadioglu-Match-Logs" TargetMode="External"/><Relationship Id="rId1053" Type="http://schemas.openxmlformats.org/officeDocument/2006/relationships/hyperlink" Target="https://fbref.com/en/players/15f24fe7/Sasa-Kalajdzic" TargetMode="External"/><Relationship Id="rId1054" Type="http://schemas.openxmlformats.org/officeDocument/2006/relationships/hyperlink" Target="https://fbref.com/en/country/AUT/Austria-Football" TargetMode="External"/><Relationship Id="rId224" Type="http://schemas.openxmlformats.org/officeDocument/2006/relationships/hyperlink" Target="https://fbref.com/en/players/3d214e5f/matchlogs/2025-2026/summary/Marco-Bizot-Match-Logs" TargetMode="External"/><Relationship Id="rId1055" Type="http://schemas.openxmlformats.org/officeDocument/2006/relationships/hyperlink" Target="https://fbref.com/en/squads/8cec06e1/Wolverhampton-Wanderers-Stats" TargetMode="External"/><Relationship Id="rId223" Type="http://schemas.openxmlformats.org/officeDocument/2006/relationships/hyperlink" Target="https://fbref.com/en/squads/8602292d/Aston-Villa-Stats" TargetMode="External"/><Relationship Id="rId1056" Type="http://schemas.openxmlformats.org/officeDocument/2006/relationships/hyperlink" Target="https://fbref.com/en/players/15f24fe7/matchlogs/2025-2026/summary/Sasa-Kalajdzic-Match-Logs" TargetMode="External"/><Relationship Id="rId222" Type="http://schemas.openxmlformats.org/officeDocument/2006/relationships/hyperlink" Target="https://fbref.com/en/country/NED/Netherlands-Football" TargetMode="External"/><Relationship Id="rId1057" Type="http://schemas.openxmlformats.org/officeDocument/2006/relationships/hyperlink" Target="https://fbref.com/en/players/bf4c41f9/Arnaud-Kalimuendo" TargetMode="External"/><Relationship Id="rId221" Type="http://schemas.openxmlformats.org/officeDocument/2006/relationships/hyperlink" Target="https://fbref.com/en/players/3d214e5f/Marco-Bizot" TargetMode="External"/><Relationship Id="rId1058" Type="http://schemas.openxmlformats.org/officeDocument/2006/relationships/hyperlink" Target="https://fbref.com/en/country/FRA/France-Football" TargetMode="External"/><Relationship Id="rId1048" Type="http://schemas.openxmlformats.org/officeDocument/2006/relationships/hyperlink" Target="https://fbref.com/en/players/0107757e/matchlogs/2025-2026/summary/Filip-Jorgensen-Match-Logs" TargetMode="External"/><Relationship Id="rId1049" Type="http://schemas.openxmlformats.org/officeDocument/2006/relationships/hyperlink" Target="https://fbref.com/en/players/66c52a77/Ferdi-Kadioglu" TargetMode="External"/><Relationship Id="rId217" Type="http://schemas.openxmlformats.org/officeDocument/2006/relationships/hyperlink" Target="https://fbref.com/en/players/6c203af0/Yves-Bissouma" TargetMode="External"/><Relationship Id="rId216" Type="http://schemas.openxmlformats.org/officeDocument/2006/relationships/hyperlink" Target="https://fbref.com/en/players/6fdac234/matchlogs/2025-2026/summary/Jaka-Bijol-Match-Logs" TargetMode="External"/><Relationship Id="rId215" Type="http://schemas.openxmlformats.org/officeDocument/2006/relationships/hyperlink" Target="https://fbref.com/en/squads/5bfb9659/Leeds-United-Stats" TargetMode="External"/><Relationship Id="rId699" Type="http://schemas.openxmlformats.org/officeDocument/2006/relationships/hyperlink" Target="https://fbref.com/en/squads/4ba7cbea/Bournemouth-Stats" TargetMode="External"/><Relationship Id="rId214" Type="http://schemas.openxmlformats.org/officeDocument/2006/relationships/hyperlink" Target="https://fbref.com/en/country/SVN/Slovenia-Football" TargetMode="External"/><Relationship Id="rId698" Type="http://schemas.openxmlformats.org/officeDocument/2006/relationships/hyperlink" Target="https://fbref.com/en/country/SCO/Scotland-Football" TargetMode="External"/><Relationship Id="rId219" Type="http://schemas.openxmlformats.org/officeDocument/2006/relationships/hyperlink" Target="https://fbref.com/en/squads/361ca564/Tottenham-Hotspur-Stats" TargetMode="External"/><Relationship Id="rId218" Type="http://schemas.openxmlformats.org/officeDocument/2006/relationships/hyperlink" Target="https://fbref.com/en/country/MLI/Mali-Football" TargetMode="External"/><Relationship Id="rId693" Type="http://schemas.openxmlformats.org/officeDocument/2006/relationships/hyperlink" Target="https://fbref.com/en/players/72c812f3/Idrissa-Gana-Gueye" TargetMode="External"/><Relationship Id="rId1040" Type="http://schemas.openxmlformats.org/officeDocument/2006/relationships/hyperlink" Target="https://fbref.com/en/players/570bb4b9/matchlogs/2025-2026/summary/Hamed-Junior-Traore-Match-Logs" TargetMode="External"/><Relationship Id="rId692" Type="http://schemas.openxmlformats.org/officeDocument/2006/relationships/hyperlink" Target="https://fbref.com/en/players/c2731c10/matchlogs/2025-2026/summary/Conor-Gallagher-Match-Logs" TargetMode="External"/><Relationship Id="rId1041" Type="http://schemas.openxmlformats.org/officeDocument/2006/relationships/hyperlink" Target="https://fbref.com/en/players/fb614c44/James-Justin" TargetMode="External"/><Relationship Id="rId691" Type="http://schemas.openxmlformats.org/officeDocument/2006/relationships/hyperlink" Target="https://fbref.com/en/squads/361ca564/Tottenham-Hotspur-Stats" TargetMode="External"/><Relationship Id="rId1042" Type="http://schemas.openxmlformats.org/officeDocument/2006/relationships/hyperlink" Target="https://fbref.com/en/country/ENG/England-Football" TargetMode="External"/><Relationship Id="rId690" Type="http://schemas.openxmlformats.org/officeDocument/2006/relationships/hyperlink" Target="https://fbref.com/en/country/ENG/England-Football" TargetMode="External"/><Relationship Id="rId1043" Type="http://schemas.openxmlformats.org/officeDocument/2006/relationships/hyperlink" Target="https://fbref.com/en/squads/5bfb9659/Leeds-United-Stats" TargetMode="External"/><Relationship Id="rId213" Type="http://schemas.openxmlformats.org/officeDocument/2006/relationships/hyperlink" Target="https://fbref.com/en/players/6fdac234/Jaka-Bijol" TargetMode="External"/><Relationship Id="rId697" Type="http://schemas.openxmlformats.org/officeDocument/2006/relationships/hyperlink" Target="https://fbref.com/en/players/733f1a7d/Ben-Gannon-Doak" TargetMode="External"/><Relationship Id="rId1044" Type="http://schemas.openxmlformats.org/officeDocument/2006/relationships/hyperlink" Target="https://fbref.com/en/players/fb614c44/matchlogs/2025-2026/summary/James-Justin-Match-Logs" TargetMode="External"/><Relationship Id="rId212" Type="http://schemas.openxmlformats.org/officeDocument/2006/relationships/hyperlink" Target="https://fbref.com/en/players/ed5c0319/matchlogs/2025-2026/summary/Beto-Match-Logs" TargetMode="External"/><Relationship Id="rId696" Type="http://schemas.openxmlformats.org/officeDocument/2006/relationships/hyperlink" Target="https://fbref.com/en/players/72c812f3/matchlogs/2025-2026/summary/Idrissa-Gana-Gueye-Match-Logs" TargetMode="External"/><Relationship Id="rId1045" Type="http://schemas.openxmlformats.org/officeDocument/2006/relationships/hyperlink" Target="https://fbref.com/en/players/0107757e/Filip-Jorgensen" TargetMode="External"/><Relationship Id="rId211" Type="http://schemas.openxmlformats.org/officeDocument/2006/relationships/hyperlink" Target="https://fbref.com/en/squads/d3fd31cc/Everton-Stats" TargetMode="External"/><Relationship Id="rId695" Type="http://schemas.openxmlformats.org/officeDocument/2006/relationships/hyperlink" Target="https://fbref.com/en/squads/d3fd31cc/Everton-Stats" TargetMode="External"/><Relationship Id="rId1046" Type="http://schemas.openxmlformats.org/officeDocument/2006/relationships/hyperlink" Target="https://fbref.com/en/country/DEN/Denmark-Football" TargetMode="External"/><Relationship Id="rId210" Type="http://schemas.openxmlformats.org/officeDocument/2006/relationships/hyperlink" Target="https://fbref.com/en/country/GNB/Guinea-Bissau-Football" TargetMode="External"/><Relationship Id="rId694" Type="http://schemas.openxmlformats.org/officeDocument/2006/relationships/hyperlink" Target="https://fbref.com/en/country/SEN/Senegal-Football" TargetMode="External"/><Relationship Id="rId1047" Type="http://schemas.openxmlformats.org/officeDocument/2006/relationships/hyperlink" Target="https://fbref.com/en/squads/cff3d9bb/Chelsea-Stats" TargetMode="External"/><Relationship Id="rId249" Type="http://schemas.openxmlformats.org/officeDocument/2006/relationships/hyperlink" Target="https://fbref.com/en/players/ccce7025/Sven-Botman" TargetMode="External"/><Relationship Id="rId248" Type="http://schemas.openxmlformats.org/officeDocument/2006/relationships/hyperlink" Target="https://fbref.com/en/players/403f5d20/matchlogs/2025-2026/summary/Olivier-Boscagli-Match-Logs" TargetMode="External"/><Relationship Id="rId247" Type="http://schemas.openxmlformats.org/officeDocument/2006/relationships/hyperlink" Target="https://fbref.com/en/squads/d07537b9/Brighton-and-Hove-Albion-Stats" TargetMode="External"/><Relationship Id="rId1070" Type="http://schemas.openxmlformats.org/officeDocument/2006/relationships/hyperlink" Target="https://fbref.com/en/country/FRA/France-Football" TargetMode="External"/><Relationship Id="rId1071" Type="http://schemas.openxmlformats.org/officeDocument/2006/relationships/hyperlink" Target="https://fbref.com/en/squads/7c21e445/West-Ham-United-Stats" TargetMode="External"/><Relationship Id="rId1072" Type="http://schemas.openxmlformats.org/officeDocument/2006/relationships/hyperlink" Target="https://fbref.com/en/players/0041f3e6/matchlogs/2025-2026/summary/Mohamadou-Kante-Match-Logs" TargetMode="External"/><Relationship Id="rId242" Type="http://schemas.openxmlformats.org/officeDocument/2006/relationships/hyperlink" Target="https://fbref.com/en/country/BEL/Belgium-Football" TargetMode="External"/><Relationship Id="rId1073" Type="http://schemas.openxmlformats.org/officeDocument/2006/relationships/hyperlink" Target="https://fbref.com/en/players/e19660a8/Michael-Kayode" TargetMode="External"/><Relationship Id="rId241" Type="http://schemas.openxmlformats.org/officeDocument/2006/relationships/hyperlink" Target="https://fbref.com/en/players/01834aa0/Sebastiaan-Bornauw" TargetMode="External"/><Relationship Id="rId1074" Type="http://schemas.openxmlformats.org/officeDocument/2006/relationships/hyperlink" Target="https://fbref.com/en/country/ITA/Italy-Football" TargetMode="External"/><Relationship Id="rId240" Type="http://schemas.openxmlformats.org/officeDocument/2006/relationships/hyperlink" Target="https://fbref.com/en/players/ae5019e6/matchlogs/2025-2026/summary/Jayden-Bogle-Match-Logs" TargetMode="External"/><Relationship Id="rId1075" Type="http://schemas.openxmlformats.org/officeDocument/2006/relationships/hyperlink" Target="https://fbref.com/en/squads/cd051869/Brentford-Stats" TargetMode="External"/><Relationship Id="rId1076" Type="http://schemas.openxmlformats.org/officeDocument/2006/relationships/hyperlink" Target="https://fbref.com/en/players/e19660a8/matchlogs/2025-2026/summary/Michael-Kayode-Match-Logs" TargetMode="External"/><Relationship Id="rId246" Type="http://schemas.openxmlformats.org/officeDocument/2006/relationships/hyperlink" Target="https://fbref.com/en/country/FRA/France-Football" TargetMode="External"/><Relationship Id="rId1077" Type="http://schemas.openxmlformats.org/officeDocument/2006/relationships/hyperlink" Target="https://fbref.com/en/players/c5b7c315/Michael-Keane" TargetMode="External"/><Relationship Id="rId245" Type="http://schemas.openxmlformats.org/officeDocument/2006/relationships/hyperlink" Target="https://fbref.com/en/players/403f5d20/Olivier-Boscagli" TargetMode="External"/><Relationship Id="rId1078" Type="http://schemas.openxmlformats.org/officeDocument/2006/relationships/hyperlink" Target="https://fbref.com/en/country/ENG/England-Football" TargetMode="External"/><Relationship Id="rId244" Type="http://schemas.openxmlformats.org/officeDocument/2006/relationships/hyperlink" Target="https://fbref.com/en/players/01834aa0/matchlogs/2025-2026/summary/Sebastiaan-Bornauw-Match-Logs" TargetMode="External"/><Relationship Id="rId1079" Type="http://schemas.openxmlformats.org/officeDocument/2006/relationships/hyperlink" Target="https://fbref.com/en/squads/d3fd31cc/Everton-Stats" TargetMode="External"/><Relationship Id="rId243" Type="http://schemas.openxmlformats.org/officeDocument/2006/relationships/hyperlink" Target="https://fbref.com/en/squads/5bfb9659/Leeds-United-Stats" TargetMode="External"/><Relationship Id="rId239" Type="http://schemas.openxmlformats.org/officeDocument/2006/relationships/hyperlink" Target="https://fbref.com/en/squads/5bfb9659/Leeds-United-Stats" TargetMode="External"/><Relationship Id="rId238" Type="http://schemas.openxmlformats.org/officeDocument/2006/relationships/hyperlink" Target="https://fbref.com/en/country/ENG/England-Football" TargetMode="External"/><Relationship Id="rId237" Type="http://schemas.openxmlformats.org/officeDocument/2006/relationships/hyperlink" Target="https://fbref.com/en/players/ae5019e6/Jayden-Bogle" TargetMode="External"/><Relationship Id="rId236" Type="http://schemas.openxmlformats.org/officeDocument/2006/relationships/hyperlink" Target="https://fbref.com/en/players/bca5c4a7/matchlogs/2025-2026/summary/Lamare-Bogarde-Match-Logs" TargetMode="External"/><Relationship Id="rId1060" Type="http://schemas.openxmlformats.org/officeDocument/2006/relationships/hyperlink" Target="https://fbref.com/en/players/bf4c41f9/matchlogs/2025-2026/summary/Arnaud-Kalimuendo-Match-Logs" TargetMode="External"/><Relationship Id="rId1061" Type="http://schemas.openxmlformats.org/officeDocument/2006/relationships/hyperlink" Target="https://fbref.com/en/players/15b287da/Daichi-Kamada" TargetMode="External"/><Relationship Id="rId231" Type="http://schemas.openxmlformats.org/officeDocument/2006/relationships/hyperlink" Target="https://fbref.com/en/squads/fd962109/Fulham-Stats" TargetMode="External"/><Relationship Id="rId1062" Type="http://schemas.openxmlformats.org/officeDocument/2006/relationships/hyperlink" Target="https://fbref.com/en/country/JPN/Japan-Football" TargetMode="External"/><Relationship Id="rId230" Type="http://schemas.openxmlformats.org/officeDocument/2006/relationships/hyperlink" Target="https://fbref.com/en/country/NOR/Norway-Football" TargetMode="External"/><Relationship Id="rId1063" Type="http://schemas.openxmlformats.org/officeDocument/2006/relationships/hyperlink" Target="https://fbref.com/en/squads/47c64c55/Crystal-Palace-Stats" TargetMode="External"/><Relationship Id="rId1064" Type="http://schemas.openxmlformats.org/officeDocument/2006/relationships/hyperlink" Target="https://fbref.com/en/players/15b287da/matchlogs/2025-2026/summary/Daichi-Kamada-Match-Logs" TargetMode="External"/><Relationship Id="rId1065" Type="http://schemas.openxmlformats.org/officeDocument/2006/relationships/hyperlink" Target="https://fbref.com/en/players/cc77354e/Boubacar-Kamara" TargetMode="External"/><Relationship Id="rId235" Type="http://schemas.openxmlformats.org/officeDocument/2006/relationships/hyperlink" Target="https://fbref.com/en/squads/8602292d/Aston-Villa-Stats" TargetMode="External"/><Relationship Id="rId1066" Type="http://schemas.openxmlformats.org/officeDocument/2006/relationships/hyperlink" Target="https://fbref.com/en/country/FRA/France-Football" TargetMode="External"/><Relationship Id="rId234" Type="http://schemas.openxmlformats.org/officeDocument/2006/relationships/hyperlink" Target="https://fbref.com/en/country/NED/Netherlands-Football" TargetMode="External"/><Relationship Id="rId1067" Type="http://schemas.openxmlformats.org/officeDocument/2006/relationships/hyperlink" Target="https://fbref.com/en/squads/8602292d/Aston-Villa-Stats" TargetMode="External"/><Relationship Id="rId233" Type="http://schemas.openxmlformats.org/officeDocument/2006/relationships/hyperlink" Target="https://fbref.com/en/players/bca5c4a7/Lamare-Bogarde" TargetMode="External"/><Relationship Id="rId1068" Type="http://schemas.openxmlformats.org/officeDocument/2006/relationships/hyperlink" Target="https://fbref.com/en/players/cc77354e/matchlogs/2025-2026/summary/Boubacar-Kamara-Match-Logs" TargetMode="External"/><Relationship Id="rId232" Type="http://schemas.openxmlformats.org/officeDocument/2006/relationships/hyperlink" Target="https://fbref.com/en/players/eed2427e/matchlogs/2025-2026/summary/Oscar-Bobb-Match-Logs" TargetMode="External"/><Relationship Id="rId1069" Type="http://schemas.openxmlformats.org/officeDocument/2006/relationships/hyperlink" Target="https://fbref.com/en/players/0041f3e6/Mohamadou-Kante" TargetMode="External"/><Relationship Id="rId1015" Type="http://schemas.openxmlformats.org/officeDocument/2006/relationships/hyperlink" Target="https://fbref.com/en/squads/e4a775cb/Nottingham-Forest-Stats" TargetMode="External"/><Relationship Id="rId1499" Type="http://schemas.openxmlformats.org/officeDocument/2006/relationships/hyperlink" Target="https://fbref.com/en/squads/cd051869/Brentford-Stats" TargetMode="External"/><Relationship Id="rId1016" Type="http://schemas.openxmlformats.org/officeDocument/2006/relationships/hyperlink" Target="https://fbref.com/en/players/33a235af/matchlogs/2025-2026/summary/John-Match-Logs" TargetMode="External"/><Relationship Id="rId1017" Type="http://schemas.openxmlformats.org/officeDocument/2006/relationships/hyperlink" Target="https://fbref.com/en/players/0cd31129/Brennan-Johnson" TargetMode="External"/><Relationship Id="rId1018" Type="http://schemas.openxmlformats.org/officeDocument/2006/relationships/hyperlink" Target="https://fbref.com/en/country/WAL/Wales-Football" TargetMode="External"/><Relationship Id="rId1019" Type="http://schemas.openxmlformats.org/officeDocument/2006/relationships/hyperlink" Target="https://fbref.com/en/squads/361ca564/Tottenham-Hotspur-Stats" TargetMode="External"/><Relationship Id="rId668" Type="http://schemas.openxmlformats.org/officeDocument/2006/relationships/hyperlink" Target="https://fbref.com/en/players/f84a807c/matchlogs/2025-2026/summary/Lyle-Foster-Match-Logs" TargetMode="External"/><Relationship Id="rId667" Type="http://schemas.openxmlformats.org/officeDocument/2006/relationships/hyperlink" Target="https://fbref.com/en/squads/943e8050/Burnley-Stats" TargetMode="External"/><Relationship Id="rId666" Type="http://schemas.openxmlformats.org/officeDocument/2006/relationships/hyperlink" Target="https://fbref.com/en/country/RSA/South-Africa-Football" TargetMode="External"/><Relationship Id="rId665" Type="http://schemas.openxmlformats.org/officeDocument/2006/relationships/hyperlink" Target="https://fbref.com/en/players/f84a807c/Lyle-Foster" TargetMode="External"/><Relationship Id="rId669" Type="http://schemas.openxmlformats.org/officeDocument/2006/relationships/hyperlink" Target="https://fbref.com/en/players/58630379/Tyler-Fredricson" TargetMode="External"/><Relationship Id="rId1490" Type="http://schemas.openxmlformats.org/officeDocument/2006/relationships/hyperlink" Target="https://fbref.com/en/country/ENG/England-Football" TargetMode="External"/><Relationship Id="rId660" Type="http://schemas.openxmlformats.org/officeDocument/2006/relationships/hyperlink" Target="https://fbref.com/en/players/ed1e53f3/matchlogs/2025-2026/summary/Phil-Foden-Match-Logs" TargetMode="External"/><Relationship Id="rId1491" Type="http://schemas.openxmlformats.org/officeDocument/2006/relationships/hyperlink" Target="https://fbref.com/en/squads/b2b47a98/Newcastle-United-Stats" TargetMode="External"/><Relationship Id="rId1492" Type="http://schemas.openxmlformats.org/officeDocument/2006/relationships/hyperlink" Target="https://fbref.com/en/players/ff392864/matchlogs/2025-2026/summary/Sean-Neave-Match-Logs" TargetMode="External"/><Relationship Id="rId1493" Type="http://schemas.openxmlformats.org/officeDocument/2006/relationships/hyperlink" Target="https://fbref.com/en/players/a47ad0f5/Dan-Neil" TargetMode="External"/><Relationship Id="rId1010" Type="http://schemas.openxmlformats.org/officeDocument/2006/relationships/hyperlink" Target="https://fbref.com/en/country/BRA/Brazil-Football" TargetMode="External"/><Relationship Id="rId1494" Type="http://schemas.openxmlformats.org/officeDocument/2006/relationships/hyperlink" Target="https://fbref.com/en/country/ENG/England-Football" TargetMode="External"/><Relationship Id="rId664" Type="http://schemas.openxmlformats.org/officeDocument/2006/relationships/hyperlink" Target="https://fbref.com/en/players/132a82f1/matchlogs/2025-2026/summary/Wesley-Fofana-Match-Logs" TargetMode="External"/><Relationship Id="rId1011" Type="http://schemas.openxmlformats.org/officeDocument/2006/relationships/hyperlink" Target="https://fbref.com/en/squads/b2b47a98/Newcastle-United-Stats" TargetMode="External"/><Relationship Id="rId1495" Type="http://schemas.openxmlformats.org/officeDocument/2006/relationships/hyperlink" Target="https://fbref.com/en/squads/8ef52968/Sunderland-Stats" TargetMode="External"/><Relationship Id="rId663" Type="http://schemas.openxmlformats.org/officeDocument/2006/relationships/hyperlink" Target="https://fbref.com/en/squads/cff3d9bb/Chelsea-Stats" TargetMode="External"/><Relationship Id="rId1012" Type="http://schemas.openxmlformats.org/officeDocument/2006/relationships/hyperlink" Target="https://fbref.com/en/players/c17bfb65/matchlogs/2025-2026/summary/Joelinton-Match-Logs" TargetMode="External"/><Relationship Id="rId1496" Type="http://schemas.openxmlformats.org/officeDocument/2006/relationships/hyperlink" Target="https://fbref.com/en/players/a47ad0f5/matchlogs/2025-2026/summary/Dan-Neil-Match-Logs" TargetMode="External"/><Relationship Id="rId662" Type="http://schemas.openxmlformats.org/officeDocument/2006/relationships/hyperlink" Target="https://fbref.com/en/country/FRA/France-Football" TargetMode="External"/><Relationship Id="rId1013" Type="http://schemas.openxmlformats.org/officeDocument/2006/relationships/hyperlink" Target="https://fbref.com/en/players/33a235af/John" TargetMode="External"/><Relationship Id="rId1497" Type="http://schemas.openxmlformats.org/officeDocument/2006/relationships/hyperlink" Target="https://fbref.com/en/players/c5bdb6e3/Reiss-Nelson" TargetMode="External"/><Relationship Id="rId661" Type="http://schemas.openxmlformats.org/officeDocument/2006/relationships/hyperlink" Target="https://fbref.com/en/players/132a82f1/Wesley-Fofana" TargetMode="External"/><Relationship Id="rId1014" Type="http://schemas.openxmlformats.org/officeDocument/2006/relationships/hyperlink" Target="https://fbref.com/en/country/BRA/Brazil-Football" TargetMode="External"/><Relationship Id="rId1498" Type="http://schemas.openxmlformats.org/officeDocument/2006/relationships/hyperlink" Target="https://fbref.com/en/country/ENG/England-Football" TargetMode="External"/><Relationship Id="rId1004" Type="http://schemas.openxmlformats.org/officeDocument/2006/relationships/hyperlink" Target="https://fbref.com/en/players/1e711234/matchlogs/2025-2026/summary/Jamaldeen-Jimoh-Match-Logs" TargetMode="External"/><Relationship Id="rId1488" Type="http://schemas.openxmlformats.org/officeDocument/2006/relationships/hyperlink" Target="https://fbref.com/en/players/8e697a8f/matchlogs/2025-2026/summary/Dan-Ndoye-Match-Logs" TargetMode="External"/><Relationship Id="rId1005" Type="http://schemas.openxmlformats.org/officeDocument/2006/relationships/hyperlink" Target="https://fbref.com/en/players/e8832875/Joao-Pedro" TargetMode="External"/><Relationship Id="rId1489" Type="http://schemas.openxmlformats.org/officeDocument/2006/relationships/hyperlink" Target="https://fbref.com/en/players/ff392864/Sean-Neave" TargetMode="External"/><Relationship Id="rId1006" Type="http://schemas.openxmlformats.org/officeDocument/2006/relationships/hyperlink" Target="https://fbref.com/en/country/BRA/Brazil-Football" TargetMode="External"/><Relationship Id="rId1007" Type="http://schemas.openxmlformats.org/officeDocument/2006/relationships/hyperlink" Target="https://fbref.com/en/squads/cff3d9bb/Chelsea-Stats" TargetMode="External"/><Relationship Id="rId1008" Type="http://schemas.openxmlformats.org/officeDocument/2006/relationships/hyperlink" Target="https://fbref.com/en/players/e8832875/matchlogs/2025-2026/summary/Joao-Pedro-Match-Logs" TargetMode="External"/><Relationship Id="rId1009" Type="http://schemas.openxmlformats.org/officeDocument/2006/relationships/hyperlink" Target="https://fbref.com/en/players/c17bfb65/Joelinton" TargetMode="External"/><Relationship Id="rId657" Type="http://schemas.openxmlformats.org/officeDocument/2006/relationships/hyperlink" Target="https://fbref.com/en/players/ed1e53f3/Phil-Foden" TargetMode="External"/><Relationship Id="rId656" Type="http://schemas.openxmlformats.org/officeDocument/2006/relationships/hyperlink" Target="https://fbref.com/en/players/81a92add/matchlogs/2025-2026/summary/Tyler-Fletcher-Match-Logs" TargetMode="External"/><Relationship Id="rId655" Type="http://schemas.openxmlformats.org/officeDocument/2006/relationships/hyperlink" Target="https://fbref.com/en/squads/19538871/Manchester-United-Stats" TargetMode="External"/><Relationship Id="rId654" Type="http://schemas.openxmlformats.org/officeDocument/2006/relationships/hyperlink" Target="https://fbref.com/en/country/SCO/Scotland-Football" TargetMode="External"/><Relationship Id="rId659" Type="http://schemas.openxmlformats.org/officeDocument/2006/relationships/hyperlink" Target="https://fbref.com/en/squads/b8fd03ef/Manchester-City-Stats" TargetMode="External"/><Relationship Id="rId658" Type="http://schemas.openxmlformats.org/officeDocument/2006/relationships/hyperlink" Target="https://fbref.com/en/country/ENG/England-Football" TargetMode="External"/><Relationship Id="rId1480" Type="http://schemas.openxmlformats.org/officeDocument/2006/relationships/hyperlink" Target="https://fbref.com/en/players/9affc5f2/matchlogs/2025-2026/summary/David-Moller-Wolfe-Match-Logs" TargetMode="External"/><Relationship Id="rId1481" Type="http://schemas.openxmlformats.org/officeDocument/2006/relationships/hyperlink" Target="https://fbref.com/en/players/5ed97752/Iliman-Ndiaye" TargetMode="External"/><Relationship Id="rId1482" Type="http://schemas.openxmlformats.org/officeDocument/2006/relationships/hyperlink" Target="https://fbref.com/en/country/SEN/Senegal-Football" TargetMode="External"/><Relationship Id="rId1483" Type="http://schemas.openxmlformats.org/officeDocument/2006/relationships/hyperlink" Target="https://fbref.com/en/squads/d3fd31cc/Everton-Stats" TargetMode="External"/><Relationship Id="rId653" Type="http://schemas.openxmlformats.org/officeDocument/2006/relationships/hyperlink" Target="https://fbref.com/en/players/81a92add/Tyler-Fletcher" TargetMode="External"/><Relationship Id="rId1000" Type="http://schemas.openxmlformats.org/officeDocument/2006/relationships/hyperlink" Target="https://fbref.com/en/players/b561db50/matchlogs/2025-2026/summary/Raul-Jimenez-Match-Logs" TargetMode="External"/><Relationship Id="rId1484" Type="http://schemas.openxmlformats.org/officeDocument/2006/relationships/hyperlink" Target="https://fbref.com/en/players/5ed97752/matchlogs/2025-2026/summary/Iliman-Ndiaye-Match-Logs" TargetMode="External"/><Relationship Id="rId652" Type="http://schemas.openxmlformats.org/officeDocument/2006/relationships/hyperlink" Target="https://fbref.com/en/players/38a6c944/matchlogs/2025-2026/summary/Jack-Fletcher-Match-Logs" TargetMode="External"/><Relationship Id="rId1001" Type="http://schemas.openxmlformats.org/officeDocument/2006/relationships/hyperlink" Target="https://fbref.com/en/players/1e711234/Jamaldeen-Jimoh" TargetMode="External"/><Relationship Id="rId1485" Type="http://schemas.openxmlformats.org/officeDocument/2006/relationships/hyperlink" Target="https://fbref.com/en/players/8e697a8f/Dan-Ndoye" TargetMode="External"/><Relationship Id="rId651" Type="http://schemas.openxmlformats.org/officeDocument/2006/relationships/hyperlink" Target="https://fbref.com/en/squads/19538871/Manchester-United-Stats" TargetMode="External"/><Relationship Id="rId1002" Type="http://schemas.openxmlformats.org/officeDocument/2006/relationships/hyperlink" Target="https://fbref.com/en/country/ENG/England-Football" TargetMode="External"/><Relationship Id="rId1486" Type="http://schemas.openxmlformats.org/officeDocument/2006/relationships/hyperlink" Target="https://fbref.com/en/country/SUI/Switzerland-Football" TargetMode="External"/><Relationship Id="rId650" Type="http://schemas.openxmlformats.org/officeDocument/2006/relationships/hyperlink" Target="https://fbref.com/en/country/ENG/England-Football" TargetMode="External"/><Relationship Id="rId1003" Type="http://schemas.openxmlformats.org/officeDocument/2006/relationships/hyperlink" Target="https://fbref.com/en/squads/8602292d/Aston-Villa-Stats" TargetMode="External"/><Relationship Id="rId1487" Type="http://schemas.openxmlformats.org/officeDocument/2006/relationships/hyperlink" Target="https://fbref.com/en/squads/e4a775cb/Nottingham-Forest-Stats" TargetMode="External"/><Relationship Id="rId1037" Type="http://schemas.openxmlformats.org/officeDocument/2006/relationships/hyperlink" Target="https://fbref.com/en/players/570bb4b9/Hamed-Junior-Traore" TargetMode="External"/><Relationship Id="rId1038" Type="http://schemas.openxmlformats.org/officeDocument/2006/relationships/hyperlink" Target="https://fbref.com/en/country/CIV/Cote-dIvoire-Football" TargetMode="External"/><Relationship Id="rId1039" Type="http://schemas.openxmlformats.org/officeDocument/2006/relationships/hyperlink" Target="https://fbref.com/en/squads/4ba7cbea/Bournemouth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a109e5c8/Lucas-Bergvall" TargetMode="External"/><Relationship Id="rId689" Type="http://schemas.openxmlformats.org/officeDocument/2006/relationships/hyperlink" Target="https://fbref.com/en/players/c2731c10/Conor-Gallagher" TargetMode="External"/><Relationship Id="rId204" Type="http://schemas.openxmlformats.org/officeDocument/2006/relationships/hyperlink" Target="https://fbref.com/en/players/d0b6129f/matchlogs/2025-2026/summary/Sander-Berge-Match-Logs" TargetMode="External"/><Relationship Id="rId688" Type="http://schemas.openxmlformats.org/officeDocument/2006/relationships/hyperlink" Target="https://fbref.com/en/players/1971591f/matchlogs/2025-2026/summary/Cody-Gakpo-Match-Logs" TargetMode="External"/><Relationship Id="rId203" Type="http://schemas.openxmlformats.org/officeDocument/2006/relationships/hyperlink" Target="https://fbref.com/en/squads/fd962109/Fulham-Stats" TargetMode="External"/><Relationship Id="rId687" Type="http://schemas.openxmlformats.org/officeDocument/2006/relationships/hyperlink" Target="https://fbref.com/en/squads/822bd0ba/Liverpool-Stats" TargetMode="External"/><Relationship Id="rId209" Type="http://schemas.openxmlformats.org/officeDocument/2006/relationships/hyperlink" Target="https://fbref.com/en/players/ed5c0319/Beto" TargetMode="External"/><Relationship Id="rId208" Type="http://schemas.openxmlformats.org/officeDocument/2006/relationships/hyperlink" Target="https://fbref.com/en/players/a109e5c8/matchlogs/2025-2026/summary/Lucas-Bergvall-Match-Logs" TargetMode="External"/><Relationship Id="rId207" Type="http://schemas.openxmlformats.org/officeDocument/2006/relationships/hyperlink" Target="https://fbref.com/en/squads/361ca564/Tottenham-Hotspur-Stats" TargetMode="External"/><Relationship Id="rId682" Type="http://schemas.openxmlformats.org/officeDocument/2006/relationships/hyperlink" Target="https://fbref.com/en/country/BEL/Belgium-Football" TargetMode="External"/><Relationship Id="rId681" Type="http://schemas.openxmlformats.org/officeDocument/2006/relationships/hyperlink" Target="https://fbref.com/en/players/9fea2579/Kaye-Furo" TargetMode="External"/><Relationship Id="rId1030" Type="http://schemas.openxmlformats.org/officeDocument/2006/relationships/hyperlink" Target="https://fbref.com/en/country/ENG/England-Football" TargetMode="External"/><Relationship Id="rId680" Type="http://schemas.openxmlformats.org/officeDocument/2006/relationships/hyperlink" Target="https://fbref.com/en/players/4f16405e/matchlogs/2025-2026/summary/Niclas-Fullkrug-Match-Logs" TargetMode="External"/><Relationship Id="rId1031" Type="http://schemas.openxmlformats.org/officeDocument/2006/relationships/hyperlink" Target="https://fbref.com/en/squads/822bd0ba/Liverpool-Stats" TargetMode="External"/><Relationship Id="rId1032" Type="http://schemas.openxmlformats.org/officeDocument/2006/relationships/hyperlink" Target="https://fbref.com/en/players/4fb9c88f/matchlogs/2025-2026/summary/Curtis-Jones-Match-Logs" TargetMode="External"/><Relationship Id="rId202" Type="http://schemas.openxmlformats.org/officeDocument/2006/relationships/hyperlink" Target="https://fbref.com/en/country/NOR/Norway-Football" TargetMode="External"/><Relationship Id="rId686" Type="http://schemas.openxmlformats.org/officeDocument/2006/relationships/hyperlink" Target="https://fbref.com/en/country/NED/Netherlands-Football" TargetMode="External"/><Relationship Id="rId1033" Type="http://schemas.openxmlformats.org/officeDocument/2006/relationships/hyperlink" Target="https://fbref.com/en/players/b2fe86e5/Eli-Junior-Kroupi" TargetMode="External"/><Relationship Id="rId201" Type="http://schemas.openxmlformats.org/officeDocument/2006/relationships/hyperlink" Target="https://fbref.com/en/players/d0b6129f/Sander-Berge" TargetMode="External"/><Relationship Id="rId685" Type="http://schemas.openxmlformats.org/officeDocument/2006/relationships/hyperlink" Target="https://fbref.com/en/players/1971591f/Cody-Gakpo" TargetMode="External"/><Relationship Id="rId1034" Type="http://schemas.openxmlformats.org/officeDocument/2006/relationships/hyperlink" Target="https://fbref.com/en/country/FRA/France-Football" TargetMode="External"/><Relationship Id="rId200" Type="http://schemas.openxmlformats.org/officeDocument/2006/relationships/hyperlink" Target="https://fbref.com/en/players/68db6358/matchlogs/2025-2026/summary/Daniel-Bentley-Match-Logs" TargetMode="External"/><Relationship Id="rId684" Type="http://schemas.openxmlformats.org/officeDocument/2006/relationships/hyperlink" Target="https://fbref.com/en/players/9fea2579/matchlogs/2025-2026/summary/Kaye-Furo-Match-Logs" TargetMode="External"/><Relationship Id="rId1035" Type="http://schemas.openxmlformats.org/officeDocument/2006/relationships/hyperlink" Target="https://fbref.com/en/squads/4ba7cbea/Bournemouth-Stats" TargetMode="External"/><Relationship Id="rId683" Type="http://schemas.openxmlformats.org/officeDocument/2006/relationships/hyperlink" Target="https://fbref.com/en/squads/cd051869/Brentford-Stats" TargetMode="External"/><Relationship Id="rId1036" Type="http://schemas.openxmlformats.org/officeDocument/2006/relationships/hyperlink" Target="https://fbref.com/en/players/b2fe86e5/matchlogs/2025-2026/summary/Eli-Junior-Kroupi-Match-Logs" TargetMode="External"/><Relationship Id="rId1026" Type="http://schemas.openxmlformats.org/officeDocument/2006/relationships/hyperlink" Target="https://fbref.com/en/country/ENG/England-Football" TargetMode="External"/><Relationship Id="rId1027" Type="http://schemas.openxmlformats.org/officeDocument/2006/relationships/hyperlink" Target="https://fbref.com/en/squads/8cec06e1/Wolverhampton-Wanderers-Stats" TargetMode="External"/><Relationship Id="rId1028" Type="http://schemas.openxmlformats.org/officeDocument/2006/relationships/hyperlink" Target="https://fbref.com/en/players/9e5708be/matchlogs/2025-2026/summary/Sam-Johnstone-Match-Logs" TargetMode="External"/><Relationship Id="rId1029" Type="http://schemas.openxmlformats.org/officeDocument/2006/relationships/hyperlink" Target="https://fbref.com/en/players/4fb9c88f/Curtis-Jones" TargetMode="External"/><Relationship Id="rId679" Type="http://schemas.openxmlformats.org/officeDocument/2006/relationships/hyperlink" Target="https://fbref.com/en/squads/7c21e445/West-Ham-United-Stats" TargetMode="External"/><Relationship Id="rId678" Type="http://schemas.openxmlformats.org/officeDocument/2006/relationships/hyperlink" Target="https://fbref.com/en/country/GER/Germany-Football" TargetMode="External"/><Relationship Id="rId677" Type="http://schemas.openxmlformats.org/officeDocument/2006/relationships/hyperlink" Target="https://fbref.com/en/players/4f16405e/Niclas-Fullkrug" TargetMode="External"/><Relationship Id="rId676" Type="http://schemas.openxmlformats.org/officeDocument/2006/relationships/hyperlink" Target="https://fbref.com/en/players/74f2e748/matchlogs/2025-2026/summary/Jeremie-Frimpong-Match-Logs" TargetMode="External"/><Relationship Id="rId671" Type="http://schemas.openxmlformats.org/officeDocument/2006/relationships/hyperlink" Target="https://fbref.com/en/squads/19538871/Manchester-United-Stats" TargetMode="External"/><Relationship Id="rId670" Type="http://schemas.openxmlformats.org/officeDocument/2006/relationships/hyperlink" Target="https://fbref.com/en/country/ENG/England-Football" TargetMode="External"/><Relationship Id="rId1020" Type="http://schemas.openxmlformats.org/officeDocument/2006/relationships/hyperlink" Target="https://fbref.com/en/players/0cd31129/matchlogs/2025-2026/summary/Brennan-Johnson-Match-Logs" TargetMode="External"/><Relationship Id="rId1021" Type="http://schemas.openxmlformats.org/officeDocument/2006/relationships/hyperlink" Target="https://fbref.com/en/players/0cd31129/Brennan-Johnson" TargetMode="External"/><Relationship Id="rId675" Type="http://schemas.openxmlformats.org/officeDocument/2006/relationships/hyperlink" Target="https://fbref.com/en/squads/822bd0ba/Liverpool-Stats" TargetMode="External"/><Relationship Id="rId1022" Type="http://schemas.openxmlformats.org/officeDocument/2006/relationships/hyperlink" Target="https://fbref.com/en/country/WAL/Wales-Football" TargetMode="External"/><Relationship Id="rId674" Type="http://schemas.openxmlformats.org/officeDocument/2006/relationships/hyperlink" Target="https://fbref.com/en/country/NED/Netherlands-Football" TargetMode="External"/><Relationship Id="rId1023" Type="http://schemas.openxmlformats.org/officeDocument/2006/relationships/hyperlink" Target="https://fbref.com/en/squads/47c64c55/Crystal-Palace-Stats" TargetMode="External"/><Relationship Id="rId673" Type="http://schemas.openxmlformats.org/officeDocument/2006/relationships/hyperlink" Target="https://fbref.com/en/players/74f2e748/Jeremie-Frimpong" TargetMode="External"/><Relationship Id="rId1024" Type="http://schemas.openxmlformats.org/officeDocument/2006/relationships/hyperlink" Target="https://fbref.com/en/players/0cd31129/matchlogs/2025-2026/summary/Brennan-Johnson-Match-Logs" TargetMode="External"/><Relationship Id="rId672" Type="http://schemas.openxmlformats.org/officeDocument/2006/relationships/hyperlink" Target="https://fbref.com/en/players/58630379/matchlogs/2025-2026/summary/Tyler-Fredricson-Match-Logs" TargetMode="External"/><Relationship Id="rId1025" Type="http://schemas.openxmlformats.org/officeDocument/2006/relationships/hyperlink" Target="https://fbref.com/en/players/9e5708be/Sam-Johnstone" TargetMode="External"/><Relationship Id="rId190" Type="http://schemas.openxmlformats.org/officeDocument/2006/relationships/hyperlink" Target="https://fbref.com/en/country/ARG/Argentina-Football" TargetMode="External"/><Relationship Id="rId194" Type="http://schemas.openxmlformats.org/officeDocument/2006/relationships/hyperlink" Target="https://fbref.com/en/country/URU/Uruguay-Football" TargetMode="External"/><Relationship Id="rId193" Type="http://schemas.openxmlformats.org/officeDocument/2006/relationships/hyperlink" Target="https://fbref.com/en/players/3b8674e6/Rodrigo-Bentancur" TargetMode="External"/><Relationship Id="rId192" Type="http://schemas.openxmlformats.org/officeDocument/2006/relationships/hyperlink" Target="https://fbref.com/en/players/8a2248b4/matchlogs/2025-2026/summary/Walter-Benitez-Match-Logs" TargetMode="External"/><Relationship Id="rId191" Type="http://schemas.openxmlformats.org/officeDocument/2006/relationships/hyperlink" Target="https://fbref.com/en/squads/47c64c55/Crystal-Palace-Stats" TargetMode="External"/><Relationship Id="rId187" Type="http://schemas.openxmlformats.org/officeDocument/2006/relationships/hyperlink" Target="https://fbref.com/en/squads/8cec06e1/Wolverhampton-Wanderers-Stats" TargetMode="External"/><Relationship Id="rId186" Type="http://schemas.openxmlformats.org/officeDocument/2006/relationships/hyperlink" Target="https://fbref.com/en/country/HAI/Haiti-Football" TargetMode="External"/><Relationship Id="rId185" Type="http://schemas.openxmlformats.org/officeDocument/2006/relationships/hyperlink" Target="https://fbref.com/en/players/10f0fdd3/Jean-Ricner-Bellegarde" TargetMode="External"/><Relationship Id="rId184" Type="http://schemas.openxmlformats.org/officeDocument/2006/relationships/hyperlink" Target="https://fbref.com/en/players/072e68ed/matchlogs/2025-2026/summary/Altay-Bayindir-Match-Logs" TargetMode="External"/><Relationship Id="rId189" Type="http://schemas.openxmlformats.org/officeDocument/2006/relationships/hyperlink" Target="https://fbref.com/en/players/8a2248b4/Walter-Benitez" TargetMode="External"/><Relationship Id="rId188" Type="http://schemas.openxmlformats.org/officeDocument/2006/relationships/hyperlink" Target="https://fbref.com/en/players/10f0fdd3/matchlogs/2025-2026/summary/Jean-Ricner-Bellegarde-Match-Logs" TargetMode="External"/><Relationship Id="rId183" Type="http://schemas.openxmlformats.org/officeDocument/2006/relationships/hyperlink" Target="https://fbref.com/en/squads/19538871/Manchester-United-Stats" TargetMode="External"/><Relationship Id="rId182" Type="http://schemas.openxmlformats.org/officeDocument/2006/relationships/hyperlink" Target="https://fbref.com/en/country/TUR/Turkey-Football" TargetMode="External"/><Relationship Id="rId181" Type="http://schemas.openxmlformats.org/officeDocument/2006/relationships/hyperlink" Target="https://fbref.com/en/players/072e68ed/Altay-Bayindir" TargetMode="External"/><Relationship Id="rId180" Type="http://schemas.openxmlformats.org/officeDocument/2006/relationships/hyperlink" Target="https://fbref.com/en/players/a36524bf/matchlogs/2025-2026/summary/Calvin-Bassey-Match-Logs" TargetMode="External"/><Relationship Id="rId176" Type="http://schemas.openxmlformats.org/officeDocument/2006/relationships/hyperlink" Target="https://fbref.com/en/players/52c3244b/matchlogs/2025-2026/summary/Thierno-Barry-Match-Logs" TargetMode="External"/><Relationship Id="rId175" Type="http://schemas.openxmlformats.org/officeDocument/2006/relationships/hyperlink" Target="https://fbref.com/en/squads/d3fd31cc/Everton-Stats" TargetMode="External"/><Relationship Id="rId174" Type="http://schemas.openxmlformats.org/officeDocument/2006/relationships/hyperlink" Target="https://fbref.com/en/country/FRA/France-Football" TargetMode="External"/><Relationship Id="rId173" Type="http://schemas.openxmlformats.org/officeDocument/2006/relationships/hyperlink" Target="https://fbref.com/en/players/52c3244b/Thierno-Barry" TargetMode="External"/><Relationship Id="rId179" Type="http://schemas.openxmlformats.org/officeDocument/2006/relationships/hyperlink" Target="https://fbref.com/en/squads/fd962109/Fulham-Stats" TargetMode="External"/><Relationship Id="rId178" Type="http://schemas.openxmlformats.org/officeDocument/2006/relationships/hyperlink" Target="https://fbref.com/en/country/NGA/Nigeria-Football" TargetMode="External"/><Relationship Id="rId177" Type="http://schemas.openxmlformats.org/officeDocument/2006/relationships/hyperlink" Target="https://fbref.com/en/players/a36524bf/Calvin-Bassey" TargetMode="External"/><Relationship Id="rId1910" Type="http://schemas.openxmlformats.org/officeDocument/2006/relationships/hyperlink" Target="https://fbref.com/en/country/NOR/Norway-Football" TargetMode="External"/><Relationship Id="rId1911" Type="http://schemas.openxmlformats.org/officeDocument/2006/relationships/hyperlink" Target="https://fbref.com/en/squads/47c64c55/Crystal-Palace-Stats" TargetMode="External"/><Relationship Id="rId1912" Type="http://schemas.openxmlformats.org/officeDocument/2006/relationships/hyperlink" Target="https://fbref.com/en/players/f553b2b3/matchlogs/2025-2026/summary/Jorgen-Strand-Larsen-Match-Logs" TargetMode="External"/><Relationship Id="rId1913" Type="http://schemas.openxmlformats.org/officeDocument/2006/relationships/hyperlink" Target="https://fbref.com/en/players/f4d296e4/Pascal-Struijk" TargetMode="External"/><Relationship Id="rId1914" Type="http://schemas.openxmlformats.org/officeDocument/2006/relationships/hyperlink" Target="https://fbref.com/en/country/NED/Netherlands-Football" TargetMode="External"/><Relationship Id="rId1915" Type="http://schemas.openxmlformats.org/officeDocument/2006/relationships/hyperlink" Target="https://fbref.com/en/squads/5bfb9659/Leeds-United-Stats" TargetMode="External"/><Relationship Id="rId1916" Type="http://schemas.openxmlformats.org/officeDocument/2006/relationships/hyperlink" Target="https://fbref.com/en/players/f4d296e4/matchlogs/2025-2026/summary/Pascal-Struijk-Match-Logs" TargetMode="External"/><Relationship Id="rId1917" Type="http://schemas.openxmlformats.org/officeDocument/2006/relationships/hyperlink" Target="https://fbref.com/en/players/df04eb4b/Crysencio-Summerville" TargetMode="External"/><Relationship Id="rId1918" Type="http://schemas.openxmlformats.org/officeDocument/2006/relationships/hyperlink" Target="https://fbref.com/en/country/NED/Netherlands-Football" TargetMode="External"/><Relationship Id="rId1919" Type="http://schemas.openxmlformats.org/officeDocument/2006/relationships/hyperlink" Target="https://fbref.com/en/squads/7c21e445/West-Ham-United-Stats" TargetMode="External"/><Relationship Id="rId1900" Type="http://schemas.openxmlformats.org/officeDocument/2006/relationships/hyperlink" Target="https://fbref.com/en/players/0f59a7bf/matchlogs/2025-2026/summary/Anton-Stach-Match-Logs" TargetMode="External"/><Relationship Id="rId1901" Type="http://schemas.openxmlformats.org/officeDocument/2006/relationships/hyperlink" Target="https://fbref.com/en/players/5eecec3d/John-Stones" TargetMode="External"/><Relationship Id="rId1902" Type="http://schemas.openxmlformats.org/officeDocument/2006/relationships/hyperlink" Target="https://fbref.com/en/country/ENG/England-Football" TargetMode="External"/><Relationship Id="rId1903" Type="http://schemas.openxmlformats.org/officeDocument/2006/relationships/hyperlink" Target="https://fbref.com/en/squads/b8fd03ef/Manchester-City-Stats" TargetMode="External"/><Relationship Id="rId1904" Type="http://schemas.openxmlformats.org/officeDocument/2006/relationships/hyperlink" Target="https://fbref.com/en/players/5eecec3d/matchlogs/2025-2026/summary/John-Stones-Match-Logs" TargetMode="External"/><Relationship Id="rId1905" Type="http://schemas.openxmlformats.org/officeDocument/2006/relationships/hyperlink" Target="https://fbref.com/en/players/f553b2b3/Jorgen-Strand-Larsen" TargetMode="External"/><Relationship Id="rId1906" Type="http://schemas.openxmlformats.org/officeDocument/2006/relationships/hyperlink" Target="https://fbref.com/en/country/NOR/Norway-Football" TargetMode="External"/><Relationship Id="rId1907" Type="http://schemas.openxmlformats.org/officeDocument/2006/relationships/hyperlink" Target="https://fbref.com/en/squads/8cec06e1/Wolverhampton-Wanderers-Stats" TargetMode="External"/><Relationship Id="rId1908" Type="http://schemas.openxmlformats.org/officeDocument/2006/relationships/hyperlink" Target="https://fbref.com/en/players/f553b2b3/matchlogs/2025-2026/summary/Jorgen-Strand-Larsen-Match-Logs" TargetMode="External"/><Relationship Id="rId1909" Type="http://schemas.openxmlformats.org/officeDocument/2006/relationships/hyperlink" Target="https://fbref.com/en/players/f553b2b3/Jorgen-Strand-Larsen" TargetMode="External"/><Relationship Id="rId198" Type="http://schemas.openxmlformats.org/officeDocument/2006/relationships/hyperlink" Target="https://fbref.com/en/country/ENG/England-Football" TargetMode="External"/><Relationship Id="rId197" Type="http://schemas.openxmlformats.org/officeDocument/2006/relationships/hyperlink" Target="https://fbref.com/en/players/68db6358/Daniel-Bentley" TargetMode="External"/><Relationship Id="rId196" Type="http://schemas.openxmlformats.org/officeDocument/2006/relationships/hyperlink" Target="https://fbref.com/en/players/3b8674e6/matchlogs/2025-2026/summary/Rodrigo-Bentancur-Match-Logs" TargetMode="External"/><Relationship Id="rId195" Type="http://schemas.openxmlformats.org/officeDocument/2006/relationships/hyperlink" Target="https://fbref.com/en/squads/361ca564/Tottenham-Hotspur-Stats" TargetMode="External"/><Relationship Id="rId199" Type="http://schemas.openxmlformats.org/officeDocument/2006/relationships/hyperlink" Target="https://fbref.com/en/squads/8cec06e1/Wolverhampton-Wanderers-Stats" TargetMode="External"/><Relationship Id="rId150" Type="http://schemas.openxmlformats.org/officeDocument/2006/relationships/hyperlink" Target="https://fbref.com/en/country/FRA/France-Football" TargetMode="External"/><Relationship Id="rId149" Type="http://schemas.openxmlformats.org/officeDocument/2006/relationships/hyperlink" Target="https://fbref.com/en/players/2b5a35e5/Dilane-Bakwa" TargetMode="External"/><Relationship Id="rId148" Type="http://schemas.openxmlformats.org/officeDocument/2006/relationships/hyperlink" Target="https://fbref.com/en/players/3a233281/matchlogs/2025-2026/summary/Leon-Bailey-Match-Logs" TargetMode="External"/><Relationship Id="rId1090" Type="http://schemas.openxmlformats.org/officeDocument/2006/relationships/hyperlink" Target="https://fbref.com/en/country/BRA/Brazil-Football" TargetMode="External"/><Relationship Id="rId1091" Type="http://schemas.openxmlformats.org/officeDocument/2006/relationships/hyperlink" Target="https://fbref.com/en/squads/fd962109/Fulham-Stats" TargetMode="External"/><Relationship Id="rId1092" Type="http://schemas.openxmlformats.org/officeDocument/2006/relationships/hyperlink" Target="https://fbref.com/en/players/93508980/matchlogs/2025-2026/summary/Kevin-Match-Logs" TargetMode="External"/><Relationship Id="rId1093" Type="http://schemas.openxmlformats.org/officeDocument/2006/relationships/hyperlink" Target="https://fbref.com/en/players/d17ce930/Abdukodir-Khusanov" TargetMode="External"/><Relationship Id="rId1094" Type="http://schemas.openxmlformats.org/officeDocument/2006/relationships/hyperlink" Target="https://fbref.com/en/country/UZB/Uzbekistan-Football" TargetMode="External"/><Relationship Id="rId143" Type="http://schemas.openxmlformats.org/officeDocument/2006/relationships/hyperlink" Target="https://fbref.com/en/squads/cff3d9bb/Chelsea-Stats" TargetMode="External"/><Relationship Id="rId1095" Type="http://schemas.openxmlformats.org/officeDocument/2006/relationships/hyperlink" Target="https://fbref.com/en/squads/b8fd03ef/Manchester-City-Stats" TargetMode="External"/><Relationship Id="rId142" Type="http://schemas.openxmlformats.org/officeDocument/2006/relationships/hyperlink" Target="https://fbref.com/en/country/FRA/France-Football" TargetMode="External"/><Relationship Id="rId1096" Type="http://schemas.openxmlformats.org/officeDocument/2006/relationships/hyperlink" Target="https://fbref.com/en/players/d17ce930/matchlogs/2025-2026/summary/Abdukodir-Khusanov-Match-Logs" TargetMode="External"/><Relationship Id="rId141" Type="http://schemas.openxmlformats.org/officeDocument/2006/relationships/hyperlink" Target="https://fbref.com/en/players/06df8256/Benoit-Badiashile" TargetMode="External"/><Relationship Id="rId1097" Type="http://schemas.openxmlformats.org/officeDocument/2006/relationships/hyperlink" Target="https://fbref.com/en/players/d0f72bf1/Max-Kilman" TargetMode="External"/><Relationship Id="rId140" Type="http://schemas.openxmlformats.org/officeDocument/2006/relationships/hyperlink" Target="https://fbref.com/en/players/f173303a/matchlogs/2025-2026/summary/Yasin-Ayari-Match-Logs" TargetMode="External"/><Relationship Id="rId1098" Type="http://schemas.openxmlformats.org/officeDocument/2006/relationships/hyperlink" Target="https://fbref.com/en/country/ENG/England-Football" TargetMode="External"/><Relationship Id="rId147" Type="http://schemas.openxmlformats.org/officeDocument/2006/relationships/hyperlink" Target="https://fbref.com/en/squads/8602292d/Aston-Villa-Stats" TargetMode="External"/><Relationship Id="rId1099" Type="http://schemas.openxmlformats.org/officeDocument/2006/relationships/hyperlink" Target="https://fbref.com/en/squads/7c21e445/West-Ham-United-Stats" TargetMode="External"/><Relationship Id="rId146" Type="http://schemas.openxmlformats.org/officeDocument/2006/relationships/hyperlink" Target="https://fbref.com/en/country/JAM/Jamaica-Football" TargetMode="External"/><Relationship Id="rId145" Type="http://schemas.openxmlformats.org/officeDocument/2006/relationships/hyperlink" Target="https://fbref.com/en/players/3a233281/Leon-Bailey" TargetMode="External"/><Relationship Id="rId144" Type="http://schemas.openxmlformats.org/officeDocument/2006/relationships/hyperlink" Target="https://fbref.com/en/players/06df8256/matchlogs/2025-2026/summary/Benoit-Badiashile-Match-Logs" TargetMode="External"/><Relationship Id="rId139" Type="http://schemas.openxmlformats.org/officeDocument/2006/relationships/hyperlink" Target="https://fbref.com/en/squads/d07537b9/Brighton-and-Hove-Albion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f173303a/Yasin-Ayari" TargetMode="External"/><Relationship Id="rId1080" Type="http://schemas.openxmlformats.org/officeDocument/2006/relationships/hyperlink" Target="https://fbref.com/en/players/c5b7c315/matchlogs/2025-2026/summary/Michael-Keane-Match-Logs" TargetMode="External"/><Relationship Id="rId1081" Type="http://schemas.openxmlformats.org/officeDocument/2006/relationships/hyperlink" Target="https://fbref.com/en/players/62d7ef38/Caoimhin-Kelleher" TargetMode="External"/><Relationship Id="rId1082" Type="http://schemas.openxmlformats.org/officeDocument/2006/relationships/hyperlink" Target="https://fbref.com/en/country/IRL/Republic-of-Ireland-Football" TargetMode="External"/><Relationship Id="rId1083" Type="http://schemas.openxmlformats.org/officeDocument/2006/relationships/hyperlink" Target="https://fbref.com/en/squads/cd051869/Brentford-Stats" TargetMode="External"/><Relationship Id="rId132" Type="http://schemas.openxmlformats.org/officeDocument/2006/relationships/hyperlink" Target="https://fbref.com/en/players/28d596a0/matchlogs/2025-2026/summary/Kepa-Arrizabalaga-Match-Logs" TargetMode="External"/><Relationship Id="rId1084" Type="http://schemas.openxmlformats.org/officeDocument/2006/relationships/hyperlink" Target="https://fbref.com/en/players/62d7ef38/matchlogs/2025-2026/summary/Caoimhin-Kelleher-Match-Logs" TargetMode="External"/><Relationship Id="rId131" Type="http://schemas.openxmlformats.org/officeDocument/2006/relationships/hyperlink" Target="https://fbref.com/en/squads/18bb7c10/Arsenal-Stats" TargetMode="External"/><Relationship Id="rId1085" Type="http://schemas.openxmlformats.org/officeDocument/2006/relationships/hyperlink" Target="https://fbref.com/en/players/0ad53bdc/Milos-Kerkez" TargetMode="External"/><Relationship Id="rId130" Type="http://schemas.openxmlformats.org/officeDocument/2006/relationships/hyperlink" Target="https://fbref.com/en/country/ESP/Spain-Football" TargetMode="External"/><Relationship Id="rId1086" Type="http://schemas.openxmlformats.org/officeDocument/2006/relationships/hyperlink" Target="https://fbref.com/en/country/HUN/Hungary-Football" TargetMode="External"/><Relationship Id="rId1087" Type="http://schemas.openxmlformats.org/officeDocument/2006/relationships/hyperlink" Target="https://fbref.com/en/squads/822bd0ba/Liverpool-Stats" TargetMode="External"/><Relationship Id="rId136" Type="http://schemas.openxmlformats.org/officeDocument/2006/relationships/hyperlink" Target="https://fbref.com/en/players/e5478b87/matchlogs/2025-2026/summary/Taiwo-Awoniyi-Match-Logs" TargetMode="External"/><Relationship Id="rId1088" Type="http://schemas.openxmlformats.org/officeDocument/2006/relationships/hyperlink" Target="https://fbref.com/en/players/0ad53bdc/matchlogs/2025-2026/summary/Milos-Kerkez-Match-Logs" TargetMode="External"/><Relationship Id="rId135" Type="http://schemas.openxmlformats.org/officeDocument/2006/relationships/hyperlink" Target="https://fbref.com/en/squads/e4a775cb/Nottingham-Forest-Stats" TargetMode="External"/><Relationship Id="rId1089" Type="http://schemas.openxmlformats.org/officeDocument/2006/relationships/hyperlink" Target="https://fbref.com/en/players/93508980/Kevin" TargetMode="External"/><Relationship Id="rId134" Type="http://schemas.openxmlformats.org/officeDocument/2006/relationships/hyperlink" Target="https://fbref.com/en/country/NGA/Nigeria-Football" TargetMode="External"/><Relationship Id="rId133" Type="http://schemas.openxmlformats.org/officeDocument/2006/relationships/hyperlink" Target="https://fbref.com/en/players/e5478b87/Taiwo-Awoniyi" TargetMode="External"/><Relationship Id="rId172" Type="http://schemas.openxmlformats.org/officeDocument/2006/relationships/hyperlink" Target="https://fbref.com/en/players/3ea50f67/matchlogs/2025-2026/summary/Harvey-Barnes-Match-Logs" TargetMode="External"/><Relationship Id="rId171" Type="http://schemas.openxmlformats.org/officeDocument/2006/relationships/hyperlink" Target="https://fbref.com/en/squads/b2b47a98/Newcastle-United-Stats" TargetMode="External"/><Relationship Id="rId170" Type="http://schemas.openxmlformats.org/officeDocument/2006/relationships/hyperlink" Target="https://fbref.com/en/country/ENG/England-Football" TargetMode="External"/><Relationship Id="rId165" Type="http://schemas.openxmlformats.org/officeDocument/2006/relationships/hyperlink" Target="https://fbref.com/en/players/2691c772/Ashley-Barnes" TargetMode="External"/><Relationship Id="rId164" Type="http://schemas.openxmlformats.org/officeDocument/2006/relationships/hyperlink" Target="https://fbref.com/en/players/3a24769f/matchlogs/2025-2026/summary/Ross-Barkley-Match-Logs" TargetMode="External"/><Relationship Id="rId163" Type="http://schemas.openxmlformats.org/officeDocument/2006/relationships/hyperlink" Target="https://fbref.com/en/squads/8602292d/Aston-Villa-Stats" TargetMode="External"/><Relationship Id="rId162" Type="http://schemas.openxmlformats.org/officeDocument/2006/relationships/hyperlink" Target="https://fbref.com/en/country/ENG/England-Football" TargetMode="External"/><Relationship Id="rId169" Type="http://schemas.openxmlformats.org/officeDocument/2006/relationships/hyperlink" Target="https://fbref.com/en/players/3ea50f67/Harvey-Barnes" TargetMode="External"/><Relationship Id="rId168" Type="http://schemas.openxmlformats.org/officeDocument/2006/relationships/hyperlink" Target="https://fbref.com/en/players/2691c772/matchlogs/2025-2026/summary/Ashley-Barnes-Match-Logs" TargetMode="External"/><Relationship Id="rId167" Type="http://schemas.openxmlformats.org/officeDocument/2006/relationships/hyperlink" Target="https://fbref.com/en/squads/943e8050/Burnley-Stats" TargetMode="External"/><Relationship Id="rId166" Type="http://schemas.openxmlformats.org/officeDocument/2006/relationships/hyperlink" Target="https://fbref.com/en/country/ENG/England-Football" TargetMode="External"/><Relationship Id="rId161" Type="http://schemas.openxmlformats.org/officeDocument/2006/relationships/hyperlink" Target="https://fbref.com/en/players/3a24769f/Ross-Barkley" TargetMode="External"/><Relationship Id="rId160" Type="http://schemas.openxmlformats.org/officeDocument/2006/relationships/hyperlink" Target="https://fbref.com/en/players/38f300f3/matchlogs/2025-2026/summary/Daniel-Ballard-Match-Logs" TargetMode="External"/><Relationship Id="rId159" Type="http://schemas.openxmlformats.org/officeDocument/2006/relationships/hyperlink" Target="https://fbref.com/en/squads/8ef52968/Sunderland-Stats" TargetMode="External"/><Relationship Id="rId154" Type="http://schemas.openxmlformats.org/officeDocument/2006/relationships/hyperlink" Target="https://fbref.com/en/country/CMR/Cameroon-Football" TargetMode="External"/><Relationship Id="rId153" Type="http://schemas.openxmlformats.org/officeDocument/2006/relationships/hyperlink" Target="https://fbref.com/en/players/a1390d2f/Carlos-Baleba" TargetMode="External"/><Relationship Id="rId152" Type="http://schemas.openxmlformats.org/officeDocument/2006/relationships/hyperlink" Target="https://fbref.com/en/players/2b5a35e5/matchlogs/2025-2026/summary/Dilane-Bakwa-Match-Logs" TargetMode="External"/><Relationship Id="rId151" Type="http://schemas.openxmlformats.org/officeDocument/2006/relationships/hyperlink" Target="https://fbref.com/en/squads/e4a775cb/Nottingham-Forest-Stats" TargetMode="External"/><Relationship Id="rId158" Type="http://schemas.openxmlformats.org/officeDocument/2006/relationships/hyperlink" Target="https://fbref.com/en/country/NIR/Northern-Ireland-Football" TargetMode="External"/><Relationship Id="rId157" Type="http://schemas.openxmlformats.org/officeDocument/2006/relationships/hyperlink" Target="https://fbref.com/en/players/38f300f3/Daniel-Ballard" TargetMode="External"/><Relationship Id="rId156" Type="http://schemas.openxmlformats.org/officeDocument/2006/relationships/hyperlink" Target="https://fbref.com/en/players/a1390d2f/matchlogs/2025-2026/summary/Carlos-Baleba-Match-Logs" TargetMode="External"/><Relationship Id="rId155" Type="http://schemas.openxmlformats.org/officeDocument/2006/relationships/hyperlink" Target="https://fbref.com/en/squads/d07537b9/Brighton-and-Hove-Albion-Stats" TargetMode="External"/><Relationship Id="rId1972" Type="http://schemas.openxmlformats.org/officeDocument/2006/relationships/hyperlink" Target="https://fbref.com/en/players/56f7a928/matchlogs/2025-2026/summary/Youri-Tielemans-Match-Logs" TargetMode="External"/><Relationship Id="rId1973" Type="http://schemas.openxmlformats.org/officeDocument/2006/relationships/hyperlink" Target="https://fbref.com/en/players/41034650/Jurrien-Timber" TargetMode="External"/><Relationship Id="rId1974" Type="http://schemas.openxmlformats.org/officeDocument/2006/relationships/hyperlink" Target="https://fbref.com/en/country/NED/Netherlands-Football" TargetMode="External"/><Relationship Id="rId1975" Type="http://schemas.openxmlformats.org/officeDocument/2006/relationships/hyperlink" Target="https://fbref.com/en/squads/18bb7c10/Arsenal-Stats" TargetMode="External"/><Relationship Id="rId1976" Type="http://schemas.openxmlformats.org/officeDocument/2006/relationships/hyperlink" Target="https://fbref.com/en/players/41034650/matchlogs/2025-2026/summary/Jurrien-Timber-Match-Logs" TargetMode="External"/><Relationship Id="rId1977" Type="http://schemas.openxmlformats.org/officeDocument/2006/relationships/hyperlink" Target="https://fbref.com/en/players/88f130ed/Jean-Clair-Todibo" TargetMode="External"/><Relationship Id="rId1978" Type="http://schemas.openxmlformats.org/officeDocument/2006/relationships/hyperlink" Target="https://fbref.com/en/country/FRA/France-Football" TargetMode="External"/><Relationship Id="rId1979" Type="http://schemas.openxmlformats.org/officeDocument/2006/relationships/hyperlink" Target="https://fbref.com/en/squads/7c21e445/West-Ham-United-Stats" TargetMode="External"/><Relationship Id="rId1970" Type="http://schemas.openxmlformats.org/officeDocument/2006/relationships/hyperlink" Target="https://fbref.com/en/country/BEL/Belgium-Football" TargetMode="External"/><Relationship Id="rId1971" Type="http://schemas.openxmlformats.org/officeDocument/2006/relationships/hyperlink" Target="https://fbref.com/en/squads/8602292d/Aston-Villa-Stats" TargetMode="External"/><Relationship Id="rId1961" Type="http://schemas.openxmlformats.org/officeDocument/2006/relationships/hyperlink" Target="https://fbref.com/en/players/dc45ac24/Igor-Thiago" TargetMode="External"/><Relationship Id="rId1962" Type="http://schemas.openxmlformats.org/officeDocument/2006/relationships/hyperlink" Target="https://fbref.com/en/country/BRA/Brazil-Football" TargetMode="External"/><Relationship Id="rId1963" Type="http://schemas.openxmlformats.org/officeDocument/2006/relationships/hyperlink" Target="https://fbref.com/en/squads/cd051869/Brentford-Stats" TargetMode="External"/><Relationship Id="rId1964" Type="http://schemas.openxmlformats.org/officeDocument/2006/relationships/hyperlink" Target="https://fbref.com/en/players/dc45ac24/matchlogs/2025-2026/summary/Igor-Thiago-Match-Logs" TargetMode="External"/><Relationship Id="rId1965" Type="http://schemas.openxmlformats.org/officeDocument/2006/relationships/hyperlink" Target="https://fbref.com/en/players/ff5ea0bf/Malick-Thiaw" TargetMode="External"/><Relationship Id="rId1966" Type="http://schemas.openxmlformats.org/officeDocument/2006/relationships/hyperlink" Target="https://fbref.com/en/country/GER/Germany-Football" TargetMode="External"/><Relationship Id="rId1967" Type="http://schemas.openxmlformats.org/officeDocument/2006/relationships/hyperlink" Target="https://fbref.com/en/squads/b2b47a98/Newcastle-United-Stats" TargetMode="External"/><Relationship Id="rId1968" Type="http://schemas.openxmlformats.org/officeDocument/2006/relationships/hyperlink" Target="https://fbref.com/en/players/ff5ea0bf/matchlogs/2025-2026/summary/Malick-Thiaw-Match-Logs" TargetMode="External"/><Relationship Id="rId1969" Type="http://schemas.openxmlformats.org/officeDocument/2006/relationships/hyperlink" Target="https://fbref.com/en/players/56f7a928/Youri-Tielemans" TargetMode="External"/><Relationship Id="rId1960" Type="http://schemas.openxmlformats.org/officeDocument/2006/relationships/hyperlink" Target="https://fbref.com/en/players/77d7c96f/matchlogs/2025-2026/summary/Kenny-Tete-Match-Logs" TargetMode="External"/><Relationship Id="rId1510" Type="http://schemas.openxmlformats.org/officeDocument/2006/relationships/hyperlink" Target="https://fbref.com/en/country/ENG/England-Football" TargetMode="External"/><Relationship Id="rId1994" Type="http://schemas.openxmlformats.org/officeDocument/2006/relationships/hyperlink" Target="https://fbref.com/en/country/ENG/England-Football" TargetMode="External"/><Relationship Id="rId1511" Type="http://schemas.openxmlformats.org/officeDocument/2006/relationships/hyperlink" Target="https://fbref.com/en/squads/822bd0ba/Liverpool-Stats" TargetMode="External"/><Relationship Id="rId1995" Type="http://schemas.openxmlformats.org/officeDocument/2006/relationships/hyperlink" Target="https://fbref.com/en/squads/b8fd03ef/Manchester-City-Stats" TargetMode="External"/><Relationship Id="rId1512" Type="http://schemas.openxmlformats.org/officeDocument/2006/relationships/hyperlink" Target="https://fbref.com/en/players/022eca88/matchlogs/2025-2026/summary/Rio-Ngumoha-Match-Logs" TargetMode="External"/><Relationship Id="rId1996" Type="http://schemas.openxmlformats.org/officeDocument/2006/relationships/hyperlink" Target="https://fbref.com/en/players/259fea27/matchlogs/2025-2026/summary/James-Trafford-Match-Logs" TargetMode="External"/><Relationship Id="rId1513" Type="http://schemas.openxmlformats.org/officeDocument/2006/relationships/hyperlink" Target="https://fbref.com/en/players/a53649b7/Eddie-Nketiah" TargetMode="External"/><Relationship Id="rId1997" Type="http://schemas.openxmlformats.org/officeDocument/2006/relationships/hyperlink" Target="https://fbref.com/en/players/9a28eba4/Adama-Traore" TargetMode="External"/><Relationship Id="rId1514" Type="http://schemas.openxmlformats.org/officeDocument/2006/relationships/hyperlink" Target="https://fbref.com/en/country/ENG/England-Football" TargetMode="External"/><Relationship Id="rId1998" Type="http://schemas.openxmlformats.org/officeDocument/2006/relationships/hyperlink" Target="https://fbref.com/en/country/ESP/Spain-Football" TargetMode="External"/><Relationship Id="rId1515" Type="http://schemas.openxmlformats.org/officeDocument/2006/relationships/hyperlink" Target="https://fbref.com/en/squads/47c64c55/Crystal-Palace-Stats" TargetMode="External"/><Relationship Id="rId1999" Type="http://schemas.openxmlformats.org/officeDocument/2006/relationships/hyperlink" Target="https://fbref.com/en/squads/fd962109/Fulham-Stats" TargetMode="External"/><Relationship Id="rId1516" Type="http://schemas.openxmlformats.org/officeDocument/2006/relationships/hyperlink" Target="https://fbref.com/en/players/a53649b7/matchlogs/2025-2026/summary/Eddie-Nketiah-Match-Logs" TargetMode="External"/><Relationship Id="rId1517" Type="http://schemas.openxmlformats.org/officeDocument/2006/relationships/hyperlink" Target="https://fbref.com/en/players/0cc5f4a5/Lukas-Nmecha" TargetMode="External"/><Relationship Id="rId1518" Type="http://schemas.openxmlformats.org/officeDocument/2006/relationships/hyperlink" Target="https://fbref.com/en/country/GER/Germany-Football" TargetMode="External"/><Relationship Id="rId1519" Type="http://schemas.openxmlformats.org/officeDocument/2006/relationships/hyperlink" Target="https://fbref.com/en/squads/5bfb9659/Leeds-United-Stats" TargetMode="External"/><Relationship Id="rId1990" Type="http://schemas.openxmlformats.org/officeDocument/2006/relationships/hyperlink" Target="https://fbref.com/en/country/HUN/Hungary-Football" TargetMode="External"/><Relationship Id="rId1991" Type="http://schemas.openxmlformats.org/officeDocument/2006/relationships/hyperlink" Target="https://fbref.com/en/squads/4ba7cbea/Bournemouth-Stats" TargetMode="External"/><Relationship Id="rId1992" Type="http://schemas.openxmlformats.org/officeDocument/2006/relationships/hyperlink" Target="https://fbref.com/en/players/5e18c6f4/matchlogs/2025-2026/summary/Alex-Toth-Match-Logs" TargetMode="External"/><Relationship Id="rId1993" Type="http://schemas.openxmlformats.org/officeDocument/2006/relationships/hyperlink" Target="https://fbref.com/en/players/259fea27/James-Trafford" TargetMode="External"/><Relationship Id="rId1983" Type="http://schemas.openxmlformats.org/officeDocument/2006/relationships/hyperlink" Target="https://fbref.com/en/squads/b2b47a98/Newcastle-United-Stats" TargetMode="External"/><Relationship Id="rId1500" Type="http://schemas.openxmlformats.org/officeDocument/2006/relationships/hyperlink" Target="https://fbref.com/en/players/c5bdb6e3/matchlogs/2025-2026/summary/Reiss-Nelson-Match-Logs" TargetMode="External"/><Relationship Id="rId1984" Type="http://schemas.openxmlformats.org/officeDocument/2006/relationships/hyperlink" Target="https://fbref.com/en/players/0db169ae/matchlogs/2025-2026/summary/Sandro-Tonali-Match-Logs" TargetMode="External"/><Relationship Id="rId1501" Type="http://schemas.openxmlformats.org/officeDocument/2006/relationships/hyperlink" Target="https://fbref.com/en/players/7ba2eaa9/Pedro-Neto" TargetMode="External"/><Relationship Id="rId1985" Type="http://schemas.openxmlformats.org/officeDocument/2006/relationships/hyperlink" Target="https://fbref.com/en/players/532e1e4f/Pau-Torres" TargetMode="External"/><Relationship Id="rId1502" Type="http://schemas.openxmlformats.org/officeDocument/2006/relationships/hyperlink" Target="https://fbref.com/en/country/POR/Portugal-Football" TargetMode="External"/><Relationship Id="rId1986" Type="http://schemas.openxmlformats.org/officeDocument/2006/relationships/hyperlink" Target="https://fbref.com/en/country/ESP/Spain-Football" TargetMode="External"/><Relationship Id="rId1503" Type="http://schemas.openxmlformats.org/officeDocument/2006/relationships/hyperlink" Target="https://fbref.com/en/squads/cff3d9bb/Chelsea-Stats" TargetMode="External"/><Relationship Id="rId1987" Type="http://schemas.openxmlformats.org/officeDocument/2006/relationships/hyperlink" Target="https://fbref.com/en/squads/8602292d/Aston-Villa-Stats" TargetMode="External"/><Relationship Id="rId1504" Type="http://schemas.openxmlformats.org/officeDocument/2006/relationships/hyperlink" Target="https://fbref.com/en/players/7ba2eaa9/matchlogs/2025-2026/summary/Pedro-Neto-Match-Logs" TargetMode="External"/><Relationship Id="rId1988" Type="http://schemas.openxmlformats.org/officeDocument/2006/relationships/hyperlink" Target="https://fbref.com/en/players/532e1e4f/matchlogs/2025-2026/summary/Pau-Torres-Match-Logs" TargetMode="External"/><Relationship Id="rId1505" Type="http://schemas.openxmlformats.org/officeDocument/2006/relationships/hyperlink" Target="https://fbref.com/en/players/e79269bd/Luca-Netz" TargetMode="External"/><Relationship Id="rId1989" Type="http://schemas.openxmlformats.org/officeDocument/2006/relationships/hyperlink" Target="https://fbref.com/en/players/5e18c6f4/Alex-Toth" TargetMode="External"/><Relationship Id="rId1506" Type="http://schemas.openxmlformats.org/officeDocument/2006/relationships/hyperlink" Target="https://fbref.com/en/country/GER/Germany-Football" TargetMode="External"/><Relationship Id="rId1507" Type="http://schemas.openxmlformats.org/officeDocument/2006/relationships/hyperlink" Target="https://fbref.com/en/squads/e4a775cb/Nottingham-Forest-Stats" TargetMode="External"/><Relationship Id="rId1508" Type="http://schemas.openxmlformats.org/officeDocument/2006/relationships/hyperlink" Target="https://fbref.com/en/players/e79269bd/matchlogs/2025-2026/summary/Luca-Netz-Match-Logs" TargetMode="External"/><Relationship Id="rId1509" Type="http://schemas.openxmlformats.org/officeDocument/2006/relationships/hyperlink" Target="https://fbref.com/en/players/022eca88/Rio-Ngumoha" TargetMode="External"/><Relationship Id="rId1980" Type="http://schemas.openxmlformats.org/officeDocument/2006/relationships/hyperlink" Target="https://fbref.com/en/players/88f130ed/matchlogs/2025-2026/summary/Jean-Clair-Todibo-Match-Logs" TargetMode="External"/><Relationship Id="rId1981" Type="http://schemas.openxmlformats.org/officeDocument/2006/relationships/hyperlink" Target="https://fbref.com/en/players/0db169ae/Sandro-Tonali" TargetMode="External"/><Relationship Id="rId1982" Type="http://schemas.openxmlformats.org/officeDocument/2006/relationships/hyperlink" Target="https://fbref.com/en/country/ITA/Italy-Football" TargetMode="External"/><Relationship Id="rId1930" Type="http://schemas.openxmlformats.org/officeDocument/2006/relationships/hyperlink" Target="https://fbref.com/en/country/MAR/Morocco-Football" TargetMode="External"/><Relationship Id="rId1931" Type="http://schemas.openxmlformats.org/officeDocument/2006/relationships/hyperlink" Target="https://fbref.com/en/squads/8ef52968/Sunderland-Stats" TargetMode="External"/><Relationship Id="rId1932" Type="http://schemas.openxmlformats.org/officeDocument/2006/relationships/hyperlink" Target="https://fbref.com/en/players/47ce793b/matchlogs/2025-2026/summary/Chemsdine-Talbi-Match-Logs" TargetMode="External"/><Relationship Id="rId1933" Type="http://schemas.openxmlformats.org/officeDocument/2006/relationships/hyperlink" Target="https://fbref.com/en/players/1d36d6b6/Ao-Tanaka" TargetMode="External"/><Relationship Id="rId1934" Type="http://schemas.openxmlformats.org/officeDocument/2006/relationships/hyperlink" Target="https://fbref.com/en/country/JPN/Japan-Football" TargetMode="External"/><Relationship Id="rId1935" Type="http://schemas.openxmlformats.org/officeDocument/2006/relationships/hyperlink" Target="https://fbref.com/en/squads/5bfb9659/Leeds-United-Stats" TargetMode="External"/><Relationship Id="rId1936" Type="http://schemas.openxmlformats.org/officeDocument/2006/relationships/hyperlink" Target="https://fbref.com/en/players/1d36d6b6/matchlogs/2025-2026/summary/Ao-Tanaka-Match-Logs" TargetMode="External"/><Relationship Id="rId1937" Type="http://schemas.openxmlformats.org/officeDocument/2006/relationships/hyperlink" Target="https://fbref.com/en/players/15ea812b/James-Tarkowski" TargetMode="External"/><Relationship Id="rId1938" Type="http://schemas.openxmlformats.org/officeDocument/2006/relationships/hyperlink" Target="https://fbref.com/en/country/ENG/England-Football" TargetMode="External"/><Relationship Id="rId1939" Type="http://schemas.openxmlformats.org/officeDocument/2006/relationships/hyperlink" Target="https://fbref.com/en/squads/d3fd31cc/Everton-Stats" TargetMode="External"/><Relationship Id="rId1920" Type="http://schemas.openxmlformats.org/officeDocument/2006/relationships/hyperlink" Target="https://fbref.com/en/players/df04eb4b/matchlogs/2025-2026/summary/Crysencio-Summerville-Match-Logs" TargetMode="External"/><Relationship Id="rId1921" Type="http://schemas.openxmlformats.org/officeDocument/2006/relationships/hyperlink" Target="https://fbref.com/en/players/934e1968/Dominik-Szoboszlai" TargetMode="External"/><Relationship Id="rId1922" Type="http://schemas.openxmlformats.org/officeDocument/2006/relationships/hyperlink" Target="https://fbref.com/en/country/HUN/Hungary-Football" TargetMode="External"/><Relationship Id="rId1923" Type="http://schemas.openxmlformats.org/officeDocument/2006/relationships/hyperlink" Target="https://fbref.com/en/squads/822bd0ba/Liverpool-Stats" TargetMode="External"/><Relationship Id="rId1924" Type="http://schemas.openxmlformats.org/officeDocument/2006/relationships/hyperlink" Target="https://fbref.com/en/players/934e1968/matchlogs/2025-2026/summary/Dominik-Szoboszlai-Match-Logs" TargetMode="External"/><Relationship Id="rId1925" Type="http://schemas.openxmlformats.org/officeDocument/2006/relationships/hyperlink" Target="https://fbref.com/en/players/1f019509/Jocelin-Ta-Bi" TargetMode="External"/><Relationship Id="rId1926" Type="http://schemas.openxmlformats.org/officeDocument/2006/relationships/hyperlink" Target="https://fbref.com/en/country/CIV/Cote-dIvoire-Football" TargetMode="External"/><Relationship Id="rId1927" Type="http://schemas.openxmlformats.org/officeDocument/2006/relationships/hyperlink" Target="https://fbref.com/en/squads/8ef52968/Sunderland-Stats" TargetMode="External"/><Relationship Id="rId1928" Type="http://schemas.openxmlformats.org/officeDocument/2006/relationships/hyperlink" Target="https://fbref.com/en/players/1f019509/matchlogs/2025-2026/summary/Jocelin-Ta-Bi-Match-Logs" TargetMode="External"/><Relationship Id="rId1929" Type="http://schemas.openxmlformats.org/officeDocument/2006/relationships/hyperlink" Target="https://fbref.com/en/players/47ce793b/Chemsdine-Talbi" TargetMode="External"/><Relationship Id="rId1950" Type="http://schemas.openxmlformats.org/officeDocument/2006/relationships/hyperlink" Target="https://fbref.com/en/country/CMR/Cameroon-Football" TargetMode="External"/><Relationship Id="rId1951" Type="http://schemas.openxmlformats.org/officeDocument/2006/relationships/hyperlink" Target="https://fbref.com/en/squads/8cec06e1/Wolverhampton-Wanderers-Stats" TargetMode="External"/><Relationship Id="rId1952" Type="http://schemas.openxmlformats.org/officeDocument/2006/relationships/hyperlink" Target="https://fbref.com/en/players/aeca7743/matchlogs/2025-2026/summary/Jackson-Tchatchoua-Match-Logs" TargetMode="External"/><Relationship Id="rId1953" Type="http://schemas.openxmlformats.org/officeDocument/2006/relationships/hyperlink" Target="https://fbref.com/en/players/829aa60c/Mathys-Tel" TargetMode="External"/><Relationship Id="rId1954" Type="http://schemas.openxmlformats.org/officeDocument/2006/relationships/hyperlink" Target="https://fbref.com/en/country/FRA/France-Football" TargetMode="External"/><Relationship Id="rId1955" Type="http://schemas.openxmlformats.org/officeDocument/2006/relationships/hyperlink" Target="https://fbref.com/en/squads/361ca564/Tottenham-Hotspur-Stats" TargetMode="External"/><Relationship Id="rId1956" Type="http://schemas.openxmlformats.org/officeDocument/2006/relationships/hyperlink" Target="https://fbref.com/en/players/829aa60c/matchlogs/2025-2026/summary/Mathys-Tel-Match-Logs" TargetMode="External"/><Relationship Id="rId1957" Type="http://schemas.openxmlformats.org/officeDocument/2006/relationships/hyperlink" Target="https://fbref.com/en/players/77d7c96f/Kenny-Tete" TargetMode="External"/><Relationship Id="rId1958" Type="http://schemas.openxmlformats.org/officeDocument/2006/relationships/hyperlink" Target="https://fbref.com/en/country/NED/Netherlands-Football" TargetMode="External"/><Relationship Id="rId1959" Type="http://schemas.openxmlformats.org/officeDocument/2006/relationships/hyperlink" Target="https://fbref.com/en/squads/fd962109/Fulham-Stats" TargetMode="External"/><Relationship Id="rId1940" Type="http://schemas.openxmlformats.org/officeDocument/2006/relationships/hyperlink" Target="https://fbref.com/en/players/15ea812b/matchlogs/2025-2026/summary/James-Tarkowski-Match-Logs" TargetMode="External"/><Relationship Id="rId1941" Type="http://schemas.openxmlformats.org/officeDocument/2006/relationships/hyperlink" Target="https://fbref.com/en/players/5c0da4a4/Marcus-Tavernier" TargetMode="External"/><Relationship Id="rId1942" Type="http://schemas.openxmlformats.org/officeDocument/2006/relationships/hyperlink" Target="https://fbref.com/en/country/ENG/England-Football" TargetMode="External"/><Relationship Id="rId1943" Type="http://schemas.openxmlformats.org/officeDocument/2006/relationships/hyperlink" Target="https://fbref.com/en/squads/4ba7cbea/Bournemouth-Stats" TargetMode="External"/><Relationship Id="rId1944" Type="http://schemas.openxmlformats.org/officeDocument/2006/relationships/hyperlink" Target="https://fbref.com/en/players/5c0da4a4/matchlogs/2025-2026/summary/Marcus-Tavernier-Match-Logs" TargetMode="External"/><Relationship Id="rId1945" Type="http://schemas.openxmlformats.org/officeDocument/2006/relationships/hyperlink" Target="https://fbref.com/en/players/a3c8b4d3/Loum-Tchaouna" TargetMode="External"/><Relationship Id="rId1946" Type="http://schemas.openxmlformats.org/officeDocument/2006/relationships/hyperlink" Target="https://fbref.com/en/country/FRA/France-Football" TargetMode="External"/><Relationship Id="rId1947" Type="http://schemas.openxmlformats.org/officeDocument/2006/relationships/hyperlink" Target="https://fbref.com/en/squads/943e8050/Burnley-Stats" TargetMode="External"/><Relationship Id="rId1948" Type="http://schemas.openxmlformats.org/officeDocument/2006/relationships/hyperlink" Target="https://fbref.com/en/players/a3c8b4d3/matchlogs/2025-2026/summary/Loum-Tchaouna-Match-Logs" TargetMode="External"/><Relationship Id="rId1949" Type="http://schemas.openxmlformats.org/officeDocument/2006/relationships/hyperlink" Target="https://fbref.com/en/players/aeca7743/Jackson-Tchatchoua" TargetMode="External"/><Relationship Id="rId1576" Type="http://schemas.openxmlformats.org/officeDocument/2006/relationships/hyperlink" Target="https://fbref.com/en/players/c1242d4e/matchlogs/2025-2026/summary/Stefan-Ortega-Match-Logs" TargetMode="External"/><Relationship Id="rId1577" Type="http://schemas.openxmlformats.org/officeDocument/2006/relationships/hyperlink" Target="https://fbref.com/en/players/7b355808/William-Osula" TargetMode="External"/><Relationship Id="rId1578" Type="http://schemas.openxmlformats.org/officeDocument/2006/relationships/hyperlink" Target="https://fbref.com/en/country/DEN/Denmark-Football" TargetMode="External"/><Relationship Id="rId1579" Type="http://schemas.openxmlformats.org/officeDocument/2006/relationships/hyperlink" Target="https://fbref.com/en/squads/b2b47a98/Newcastle-United-Stats" TargetMode="External"/><Relationship Id="rId509" Type="http://schemas.openxmlformats.org/officeDocument/2006/relationships/hyperlink" Target="https://fbref.com/en/players/bd5eb2e5/El-Hadji-Malick-Diouf" TargetMode="External"/><Relationship Id="rId508" Type="http://schemas.openxmlformats.org/officeDocument/2006/relationships/hyperlink" Target="https://fbref.com/en/players/a712ca2b/matchlogs/2025-2026/summary/Issa-Diop-Match-Logs" TargetMode="External"/><Relationship Id="rId503" Type="http://schemas.openxmlformats.org/officeDocument/2006/relationships/hyperlink" Target="https://fbref.com/en/squads/8602292d/Aston-Villa-Stats" TargetMode="External"/><Relationship Id="rId987" Type="http://schemas.openxmlformats.org/officeDocument/2006/relationships/hyperlink" Target="https://fbref.com/en/squads/18bb7c10/Arsenal-Stats" TargetMode="External"/><Relationship Id="rId502" Type="http://schemas.openxmlformats.org/officeDocument/2006/relationships/hyperlink" Target="https://fbref.com/en/country/FRA/France-Football" TargetMode="External"/><Relationship Id="rId986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1b84dbe1/Lucas-Digne" TargetMode="External"/><Relationship Id="rId985" Type="http://schemas.openxmlformats.org/officeDocument/2006/relationships/hyperlink" Target="https://fbref.com/en/players/b66315ae/Gabriel-Jesus" TargetMode="External"/><Relationship Id="rId500" Type="http://schemas.openxmlformats.org/officeDocument/2006/relationships/hyperlink" Target="https://fbref.com/en/players/bdcc89ae/matchlogs/2025-2026/summary/Tyler-Dibling-Match-Logs" TargetMode="External"/><Relationship Id="rId984" Type="http://schemas.openxmlformats.org/officeDocument/2006/relationships/hyperlink" Target="https://fbref.com/en/players/0f134faf/matchlogs/2025-2026/summary/Mathias-Jensen-Match-Logs" TargetMode="External"/><Relationship Id="rId507" Type="http://schemas.openxmlformats.org/officeDocument/2006/relationships/hyperlink" Target="https://fbref.com/en/squads/fd962109/Fulham-Stats" TargetMode="External"/><Relationship Id="rId506" Type="http://schemas.openxmlformats.org/officeDocument/2006/relationships/hyperlink" Target="https://fbref.com/en/country/MAR/Morocco-Football" TargetMode="External"/><Relationship Id="rId505" Type="http://schemas.openxmlformats.org/officeDocument/2006/relationships/hyperlink" Target="https://fbref.com/en/players/a712ca2b/Issa-Diop" TargetMode="External"/><Relationship Id="rId989" Type="http://schemas.openxmlformats.org/officeDocument/2006/relationships/hyperlink" Target="https://fbref.com/en/players/dbe24cce/Igor-Jesus" TargetMode="External"/><Relationship Id="rId504" Type="http://schemas.openxmlformats.org/officeDocument/2006/relationships/hyperlink" Target="https://fbref.com/en/players/1b84dbe1/matchlogs/2025-2026/summary/Lucas-Digne-Match-Logs" TargetMode="External"/><Relationship Id="rId988" Type="http://schemas.openxmlformats.org/officeDocument/2006/relationships/hyperlink" Target="https://fbref.com/en/players/b66315ae/matchlogs/2025-2026/summary/Gabriel-Jesus-Match-Logs" TargetMode="External"/><Relationship Id="rId1570" Type="http://schemas.openxmlformats.org/officeDocument/2006/relationships/hyperlink" Target="https://fbref.com/en/country/ENG/England-Football" TargetMode="External"/><Relationship Id="rId1571" Type="http://schemas.openxmlformats.org/officeDocument/2006/relationships/hyperlink" Target="https://fbref.com/en/squads/d07537b9/Brighton-and-Hove-Albion-Stats" TargetMode="External"/><Relationship Id="rId983" Type="http://schemas.openxmlformats.org/officeDocument/2006/relationships/hyperlink" Target="https://fbref.com/en/squads/cd051869/Brentford-Stats" TargetMode="External"/><Relationship Id="rId1572" Type="http://schemas.openxmlformats.org/officeDocument/2006/relationships/hyperlink" Target="https://fbref.com/en/players/febb2831/matchlogs/2025-2026/summary/Nehemiah-Oriola-Match-Logs" TargetMode="External"/><Relationship Id="rId982" Type="http://schemas.openxmlformats.org/officeDocument/2006/relationships/hyperlink" Target="https://fbref.com/en/country/DEN/Denmark-Football" TargetMode="External"/><Relationship Id="rId1573" Type="http://schemas.openxmlformats.org/officeDocument/2006/relationships/hyperlink" Target="https://fbref.com/en/players/c1242d4e/Stefan-Ortega" TargetMode="External"/><Relationship Id="rId981" Type="http://schemas.openxmlformats.org/officeDocument/2006/relationships/hyperlink" Target="https://fbref.com/en/players/0f134faf/Mathias-Jensen" TargetMode="External"/><Relationship Id="rId1574" Type="http://schemas.openxmlformats.org/officeDocument/2006/relationships/hyperlink" Target="https://fbref.com/en/country/GER/Germany-Football" TargetMode="External"/><Relationship Id="rId980" Type="http://schemas.openxmlformats.org/officeDocument/2006/relationships/hyperlink" Target="https://fbref.com/en/players/8449d35e/matchlogs/2025-2026/summary/Vitaly-Janelt-Match-Logs" TargetMode="External"/><Relationship Id="rId1575" Type="http://schemas.openxmlformats.org/officeDocument/2006/relationships/hyperlink" Target="https://fbref.com/en/squads/e4a775cb/Nottingham-Forest-Stats" TargetMode="External"/><Relationship Id="rId1565" Type="http://schemas.openxmlformats.org/officeDocument/2006/relationships/hyperlink" Target="https://fbref.com/en/players/2944f86f/Frank-Onyeka" TargetMode="External"/><Relationship Id="rId1566" Type="http://schemas.openxmlformats.org/officeDocument/2006/relationships/hyperlink" Target="https://fbref.com/en/country/NGA/Nigeria-Football" TargetMode="External"/><Relationship Id="rId1567" Type="http://schemas.openxmlformats.org/officeDocument/2006/relationships/hyperlink" Target="https://fbref.com/en/squads/cd051869/Brentford-Stats" TargetMode="External"/><Relationship Id="rId1568" Type="http://schemas.openxmlformats.org/officeDocument/2006/relationships/hyperlink" Target="https://fbref.com/en/players/2944f86f/matchlogs/2025-2026/summary/Frank-Onyeka-Match-Logs" TargetMode="External"/><Relationship Id="rId1569" Type="http://schemas.openxmlformats.org/officeDocument/2006/relationships/hyperlink" Target="https://fbref.com/en/players/febb2831/Nehemiah-Oriola" TargetMode="External"/><Relationship Id="rId976" Type="http://schemas.openxmlformats.org/officeDocument/2006/relationships/hyperlink" Target="https://fbref.com/en/players/1265a93a/matchlogs/2025-2026/summary/Reece-James-Match-Logs" TargetMode="External"/><Relationship Id="rId975" Type="http://schemas.openxmlformats.org/officeDocument/2006/relationships/hyperlink" Target="https://fbref.com/en/squads/cff3d9bb/Chelsea-Stats" TargetMode="External"/><Relationship Id="rId974" Type="http://schemas.openxmlformats.org/officeDocument/2006/relationships/hyperlink" Target="https://fbref.com/en/country/ENG/England-Football" TargetMode="External"/><Relationship Id="rId973" Type="http://schemas.openxmlformats.org/officeDocument/2006/relationships/hyperlink" Target="https://fbref.com/en/players/1265a93a/Reece-James" TargetMode="External"/><Relationship Id="rId979" Type="http://schemas.openxmlformats.org/officeDocument/2006/relationships/hyperlink" Target="https://fbref.com/en/squads/cd051869/Brentford-Stats" TargetMode="External"/><Relationship Id="rId978" Type="http://schemas.openxmlformats.org/officeDocument/2006/relationships/hyperlink" Target="https://fbref.com/en/country/GER/Germany-Football" TargetMode="External"/><Relationship Id="rId977" Type="http://schemas.openxmlformats.org/officeDocument/2006/relationships/hyperlink" Target="https://fbref.com/en/players/8449d35e/Vitaly-Janelt" TargetMode="External"/><Relationship Id="rId1560" Type="http://schemas.openxmlformats.org/officeDocument/2006/relationships/hyperlink" Target="https://fbref.com/en/players/d6455444/matchlogs/2025-2026/summary/Callum-Olusesi-Match-Logs" TargetMode="External"/><Relationship Id="rId972" Type="http://schemas.openxmlformats.org/officeDocument/2006/relationships/hyperlink" Target="https://fbref.com/en/players/c931d9f9/matchlogs/2025-2026/summary/Daniel-James-Match-Logs" TargetMode="External"/><Relationship Id="rId1561" Type="http://schemas.openxmlformats.org/officeDocument/2006/relationships/hyperlink" Target="https://fbref.com/en/players/828657ff/Amadou-Onana" TargetMode="External"/><Relationship Id="rId971" Type="http://schemas.openxmlformats.org/officeDocument/2006/relationships/hyperlink" Target="https://fbref.com/en/squads/5bfb9659/Leeds-United-Stats" TargetMode="External"/><Relationship Id="rId1562" Type="http://schemas.openxmlformats.org/officeDocument/2006/relationships/hyperlink" Target="https://fbref.com/en/country/BEL/Belgium-Football" TargetMode="External"/><Relationship Id="rId970" Type="http://schemas.openxmlformats.org/officeDocument/2006/relationships/hyperlink" Target="https://fbref.com/en/country/WAL/Wales-Football" TargetMode="External"/><Relationship Id="rId1563" Type="http://schemas.openxmlformats.org/officeDocument/2006/relationships/hyperlink" Target="https://fbref.com/en/squads/8602292d/Aston-Villa-Stats" TargetMode="External"/><Relationship Id="rId1564" Type="http://schemas.openxmlformats.org/officeDocument/2006/relationships/hyperlink" Target="https://fbref.com/en/players/828657ff/matchlogs/2025-2026/summary/Amadou-Onana-Match-Logs" TargetMode="External"/><Relationship Id="rId1114" Type="http://schemas.openxmlformats.org/officeDocument/2006/relationships/hyperlink" Target="https://fbref.com/en/country/ENG/England-Football" TargetMode="External"/><Relationship Id="rId1598" Type="http://schemas.openxmlformats.org/officeDocument/2006/relationships/hyperlink" Target="https://fbref.com/en/country/ENG/England-Football" TargetMode="External"/><Relationship Id="rId1115" Type="http://schemas.openxmlformats.org/officeDocument/2006/relationships/hyperlink" Target="https://fbref.com/en/squads/d07537b9/Brighton-and-Hove-Albion-Stats" TargetMode="External"/><Relationship Id="rId1599" Type="http://schemas.openxmlformats.org/officeDocument/2006/relationships/hyperlink" Target="https://fbref.com/en/squads/cff3d9bb/Chelsea-Stats" TargetMode="External"/><Relationship Id="rId1116" Type="http://schemas.openxmlformats.org/officeDocument/2006/relationships/hyperlink" Target="https://fbref.com/en/players/16168a0f/matchlogs/2025-2026/summary/Joe-Knight-Match-Logs" TargetMode="External"/><Relationship Id="rId1117" Type="http://schemas.openxmlformats.org/officeDocument/2006/relationships/hyperlink" Target="https://fbref.com/en/players/c0b3669f/Randal-Kolo-Muani" TargetMode="External"/><Relationship Id="rId1118" Type="http://schemas.openxmlformats.org/officeDocument/2006/relationships/hyperlink" Target="https://fbref.com/en/country/FRA/France-Football" TargetMode="External"/><Relationship Id="rId1119" Type="http://schemas.openxmlformats.org/officeDocument/2006/relationships/hyperlink" Target="https://fbref.com/en/squads/361ca564/Tottenham-Hotspur-Stats" TargetMode="External"/><Relationship Id="rId525" Type="http://schemas.openxmlformats.org/officeDocument/2006/relationships/hyperlink" Target="https://fbref.com/en/players/20b3a502/Nicolas-Dominguez" TargetMode="External"/><Relationship Id="rId524" Type="http://schemas.openxmlformats.org/officeDocument/2006/relationships/hyperlink" Target="https://fbref.com/en/players/fffea3e5/matchlogs/2025-2026/summary/Jeremy-Doku-Match-Logs" TargetMode="External"/><Relationship Id="rId523" Type="http://schemas.openxmlformats.org/officeDocument/2006/relationships/hyperlink" Target="https://fbref.com/en/squads/b8fd03ef/Manchester-City-Stats" TargetMode="External"/><Relationship Id="rId522" Type="http://schemas.openxmlformats.org/officeDocument/2006/relationships/hyperlink" Target="https://fbref.com/en/country/BEL/Belgium-Football" TargetMode="External"/><Relationship Id="rId529" Type="http://schemas.openxmlformats.org/officeDocument/2006/relationships/hyperlink" Target="https://fbref.com/en/players/08f5afaa/Gianluigi-Donnarumma" TargetMode="External"/><Relationship Id="rId528" Type="http://schemas.openxmlformats.org/officeDocument/2006/relationships/hyperlink" Target="https://fbref.com/en/players/20b3a502/matchlogs/2025-2026/summary/Nicolas-Dominguez-Match-Logs" TargetMode="External"/><Relationship Id="rId527" Type="http://schemas.openxmlformats.org/officeDocument/2006/relationships/hyperlink" Target="https://fbref.com/en/squads/e4a775cb/Nottingham-Forest-Stats" TargetMode="External"/><Relationship Id="rId526" Type="http://schemas.openxmlformats.org/officeDocument/2006/relationships/hyperlink" Target="https://fbref.com/en/country/ARG/Argentina-Football" TargetMode="External"/><Relationship Id="rId1590" Type="http://schemas.openxmlformats.org/officeDocument/2006/relationships/hyperlink" Target="https://fbref.com/en/country/BRA/Brazil-Football" TargetMode="External"/><Relationship Id="rId1591" Type="http://schemas.openxmlformats.org/officeDocument/2006/relationships/hyperlink" Target="https://fbref.com/en/squads/7c21e445/West-Ham-United-Stats" TargetMode="External"/><Relationship Id="rId1592" Type="http://schemas.openxmlformats.org/officeDocument/2006/relationships/hyperlink" Target="https://fbref.com/en/players/866ba412/matchlogs/2025-2026/summary/Pablo-Match-Logs" TargetMode="External"/><Relationship Id="rId1593" Type="http://schemas.openxmlformats.org/officeDocument/2006/relationships/hyperlink" Target="https://fbref.com/en/players/a78ff07f/Joao-Palhinha" TargetMode="External"/><Relationship Id="rId521" Type="http://schemas.openxmlformats.org/officeDocument/2006/relationships/hyperlink" Target="https://fbref.com/en/players/fffea3e5/Jeremy-Doku" TargetMode="External"/><Relationship Id="rId1110" Type="http://schemas.openxmlformats.org/officeDocument/2006/relationships/hyperlink" Target="https://fbref.com/en/country/NED/Netherlands-Football" TargetMode="External"/><Relationship Id="rId1594" Type="http://schemas.openxmlformats.org/officeDocument/2006/relationships/hyperlink" Target="https://fbref.com/en/country/POR/Portugal-Football" TargetMode="External"/><Relationship Id="rId520" Type="http://schemas.openxmlformats.org/officeDocument/2006/relationships/hyperlink" Target="https://fbref.com/en/players/d557d734/matchlogs/2025-2026/summary/Matt-Doherty-Match-Logs" TargetMode="External"/><Relationship Id="rId1111" Type="http://schemas.openxmlformats.org/officeDocument/2006/relationships/hyperlink" Target="https://fbref.com/en/squads/4ba7cbea/Bournemouth-Stats" TargetMode="External"/><Relationship Id="rId1595" Type="http://schemas.openxmlformats.org/officeDocument/2006/relationships/hyperlink" Target="https://fbref.com/en/squads/361ca564/Tottenham-Hotspur-Stats" TargetMode="External"/><Relationship Id="rId1112" Type="http://schemas.openxmlformats.org/officeDocument/2006/relationships/hyperlink" Target="https://fbref.com/en/players/4c3a6744/matchlogs/2025-2026/summary/Justin-Kluivert-Match-Logs" TargetMode="External"/><Relationship Id="rId1596" Type="http://schemas.openxmlformats.org/officeDocument/2006/relationships/hyperlink" Target="https://fbref.com/en/players/a78ff07f/matchlogs/2025-2026/summary/Joao-Palhinha-Match-Logs" TargetMode="External"/><Relationship Id="rId1113" Type="http://schemas.openxmlformats.org/officeDocument/2006/relationships/hyperlink" Target="https://fbref.com/en/players/16168a0f/Joe-Knight" TargetMode="External"/><Relationship Id="rId1597" Type="http://schemas.openxmlformats.org/officeDocument/2006/relationships/hyperlink" Target="https://fbref.com/en/players/dc7f8a28/Cole-Palmer" TargetMode="External"/><Relationship Id="rId1103" Type="http://schemas.openxmlformats.org/officeDocument/2006/relationships/hyperlink" Target="https://fbref.com/en/squads/fd962109/Fulham-Stats" TargetMode="External"/><Relationship Id="rId1587" Type="http://schemas.openxmlformats.org/officeDocument/2006/relationships/hyperlink" Target="https://fbref.com/en/squads/b8fd03ef/Manchester-City-Stats" TargetMode="External"/><Relationship Id="rId1104" Type="http://schemas.openxmlformats.org/officeDocument/2006/relationships/hyperlink" Target="https://fbref.com/en/players/86109b3b/matchlogs/2025-2026/summary/Joshua-King-Match-Logs" TargetMode="External"/><Relationship Id="rId1588" Type="http://schemas.openxmlformats.org/officeDocument/2006/relationships/hyperlink" Target="https://fbref.com/en/players/91ca4a16/matchlogs/2025-2026/summary/Nico-OReilly-Match-Logs" TargetMode="External"/><Relationship Id="rId1105" Type="http://schemas.openxmlformats.org/officeDocument/2006/relationships/hyperlink" Target="https://fbref.com/en/players/b38ac6a4/Antonin-Kinsky" TargetMode="External"/><Relationship Id="rId1589" Type="http://schemas.openxmlformats.org/officeDocument/2006/relationships/hyperlink" Target="https://fbref.com/en/players/866ba412/Pablo" TargetMode="External"/><Relationship Id="rId1106" Type="http://schemas.openxmlformats.org/officeDocument/2006/relationships/hyperlink" Target="https://fbref.com/en/country/CZE/Czech-Republic-Football" TargetMode="External"/><Relationship Id="rId1107" Type="http://schemas.openxmlformats.org/officeDocument/2006/relationships/hyperlink" Target="https://fbref.com/en/squads/361ca564/Tottenham-Hotspur-Stats" TargetMode="External"/><Relationship Id="rId1108" Type="http://schemas.openxmlformats.org/officeDocument/2006/relationships/hyperlink" Target="https://fbref.com/en/players/b38ac6a4/matchlogs/2025-2026/summary/Antonin-Kinsky-Match-Logs" TargetMode="External"/><Relationship Id="rId1109" Type="http://schemas.openxmlformats.org/officeDocument/2006/relationships/hyperlink" Target="https://fbref.com/en/players/4c3a6744/Justin-Kluivert" TargetMode="External"/><Relationship Id="rId519" Type="http://schemas.openxmlformats.org/officeDocument/2006/relationships/hyperlink" Target="https://fbref.com/en/squads/8cec06e1/Wolverhampton-Wanderers-Stats" TargetMode="External"/><Relationship Id="rId514" Type="http://schemas.openxmlformats.org/officeDocument/2006/relationships/hyperlink" Target="https://fbref.com/en/country/FRA/France-Football" TargetMode="External"/><Relationship Id="rId998" Type="http://schemas.openxmlformats.org/officeDocument/2006/relationships/hyperlink" Target="https://fbref.com/en/country/MEX/Mexico-Football" TargetMode="External"/><Relationship Id="rId513" Type="http://schemas.openxmlformats.org/officeDocument/2006/relationships/hyperlink" Target="https://fbref.com/en/players/ad82197c/Axel-Disasi" TargetMode="External"/><Relationship Id="rId997" Type="http://schemas.openxmlformats.org/officeDocument/2006/relationships/hyperlink" Target="https://fbref.com/en/players/b561db50/Raul-Jimenez" TargetMode="External"/><Relationship Id="rId512" Type="http://schemas.openxmlformats.org/officeDocument/2006/relationships/hyperlink" Target="https://fbref.com/en/players/bd5eb2e5/matchlogs/2025-2026/summary/El-Hadji-Malick-Diouf-Match-Logs" TargetMode="External"/><Relationship Id="rId996" Type="http://schemas.openxmlformats.org/officeDocument/2006/relationships/hyperlink" Target="https://fbref.com/en/players/faa13947/matchlogs/2025-2026/summary/Alex-Jimenez-Match-Logs" TargetMode="External"/><Relationship Id="rId511" Type="http://schemas.openxmlformats.org/officeDocument/2006/relationships/hyperlink" Target="https://fbref.com/en/squads/7c21e445/West-Ham-United-Stats" TargetMode="External"/><Relationship Id="rId995" Type="http://schemas.openxmlformats.org/officeDocument/2006/relationships/hyperlink" Target="https://fbref.com/en/squads/4ba7cbea/Bournemouth-Stats" TargetMode="External"/><Relationship Id="rId518" Type="http://schemas.openxmlformats.org/officeDocument/2006/relationships/hyperlink" Target="https://fbref.com/en/country/IRL/Republic-of-Ireland-Football" TargetMode="External"/><Relationship Id="rId517" Type="http://schemas.openxmlformats.org/officeDocument/2006/relationships/hyperlink" Target="https://fbref.com/en/players/d557d734/Matt-Doherty" TargetMode="External"/><Relationship Id="rId516" Type="http://schemas.openxmlformats.org/officeDocument/2006/relationships/hyperlink" Target="https://fbref.com/en/players/ad82197c/matchlogs/2025-2026/summary/Axel-Disasi-Match-Logs" TargetMode="External"/><Relationship Id="rId515" Type="http://schemas.openxmlformats.org/officeDocument/2006/relationships/hyperlink" Target="https://fbref.com/en/squads/7c21e445/West-Ham-United-Stats" TargetMode="External"/><Relationship Id="rId999" Type="http://schemas.openxmlformats.org/officeDocument/2006/relationships/hyperlink" Target="https://fbref.com/en/squads/fd962109/Fulham-Stats" TargetMode="External"/><Relationship Id="rId990" Type="http://schemas.openxmlformats.org/officeDocument/2006/relationships/hyperlink" Target="https://fbref.com/en/country/BRA/Brazil-Football" TargetMode="External"/><Relationship Id="rId1580" Type="http://schemas.openxmlformats.org/officeDocument/2006/relationships/hyperlink" Target="https://fbref.com/en/players/7b355808/matchlogs/2025-2026/summary/William-Osula-Match-Logs" TargetMode="External"/><Relationship Id="rId1581" Type="http://schemas.openxmlformats.org/officeDocument/2006/relationships/hyperlink" Target="https://fbref.com/en/players/2f9e4435/Dango-Ouattara" TargetMode="External"/><Relationship Id="rId1582" Type="http://schemas.openxmlformats.org/officeDocument/2006/relationships/hyperlink" Target="https://fbref.com/en/country/BFA/Burkina-Faso-Football" TargetMode="External"/><Relationship Id="rId510" Type="http://schemas.openxmlformats.org/officeDocument/2006/relationships/hyperlink" Target="https://fbref.com/en/country/SEN/Senegal-Football" TargetMode="External"/><Relationship Id="rId994" Type="http://schemas.openxmlformats.org/officeDocument/2006/relationships/hyperlink" Target="https://fbref.com/en/country/ESP/Spain-Football" TargetMode="External"/><Relationship Id="rId1583" Type="http://schemas.openxmlformats.org/officeDocument/2006/relationships/hyperlink" Target="https://fbref.com/en/squads/cd051869/Brentford-Stats" TargetMode="External"/><Relationship Id="rId993" Type="http://schemas.openxmlformats.org/officeDocument/2006/relationships/hyperlink" Target="https://fbref.com/en/players/faa13947/Alex-Jimenez" TargetMode="External"/><Relationship Id="rId1100" Type="http://schemas.openxmlformats.org/officeDocument/2006/relationships/hyperlink" Target="https://fbref.com/en/players/d0f72bf1/matchlogs/2025-2026/summary/Max-Kilman-Match-Logs" TargetMode="External"/><Relationship Id="rId1584" Type="http://schemas.openxmlformats.org/officeDocument/2006/relationships/hyperlink" Target="https://fbref.com/en/players/2f9e4435/matchlogs/2025-2026/summary/Dango-Ouattara-Match-Logs" TargetMode="External"/><Relationship Id="rId992" Type="http://schemas.openxmlformats.org/officeDocument/2006/relationships/hyperlink" Target="https://fbref.com/en/players/dbe24cce/matchlogs/2025-2026/summary/Igor-Jesus-Match-Logs" TargetMode="External"/><Relationship Id="rId1101" Type="http://schemas.openxmlformats.org/officeDocument/2006/relationships/hyperlink" Target="https://fbref.com/en/players/86109b3b/Joshua-King" TargetMode="External"/><Relationship Id="rId1585" Type="http://schemas.openxmlformats.org/officeDocument/2006/relationships/hyperlink" Target="https://fbref.com/en/players/91ca4a16/Nico-OReilly" TargetMode="External"/><Relationship Id="rId991" Type="http://schemas.openxmlformats.org/officeDocument/2006/relationships/hyperlink" Target="https://fbref.com/en/squads/e4a775cb/Nottingham-Forest-Stats" TargetMode="External"/><Relationship Id="rId1102" Type="http://schemas.openxmlformats.org/officeDocument/2006/relationships/hyperlink" Target="https://fbref.com/en/country/ENG/England-Football" TargetMode="External"/><Relationship Id="rId1586" Type="http://schemas.openxmlformats.org/officeDocument/2006/relationships/hyperlink" Target="https://fbref.com/en/country/ENG/England-Football" TargetMode="External"/><Relationship Id="rId1532" Type="http://schemas.openxmlformats.org/officeDocument/2006/relationships/hyperlink" Target="https://fbref.com/en/players/1d3b3d77/matchlogs/2025-2026/summary/Trey-Nyoni-Match-Logs" TargetMode="External"/><Relationship Id="rId1533" Type="http://schemas.openxmlformats.org/officeDocument/2006/relationships/hyperlink" Target="https://fbref.com/en/players/df0a4c90/Christian-Norgaard" TargetMode="External"/><Relationship Id="rId1534" Type="http://schemas.openxmlformats.org/officeDocument/2006/relationships/hyperlink" Target="https://fbref.com/en/country/DEN/Denmark-Football" TargetMode="External"/><Relationship Id="rId1535" Type="http://schemas.openxmlformats.org/officeDocument/2006/relationships/hyperlink" Target="https://fbref.com/en/squads/18bb7c10/Arsenal-Stats" TargetMode="External"/><Relationship Id="rId1536" Type="http://schemas.openxmlformats.org/officeDocument/2006/relationships/hyperlink" Target="https://fbref.com/en/players/df0a4c90/matchlogs/2025-2026/summary/Christian-Norgaard-Match-Logs" TargetMode="External"/><Relationship Id="rId1537" Type="http://schemas.openxmlformats.org/officeDocument/2006/relationships/hyperlink" Target="https://fbref.com/en/players/25f2ef01/Jake-OBrien" TargetMode="External"/><Relationship Id="rId1538" Type="http://schemas.openxmlformats.org/officeDocument/2006/relationships/hyperlink" Target="https://fbref.com/en/country/IRL/Republic-of-Ireland-Football" TargetMode="External"/><Relationship Id="rId1539" Type="http://schemas.openxmlformats.org/officeDocument/2006/relationships/hyperlink" Target="https://fbref.com/en/squads/d3fd31cc/Everton-Stats" TargetMode="External"/><Relationship Id="rId949" Type="http://schemas.openxmlformats.org/officeDocument/2006/relationships/hyperlink" Target="https://fbref.com/en/players/84c5ceea/Tim-Iroegbunam" TargetMode="External"/><Relationship Id="rId948" Type="http://schemas.openxmlformats.org/officeDocument/2006/relationships/hyperlink" Target="https://fbref.com/en/players/a4e85758/matchlogs/2025-2026/summary/Igor-Match-Logs" TargetMode="External"/><Relationship Id="rId943" Type="http://schemas.openxmlformats.org/officeDocument/2006/relationships/hyperlink" Target="https://fbref.com/en/squads/e4a775cb/Nottingham-Forest-Stats" TargetMode="External"/><Relationship Id="rId942" Type="http://schemas.openxmlformats.org/officeDocument/2006/relationships/hyperlink" Target="https://fbref.com/en/country/ENG/England-Football" TargetMode="External"/><Relationship Id="rId941" Type="http://schemas.openxmlformats.org/officeDocument/2006/relationships/hyperlink" Target="https://fbref.com/en/players/bd9553e6/Omari-Hutchinson" TargetMode="External"/><Relationship Id="rId940" Type="http://schemas.openxmlformats.org/officeDocument/2006/relationships/hyperlink" Target="https://fbref.com/en/players/d2b32e91/matchlogs/2025-2026/summary/Bashir-Humphreys-Match-Logs" TargetMode="External"/><Relationship Id="rId947" Type="http://schemas.openxmlformats.org/officeDocument/2006/relationships/hyperlink" Target="https://fbref.com/en/squads/7c21e445/West-Ham-United-Stats" TargetMode="External"/><Relationship Id="rId946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a4e85758/Igor" TargetMode="External"/><Relationship Id="rId944" Type="http://schemas.openxmlformats.org/officeDocument/2006/relationships/hyperlink" Target="https://fbref.com/en/players/bd9553e6/matchlogs/2025-2026/summary/Omari-Hutchinson-Match-Logs" TargetMode="External"/><Relationship Id="rId1530" Type="http://schemas.openxmlformats.org/officeDocument/2006/relationships/hyperlink" Target="https://fbref.com/en/country/ENG/England-Football" TargetMode="External"/><Relationship Id="rId1531" Type="http://schemas.openxmlformats.org/officeDocument/2006/relationships/hyperlink" Target="https://fbref.com/en/squads/822bd0ba/Liverpool-Stats" TargetMode="External"/><Relationship Id="rId1521" Type="http://schemas.openxmlformats.org/officeDocument/2006/relationships/hyperlink" Target="https://fbref.com/en/players/e6af02e0/Matheus-Nunes" TargetMode="External"/><Relationship Id="rId1522" Type="http://schemas.openxmlformats.org/officeDocument/2006/relationships/hyperlink" Target="https://fbref.com/en/country/POR/Portugal-Football" TargetMode="External"/><Relationship Id="rId1523" Type="http://schemas.openxmlformats.org/officeDocument/2006/relationships/hyperlink" Target="https://fbref.com/en/squads/b8fd03ef/Manchester-City-Stats" TargetMode="External"/><Relationship Id="rId1524" Type="http://schemas.openxmlformats.org/officeDocument/2006/relationships/hyperlink" Target="https://fbref.com/en/players/e6af02e0/matchlogs/2025-2026/summary/Matheus-Nunes-Match-Logs" TargetMode="External"/><Relationship Id="rId1525" Type="http://schemas.openxmlformats.org/officeDocument/2006/relationships/hyperlink" Target="https://fbref.com/en/players/7f94982c/Ethan-Nwaneri" TargetMode="External"/><Relationship Id="rId1526" Type="http://schemas.openxmlformats.org/officeDocument/2006/relationships/hyperlink" Target="https://fbref.com/en/country/ENG/England-Football" TargetMode="External"/><Relationship Id="rId1527" Type="http://schemas.openxmlformats.org/officeDocument/2006/relationships/hyperlink" Target="https://fbref.com/en/squads/18bb7c10/Arsenal-Stats" TargetMode="External"/><Relationship Id="rId1528" Type="http://schemas.openxmlformats.org/officeDocument/2006/relationships/hyperlink" Target="https://fbref.com/en/players/7f94982c/matchlogs/2025-2026/summary/Ethan-Nwaneri-Match-Logs" TargetMode="External"/><Relationship Id="rId1529" Type="http://schemas.openxmlformats.org/officeDocument/2006/relationships/hyperlink" Target="https://fbref.com/en/players/1d3b3d77/Trey-Nyoni" TargetMode="External"/><Relationship Id="rId939" Type="http://schemas.openxmlformats.org/officeDocument/2006/relationships/hyperlink" Target="https://fbref.com/en/squads/943e8050/Burnley-Stats" TargetMode="External"/><Relationship Id="rId938" Type="http://schemas.openxmlformats.org/officeDocument/2006/relationships/hyperlink" Target="https://fbref.com/en/country/ENG/England-Football" TargetMode="External"/><Relationship Id="rId937" Type="http://schemas.openxmlformats.org/officeDocument/2006/relationships/hyperlink" Target="https://fbref.com/en/players/d2b32e91/Bashir-Humphreys" TargetMode="External"/><Relationship Id="rId932" Type="http://schemas.openxmlformats.org/officeDocument/2006/relationships/hyperlink" Target="https://fbref.com/en/players/a0666d3e/matchlogs/2025-2026/summary/Will-Hughes-Match-Logs" TargetMode="External"/><Relationship Id="rId931" Type="http://schemas.openxmlformats.org/officeDocument/2006/relationships/hyperlink" Target="https://fbref.com/en/squads/47c64c55/Crystal-Palace-Stats" TargetMode="External"/><Relationship Id="rId930" Type="http://schemas.openxmlformats.org/officeDocument/2006/relationships/hyperlink" Target="https://fbref.com/en/country/ENG/England-Football" TargetMode="External"/><Relationship Id="rId936" Type="http://schemas.openxmlformats.org/officeDocument/2006/relationships/hyperlink" Target="https://fbref.com/en/players/4fa3a3a4/matchlogs/2025-2026/summary/Trai-Hume-Match-Logs" TargetMode="External"/><Relationship Id="rId935" Type="http://schemas.openxmlformats.org/officeDocument/2006/relationships/hyperlink" Target="https://fbref.com/en/squads/8ef52968/Sunderland-Stats" TargetMode="External"/><Relationship Id="rId934" Type="http://schemas.openxmlformats.org/officeDocument/2006/relationships/hyperlink" Target="https://fbref.com/en/country/NIR/Northern-Ireland-Football" TargetMode="External"/><Relationship Id="rId933" Type="http://schemas.openxmlformats.org/officeDocument/2006/relationships/hyperlink" Target="https://fbref.com/en/players/4fa3a3a4/Trai-Hume" TargetMode="External"/><Relationship Id="rId1520" Type="http://schemas.openxmlformats.org/officeDocument/2006/relationships/hyperlink" Target="https://fbref.com/en/players/0cc5f4a5/matchlogs/2025-2026/summary/Lukas-Nmecha-Match-Logs" TargetMode="External"/><Relationship Id="rId1554" Type="http://schemas.openxmlformats.org/officeDocument/2006/relationships/hyperlink" Target="https://fbref.com/en/country/SUI/Switzerland-Football" TargetMode="External"/><Relationship Id="rId1555" Type="http://schemas.openxmlformats.org/officeDocument/2006/relationships/hyperlink" Target="https://fbref.com/en/squads/5bfb9659/Leeds-United-Stats" TargetMode="External"/><Relationship Id="rId1556" Type="http://schemas.openxmlformats.org/officeDocument/2006/relationships/hyperlink" Target="https://fbref.com/en/players/ca607d59/matchlogs/2025-2026/summary/Noah-Okafor-Match-Logs" TargetMode="External"/><Relationship Id="rId1557" Type="http://schemas.openxmlformats.org/officeDocument/2006/relationships/hyperlink" Target="https://fbref.com/en/players/d6455444/Callum-Olusesi" TargetMode="External"/><Relationship Id="rId1558" Type="http://schemas.openxmlformats.org/officeDocument/2006/relationships/hyperlink" Target="https://fbref.com/en/country/ENG/England-Football" TargetMode="External"/><Relationship Id="rId1559" Type="http://schemas.openxmlformats.org/officeDocument/2006/relationships/hyperlink" Target="https://fbref.com/en/squads/361ca564/Tottenham-Hotspur-Stats" TargetMode="External"/><Relationship Id="rId965" Type="http://schemas.openxmlformats.org/officeDocument/2006/relationships/hyperlink" Target="https://fbref.com/en/players/6ca5ec4b/Alex-Iwobi" TargetMode="External"/><Relationship Id="rId964" Type="http://schemas.openxmlformats.org/officeDocument/2006/relationships/hyperlink" Target="https://fbref.com/en/players/a671316d/matchlogs/2025-2026/summary/Wilson-Isidor-Match-Logs" TargetMode="External"/><Relationship Id="rId963" Type="http://schemas.openxmlformats.org/officeDocument/2006/relationships/hyperlink" Target="https://fbref.com/en/squads/8ef52968/Sunderland-Stats" TargetMode="External"/><Relationship Id="rId962" Type="http://schemas.openxmlformats.org/officeDocument/2006/relationships/hyperlink" Target="https://fbref.com/en/country/HAI/Haiti-Football" TargetMode="External"/><Relationship Id="rId969" Type="http://schemas.openxmlformats.org/officeDocument/2006/relationships/hyperlink" Target="https://fbref.com/en/players/c931d9f9/Daniel-James" TargetMode="External"/><Relationship Id="rId968" Type="http://schemas.openxmlformats.org/officeDocument/2006/relationships/hyperlink" Target="https://fbref.com/en/players/6ca5ec4b/matchlogs/2025-2026/summary/Alex-Iwobi-Match-Logs" TargetMode="External"/><Relationship Id="rId967" Type="http://schemas.openxmlformats.org/officeDocument/2006/relationships/hyperlink" Target="https://fbref.com/en/squads/fd962109/Fulham-Stats" TargetMode="External"/><Relationship Id="rId966" Type="http://schemas.openxmlformats.org/officeDocument/2006/relationships/hyperlink" Target="https://fbref.com/en/country/NGA/Nigeria-Football" TargetMode="External"/><Relationship Id="rId961" Type="http://schemas.openxmlformats.org/officeDocument/2006/relationships/hyperlink" Target="https://fbref.com/en/players/a671316d/Wilson-Isidor" TargetMode="External"/><Relationship Id="rId1550" Type="http://schemas.openxmlformats.org/officeDocument/2006/relationships/hyperlink" Target="https://fbref.com/en/country/FRA/France-Football" TargetMode="External"/><Relationship Id="rId960" Type="http://schemas.openxmlformats.org/officeDocument/2006/relationships/hyperlink" Target="https://fbref.com/en/players/8e92be30/matchlogs/2025-2026/summary/Alexander-Isak-Match-Logs" TargetMode="External"/><Relationship Id="rId1551" Type="http://schemas.openxmlformats.org/officeDocument/2006/relationships/hyperlink" Target="https://fbref.com/en/squads/361ca564/Tottenham-Hotspur-Stats" TargetMode="External"/><Relationship Id="rId1552" Type="http://schemas.openxmlformats.org/officeDocument/2006/relationships/hyperlink" Target="https://fbref.com/en/players/35516eac/matchlogs/2025-2026/summary/Wilson-Odobert-Match-Logs" TargetMode="External"/><Relationship Id="rId1553" Type="http://schemas.openxmlformats.org/officeDocument/2006/relationships/hyperlink" Target="https://fbref.com/en/players/ca607d59/Noah-Okafor" TargetMode="External"/><Relationship Id="rId1543" Type="http://schemas.openxmlformats.org/officeDocument/2006/relationships/hyperlink" Target="https://fbref.com/en/squads/8ef52968/Sunderland-Stats" TargetMode="External"/><Relationship Id="rId1544" Type="http://schemas.openxmlformats.org/officeDocument/2006/relationships/hyperlink" Target="https://fbref.com/en/players/8092d497/matchlogs/2025-2026/summary/Luke-ONien-Match-Logs" TargetMode="External"/><Relationship Id="rId1545" Type="http://schemas.openxmlformats.org/officeDocument/2006/relationships/hyperlink" Target="https://fbref.com/en/players/fb495bb8/Matt-ORiley" TargetMode="External"/><Relationship Id="rId1546" Type="http://schemas.openxmlformats.org/officeDocument/2006/relationships/hyperlink" Target="https://fbref.com/en/country/DEN/Denmark-Football" TargetMode="External"/><Relationship Id="rId1547" Type="http://schemas.openxmlformats.org/officeDocument/2006/relationships/hyperlink" Target="https://fbref.com/en/squads/d07537b9/Brighton-and-Hove-Albion-Stats" TargetMode="External"/><Relationship Id="rId1548" Type="http://schemas.openxmlformats.org/officeDocument/2006/relationships/hyperlink" Target="https://fbref.com/en/players/fb495bb8/matchlogs/2025-2026/summary/Matt-ORiley-Match-Logs" TargetMode="External"/><Relationship Id="rId1549" Type="http://schemas.openxmlformats.org/officeDocument/2006/relationships/hyperlink" Target="https://fbref.com/en/players/35516eac/Wilson-Odobert" TargetMode="External"/><Relationship Id="rId959" Type="http://schemas.openxmlformats.org/officeDocument/2006/relationships/hyperlink" Target="https://fbref.com/en/squads/822bd0ba/Liverpool-Stats" TargetMode="External"/><Relationship Id="rId954" Type="http://schemas.openxmlformats.org/officeDocument/2006/relationships/hyperlink" Target="https://fbref.com/en/country/SCO/Scotland-Football" TargetMode="External"/><Relationship Id="rId953" Type="http://schemas.openxmlformats.org/officeDocument/2006/relationships/hyperlink" Target="https://fbref.com/en/players/b1be9fc0/Andy-Irving" TargetMode="External"/><Relationship Id="rId952" Type="http://schemas.openxmlformats.org/officeDocument/2006/relationships/hyperlink" Target="https://fbref.com/en/players/84c5ceea/matchlogs/2025-2026/summary/Tim-Iroegbunam-Match-Logs" TargetMode="External"/><Relationship Id="rId951" Type="http://schemas.openxmlformats.org/officeDocument/2006/relationships/hyperlink" Target="https://fbref.com/en/squads/d3fd31cc/Everton-Stats" TargetMode="External"/><Relationship Id="rId958" Type="http://schemas.openxmlformats.org/officeDocument/2006/relationships/hyperlink" Target="https://fbref.com/en/country/SWE/Sweden-Football" TargetMode="External"/><Relationship Id="rId957" Type="http://schemas.openxmlformats.org/officeDocument/2006/relationships/hyperlink" Target="https://fbref.com/en/players/8e92be30/Alexander-Isak" TargetMode="External"/><Relationship Id="rId956" Type="http://schemas.openxmlformats.org/officeDocument/2006/relationships/hyperlink" Target="https://fbref.com/en/players/b1be9fc0/matchlogs/2025-2026/summary/Andy-Irving-Match-Logs" TargetMode="External"/><Relationship Id="rId955" Type="http://schemas.openxmlformats.org/officeDocument/2006/relationships/hyperlink" Target="https://fbref.com/en/squads/7c21e445/West-Ham-United-Stats" TargetMode="External"/><Relationship Id="rId950" Type="http://schemas.openxmlformats.org/officeDocument/2006/relationships/hyperlink" Target="https://fbref.com/en/country/ENG/England-Football" TargetMode="External"/><Relationship Id="rId1540" Type="http://schemas.openxmlformats.org/officeDocument/2006/relationships/hyperlink" Target="https://fbref.com/en/players/25f2ef01/matchlogs/2025-2026/summary/Jake-OBrien-Match-Logs" TargetMode="External"/><Relationship Id="rId1541" Type="http://schemas.openxmlformats.org/officeDocument/2006/relationships/hyperlink" Target="https://fbref.com/en/players/8092d497/Luke-ONien" TargetMode="External"/><Relationship Id="rId1542" Type="http://schemas.openxmlformats.org/officeDocument/2006/relationships/hyperlink" Target="https://fbref.com/en/country/ENG/England-Football" TargetMode="External"/><Relationship Id="rId2027" Type="http://schemas.openxmlformats.org/officeDocument/2006/relationships/hyperlink" Target="https://fbref.com/en/squads/943e8050/Burnley-Stats" TargetMode="External"/><Relationship Id="rId2028" Type="http://schemas.openxmlformats.org/officeDocument/2006/relationships/hyperlink" Target="https://fbref.com/en/players/2baec6ce/matchlogs/2025-2026/summary/Axel-Tuanzebe-Match-Logs" TargetMode="External"/><Relationship Id="rId2029" Type="http://schemas.openxmlformats.org/officeDocument/2006/relationships/hyperlink" Target="https://fbref.com/en/players/a497130f/Stefanos-Tzimas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squads/943e8050/Burnley-Stats" TargetMode="External"/><Relationship Id="rId106" Type="http://schemas.openxmlformats.org/officeDocument/2006/relationships/hyperlink" Target="https://fbref.com/en/country/ENG/England-Football" TargetMode="External"/><Relationship Id="rId105" Type="http://schemas.openxmlformats.org/officeDocument/2006/relationships/hyperlink" Target="https://fbref.com/en/players/e4238fb1/Jaidon-Anthony" TargetMode="External"/><Relationship Id="rId589" Type="http://schemas.openxmlformats.org/officeDocument/2006/relationships/hyperlink" Target="https://fbref.com/en/players/2fba6108/Anthony-Elanga" TargetMode="External"/><Relationship Id="rId104" Type="http://schemas.openxmlformats.org/officeDocument/2006/relationships/hyperlink" Target="https://fbref.com/en/players/a9b9d89c/matchlogs/2025-2026/summary/Nilson-Angulo-Match-Logs" TargetMode="External"/><Relationship Id="rId588" Type="http://schemas.openxmlformats.org/officeDocument/2006/relationships/hyperlink" Target="https://fbref.com/en/players/5b92d896/matchlogs/2025-2026/summary/Hugo-Ekitike-Match-Logs" TargetMode="External"/><Relationship Id="rId109" Type="http://schemas.openxmlformats.org/officeDocument/2006/relationships/hyperlink" Target="https://fbref.com/en/players/2f965a72/Alphonse-Areola" TargetMode="External"/><Relationship Id="rId1170" Type="http://schemas.openxmlformats.org/officeDocument/2006/relationships/hyperlink" Target="https://fbref.com/en/country/ENG/England-Football" TargetMode="External"/><Relationship Id="rId108" Type="http://schemas.openxmlformats.org/officeDocument/2006/relationships/hyperlink" Target="https://fbref.com/en/players/e4238fb1/matchlogs/2025-2026/summary/Jaidon-Anthony-Match-Logs" TargetMode="External"/><Relationship Id="rId1171" Type="http://schemas.openxmlformats.org/officeDocument/2006/relationships/hyperlink" Target="https://fbref.com/en/squads/943e8050/Burnley-Stats" TargetMode="External"/><Relationship Id="rId583" Type="http://schemas.openxmlformats.org/officeDocument/2006/relationships/hyperlink" Target="https://fbref.com/en/squads/943e8050/Burnley-Stats" TargetMode="External"/><Relationship Id="rId1172" Type="http://schemas.openxmlformats.org/officeDocument/2006/relationships/hyperlink" Target="https://fbref.com/en/players/f0068e0f/matchlogs/2025-2026/summary/Josh-Laurent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ecad9aa5/Romeo-Lavia" TargetMode="External"/><Relationship Id="rId2020" Type="http://schemas.openxmlformats.org/officeDocument/2006/relationships/hyperlink" Target="https://fbref.com/en/players/38ceb24a/matchlogs/2025-2026/summary/Leandro-Trossard-Match-Logs" TargetMode="External"/><Relationship Id="rId581" Type="http://schemas.openxmlformats.org/officeDocument/2006/relationships/hyperlink" Target="https://fbref.com/en/players/3d554589/Hjalmar-Ekdal" TargetMode="External"/><Relationship Id="rId1174" Type="http://schemas.openxmlformats.org/officeDocument/2006/relationships/hyperlink" Target="https://fbref.com/en/country/BEL/Belgium-Football" TargetMode="External"/><Relationship Id="rId2021" Type="http://schemas.openxmlformats.org/officeDocument/2006/relationships/hyperlink" Target="https://fbref.com/en/players/5d0e0a1f/Adrien-Truffert" TargetMode="External"/><Relationship Id="rId580" Type="http://schemas.openxmlformats.org/officeDocument/2006/relationships/hyperlink" Target="https://fbref.com/en/players/57760e66/matchlogs/2025-2026/summary/Marcus-Edwards-Match-Logs" TargetMode="External"/><Relationship Id="rId1175" Type="http://schemas.openxmlformats.org/officeDocument/2006/relationships/hyperlink" Target="https://fbref.com/en/squads/cff3d9bb/Chelsea-Stats" TargetMode="External"/><Relationship Id="rId2022" Type="http://schemas.openxmlformats.org/officeDocument/2006/relationships/hyperlink" Target="https://fbref.com/en/country/FRA/France-Football" TargetMode="External"/><Relationship Id="rId103" Type="http://schemas.openxmlformats.org/officeDocument/2006/relationships/hyperlink" Target="https://fbref.com/en/squads/8ef52968/Sunderland-Stats" TargetMode="External"/><Relationship Id="rId587" Type="http://schemas.openxmlformats.org/officeDocument/2006/relationships/hyperlink" Target="https://fbref.com/en/squads/822bd0ba/Liverpool-Stats" TargetMode="External"/><Relationship Id="rId1176" Type="http://schemas.openxmlformats.org/officeDocument/2006/relationships/hyperlink" Target="https://fbref.com/en/players/ecad9aa5/matchlogs/2025-2026/summary/Romeo-Lavia-Match-Logs" TargetMode="External"/><Relationship Id="rId2023" Type="http://schemas.openxmlformats.org/officeDocument/2006/relationships/hyperlink" Target="https://fbref.com/en/squads/4ba7cbea/Bournemouth-Stats" TargetMode="External"/><Relationship Id="rId102" Type="http://schemas.openxmlformats.org/officeDocument/2006/relationships/hyperlink" Target="https://fbref.com/en/country/ECU/Ecuador-Football" TargetMode="External"/><Relationship Id="rId586" Type="http://schemas.openxmlformats.org/officeDocument/2006/relationships/hyperlink" Target="https://fbref.com/en/country/FRA/France-Football" TargetMode="External"/><Relationship Id="rId1177" Type="http://schemas.openxmlformats.org/officeDocument/2006/relationships/hyperlink" Target="https://fbref.com/en/players/6f806d99/Enzo-Le-Fee" TargetMode="External"/><Relationship Id="rId2024" Type="http://schemas.openxmlformats.org/officeDocument/2006/relationships/hyperlink" Target="https://fbref.com/en/players/5d0e0a1f/matchlogs/2025-2026/summary/Adrien-Truffert-Match-Logs" TargetMode="External"/><Relationship Id="rId101" Type="http://schemas.openxmlformats.org/officeDocument/2006/relationships/hyperlink" Target="https://fbref.com/en/players/a9b9d89c/Nilson-Angulo" TargetMode="External"/><Relationship Id="rId585" Type="http://schemas.openxmlformats.org/officeDocument/2006/relationships/hyperlink" Target="https://fbref.com/en/players/5b92d896/Hugo-Ekitike" TargetMode="External"/><Relationship Id="rId1178" Type="http://schemas.openxmlformats.org/officeDocument/2006/relationships/hyperlink" Target="https://fbref.com/en/country/FRA/France-Football" TargetMode="External"/><Relationship Id="rId2025" Type="http://schemas.openxmlformats.org/officeDocument/2006/relationships/hyperlink" Target="https://fbref.com/en/players/2baec6ce/Axel-Tuanzebe" TargetMode="External"/><Relationship Id="rId100" Type="http://schemas.openxmlformats.org/officeDocument/2006/relationships/hyperlink" Target="https://fbref.com/en/players/ec604e2c/matchlogs/2025-2026/summary/Andre-Match-Logs" TargetMode="External"/><Relationship Id="rId584" Type="http://schemas.openxmlformats.org/officeDocument/2006/relationships/hyperlink" Target="https://fbref.com/en/players/3d554589/matchlogs/2025-2026/summary/Hjalmar-Ekdal-Match-Logs" TargetMode="External"/><Relationship Id="rId1179" Type="http://schemas.openxmlformats.org/officeDocument/2006/relationships/hyperlink" Target="https://fbref.com/en/squads/8ef52968/Sunderland-Stats" TargetMode="External"/><Relationship Id="rId2026" Type="http://schemas.openxmlformats.org/officeDocument/2006/relationships/hyperlink" Target="https://fbref.com/en/country/COD/Congo-DR-Football" TargetMode="External"/><Relationship Id="rId1169" Type="http://schemas.openxmlformats.org/officeDocument/2006/relationships/hyperlink" Target="https://fbref.com/en/players/f0068e0f/Josh-Laurent" TargetMode="External"/><Relationship Id="rId2016" Type="http://schemas.openxmlformats.org/officeDocument/2006/relationships/hyperlink" Target="https://fbref.com/en/players/21512407/matchlogs/2025-2026/summary/Kieran-Trippier-Match-Logs" TargetMode="External"/><Relationship Id="rId2017" Type="http://schemas.openxmlformats.org/officeDocument/2006/relationships/hyperlink" Target="https://fbref.com/en/players/38ceb24a/Leandro-Trossard" TargetMode="External"/><Relationship Id="rId2018" Type="http://schemas.openxmlformats.org/officeDocument/2006/relationships/hyperlink" Target="https://fbref.com/en/country/BEL/Belgium-Football" TargetMode="External"/><Relationship Id="rId2019" Type="http://schemas.openxmlformats.org/officeDocument/2006/relationships/hyperlink" Target="https://fbref.com/en/squads/18bb7c10/Arsenal-Stats" TargetMode="External"/><Relationship Id="rId579" Type="http://schemas.openxmlformats.org/officeDocument/2006/relationships/hyperlink" Target="https://fbref.com/en/squads/943e8050/Burnley-Stats" TargetMode="External"/><Relationship Id="rId578" Type="http://schemas.openxmlformats.org/officeDocument/2006/relationships/hyperlink" Target="https://fbref.com/en/country/ENG/England-Football" TargetMode="External"/><Relationship Id="rId577" Type="http://schemas.openxmlformats.org/officeDocument/2006/relationships/hyperlink" Target="https://fbref.com/en/players/57760e66/Marcus-Edwards" TargetMode="External"/><Relationship Id="rId1160" Type="http://schemas.openxmlformats.org/officeDocument/2006/relationships/hyperlink" Target="https://fbref.com/en/players/277c49ed/matchlogs/2025-2026/summary/Maxence-Lacroix-Match-Logs" TargetMode="External"/><Relationship Id="rId572" Type="http://schemas.openxmlformats.org/officeDocument/2006/relationships/hyperlink" Target="https://fbref.com/en/players/3354ea94/matchlogs/2025-2026/summary/Tom-Edozie-Match-Logs" TargetMode="External"/><Relationship Id="rId1161" Type="http://schemas.openxmlformats.org/officeDocument/2006/relationships/hyperlink" Target="https://fbref.com/en/players/8e6d2fcd/Senne-Lammens" TargetMode="External"/><Relationship Id="rId571" Type="http://schemas.openxmlformats.org/officeDocument/2006/relationships/hyperlink" Target="https://fbref.com/en/squads/8cec06e1/Wolverhampton-Wanderers-Stats" TargetMode="External"/><Relationship Id="rId1162" Type="http://schemas.openxmlformats.org/officeDocument/2006/relationships/hyperlink" Target="https://fbref.com/en/country/BEL/Belgium-Football" TargetMode="External"/><Relationship Id="rId570" Type="http://schemas.openxmlformats.org/officeDocument/2006/relationships/hyperlink" Target="https://fbref.com/en/country/ENG/England-Football" TargetMode="External"/><Relationship Id="rId1163" Type="http://schemas.openxmlformats.org/officeDocument/2006/relationships/hyperlink" Target="https://fbref.com/en/squads/19538871/Manchester-United-Stats" TargetMode="External"/><Relationship Id="rId2010" Type="http://schemas.openxmlformats.org/officeDocument/2006/relationships/hyperlink" Target="https://fbref.com/en/country/BEL/Belgium-Football" TargetMode="External"/><Relationship Id="rId1164" Type="http://schemas.openxmlformats.org/officeDocument/2006/relationships/hyperlink" Target="https://fbref.com/en/players/8e6d2fcd/matchlogs/2025-2026/summary/Senne-Lammens-Match-Logs" TargetMode="External"/><Relationship Id="rId2011" Type="http://schemas.openxmlformats.org/officeDocument/2006/relationships/hyperlink" Target="https://fbref.com/en/squads/943e8050/Burnley-Stats" TargetMode="External"/><Relationship Id="rId576" Type="http://schemas.openxmlformats.org/officeDocument/2006/relationships/hyperlink" Target="https://fbref.com/en/players/99b63a82/matchlogs/2025-2026/summary/Alysson-Edward-Match-Logs" TargetMode="External"/><Relationship Id="rId1165" Type="http://schemas.openxmlformats.org/officeDocument/2006/relationships/hyperlink" Target="https://fbref.com/en/players/450ab6fc/Jamaal-Lascelles" TargetMode="External"/><Relationship Id="rId2012" Type="http://schemas.openxmlformats.org/officeDocument/2006/relationships/hyperlink" Target="https://fbref.com/en/players/b2a81fc6/matchlogs/2025-2026/summary/Mike-Tresor-Match-Logs" TargetMode="External"/><Relationship Id="rId575" Type="http://schemas.openxmlformats.org/officeDocument/2006/relationships/hyperlink" Target="https://fbref.com/en/squads/8602292d/Aston-Villa-Stats" TargetMode="External"/><Relationship Id="rId1166" Type="http://schemas.openxmlformats.org/officeDocument/2006/relationships/hyperlink" Target="https://fbref.com/en/country/ENG/England-Football" TargetMode="External"/><Relationship Id="rId2013" Type="http://schemas.openxmlformats.org/officeDocument/2006/relationships/hyperlink" Target="https://fbref.com/en/players/21512407/Kieran-Trippier" TargetMode="External"/><Relationship Id="rId574" Type="http://schemas.openxmlformats.org/officeDocument/2006/relationships/hyperlink" Target="https://fbref.com/en/country/BRA/Brazil-Football" TargetMode="External"/><Relationship Id="rId1167" Type="http://schemas.openxmlformats.org/officeDocument/2006/relationships/hyperlink" Target="https://fbref.com/en/squads/b2b47a98/Newcastle-United-Stats" TargetMode="External"/><Relationship Id="rId2014" Type="http://schemas.openxmlformats.org/officeDocument/2006/relationships/hyperlink" Target="https://fbref.com/en/country/ENG/England-Football" TargetMode="External"/><Relationship Id="rId573" Type="http://schemas.openxmlformats.org/officeDocument/2006/relationships/hyperlink" Target="https://fbref.com/en/players/99b63a82/Alysson-Edward" TargetMode="External"/><Relationship Id="rId1168" Type="http://schemas.openxmlformats.org/officeDocument/2006/relationships/hyperlink" Target="https://fbref.com/en/players/450ab6fc/matchlogs/2025-2026/summary/Jamaal-Lascelles-Match-Logs" TargetMode="External"/><Relationship Id="rId2015" Type="http://schemas.openxmlformats.org/officeDocument/2006/relationships/hyperlink" Target="https://fbref.com/en/squads/b2b47a98/Newcastle-United-Stats" TargetMode="External"/><Relationship Id="rId2049" Type="http://schemas.openxmlformats.org/officeDocument/2006/relationships/hyperlink" Target="https://fbref.com/en/players/f8eca1b6/Enes-Unal" TargetMode="External"/><Relationship Id="rId129" Type="http://schemas.openxmlformats.org/officeDocument/2006/relationships/hyperlink" Target="https://fbref.com/en/players/28d596a0/Kepa-Arrizabalaga" TargetMode="External"/><Relationship Id="rId128" Type="http://schemas.openxmlformats.org/officeDocument/2006/relationships/hyperlink" Target="https://fbref.com/en/players/a42760bc/matchlogs/2025-2026/summary/Tolu-Arokodare-Match-Logs" TargetMode="External"/><Relationship Id="rId127" Type="http://schemas.openxmlformats.org/officeDocument/2006/relationships/hyperlink" Target="https://fbref.com/en/squads/8cec06e1/Wolverhampton-Wanderers-Stats" TargetMode="External"/><Relationship Id="rId126" Type="http://schemas.openxmlformats.org/officeDocument/2006/relationships/hyperlink" Target="https://fbref.com/en/country/NGA/Nigeria-Football" TargetMode="External"/><Relationship Id="rId1190" Type="http://schemas.openxmlformats.org/officeDocument/2006/relationships/hyperlink" Target="https://fbref.com/en/country/ENG/England-Football" TargetMode="External"/><Relationship Id="rId1191" Type="http://schemas.openxmlformats.org/officeDocument/2006/relationships/hyperlink" Target="https://fbref.com/en/squads/b8fd03ef/Manchester-City-Stats" TargetMode="External"/><Relationship Id="rId1192" Type="http://schemas.openxmlformats.org/officeDocument/2006/relationships/hyperlink" Target="https://fbref.com/en/players/b57e066e/matchlogs/2025-2026/summary/Rico-Lewis-Match-Logs" TargetMode="External"/><Relationship Id="rId1193" Type="http://schemas.openxmlformats.org/officeDocument/2006/relationships/hyperlink" Target="https://fbref.com/en/players/41f08ac8/Keane-Lewis-Potter" TargetMode="External"/><Relationship Id="rId2040" Type="http://schemas.openxmlformats.org/officeDocument/2006/relationships/hyperlink" Target="https://fbref.com/en/players/7cd520e8/matchlogs/2025-2026/summary/Destiny-Udogie-Match-Logs" TargetMode="External"/><Relationship Id="rId121" Type="http://schemas.openxmlformats.org/officeDocument/2006/relationships/hyperlink" Target="https://fbref.com/en/players/de59e609/Harrison-Armstrong" TargetMode="External"/><Relationship Id="rId1194" Type="http://schemas.openxmlformats.org/officeDocument/2006/relationships/hyperlink" Target="https://fbref.com/en/country/ENG/England-Football" TargetMode="External"/><Relationship Id="rId2041" Type="http://schemas.openxmlformats.org/officeDocument/2006/relationships/hyperlink" Target="https://fbref.com/en/players/c9817014/Manuel-Ugarte" TargetMode="External"/><Relationship Id="rId120" Type="http://schemas.openxmlformats.org/officeDocument/2006/relationships/hyperlink" Target="https://fbref.com/en/players/68c720b5/matchlogs/2025-2026/summary/Adam-Armstrong-Match-Logs" TargetMode="External"/><Relationship Id="rId1195" Type="http://schemas.openxmlformats.org/officeDocument/2006/relationships/hyperlink" Target="https://fbref.com/en/squads/cd051869/Brentford-Stats" TargetMode="External"/><Relationship Id="rId2042" Type="http://schemas.openxmlformats.org/officeDocument/2006/relationships/hyperlink" Target="https://fbref.com/en/country/URU/Uruguay-Football" TargetMode="External"/><Relationship Id="rId1196" Type="http://schemas.openxmlformats.org/officeDocument/2006/relationships/hyperlink" Target="https://fbref.com/en/players/41f08ac8/matchlogs/2025-2026/summary/Keane-Lewis-Potter-Match-Logs" TargetMode="External"/><Relationship Id="rId2043" Type="http://schemas.openxmlformats.org/officeDocument/2006/relationships/hyperlink" Target="https://fbref.com/en/squads/19538871/Manchester-United-Stats" TargetMode="External"/><Relationship Id="rId1197" Type="http://schemas.openxmlformats.org/officeDocument/2006/relationships/hyperlink" Target="https://fbref.com/en/players/5dff6c28/Myles-Lewis-Skelly" TargetMode="External"/><Relationship Id="rId2044" Type="http://schemas.openxmlformats.org/officeDocument/2006/relationships/hyperlink" Target="https://fbref.com/en/players/c9817014/matchlogs/2025-2026/summary/Manuel-Ugarte-Match-Logs" TargetMode="External"/><Relationship Id="rId125" Type="http://schemas.openxmlformats.org/officeDocument/2006/relationships/hyperlink" Target="https://fbref.com/en/players/a42760bc/Tolu-Arokodare" TargetMode="External"/><Relationship Id="rId1198" Type="http://schemas.openxmlformats.org/officeDocument/2006/relationships/hyperlink" Target="https://fbref.com/en/country/ENG/England-Football" TargetMode="External"/><Relationship Id="rId2045" Type="http://schemas.openxmlformats.org/officeDocument/2006/relationships/hyperlink" Target="https://fbref.com/en/players/1df4a109/Lesley-Ugochukwu" TargetMode="External"/><Relationship Id="rId124" Type="http://schemas.openxmlformats.org/officeDocument/2006/relationships/hyperlink" Target="https://fbref.com/en/players/de59e609/matchlogs/2025-2026/summary/Harrison-Armstrong-Match-Logs" TargetMode="External"/><Relationship Id="rId1199" Type="http://schemas.openxmlformats.org/officeDocument/2006/relationships/hyperlink" Target="https://fbref.com/en/squads/18bb7c10/Arsenal-Stats" TargetMode="External"/><Relationship Id="rId2046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d3fd31cc/Everton-Stats" TargetMode="External"/><Relationship Id="rId2047" Type="http://schemas.openxmlformats.org/officeDocument/2006/relationships/hyperlink" Target="https://fbref.com/en/squads/943e8050/Burnley-Stats" TargetMode="External"/><Relationship Id="rId122" Type="http://schemas.openxmlformats.org/officeDocument/2006/relationships/hyperlink" Target="https://fbref.com/en/country/ENG/England-Football" TargetMode="External"/><Relationship Id="rId2048" Type="http://schemas.openxmlformats.org/officeDocument/2006/relationships/hyperlink" Target="https://fbref.com/en/players/1df4a109/matchlogs/2025-2026/summary/Lesley-Ugochukwu-Match-Logs" TargetMode="External"/><Relationship Id="rId2038" Type="http://schemas.openxmlformats.org/officeDocument/2006/relationships/hyperlink" Target="https://fbref.com/en/country/ITA/Italy-Football" TargetMode="External"/><Relationship Id="rId2039" Type="http://schemas.openxmlformats.org/officeDocument/2006/relationships/hyperlink" Target="https://fbref.com/en/squads/361ca564/Tottenham-Hotspur-Stats" TargetMode="External"/><Relationship Id="rId118" Type="http://schemas.openxmlformats.org/officeDocument/2006/relationships/hyperlink" Target="https://fbref.com/en/country/ENG/England-Football" TargetMode="External"/><Relationship Id="rId117" Type="http://schemas.openxmlformats.org/officeDocument/2006/relationships/hyperlink" Target="https://fbref.com/en/players/68c720b5/Adam-Armstrong" TargetMode="External"/><Relationship Id="rId116" Type="http://schemas.openxmlformats.org/officeDocument/2006/relationships/hyperlink" Target="https://fbref.com/en/players/86d96066/matchlogs/2025-2026/summary/Jhon-Arias-Match-Logs" TargetMode="External"/><Relationship Id="rId115" Type="http://schemas.openxmlformats.org/officeDocument/2006/relationships/hyperlink" Target="https://fbref.com/en/squads/8cec06e1/Wolverhampton-Wanderers-Stats" TargetMode="External"/><Relationship Id="rId599" Type="http://schemas.openxmlformats.org/officeDocument/2006/relationships/hyperlink" Target="https://fbref.com/en/squads/822bd0ba/Liverpool-Stats" TargetMode="External"/><Relationship Id="rId1180" Type="http://schemas.openxmlformats.org/officeDocument/2006/relationships/hyperlink" Target="https://fbref.com/en/players/6f806d99/matchlogs/2025-2026/summary/Enzo-Le-Fee-Match-Logs" TargetMode="External"/><Relationship Id="rId1181" Type="http://schemas.openxmlformats.org/officeDocument/2006/relationships/hyperlink" Target="https://fbref.com/en/players/2628fd2b/Bernd-Leno" TargetMode="External"/><Relationship Id="rId119" Type="http://schemas.openxmlformats.org/officeDocument/2006/relationships/hyperlink" Target="https://fbref.com/en/squads/8cec06e1/Wolverhampton-Wanderers-Stats" TargetMode="External"/><Relationship Id="rId1182" Type="http://schemas.openxmlformats.org/officeDocument/2006/relationships/hyperlink" Target="https://fbref.com/en/country/GER/Germany-Football" TargetMode="External"/><Relationship Id="rId110" Type="http://schemas.openxmlformats.org/officeDocument/2006/relationships/hyperlink" Target="https://fbref.com/en/country/FRA/France-Football" TargetMode="External"/><Relationship Id="rId594" Type="http://schemas.openxmlformats.org/officeDocument/2006/relationships/hyperlink" Target="https://fbref.com/en/country/SWE/Sweden-Football" TargetMode="External"/><Relationship Id="rId1183" Type="http://schemas.openxmlformats.org/officeDocument/2006/relationships/hyperlink" Target="https://fbref.com/en/squads/fd962109/Fulham-Stats" TargetMode="External"/><Relationship Id="rId2030" Type="http://schemas.openxmlformats.org/officeDocument/2006/relationships/hyperlink" Target="https://fbref.com/en/country/GRE/Greece-Football" TargetMode="External"/><Relationship Id="rId593" Type="http://schemas.openxmlformats.org/officeDocument/2006/relationships/hyperlink" Target="https://fbref.com/en/players/013d348e/Melker-Ellborg" TargetMode="External"/><Relationship Id="rId1184" Type="http://schemas.openxmlformats.org/officeDocument/2006/relationships/hyperlink" Target="https://fbref.com/en/players/2628fd2b/matchlogs/2025-2026/summary/Bernd-Leno-Match-Logs" TargetMode="External"/><Relationship Id="rId2031" Type="http://schemas.openxmlformats.org/officeDocument/2006/relationships/hyperlink" Target="https://fbref.com/en/squads/d07537b9/Brighton-and-Hove-Albion-Stats" TargetMode="External"/><Relationship Id="rId592" Type="http://schemas.openxmlformats.org/officeDocument/2006/relationships/hyperlink" Target="https://fbref.com/en/players/2fba6108/matchlogs/2025-2026/summary/Anthony-Elanga-Match-Logs" TargetMode="External"/><Relationship Id="rId1185" Type="http://schemas.openxmlformats.org/officeDocument/2006/relationships/hyperlink" Target="https://fbref.com/en/players/9b5ce51a/Jefferson-Lerma" TargetMode="External"/><Relationship Id="rId2032" Type="http://schemas.openxmlformats.org/officeDocument/2006/relationships/hyperlink" Target="https://fbref.com/en/players/a497130f/matchlogs/2025-2026/summary/Stefanos-Tzimas-Match-Logs" TargetMode="External"/><Relationship Id="rId591" Type="http://schemas.openxmlformats.org/officeDocument/2006/relationships/hyperlink" Target="https://fbref.com/en/squads/b2b47a98/Newcastle-United-Stats" TargetMode="External"/><Relationship Id="rId1186" Type="http://schemas.openxmlformats.org/officeDocument/2006/relationships/hyperlink" Target="https://fbref.com/en/country/COL/Colombia-Football" TargetMode="External"/><Relationship Id="rId2033" Type="http://schemas.openxmlformats.org/officeDocument/2006/relationships/hyperlink" Target="https://fbref.com/en/players/87941696/Christantus-Uche" TargetMode="External"/><Relationship Id="rId114" Type="http://schemas.openxmlformats.org/officeDocument/2006/relationships/hyperlink" Target="https://fbref.com/en/country/COL/Colombia-Football" TargetMode="External"/><Relationship Id="rId598" Type="http://schemas.openxmlformats.org/officeDocument/2006/relationships/hyperlink" Target="https://fbref.com/en/country/ENG/England-Football" TargetMode="External"/><Relationship Id="rId1187" Type="http://schemas.openxmlformats.org/officeDocument/2006/relationships/hyperlink" Target="https://fbref.com/en/squads/47c64c55/Crystal-Palace-Stats" TargetMode="External"/><Relationship Id="rId2034" Type="http://schemas.openxmlformats.org/officeDocument/2006/relationships/hyperlink" Target="https://fbref.com/en/country/NGA/Nigeria-Football" TargetMode="External"/><Relationship Id="rId113" Type="http://schemas.openxmlformats.org/officeDocument/2006/relationships/hyperlink" Target="https://fbref.com/en/players/86d96066/Jhon-Arias" TargetMode="External"/><Relationship Id="rId597" Type="http://schemas.openxmlformats.org/officeDocument/2006/relationships/hyperlink" Target="https://fbref.com/en/players/b9e1436c/Harvey-Elliott" TargetMode="External"/><Relationship Id="rId1188" Type="http://schemas.openxmlformats.org/officeDocument/2006/relationships/hyperlink" Target="https://fbref.com/en/players/9b5ce51a/matchlogs/2025-2026/summary/Jefferson-Lerma-Match-Logs" TargetMode="External"/><Relationship Id="rId2035" Type="http://schemas.openxmlformats.org/officeDocument/2006/relationships/hyperlink" Target="https://fbref.com/en/squads/47c64c55/Crystal-Palace-Stats" TargetMode="External"/><Relationship Id="rId112" Type="http://schemas.openxmlformats.org/officeDocument/2006/relationships/hyperlink" Target="https://fbref.com/en/players/2f965a72/matchlogs/2025-2026/summary/Alphonse-Areola-Match-Logs" TargetMode="External"/><Relationship Id="rId596" Type="http://schemas.openxmlformats.org/officeDocument/2006/relationships/hyperlink" Target="https://fbref.com/en/players/013d348e/matchlogs/2025-2026/summary/Melker-Ellborg-Match-Logs" TargetMode="External"/><Relationship Id="rId1189" Type="http://schemas.openxmlformats.org/officeDocument/2006/relationships/hyperlink" Target="https://fbref.com/en/players/b57e066e/Rico-Lewis" TargetMode="External"/><Relationship Id="rId2036" Type="http://schemas.openxmlformats.org/officeDocument/2006/relationships/hyperlink" Target="https://fbref.com/en/players/87941696/matchlogs/2025-2026/summary/Christantus-Uche-Match-Logs" TargetMode="External"/><Relationship Id="rId111" Type="http://schemas.openxmlformats.org/officeDocument/2006/relationships/hyperlink" Target="https://fbref.com/en/squads/7c21e445/West-Ham-United-Stats" TargetMode="External"/><Relationship Id="rId595" Type="http://schemas.openxmlformats.org/officeDocument/2006/relationships/hyperlink" Target="https://fbref.com/en/squads/8ef52968/Sunderland-Stats" TargetMode="External"/><Relationship Id="rId2037" Type="http://schemas.openxmlformats.org/officeDocument/2006/relationships/hyperlink" Target="https://fbref.com/en/players/7cd520e8/Destiny-Udogie" TargetMode="External"/><Relationship Id="rId1136" Type="http://schemas.openxmlformats.org/officeDocument/2006/relationships/hyperlink" Target="https://fbref.com/en/players/79c0821a/matchlogs/2025-2026/summary/Mateo-Kovacic-Match-Logs" TargetMode="External"/><Relationship Id="rId1137" Type="http://schemas.openxmlformats.org/officeDocument/2006/relationships/hyperlink" Target="https://fbref.com/en/players/77cf6852/Emil-Krafth" TargetMode="External"/><Relationship Id="rId1138" Type="http://schemas.openxmlformats.org/officeDocument/2006/relationships/hyperlink" Target="https://fbref.com/en/country/SWE/Sweden-Football" TargetMode="External"/><Relationship Id="rId1139" Type="http://schemas.openxmlformats.org/officeDocument/2006/relationships/hyperlink" Target="https://fbref.com/en/squads/b2b47a98/Newcastle-United-Stats" TargetMode="External"/><Relationship Id="rId547" Type="http://schemas.openxmlformats.org/officeDocument/2006/relationships/hyperlink" Target="https://fbref.com/en/squads/361ca564/Tottenham-Hotspur-Stats" TargetMode="External"/><Relationship Id="rId546" Type="http://schemas.openxmlformats.org/officeDocument/2006/relationships/hyperlink" Target="https://fbref.com/en/country/ROU/Romania-Football" TargetMode="External"/><Relationship Id="rId545" Type="http://schemas.openxmlformats.org/officeDocument/2006/relationships/hyperlink" Target="https://fbref.com/en/players/620922ed/Radu-Dragusin" TargetMode="External"/><Relationship Id="rId544" Type="http://schemas.openxmlformats.org/officeDocument/2006/relationships/hyperlink" Target="https://fbref.com/en/players/9008bb70/matchlogs/2025-2026/summary/Max-Dowman-Match-Logs" TargetMode="External"/><Relationship Id="rId549" Type="http://schemas.openxmlformats.org/officeDocument/2006/relationships/hyperlink" Target="https://fbref.com/en/players/1bd530e8/Joel-Drakes-Thomas" TargetMode="External"/><Relationship Id="rId548" Type="http://schemas.openxmlformats.org/officeDocument/2006/relationships/hyperlink" Target="https://fbref.com/en/players/620922ed/matchlogs/2025-2026/summary/Radu-Dragusin-Match-Logs" TargetMode="External"/><Relationship Id="rId1130" Type="http://schemas.openxmlformats.org/officeDocument/2006/relationships/hyperlink" Target="https://fbref.com/en/country/GRE/Greece-Football" TargetMode="External"/><Relationship Id="rId1131" Type="http://schemas.openxmlformats.org/officeDocument/2006/relationships/hyperlink" Target="https://fbref.com/en/squads/d07537b9/Brighton-and-Hove-Albion-Stats" TargetMode="External"/><Relationship Id="rId543" Type="http://schemas.openxmlformats.org/officeDocument/2006/relationships/hyperlink" Target="https://fbref.com/en/squads/18bb7c10/Arsenal-Stats" TargetMode="External"/><Relationship Id="rId1132" Type="http://schemas.openxmlformats.org/officeDocument/2006/relationships/hyperlink" Target="https://fbref.com/en/players/816010c4/matchlogs/2025-2026/summary/Charalampos-Kostoulas-Match-Logs" TargetMode="External"/><Relationship Id="rId542" Type="http://schemas.openxmlformats.org/officeDocument/2006/relationships/hyperlink" Target="https://fbref.com/en/country/ENG/England-Football" TargetMode="External"/><Relationship Id="rId1133" Type="http://schemas.openxmlformats.org/officeDocument/2006/relationships/hyperlink" Target="https://fbref.com/en/players/79c0821a/Mateo-Kovacic" TargetMode="External"/><Relationship Id="rId541" Type="http://schemas.openxmlformats.org/officeDocument/2006/relationships/hyperlink" Target="https://fbref.com/en/players/9008bb70/Max-Dowman" TargetMode="External"/><Relationship Id="rId1134" Type="http://schemas.openxmlformats.org/officeDocument/2006/relationships/hyperlink" Target="https://fbref.com/en/country/CRO/Croatia-Football" TargetMode="External"/><Relationship Id="rId540" Type="http://schemas.openxmlformats.org/officeDocument/2006/relationships/hyperlink" Target="https://fbref.com/en/players/e6536124/matchlogs/2025-2026/summary/Patrick-Dorgu-Match-Logs" TargetMode="External"/><Relationship Id="rId1135" Type="http://schemas.openxmlformats.org/officeDocument/2006/relationships/hyperlink" Target="https://fbref.com/en/squads/b8fd03ef/Manchester-City-Stats" TargetMode="External"/><Relationship Id="rId1125" Type="http://schemas.openxmlformats.org/officeDocument/2006/relationships/hyperlink" Target="https://fbref.com/en/players/0313a347/Ezri-Konsa" TargetMode="External"/><Relationship Id="rId1126" Type="http://schemas.openxmlformats.org/officeDocument/2006/relationships/hyperlink" Target="https://fbref.com/en/country/ENG/England-Football" TargetMode="External"/><Relationship Id="rId1127" Type="http://schemas.openxmlformats.org/officeDocument/2006/relationships/hyperlink" Target="https://fbref.com/en/squads/8602292d/Aston-Villa-Stats" TargetMode="External"/><Relationship Id="rId1128" Type="http://schemas.openxmlformats.org/officeDocument/2006/relationships/hyperlink" Target="https://fbref.com/en/players/0313a347/matchlogs/2025-2026/summary/Ezri-Konsa-Match-Logs" TargetMode="External"/><Relationship Id="rId1129" Type="http://schemas.openxmlformats.org/officeDocument/2006/relationships/hyperlink" Target="https://fbref.com/en/players/816010c4/Charalampos-Kostoulas" TargetMode="External"/><Relationship Id="rId536" Type="http://schemas.openxmlformats.org/officeDocument/2006/relationships/hyperlink" Target="https://fbref.com/en/players/519db366/matchlogs/2025-2026/summary/Romelle-Donovan-Match-Logs" TargetMode="External"/><Relationship Id="rId535" Type="http://schemas.openxmlformats.org/officeDocument/2006/relationships/hyperlink" Target="https://fbref.com/en/squads/cd051869/Brentford-Stats" TargetMode="External"/><Relationship Id="rId534" Type="http://schemas.openxmlformats.org/officeDocument/2006/relationships/hyperlink" Target="https://fbref.com/en/country/ENG/England-Football" TargetMode="External"/><Relationship Id="rId533" Type="http://schemas.openxmlformats.org/officeDocument/2006/relationships/hyperlink" Target="https://fbref.com/en/players/519db366/Romelle-Donovan" TargetMode="External"/><Relationship Id="rId539" Type="http://schemas.openxmlformats.org/officeDocument/2006/relationships/hyperlink" Target="https://fbref.com/en/squads/19538871/Manchester-United-Stats" TargetMode="External"/><Relationship Id="rId538" Type="http://schemas.openxmlformats.org/officeDocument/2006/relationships/hyperlink" Target="https://fbref.com/en/country/DEN/Denmark-Football" TargetMode="External"/><Relationship Id="rId537" Type="http://schemas.openxmlformats.org/officeDocument/2006/relationships/hyperlink" Target="https://fbref.com/en/players/e6536124/Patrick-Dorgu" TargetMode="External"/><Relationship Id="rId1120" Type="http://schemas.openxmlformats.org/officeDocument/2006/relationships/hyperlink" Target="https://fbref.com/en/players/c0b3669f/matchlogs/2025-2026/summary/Randal-Kolo-Muani-Match-Logs" TargetMode="External"/><Relationship Id="rId532" Type="http://schemas.openxmlformats.org/officeDocument/2006/relationships/hyperlink" Target="https://fbref.com/en/players/08f5afaa/matchlogs/2025-2026/summary/Gianluigi-Donnarumma-Match-Logs" TargetMode="External"/><Relationship Id="rId1121" Type="http://schemas.openxmlformats.org/officeDocument/2006/relationships/hyperlink" Target="https://fbref.com/en/players/5ed9b537/Ibrahima-Konate" TargetMode="External"/><Relationship Id="rId531" Type="http://schemas.openxmlformats.org/officeDocument/2006/relationships/hyperlink" Target="https://fbref.com/en/squads/b8fd03ef/Manchester-City-Stats" TargetMode="External"/><Relationship Id="rId1122" Type="http://schemas.openxmlformats.org/officeDocument/2006/relationships/hyperlink" Target="https://fbref.com/en/country/FRA/France-Football" TargetMode="External"/><Relationship Id="rId530" Type="http://schemas.openxmlformats.org/officeDocument/2006/relationships/hyperlink" Target="https://fbref.com/en/country/ITA/Italy-Football" TargetMode="External"/><Relationship Id="rId1123" Type="http://schemas.openxmlformats.org/officeDocument/2006/relationships/hyperlink" Target="https://fbref.com/en/squads/822bd0ba/Liverpool-Stats" TargetMode="External"/><Relationship Id="rId1124" Type="http://schemas.openxmlformats.org/officeDocument/2006/relationships/hyperlink" Target="https://fbref.com/en/players/5ed9b537/matchlogs/2025-2026/summary/Ibrahima-Konate-Match-Logs" TargetMode="External"/><Relationship Id="rId1158" Type="http://schemas.openxmlformats.org/officeDocument/2006/relationships/hyperlink" Target="https://fbref.com/en/country/FRA/France-Football" TargetMode="External"/><Relationship Id="rId2005" Type="http://schemas.openxmlformats.org/officeDocument/2006/relationships/hyperlink" Target="https://fbref.com/en/players/c47541e0/Bertrand-Traore" TargetMode="External"/><Relationship Id="rId1159" Type="http://schemas.openxmlformats.org/officeDocument/2006/relationships/hyperlink" Target="https://fbref.com/en/squads/47c64c55/Crystal-Palace-Stats" TargetMode="External"/><Relationship Id="rId2006" Type="http://schemas.openxmlformats.org/officeDocument/2006/relationships/hyperlink" Target="https://fbref.com/en/country/BFA/Burkina-Faso-Football" TargetMode="External"/><Relationship Id="rId2007" Type="http://schemas.openxmlformats.org/officeDocument/2006/relationships/hyperlink" Target="https://fbref.com/en/squads/8ef52968/Sunderland-Stats" TargetMode="External"/><Relationship Id="rId2008" Type="http://schemas.openxmlformats.org/officeDocument/2006/relationships/hyperlink" Target="https://fbref.com/en/players/c47541e0/matchlogs/2025-2026/summary/Bertrand-Traore-Match-Logs" TargetMode="External"/><Relationship Id="rId2009" Type="http://schemas.openxmlformats.org/officeDocument/2006/relationships/hyperlink" Target="https://fbref.com/en/players/b2a81fc6/Mike-Tresor" TargetMode="External"/><Relationship Id="rId569" Type="http://schemas.openxmlformats.org/officeDocument/2006/relationships/hyperlink" Target="https://fbref.com/en/players/3354ea94/Tom-Edozie" TargetMode="External"/><Relationship Id="rId568" Type="http://schemas.openxmlformats.org/officeDocument/2006/relationships/hyperlink" Target="https://fbref.com/en/players/0562b7f1/matchlogs/2025-2026/summary/Odsonne-Edouard-Match-Logs" TargetMode="External"/><Relationship Id="rId567" Type="http://schemas.openxmlformats.org/officeDocument/2006/relationships/hyperlink" Target="https://fbref.com/en/squads/47c64c55/Crystal-Palace-Stats" TargetMode="External"/><Relationship Id="rId566" Type="http://schemas.openxmlformats.org/officeDocument/2006/relationships/hyperlink" Target="https://fbref.com/en/country/FRA/France-Football" TargetMode="External"/><Relationship Id="rId561" Type="http://schemas.openxmlformats.org/officeDocument/2006/relationships/hyperlink" Target="https://fbref.com/en/players/123d2733/George-Earthy" TargetMode="External"/><Relationship Id="rId1150" Type="http://schemas.openxmlformats.org/officeDocument/2006/relationships/hyperlink" Target="https://fbref.com/en/country/SWE/Sweden-Football" TargetMode="External"/><Relationship Id="rId560" Type="http://schemas.openxmlformats.org/officeDocument/2006/relationships/hyperlink" Target="https://fbref.com/en/players/282f75f3/matchlogs/2025-2026/summary/Lewis-Dunk-Match-Logs" TargetMode="External"/><Relationship Id="rId1151" Type="http://schemas.openxmlformats.org/officeDocument/2006/relationships/hyperlink" Target="https://fbref.com/en/squads/fd962109/Fulham-Stats" TargetMode="External"/><Relationship Id="rId1152" Type="http://schemas.openxmlformats.org/officeDocument/2006/relationships/hyperlink" Target="https://fbref.com/en/players/c7c26e61/matchlogs/2025-2026/summary/Jonah-Kusi-Asare-Match-Logs" TargetMode="External"/><Relationship Id="rId1153" Type="http://schemas.openxmlformats.org/officeDocument/2006/relationships/hyperlink" Target="https://fbref.com/en/players/3160e952/Shea-Lacey" TargetMode="External"/><Relationship Id="rId2000" Type="http://schemas.openxmlformats.org/officeDocument/2006/relationships/hyperlink" Target="https://fbref.com/en/players/9a28eba4/matchlogs/2025-2026/summary/Adama-Traore-Match-Logs" TargetMode="External"/><Relationship Id="rId565" Type="http://schemas.openxmlformats.org/officeDocument/2006/relationships/hyperlink" Target="https://fbref.com/en/players/0562b7f1/Odsonne-Edouard" TargetMode="External"/><Relationship Id="rId1154" Type="http://schemas.openxmlformats.org/officeDocument/2006/relationships/hyperlink" Target="https://fbref.com/en/country/ENG/England-Football" TargetMode="External"/><Relationship Id="rId2001" Type="http://schemas.openxmlformats.org/officeDocument/2006/relationships/hyperlink" Target="https://fbref.com/en/players/9a28eba4/Adama-Traore" TargetMode="External"/><Relationship Id="rId564" Type="http://schemas.openxmlformats.org/officeDocument/2006/relationships/hyperlink" Target="https://fbref.com/en/players/123d2733/matchlogs/2025-2026/summary/George-Earthy-Match-Logs" TargetMode="External"/><Relationship Id="rId1155" Type="http://schemas.openxmlformats.org/officeDocument/2006/relationships/hyperlink" Target="https://fbref.com/en/squads/19538871/Manchester-United-Stats" TargetMode="External"/><Relationship Id="rId2002" Type="http://schemas.openxmlformats.org/officeDocument/2006/relationships/hyperlink" Target="https://fbref.com/en/country/ESP/Spain-Football" TargetMode="External"/><Relationship Id="rId563" Type="http://schemas.openxmlformats.org/officeDocument/2006/relationships/hyperlink" Target="https://fbref.com/en/squads/7c21e445/West-Ham-United-Stats" TargetMode="External"/><Relationship Id="rId1156" Type="http://schemas.openxmlformats.org/officeDocument/2006/relationships/hyperlink" Target="https://fbref.com/en/players/3160e952/matchlogs/2025-2026/summary/Shea-Lacey-Match-Logs" TargetMode="External"/><Relationship Id="rId2003" Type="http://schemas.openxmlformats.org/officeDocument/2006/relationships/hyperlink" Target="https://fbref.com/en/squads/7c21e445/West-Ham-United-Stats" TargetMode="External"/><Relationship Id="rId562" Type="http://schemas.openxmlformats.org/officeDocument/2006/relationships/hyperlink" Target="https://fbref.com/en/country/ENG/England-Football" TargetMode="External"/><Relationship Id="rId1157" Type="http://schemas.openxmlformats.org/officeDocument/2006/relationships/hyperlink" Target="https://fbref.com/en/players/277c49ed/Maxence-Lacroix" TargetMode="External"/><Relationship Id="rId2004" Type="http://schemas.openxmlformats.org/officeDocument/2006/relationships/hyperlink" Target="https://fbref.com/en/players/9a28eba4/matchlogs/2025-2026/summary/Adama-Traore-Match-Logs" TargetMode="External"/><Relationship Id="rId1147" Type="http://schemas.openxmlformats.org/officeDocument/2006/relationships/hyperlink" Target="https://fbref.com/en/squads/361ca564/Tottenham-Hotspur-Stats" TargetMode="External"/><Relationship Id="rId1148" Type="http://schemas.openxmlformats.org/officeDocument/2006/relationships/hyperlink" Target="https://fbref.com/en/players/b62878a5/matchlogs/2025-2026/summary/Mohammed-Kudus-Match-Logs" TargetMode="External"/><Relationship Id="rId1149" Type="http://schemas.openxmlformats.org/officeDocument/2006/relationships/hyperlink" Target="https://fbref.com/en/players/c7c26e61/Jonah-Kusi-Asare" TargetMode="External"/><Relationship Id="rId558" Type="http://schemas.openxmlformats.org/officeDocument/2006/relationships/hyperlink" Target="https://fbref.com/en/country/ENG/England-Football" TargetMode="External"/><Relationship Id="rId557" Type="http://schemas.openxmlformats.org/officeDocument/2006/relationships/hyperlink" Target="https://fbref.com/en/players/282f75f3/Lewis-Dunk" TargetMode="External"/><Relationship Id="rId556" Type="http://schemas.openxmlformats.org/officeDocument/2006/relationships/hyperlink" Target="https://fbref.com/en/players/3a949a25/matchlogs/2025-2026/summary/Martin-Dubravka-Match-Logs" TargetMode="External"/><Relationship Id="rId555" Type="http://schemas.openxmlformats.org/officeDocument/2006/relationships/hyperlink" Target="https://fbref.com/en/squads/943e8050/Burnley-Stats" TargetMode="External"/><Relationship Id="rId559" Type="http://schemas.openxmlformats.org/officeDocument/2006/relationships/hyperlink" Target="https://fbref.com/en/squads/d07537b9/Brighton-and-Hove-Albion-Stats" TargetMode="External"/><Relationship Id="rId550" Type="http://schemas.openxmlformats.org/officeDocument/2006/relationships/hyperlink" Target="https://fbref.com/en/country/ENG/England-Football" TargetMode="External"/><Relationship Id="rId1140" Type="http://schemas.openxmlformats.org/officeDocument/2006/relationships/hyperlink" Target="https://fbref.com/en/players/77cf6852/matchlogs/2025-2026/summary/Emil-Krafth-Match-Logs" TargetMode="External"/><Relationship Id="rId1141" Type="http://schemas.openxmlformats.org/officeDocument/2006/relationships/hyperlink" Target="https://fbref.com/en/players/5b5c2228/Ladislav-Krejci" TargetMode="External"/><Relationship Id="rId1142" Type="http://schemas.openxmlformats.org/officeDocument/2006/relationships/hyperlink" Target="https://fbref.com/en/country/CZE/Czech-Republic-Football" TargetMode="External"/><Relationship Id="rId554" Type="http://schemas.openxmlformats.org/officeDocument/2006/relationships/hyperlink" Target="https://fbref.com/en/country/SVK/Slovakia-Football" TargetMode="External"/><Relationship Id="rId1143" Type="http://schemas.openxmlformats.org/officeDocument/2006/relationships/hyperlink" Target="https://fbref.com/en/squads/8cec06e1/Wolverhampton-Wanderers-Stats" TargetMode="External"/><Relationship Id="rId553" Type="http://schemas.openxmlformats.org/officeDocument/2006/relationships/hyperlink" Target="https://fbref.com/en/players/3a949a25/Martin-Dubravka" TargetMode="External"/><Relationship Id="rId1144" Type="http://schemas.openxmlformats.org/officeDocument/2006/relationships/hyperlink" Target="https://fbref.com/en/players/5b5c2228/matchlogs/2025-2026/summary/Ladislav-Krejci-Match-Logs" TargetMode="External"/><Relationship Id="rId552" Type="http://schemas.openxmlformats.org/officeDocument/2006/relationships/hyperlink" Target="https://fbref.com/en/players/1bd530e8/matchlogs/2025-2026/summary/Joel-Drakes-Thomas-Match-Logs" TargetMode="External"/><Relationship Id="rId1145" Type="http://schemas.openxmlformats.org/officeDocument/2006/relationships/hyperlink" Target="https://fbref.com/en/players/b62878a5/Mohammed-Kudus" TargetMode="External"/><Relationship Id="rId551" Type="http://schemas.openxmlformats.org/officeDocument/2006/relationships/hyperlink" Target="https://fbref.com/en/squads/47c64c55/Crystal-Palace-Stats" TargetMode="External"/><Relationship Id="rId1146" Type="http://schemas.openxmlformats.org/officeDocument/2006/relationships/hyperlink" Target="https://fbref.com/en/country/GHA/Ghana-Football" TargetMode="External"/><Relationship Id="rId2090" Type="http://schemas.openxmlformats.org/officeDocument/2006/relationships/hyperlink" Target="https://fbref.com/en/country/ENG/England-Football" TargetMode="External"/><Relationship Id="rId2091" Type="http://schemas.openxmlformats.org/officeDocument/2006/relationships/hyperlink" Target="https://fbref.com/en/squads/7c21e445/West-Ham-United-Stats" TargetMode="External"/><Relationship Id="rId2092" Type="http://schemas.openxmlformats.org/officeDocument/2006/relationships/hyperlink" Target="https://fbref.com/en/players/3515d404/matchlogs/2025-2026/summary/James-Ward-Prowse-Match-Logs" TargetMode="External"/><Relationship Id="rId2093" Type="http://schemas.openxmlformats.org/officeDocument/2006/relationships/hyperlink" Target="https://fbref.com/en/players/3515d404/James-Ward-Prowse" TargetMode="External"/><Relationship Id="rId2094" Type="http://schemas.openxmlformats.org/officeDocument/2006/relationships/hyperlink" Target="https://fbref.com/en/country/ENG/England-Football" TargetMode="External"/><Relationship Id="rId2095" Type="http://schemas.openxmlformats.org/officeDocument/2006/relationships/hyperlink" Target="https://fbref.com/en/squads/943e8050/Burnley-Stats" TargetMode="External"/><Relationship Id="rId2096" Type="http://schemas.openxmlformats.org/officeDocument/2006/relationships/hyperlink" Target="https://fbref.com/en/players/3515d404/matchlogs/2025-2026/summary/James-Ward-Prowse-Match-Logs" TargetMode="External"/><Relationship Id="rId2097" Type="http://schemas.openxmlformats.org/officeDocument/2006/relationships/hyperlink" Target="https://fbref.com/en/players/aed3a70f/Ollie-Watkins" TargetMode="External"/><Relationship Id="rId2098" Type="http://schemas.openxmlformats.org/officeDocument/2006/relationships/hyperlink" Target="https://fbref.com/en/country/ENG/England-Football" TargetMode="External"/><Relationship Id="rId2099" Type="http://schemas.openxmlformats.org/officeDocument/2006/relationships/hyperlink" Target="https://fbref.com/en/squads/8602292d/Aston-Villa-Stats" TargetMode="External"/><Relationship Id="rId2060" Type="http://schemas.openxmlformats.org/officeDocument/2006/relationships/hyperlink" Target="https://fbref.com/en/players/e06683ca/matchlogs/2025-2026/summary/Virgil-van-Dijk-Match-Logs" TargetMode="External"/><Relationship Id="rId2061" Type="http://schemas.openxmlformats.org/officeDocument/2006/relationships/hyperlink" Target="https://fbref.com/en/players/dad4b285/Joel-Veltman" TargetMode="External"/><Relationship Id="rId2062" Type="http://schemas.openxmlformats.org/officeDocument/2006/relationships/hyperlink" Target="https://fbref.com/en/country/NED/Netherlands-Football" TargetMode="External"/><Relationship Id="rId2063" Type="http://schemas.openxmlformats.org/officeDocument/2006/relationships/hyperlink" Target="https://fbref.com/en/squads/d07537b9/Brighton-and-Hove-Albion-Stats" TargetMode="External"/><Relationship Id="rId2064" Type="http://schemas.openxmlformats.org/officeDocument/2006/relationships/hyperlink" Target="https://fbref.com/en/players/dad4b285/matchlogs/2025-2026/summary/Joel-Veltman-Match-Logs" TargetMode="External"/><Relationship Id="rId2065" Type="http://schemas.openxmlformats.org/officeDocument/2006/relationships/hyperlink" Target="https://fbref.com/en/players/8fe2a392/Micky-van-de-Ven" TargetMode="External"/><Relationship Id="rId2066" Type="http://schemas.openxmlformats.org/officeDocument/2006/relationships/hyperlink" Target="https://fbref.com/en/country/NED/Netherlands-Football" TargetMode="External"/><Relationship Id="rId2067" Type="http://schemas.openxmlformats.org/officeDocument/2006/relationships/hyperlink" Target="https://fbref.com/en/squads/361ca564/Tottenham-Hotspur-Stats" TargetMode="External"/><Relationship Id="rId2068" Type="http://schemas.openxmlformats.org/officeDocument/2006/relationships/hyperlink" Target="https://fbref.com/en/players/8fe2a392/matchlogs/2025-2026/summary/Micky-van-de-Ven-Match-Logs" TargetMode="External"/><Relationship Id="rId2069" Type="http://schemas.openxmlformats.org/officeDocument/2006/relationships/hyperlink" Target="https://fbref.com/en/players/cf134113/Bart-Verbruggen" TargetMode="External"/><Relationship Id="rId2050" Type="http://schemas.openxmlformats.org/officeDocument/2006/relationships/hyperlink" Target="https://fbref.com/en/country/TUR/Turkey-Football" TargetMode="External"/><Relationship Id="rId2051" Type="http://schemas.openxmlformats.org/officeDocument/2006/relationships/hyperlink" Target="https://fbref.com/en/squads/4ba7cbea/Bournemouth-Stats" TargetMode="External"/><Relationship Id="rId495" Type="http://schemas.openxmlformats.org/officeDocument/2006/relationships/hyperlink" Target="https://fbref.com/en/squads/b8fd03ef/Manchester-City-Stats" TargetMode="External"/><Relationship Id="rId2052" Type="http://schemas.openxmlformats.org/officeDocument/2006/relationships/hyperlink" Target="https://fbref.com/en/players/f8eca1b6/matchlogs/2025-2026/summary/Enes-Unal-Match-Logs" TargetMode="External"/><Relationship Id="rId494" Type="http://schemas.openxmlformats.org/officeDocument/2006/relationships/hyperlink" Target="https://fbref.com/en/country/POR/Portugal-Football" TargetMode="External"/><Relationship Id="rId2053" Type="http://schemas.openxmlformats.org/officeDocument/2006/relationships/hyperlink" Target="https://fbref.com/en/players/57a34cf4/Hakon-Valdimarsson" TargetMode="External"/><Relationship Id="rId493" Type="http://schemas.openxmlformats.org/officeDocument/2006/relationships/hyperlink" Target="https://fbref.com/en/players/31c69ef1/Ruben-Dias" TargetMode="External"/><Relationship Id="rId2054" Type="http://schemas.openxmlformats.org/officeDocument/2006/relationships/hyperlink" Target="https://fbref.com/en/country/ISL/Iceland-Football" TargetMode="External"/><Relationship Id="rId492" Type="http://schemas.openxmlformats.org/officeDocument/2006/relationships/hyperlink" Target="https://fbref.com/en/players/6d0fe035/matchlogs/2025-2026/summary/Habib-Diarra-Match-Logs" TargetMode="External"/><Relationship Id="rId2055" Type="http://schemas.openxmlformats.org/officeDocument/2006/relationships/hyperlink" Target="https://fbref.com/en/squads/cd051869/Brentford-Stats" TargetMode="External"/><Relationship Id="rId499" Type="http://schemas.openxmlformats.org/officeDocument/2006/relationships/hyperlink" Target="https://fbref.com/en/squads/d3fd31cc/Everton-Stats" TargetMode="External"/><Relationship Id="rId2056" Type="http://schemas.openxmlformats.org/officeDocument/2006/relationships/hyperlink" Target="https://fbref.com/en/players/57a34cf4/matchlogs/2025-2026/summary/Hakon-Valdimarsson-Match-Logs" TargetMode="External"/><Relationship Id="rId498" Type="http://schemas.openxmlformats.org/officeDocument/2006/relationships/hyperlink" Target="https://fbref.com/en/country/ENG/England-Football" TargetMode="External"/><Relationship Id="rId2057" Type="http://schemas.openxmlformats.org/officeDocument/2006/relationships/hyperlink" Target="https://fbref.com/en/players/e06683ca/Virgil-van-Dijk" TargetMode="External"/><Relationship Id="rId497" Type="http://schemas.openxmlformats.org/officeDocument/2006/relationships/hyperlink" Target="https://fbref.com/en/players/bdcc89ae/Tyler-Dibling" TargetMode="External"/><Relationship Id="rId2058" Type="http://schemas.openxmlformats.org/officeDocument/2006/relationships/hyperlink" Target="https://fbref.com/en/country/NED/Netherlands-Football" TargetMode="External"/><Relationship Id="rId496" Type="http://schemas.openxmlformats.org/officeDocument/2006/relationships/hyperlink" Target="https://fbref.com/en/players/31c69ef1/matchlogs/2025-2026/summary/Ruben-Dias-Match-Logs" TargetMode="External"/><Relationship Id="rId2059" Type="http://schemas.openxmlformats.org/officeDocument/2006/relationships/hyperlink" Target="https://fbref.com/en/squads/822bd0ba/Liverpool-Stats" TargetMode="External"/><Relationship Id="rId2080" Type="http://schemas.openxmlformats.org/officeDocument/2006/relationships/hyperlink" Target="https://fbref.com/en/players/86dd77d1/matchlogs/2025-2026/summary/Kyle-Walker-Match-Logs" TargetMode="External"/><Relationship Id="rId2081" Type="http://schemas.openxmlformats.org/officeDocument/2006/relationships/hyperlink" Target="https://fbref.com/en/players/984a5a64/Kyle-Walker-Peters" TargetMode="External"/><Relationship Id="rId2082" Type="http://schemas.openxmlformats.org/officeDocument/2006/relationships/hyperlink" Target="https://fbref.com/en/country/ENG/England-Football" TargetMode="External"/><Relationship Id="rId2083" Type="http://schemas.openxmlformats.org/officeDocument/2006/relationships/hyperlink" Target="https://fbref.com/en/squads/7c21e445/West-Ham-United-Stats" TargetMode="External"/><Relationship Id="rId2084" Type="http://schemas.openxmlformats.org/officeDocument/2006/relationships/hyperlink" Target="https://fbref.com/en/players/984a5a64/matchlogs/2025-2026/summary/Kyle-Walker-Peters-Match-Logs" TargetMode="External"/><Relationship Id="rId2085" Type="http://schemas.openxmlformats.org/officeDocument/2006/relationships/hyperlink" Target="https://fbref.com/en/players/9e525177/Aaron-Wan-Bissaka" TargetMode="External"/><Relationship Id="rId2086" Type="http://schemas.openxmlformats.org/officeDocument/2006/relationships/hyperlink" Target="https://fbref.com/en/country/COD/Congo-DR-Football" TargetMode="External"/><Relationship Id="rId2087" Type="http://schemas.openxmlformats.org/officeDocument/2006/relationships/hyperlink" Target="https://fbref.com/en/squads/7c21e445/West-Ham-United-Stats" TargetMode="External"/><Relationship Id="rId2088" Type="http://schemas.openxmlformats.org/officeDocument/2006/relationships/hyperlink" Target="https://fbref.com/en/players/9e525177/matchlogs/2025-2026/summary/Aaron-Wan-Bissaka-Match-Logs" TargetMode="External"/><Relationship Id="rId2089" Type="http://schemas.openxmlformats.org/officeDocument/2006/relationships/hyperlink" Target="https://fbref.com/en/players/3515d404/James-Ward-Prowse" TargetMode="External"/><Relationship Id="rId2070" Type="http://schemas.openxmlformats.org/officeDocument/2006/relationships/hyperlink" Target="https://fbref.com/en/country/NED/Netherlands-Football" TargetMode="External"/><Relationship Id="rId2071" Type="http://schemas.openxmlformats.org/officeDocument/2006/relationships/hyperlink" Target="https://fbref.com/en/squads/d07537b9/Brighton-and-Hove-Albion-Stats" TargetMode="External"/><Relationship Id="rId2072" Type="http://schemas.openxmlformats.org/officeDocument/2006/relationships/hyperlink" Target="https://fbref.com/en/players/cf134113/matchlogs/2025-2026/summary/Bart-Verbruggen-Match-Logs" TargetMode="External"/><Relationship Id="rId2073" Type="http://schemas.openxmlformats.org/officeDocument/2006/relationships/hyperlink" Target="https://fbref.com/en/players/77d6fd4d/Guglielmo-Vicario" TargetMode="External"/><Relationship Id="rId2074" Type="http://schemas.openxmlformats.org/officeDocument/2006/relationships/hyperlink" Target="https://fbref.com/en/country/ITA/Italy-Football" TargetMode="External"/><Relationship Id="rId2075" Type="http://schemas.openxmlformats.org/officeDocument/2006/relationships/hyperlink" Target="https://fbref.com/en/squads/361ca564/Tottenham-Hotspur-Stats" TargetMode="External"/><Relationship Id="rId2076" Type="http://schemas.openxmlformats.org/officeDocument/2006/relationships/hyperlink" Target="https://fbref.com/en/players/77d6fd4d/matchlogs/2025-2026/summary/Guglielmo-Vicario-Match-Logs" TargetMode="External"/><Relationship Id="rId2077" Type="http://schemas.openxmlformats.org/officeDocument/2006/relationships/hyperlink" Target="https://fbref.com/en/players/86dd77d1/Kyle-Walker" TargetMode="External"/><Relationship Id="rId2078" Type="http://schemas.openxmlformats.org/officeDocument/2006/relationships/hyperlink" Target="https://fbref.com/en/country/ENG/England-Football" TargetMode="External"/><Relationship Id="rId2079" Type="http://schemas.openxmlformats.org/officeDocument/2006/relationships/hyperlink" Target="https://fbref.com/en/squads/943e8050/Burnley-Stats" TargetMode="External"/><Relationship Id="rId1610" Type="http://schemas.openxmlformats.org/officeDocument/2006/relationships/hyperlink" Target="https://fbref.com/en/country/ENG/England-Football" TargetMode="External"/><Relationship Id="rId1611" Type="http://schemas.openxmlformats.org/officeDocument/2006/relationships/hyperlink" Target="https://fbref.com/en/squads/cd051869/Brentford-Stats" TargetMode="External"/><Relationship Id="rId1612" Type="http://schemas.openxmlformats.org/officeDocument/2006/relationships/hyperlink" Target="https://fbref.com/en/players/ea1a5662/matchlogs/2025-2026/summary/Myles-Peart-Harris-Match-Logs" TargetMode="External"/><Relationship Id="rId1613" Type="http://schemas.openxmlformats.org/officeDocument/2006/relationships/hyperlink" Target="https://fbref.com/en/players/5dbd461a/Lucas-Perri" TargetMode="External"/><Relationship Id="rId1614" Type="http://schemas.openxmlformats.org/officeDocument/2006/relationships/hyperlink" Target="https://fbref.com/en/country/BRA/Brazil-Football" TargetMode="External"/><Relationship Id="rId1615" Type="http://schemas.openxmlformats.org/officeDocument/2006/relationships/hyperlink" Target="https://fbref.com/en/squads/5bfb9659/Leeds-United-Stats" TargetMode="External"/><Relationship Id="rId1616" Type="http://schemas.openxmlformats.org/officeDocument/2006/relationships/hyperlink" Target="https://fbref.com/en/players/5dbd461a/matchlogs/2025-2026/summary/Lucas-Perri-Match-Logs" TargetMode="External"/><Relationship Id="rId907" Type="http://schemas.openxmlformats.org/officeDocument/2006/relationships/hyperlink" Target="https://fbref.com/en/squads/4ba7cbea/Bournemouth-Stats" TargetMode="External"/><Relationship Id="rId1617" Type="http://schemas.openxmlformats.org/officeDocument/2006/relationships/hyperlink" Target="https://fbref.com/en/players/0cf321c8/Djordje-Petrovic" TargetMode="External"/><Relationship Id="rId906" Type="http://schemas.openxmlformats.org/officeDocument/2006/relationships/hyperlink" Target="https://fbref.com/en/country/ENG/England-Football" TargetMode="External"/><Relationship Id="rId1618" Type="http://schemas.openxmlformats.org/officeDocument/2006/relationships/hyperlink" Target="https://fbref.com/en/country/SRB/Serbia-Football" TargetMode="External"/><Relationship Id="rId905" Type="http://schemas.openxmlformats.org/officeDocument/2006/relationships/hyperlink" Target="https://fbref.com/en/players/69942fb3/James-Hill" TargetMode="External"/><Relationship Id="rId1619" Type="http://schemas.openxmlformats.org/officeDocument/2006/relationships/hyperlink" Target="https://fbref.com/en/squads/4ba7cbea/Bournemouth-Stats" TargetMode="External"/><Relationship Id="rId904" Type="http://schemas.openxmlformats.org/officeDocument/2006/relationships/hyperlink" Target="https://fbref.com/en/players/1780bb4a/matchlogs/2025-2026/summary/Aaron-Hickey-Match-Logs" TargetMode="External"/><Relationship Id="rId909" Type="http://schemas.openxmlformats.org/officeDocument/2006/relationships/hyperlink" Target="https://fbref.com/en/players/0c7a48f8/Piero-Hincapie" TargetMode="External"/><Relationship Id="rId908" Type="http://schemas.openxmlformats.org/officeDocument/2006/relationships/hyperlink" Target="https://fbref.com/en/players/69942fb3/matchlogs/2025-2026/summary/James-Hill-Match-Logs" TargetMode="External"/><Relationship Id="rId903" Type="http://schemas.openxmlformats.org/officeDocument/2006/relationships/hyperlink" Target="https://fbref.com/en/squads/cd051869/Brentford-Stats" TargetMode="External"/><Relationship Id="rId902" Type="http://schemas.openxmlformats.org/officeDocument/2006/relationships/hyperlink" Target="https://fbref.com/en/country/SCO/Scotland-Football" TargetMode="External"/><Relationship Id="rId901" Type="http://schemas.openxmlformats.org/officeDocument/2006/relationships/hyperlink" Target="https://fbref.com/en/players/1780bb4a/Aaron-Hickey" TargetMode="External"/><Relationship Id="rId900" Type="http://schemas.openxmlformats.org/officeDocument/2006/relationships/hyperlink" Target="https://fbref.com/en/players/c924b17d/matchlogs/2025-2026/summary/Mads-Hermansen-Match-Logs" TargetMode="External"/><Relationship Id="rId1600" Type="http://schemas.openxmlformats.org/officeDocument/2006/relationships/hyperlink" Target="https://fbref.com/en/players/dc7f8a28/matchlogs/2025-2026/summary/Cole-Palmer-Match-Logs" TargetMode="External"/><Relationship Id="rId1601" Type="http://schemas.openxmlformats.org/officeDocument/2006/relationships/hyperlink" Target="https://fbref.com/en/players/9b6f7fd5/Lucas-Paqueta" TargetMode="External"/><Relationship Id="rId1602" Type="http://schemas.openxmlformats.org/officeDocument/2006/relationships/hyperlink" Target="https://fbref.com/en/country/BRA/Brazil-Football" TargetMode="External"/><Relationship Id="rId1603" Type="http://schemas.openxmlformats.org/officeDocument/2006/relationships/hyperlink" Target="https://fbref.com/en/squads/7c21e445/West-Ham-United-Stats" TargetMode="External"/><Relationship Id="rId1604" Type="http://schemas.openxmlformats.org/officeDocument/2006/relationships/hyperlink" Target="https://fbref.com/en/players/9b6f7fd5/matchlogs/2025-2026/summary/Lucas-Paqueta-Match-Logs" TargetMode="External"/><Relationship Id="rId1605" Type="http://schemas.openxmlformats.org/officeDocument/2006/relationships/hyperlink" Target="https://fbref.com/en/players/230f0471/Nathan-Patterson" TargetMode="External"/><Relationship Id="rId1606" Type="http://schemas.openxmlformats.org/officeDocument/2006/relationships/hyperlink" Target="https://fbref.com/en/country/SCO/Scotland-Football" TargetMode="External"/><Relationship Id="rId1607" Type="http://schemas.openxmlformats.org/officeDocument/2006/relationships/hyperlink" Target="https://fbref.com/en/squads/d3fd31cc/Everton-Stats" TargetMode="External"/><Relationship Id="rId1608" Type="http://schemas.openxmlformats.org/officeDocument/2006/relationships/hyperlink" Target="https://fbref.com/en/players/230f0471/matchlogs/2025-2026/summary/Nathan-Patterson-Match-Logs" TargetMode="External"/><Relationship Id="rId1609" Type="http://schemas.openxmlformats.org/officeDocument/2006/relationships/hyperlink" Target="https://fbref.com/en/players/ea1a5662/Myles-Peart-Harris" TargetMode="External"/><Relationship Id="rId1631" Type="http://schemas.openxmlformats.org/officeDocument/2006/relationships/hyperlink" Target="https://fbref.com/en/squads/47c64c55/Crystal-Palace-Stats" TargetMode="External"/><Relationship Id="rId1632" Type="http://schemas.openxmlformats.org/officeDocument/2006/relationships/hyperlink" Target="https://fbref.com/en/players/540ec57b/matchlogs/2025-2026/summary/Yeremi-Pino-Match-Logs" TargetMode="External"/><Relationship Id="rId1633" Type="http://schemas.openxmlformats.org/officeDocument/2006/relationships/hyperlink" Target="https://fbref.com/en/players/1f0072a6/Joel-Piroe" TargetMode="External"/><Relationship Id="rId1634" Type="http://schemas.openxmlformats.org/officeDocument/2006/relationships/hyperlink" Target="https://fbref.com/en/country/SUR/Suriname-Football" TargetMode="External"/><Relationship Id="rId1635" Type="http://schemas.openxmlformats.org/officeDocument/2006/relationships/hyperlink" Target="https://fbref.com/en/squads/5bfb9659/Leeds-United-Stats" TargetMode="External"/><Relationship Id="rId1636" Type="http://schemas.openxmlformats.org/officeDocument/2006/relationships/hyperlink" Target="https://fbref.com/en/players/1f0072a6/matchlogs/2025-2026/summary/Joel-Piroe-Match-Logs" TargetMode="External"/><Relationship Id="rId1637" Type="http://schemas.openxmlformats.org/officeDocument/2006/relationships/hyperlink" Target="https://fbref.com/en/players/4b40d9ca/Nick-Pope" TargetMode="External"/><Relationship Id="rId1638" Type="http://schemas.openxmlformats.org/officeDocument/2006/relationships/hyperlink" Target="https://fbref.com/en/country/ENG/England-Football" TargetMode="External"/><Relationship Id="rId929" Type="http://schemas.openxmlformats.org/officeDocument/2006/relationships/hyperlink" Target="https://fbref.com/en/players/a0666d3e/Will-Hughes" TargetMode="External"/><Relationship Id="rId1639" Type="http://schemas.openxmlformats.org/officeDocument/2006/relationships/hyperlink" Target="https://fbref.com/en/squads/b2b47a98/Newcastle-United-Stats" TargetMode="External"/><Relationship Id="rId928" Type="http://schemas.openxmlformats.org/officeDocument/2006/relationships/hyperlink" Target="https://fbref.com/en/players/15f3ec41/matchlogs/2025-2026/summary/Callum-Hudson-Odoi-Match-Logs" TargetMode="External"/><Relationship Id="rId927" Type="http://schemas.openxmlformats.org/officeDocument/2006/relationships/hyperlink" Target="https://fbref.com/en/squads/e4a775cb/Nottingham-Forest-Stats" TargetMode="External"/><Relationship Id="rId926" Type="http://schemas.openxmlformats.org/officeDocument/2006/relationships/hyperlink" Target="https://fbref.com/en/country/ENG/England-Football" TargetMode="External"/><Relationship Id="rId921" Type="http://schemas.openxmlformats.org/officeDocument/2006/relationships/hyperlink" Target="https://fbref.com/en/players/d8a7e52c/Harry-Howell" TargetMode="External"/><Relationship Id="rId920" Type="http://schemas.openxmlformats.org/officeDocument/2006/relationships/hyperlink" Target="https://fbref.com/en/players/9a71e978/matchlogs/2025-2026/summary/Ki-Jana-Hoever-Match-Logs" TargetMode="External"/><Relationship Id="rId925" Type="http://schemas.openxmlformats.org/officeDocument/2006/relationships/hyperlink" Target="https://fbref.com/en/players/15f3ec41/Callum-Hudson-Odoi" TargetMode="External"/><Relationship Id="rId924" Type="http://schemas.openxmlformats.org/officeDocument/2006/relationships/hyperlink" Target="https://fbref.com/en/players/d8a7e52c/matchlogs/2025-2026/summary/Harry-Howell-Match-Logs" TargetMode="External"/><Relationship Id="rId923" Type="http://schemas.openxmlformats.org/officeDocument/2006/relationships/hyperlink" Target="https://fbref.com/en/squads/d07537b9/Brighton-and-Hove-Albion-Stats" TargetMode="External"/><Relationship Id="rId922" Type="http://schemas.openxmlformats.org/officeDocument/2006/relationships/hyperlink" Target="https://fbref.com/en/country/ENG/England-Football" TargetMode="External"/><Relationship Id="rId1630" Type="http://schemas.openxmlformats.org/officeDocument/2006/relationships/hyperlink" Target="https://fbref.com/en/country/ESP/Spain-Football" TargetMode="External"/><Relationship Id="rId1620" Type="http://schemas.openxmlformats.org/officeDocument/2006/relationships/hyperlink" Target="https://fbref.com/en/players/0cf321c8/matchlogs/2025-2026/summary/Djordje-Petrovic-Match-Logs" TargetMode="External"/><Relationship Id="rId1621" Type="http://schemas.openxmlformats.org/officeDocument/2006/relationships/hyperlink" Target="https://fbref.com/en/players/4806ec67/Jordan-Pickford" TargetMode="External"/><Relationship Id="rId1622" Type="http://schemas.openxmlformats.org/officeDocument/2006/relationships/hyperlink" Target="https://fbref.com/en/country/ENG/England-Football" TargetMode="External"/><Relationship Id="rId1623" Type="http://schemas.openxmlformats.org/officeDocument/2006/relationships/hyperlink" Target="https://fbref.com/en/squads/d3fd31cc/Everton-Stats" TargetMode="External"/><Relationship Id="rId1624" Type="http://schemas.openxmlformats.org/officeDocument/2006/relationships/hyperlink" Target="https://fbref.com/en/players/4806ec67/matchlogs/2025-2026/summary/Jordan-Pickford-Match-Logs" TargetMode="External"/><Relationship Id="rId1625" Type="http://schemas.openxmlformats.org/officeDocument/2006/relationships/hyperlink" Target="https://fbref.com/en/players/e541326e/Ethan-Pinnock" TargetMode="External"/><Relationship Id="rId1626" Type="http://schemas.openxmlformats.org/officeDocument/2006/relationships/hyperlink" Target="https://fbref.com/en/country/JAM/Jamaica-Football" TargetMode="External"/><Relationship Id="rId1627" Type="http://schemas.openxmlformats.org/officeDocument/2006/relationships/hyperlink" Target="https://fbref.com/en/squads/cd051869/Brentford-Stats" TargetMode="External"/><Relationship Id="rId918" Type="http://schemas.openxmlformats.org/officeDocument/2006/relationships/hyperlink" Target="https://fbref.com/en/country/NED/Netherlands-Football" TargetMode="External"/><Relationship Id="rId1628" Type="http://schemas.openxmlformats.org/officeDocument/2006/relationships/hyperlink" Target="https://fbref.com/en/players/e541326e/matchlogs/2025-2026/summary/Ethan-Pinnock-Match-Logs" TargetMode="External"/><Relationship Id="rId917" Type="http://schemas.openxmlformats.org/officeDocument/2006/relationships/hyperlink" Target="https://fbref.com/en/players/9a71e978/Ki-Jana-Hoever" TargetMode="External"/><Relationship Id="rId1629" Type="http://schemas.openxmlformats.org/officeDocument/2006/relationships/hyperlink" Target="https://fbref.com/en/players/540ec57b/Yeremi-Pino" TargetMode="External"/><Relationship Id="rId916" Type="http://schemas.openxmlformats.org/officeDocument/2006/relationships/hyperlink" Target="https://fbref.com/en/players/e98211e7/matchlogs/2025-2026/summary/Jack-Hinshelwood-Match-Logs" TargetMode="External"/><Relationship Id="rId915" Type="http://schemas.openxmlformats.org/officeDocument/2006/relationships/hyperlink" Target="https://fbref.com/en/squads/d07537b9/Brighton-and-Hove-Albion-Stats" TargetMode="External"/><Relationship Id="rId919" Type="http://schemas.openxmlformats.org/officeDocument/2006/relationships/hyperlink" Target="https://fbref.com/en/squads/8cec06e1/Wolverhampton-Wanderers-Stats" TargetMode="External"/><Relationship Id="rId910" Type="http://schemas.openxmlformats.org/officeDocument/2006/relationships/hyperlink" Target="https://fbref.com/en/country/ECU/Ecuador-Football" TargetMode="External"/><Relationship Id="rId914" Type="http://schemas.openxmlformats.org/officeDocument/2006/relationships/hyperlink" Target="https://fbref.com/en/country/ENG/England-Football" TargetMode="External"/><Relationship Id="rId913" Type="http://schemas.openxmlformats.org/officeDocument/2006/relationships/hyperlink" Target="https://fbref.com/en/players/e98211e7/Jack-Hinshelwood" TargetMode="External"/><Relationship Id="rId912" Type="http://schemas.openxmlformats.org/officeDocument/2006/relationships/hyperlink" Target="https://fbref.com/en/players/0c7a48f8/matchlogs/2025-2026/summary/Piero-Hincapie-Match-Logs" TargetMode="External"/><Relationship Id="rId911" Type="http://schemas.openxmlformats.org/officeDocument/2006/relationships/hyperlink" Target="https://fbref.com/en/squads/18bb7c10/Arsenal-Stats" TargetMode="External"/><Relationship Id="rId1213" Type="http://schemas.openxmlformats.org/officeDocument/2006/relationships/hyperlink" Target="https://fbref.com/en/players/afed6722/Tino-Livramento" TargetMode="External"/><Relationship Id="rId1697" Type="http://schemas.openxmlformats.org/officeDocument/2006/relationships/hyperlink" Target="https://fbref.com/en/players/2e4f5f03/Andrew-Robertson" TargetMode="External"/><Relationship Id="rId1214" Type="http://schemas.openxmlformats.org/officeDocument/2006/relationships/hyperlink" Target="https://fbref.com/en/country/ENG/England-Football" TargetMode="External"/><Relationship Id="rId1698" Type="http://schemas.openxmlformats.org/officeDocument/2006/relationships/hyperlink" Target="https://fbref.com/en/country/SCO/Scotland-Football" TargetMode="External"/><Relationship Id="rId1215" Type="http://schemas.openxmlformats.org/officeDocument/2006/relationships/hyperlink" Target="https://fbref.com/en/squads/b2b47a98/Newcastle-United-Stats" TargetMode="External"/><Relationship Id="rId1699" Type="http://schemas.openxmlformats.org/officeDocument/2006/relationships/hyperlink" Target="https://fbref.com/en/squads/822bd0ba/Liverpool-Stats" TargetMode="External"/><Relationship Id="rId1216" Type="http://schemas.openxmlformats.org/officeDocument/2006/relationships/hyperlink" Target="https://fbref.com/en/players/afed6722/matchlogs/2025-2026/summary/Tino-Livramento-Match-Logs" TargetMode="External"/><Relationship Id="rId1217" Type="http://schemas.openxmlformats.org/officeDocument/2006/relationships/hyperlink" Target="https://fbref.com/en/players/a2b105e0/Sean-Longstaff" TargetMode="External"/><Relationship Id="rId1218" Type="http://schemas.openxmlformats.org/officeDocument/2006/relationships/hyperlink" Target="https://fbref.com/en/country/ENG/England-Football" TargetMode="External"/><Relationship Id="rId1219" Type="http://schemas.openxmlformats.org/officeDocument/2006/relationships/hyperlink" Target="https://fbref.com/en/squads/5bfb9659/Leeds-United-Stats" TargetMode="External"/><Relationship Id="rId866" Type="http://schemas.openxmlformats.org/officeDocument/2006/relationships/hyperlink" Target="https://fbref.com/en/country/GER/Germany-Football" TargetMode="External"/><Relationship Id="rId865" Type="http://schemas.openxmlformats.org/officeDocument/2006/relationships/hyperlink" Target="https://fbref.com/en/players/fed7cb61/Kai-Havertz" TargetMode="External"/><Relationship Id="rId864" Type="http://schemas.openxmlformats.org/officeDocument/2006/relationships/hyperlink" Target="https://fbref.com/en/players/bde35051/matchlogs/2025-2026/summary/Jorrel-Hato-Match-Logs" TargetMode="External"/><Relationship Id="rId863" Type="http://schemas.openxmlformats.org/officeDocument/2006/relationships/hyperlink" Target="https://fbref.com/en/squads/cff3d9bb/Chelsea-Stats" TargetMode="External"/><Relationship Id="rId869" Type="http://schemas.openxmlformats.org/officeDocument/2006/relationships/hyperlink" Target="https://fbref.com/en/players/64e17fab/Ayden-Heaven" TargetMode="External"/><Relationship Id="rId868" Type="http://schemas.openxmlformats.org/officeDocument/2006/relationships/hyperlink" Target="https://fbref.com/en/players/fed7cb61/matchlogs/2025-2026/summary/Kai-Havertz-Match-Logs" TargetMode="External"/><Relationship Id="rId867" Type="http://schemas.openxmlformats.org/officeDocument/2006/relationships/hyperlink" Target="https://fbref.com/en/squads/18bb7c10/Arsenal-Stats" TargetMode="External"/><Relationship Id="rId1690" Type="http://schemas.openxmlformats.org/officeDocument/2006/relationships/hyperlink" Target="https://fbref.com/en/country/ENG/England-Football" TargetMode="External"/><Relationship Id="rId1691" Type="http://schemas.openxmlformats.org/officeDocument/2006/relationships/hyperlink" Target="https://fbref.com/en/squads/8ef52968/Sunderland-Stats" TargetMode="External"/><Relationship Id="rId1692" Type="http://schemas.openxmlformats.org/officeDocument/2006/relationships/hyperlink" Target="https://fbref.com/en/players/35741fe2/matchlogs/2025-2026/summary/Chris-Rigg-Match-Logs" TargetMode="External"/><Relationship Id="rId862" Type="http://schemas.openxmlformats.org/officeDocument/2006/relationships/hyperlink" Target="https://fbref.com/en/country/NED/Netherlands-Football" TargetMode="External"/><Relationship Id="rId1693" Type="http://schemas.openxmlformats.org/officeDocument/2006/relationships/hyperlink" Target="https://fbref.com/en/players/59d93937/Patrick-Roberts" TargetMode="External"/><Relationship Id="rId861" Type="http://schemas.openxmlformats.org/officeDocument/2006/relationships/hyperlink" Target="https://fbref.com/en/players/bde35051/Jorrel-Hato" TargetMode="External"/><Relationship Id="rId1210" Type="http://schemas.openxmlformats.org/officeDocument/2006/relationships/hyperlink" Target="https://fbref.com/en/country/SWE/Sweden-Football" TargetMode="External"/><Relationship Id="rId1694" Type="http://schemas.openxmlformats.org/officeDocument/2006/relationships/hyperlink" Target="https://fbref.com/en/country/ENG/England-Football" TargetMode="External"/><Relationship Id="rId860" Type="http://schemas.openxmlformats.org/officeDocument/2006/relationships/hyperlink" Target="https://fbref.com/en/players/39e1138f/matchlogs/2025-2026/summary/Quilindschy-Hartman-Match-Logs" TargetMode="External"/><Relationship Id="rId1211" Type="http://schemas.openxmlformats.org/officeDocument/2006/relationships/hyperlink" Target="https://fbref.com/en/squads/8602292d/Aston-Villa-Stats" TargetMode="External"/><Relationship Id="rId1695" Type="http://schemas.openxmlformats.org/officeDocument/2006/relationships/hyperlink" Target="https://fbref.com/en/squads/8ef52968/Sunderland-Stats" TargetMode="External"/><Relationship Id="rId1212" Type="http://schemas.openxmlformats.org/officeDocument/2006/relationships/hyperlink" Target="https://fbref.com/en/players/f5deef4c/matchlogs/2025-2026/summary/Victor-Lindelof-Match-Logs" TargetMode="External"/><Relationship Id="rId1696" Type="http://schemas.openxmlformats.org/officeDocument/2006/relationships/hyperlink" Target="https://fbref.com/en/players/59d93937/matchlogs/2025-2026/summary/Patrick-Roberts-Match-Logs" TargetMode="External"/><Relationship Id="rId1202" Type="http://schemas.openxmlformats.org/officeDocument/2006/relationships/hyperlink" Target="https://fbref.com/en/country/NED/Netherlands-Football" TargetMode="External"/><Relationship Id="rId1686" Type="http://schemas.openxmlformats.org/officeDocument/2006/relationships/hyperlink" Target="https://fbref.com/en/country/BRA/Brazil-Football" TargetMode="External"/><Relationship Id="rId1203" Type="http://schemas.openxmlformats.org/officeDocument/2006/relationships/hyperlink" Target="https://fbref.com/en/squads/19538871/Manchester-United-Stats" TargetMode="External"/><Relationship Id="rId1687" Type="http://schemas.openxmlformats.org/officeDocument/2006/relationships/hyperlink" Target="https://fbref.com/en/squads/361ca564/Tottenham-Hotspur-Stats" TargetMode="External"/><Relationship Id="rId1204" Type="http://schemas.openxmlformats.org/officeDocument/2006/relationships/hyperlink" Target="https://fbref.com/en/players/d6e53a3a/matchlogs/2025-2026/summary/Matthijs-de-Ligt-Match-Logs" TargetMode="External"/><Relationship Id="rId1688" Type="http://schemas.openxmlformats.org/officeDocument/2006/relationships/hyperlink" Target="https://fbref.com/en/players/fa031b34/matchlogs/2025-2026/summary/Richarlison-Match-Logs" TargetMode="External"/><Relationship Id="rId1205" Type="http://schemas.openxmlformats.org/officeDocument/2006/relationships/hyperlink" Target="https://fbref.com/en/players/b2f4cad5/Pedro-Lima" TargetMode="External"/><Relationship Id="rId1689" Type="http://schemas.openxmlformats.org/officeDocument/2006/relationships/hyperlink" Target="https://fbref.com/en/players/35741fe2/Chris-Rigg" TargetMode="External"/><Relationship Id="rId1206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squads/8cec06e1/Wolverhampton-Wanderers-Stats" TargetMode="External"/><Relationship Id="rId1208" Type="http://schemas.openxmlformats.org/officeDocument/2006/relationships/hyperlink" Target="https://fbref.com/en/players/b2f4cad5/matchlogs/2025-2026/summary/Pedro-Lima-Match-Logs" TargetMode="External"/><Relationship Id="rId1209" Type="http://schemas.openxmlformats.org/officeDocument/2006/relationships/hyperlink" Target="https://fbref.com/en/players/f5deef4c/Victor-Lindelof" TargetMode="External"/><Relationship Id="rId855" Type="http://schemas.openxmlformats.org/officeDocument/2006/relationships/hyperlink" Target="https://fbref.com/en/squads/5bfb9659/Leeds-United-Stats" TargetMode="External"/><Relationship Id="rId854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players/aa849a12/Jack-Harrison" TargetMode="External"/><Relationship Id="rId852" Type="http://schemas.openxmlformats.org/officeDocument/2006/relationships/hyperlink" Target="https://fbref.com/en/players/da011f18/matchlogs/2025-2026/summary/Lewis-Hall-Match-Logs" TargetMode="External"/><Relationship Id="rId859" Type="http://schemas.openxmlformats.org/officeDocument/2006/relationships/hyperlink" Target="https://fbref.com/en/squads/943e8050/Burnley-Stats" TargetMode="External"/><Relationship Id="rId858" Type="http://schemas.openxmlformats.org/officeDocument/2006/relationships/hyperlink" Target="https://fbref.com/en/country/NED/Netherlands-Football" TargetMode="External"/><Relationship Id="rId857" Type="http://schemas.openxmlformats.org/officeDocument/2006/relationships/hyperlink" Target="https://fbref.com/en/players/39e1138f/Quilindschy-Hartman" TargetMode="External"/><Relationship Id="rId856" Type="http://schemas.openxmlformats.org/officeDocument/2006/relationships/hyperlink" Target="https://fbref.com/en/players/aa849a12/matchlogs/2025-2026/summary/Jack-Harrison-Match-Logs" TargetMode="External"/><Relationship Id="rId1680" Type="http://schemas.openxmlformats.org/officeDocument/2006/relationships/hyperlink" Target="https://fbref.com/en/players/1c7012b8/matchlogs/2025-2026/summary/Declan-Rice-Match-Logs" TargetMode="External"/><Relationship Id="rId1681" Type="http://schemas.openxmlformats.org/officeDocument/2006/relationships/hyperlink" Target="https://fbref.com/en/players/0a3d6d2b/Chris-Richards" TargetMode="External"/><Relationship Id="rId851" Type="http://schemas.openxmlformats.org/officeDocument/2006/relationships/hyperlink" Target="https://fbref.com/en/squads/b2b47a98/Newcastle-United-Stats" TargetMode="External"/><Relationship Id="rId1682" Type="http://schemas.openxmlformats.org/officeDocument/2006/relationships/hyperlink" Target="https://fbref.com/en/country/USA/United-States-Football" TargetMode="External"/><Relationship Id="rId850" Type="http://schemas.openxmlformats.org/officeDocument/2006/relationships/hyperlink" Target="https://fbref.com/en/country/ENG/England-Football" TargetMode="External"/><Relationship Id="rId1683" Type="http://schemas.openxmlformats.org/officeDocument/2006/relationships/hyperlink" Target="https://fbref.com/en/squads/47c64c55/Crystal-Palace-Stats" TargetMode="External"/><Relationship Id="rId1200" Type="http://schemas.openxmlformats.org/officeDocument/2006/relationships/hyperlink" Target="https://fbref.com/en/players/5dff6c28/matchlogs/2025-2026/summary/Myles-Lewis-Skelly-Match-Logs" TargetMode="External"/><Relationship Id="rId1684" Type="http://schemas.openxmlformats.org/officeDocument/2006/relationships/hyperlink" Target="https://fbref.com/en/players/0a3d6d2b/matchlogs/2025-2026/summary/Chris-Richards-Match-Logs" TargetMode="External"/><Relationship Id="rId1201" Type="http://schemas.openxmlformats.org/officeDocument/2006/relationships/hyperlink" Target="https://fbref.com/en/players/d6e53a3a/Matthijs-de-Ligt" TargetMode="External"/><Relationship Id="rId1685" Type="http://schemas.openxmlformats.org/officeDocument/2006/relationships/hyperlink" Target="https://fbref.com/en/players/fa031b34/Richarlison" TargetMode="External"/><Relationship Id="rId1235" Type="http://schemas.openxmlformats.org/officeDocument/2006/relationships/hyperlink" Target="https://fbref.com/en/squads/943e8050/Burnley-Stats" TargetMode="External"/><Relationship Id="rId1236" Type="http://schemas.openxmlformats.org/officeDocument/2006/relationships/hyperlink" Target="https://fbref.com/en/players/881cd6be/matchlogs/2025-2026/summary/Florentino-Luis-Match-Logs" TargetMode="External"/><Relationship Id="rId1237" Type="http://schemas.openxmlformats.org/officeDocument/2006/relationships/hyperlink" Target="https://fbref.com/en/players/6f7d826d/Douglas-Luiz" TargetMode="External"/><Relationship Id="rId1238" Type="http://schemas.openxmlformats.org/officeDocument/2006/relationships/hyperlink" Target="https://fbref.com/en/country/BRA/Brazil-Football" TargetMode="External"/><Relationship Id="rId1239" Type="http://schemas.openxmlformats.org/officeDocument/2006/relationships/hyperlink" Target="https://fbref.com/en/squads/8602292d/Aston-Villa-Stats" TargetMode="External"/><Relationship Id="rId409" Type="http://schemas.openxmlformats.org/officeDocument/2006/relationships/hyperlink" Target="https://fbref.com/en/players/22ae86f9/Diego-Coppola" TargetMode="External"/><Relationship Id="rId404" Type="http://schemas.openxmlformats.org/officeDocument/2006/relationships/hyperlink" Target="https://fbref.com/en/players/700783e7/matchlogs/2025-2026/summary/Levi-Colwill-Match-Logs" TargetMode="External"/><Relationship Id="rId888" Type="http://schemas.openxmlformats.org/officeDocument/2006/relationships/hyperlink" Target="https://fbref.com/en/players/e5a76dfe/matchlogs/2025-2026/summary/Dean-Henderson-Match-Logs" TargetMode="External"/><Relationship Id="rId403" Type="http://schemas.openxmlformats.org/officeDocument/2006/relationships/hyperlink" Target="https://fbref.com/en/squads/cff3d9bb/Chelsea-Stats" TargetMode="External"/><Relationship Id="rId887" Type="http://schemas.openxmlformats.org/officeDocument/2006/relationships/hyperlink" Target="https://fbref.com/en/squads/47c64c55/Crystal-Palace-Stats" TargetMode="External"/><Relationship Id="rId402" Type="http://schemas.openxmlformats.org/officeDocument/2006/relationships/hyperlink" Target="https://fbref.com/en/country/ENG/England-Football" TargetMode="External"/><Relationship Id="rId886" Type="http://schemas.openxmlformats.org/officeDocument/2006/relationships/hyperlink" Target="https://fbref.com/en/country/ENG/England-Football" TargetMode="External"/><Relationship Id="rId401" Type="http://schemas.openxmlformats.org/officeDocument/2006/relationships/hyperlink" Target="https://fbref.com/en/players/700783e7/Levi-Colwill" TargetMode="External"/><Relationship Id="rId885" Type="http://schemas.openxmlformats.org/officeDocument/2006/relationships/hyperlink" Target="https://fbref.com/en/players/e5a76dfe/Dean-Henderson" TargetMode="External"/><Relationship Id="rId408" Type="http://schemas.openxmlformats.org/officeDocument/2006/relationships/hyperlink" Target="https://fbref.com/en/players/2afc7272/matchlogs/2025-2026/summary/Lewis-Cook-Match-Logs" TargetMode="External"/><Relationship Id="rId407" Type="http://schemas.openxmlformats.org/officeDocument/2006/relationships/hyperlink" Target="https://fbref.com/en/squads/4ba7cbea/Bournemouth-Stats" TargetMode="External"/><Relationship Id="rId406" Type="http://schemas.openxmlformats.org/officeDocument/2006/relationships/hyperlink" Target="https://fbref.com/en/country/ENG/England-Football" TargetMode="External"/><Relationship Id="rId405" Type="http://schemas.openxmlformats.org/officeDocument/2006/relationships/hyperlink" Target="https://fbref.com/en/players/2afc7272/Lewis-Cook" TargetMode="External"/><Relationship Id="rId889" Type="http://schemas.openxmlformats.org/officeDocument/2006/relationships/hyperlink" Target="https://fbref.com/en/players/935e6b8f/Jordan-Henderson" TargetMode="External"/><Relationship Id="rId880" Type="http://schemas.openxmlformats.org/officeDocument/2006/relationships/hyperlink" Target="https://fbref.com/en/players/169fd162/matchlogs/2025-2026/summary/Hwang-Hee-chan-Match-Logs" TargetMode="External"/><Relationship Id="rId1230" Type="http://schemas.openxmlformats.org/officeDocument/2006/relationships/hyperlink" Target="https://fbref.com/en/country/ITA/Italy-Football" TargetMode="External"/><Relationship Id="rId400" Type="http://schemas.openxmlformats.org/officeDocument/2006/relationships/hyperlink" Target="https://fbref.com/en/players/a8c19eb8/matchlogs/2025-2026/summary/Nathan-Collins-Match-Logs" TargetMode="External"/><Relationship Id="rId884" Type="http://schemas.openxmlformats.org/officeDocument/2006/relationships/hyperlink" Target="https://fbref.com/en/players/28795530/matchlogs/2025-2026/summary/George-Hemmings-Match-Logs" TargetMode="External"/><Relationship Id="rId1231" Type="http://schemas.openxmlformats.org/officeDocument/2006/relationships/hyperlink" Target="https://fbref.com/en/squads/e4a775cb/Nottingham-Forest-Stats" TargetMode="External"/><Relationship Id="rId883" Type="http://schemas.openxmlformats.org/officeDocument/2006/relationships/hyperlink" Target="https://fbref.com/en/squads/8602292d/Aston-Villa-Stats" TargetMode="External"/><Relationship Id="rId1232" Type="http://schemas.openxmlformats.org/officeDocument/2006/relationships/hyperlink" Target="https://fbref.com/en/players/83c06f3a/matchlogs/2025-2026/summary/Lorenzo-Lucca-Match-Logs" TargetMode="External"/><Relationship Id="rId882" Type="http://schemas.openxmlformats.org/officeDocument/2006/relationships/hyperlink" Target="https://fbref.com/en/country/ENG/England-Football" TargetMode="External"/><Relationship Id="rId1233" Type="http://schemas.openxmlformats.org/officeDocument/2006/relationships/hyperlink" Target="https://fbref.com/en/players/881cd6be/Florentino-Luis" TargetMode="External"/><Relationship Id="rId881" Type="http://schemas.openxmlformats.org/officeDocument/2006/relationships/hyperlink" Target="https://fbref.com/en/players/28795530/George-Hemmings" TargetMode="External"/><Relationship Id="rId1234" Type="http://schemas.openxmlformats.org/officeDocument/2006/relationships/hyperlink" Target="https://fbref.com/en/country/POR/Portugal-Football" TargetMode="External"/><Relationship Id="rId1224" Type="http://schemas.openxmlformats.org/officeDocument/2006/relationships/hyperlink" Target="https://fbref.com/en/players/675cacff/matchlogs/2025-2026/summary/Fer-Lopez-Match-Logs" TargetMode="External"/><Relationship Id="rId1225" Type="http://schemas.openxmlformats.org/officeDocument/2006/relationships/hyperlink" Target="https://fbref.com/en/players/5d68f5b2/Lucas" TargetMode="External"/><Relationship Id="rId1226" Type="http://schemas.openxmlformats.org/officeDocument/2006/relationships/hyperlink" Target="https://fbref.com/en/country/BRA/Brazil-Football" TargetMode="External"/><Relationship Id="rId1227" Type="http://schemas.openxmlformats.org/officeDocument/2006/relationships/hyperlink" Target="https://fbref.com/en/squads/943e8050/Burnley-Stats" TargetMode="External"/><Relationship Id="rId1228" Type="http://schemas.openxmlformats.org/officeDocument/2006/relationships/hyperlink" Target="https://fbref.com/en/players/5d68f5b2/matchlogs/2025-2026/summary/Lucas-Match-Logs" TargetMode="External"/><Relationship Id="rId1229" Type="http://schemas.openxmlformats.org/officeDocument/2006/relationships/hyperlink" Target="https://fbref.com/en/players/83c06f3a/Lorenzo-Lucca" TargetMode="External"/><Relationship Id="rId877" Type="http://schemas.openxmlformats.org/officeDocument/2006/relationships/hyperlink" Target="https://fbref.com/en/players/169fd162/Hwang-Hee-chan" TargetMode="External"/><Relationship Id="rId876" Type="http://schemas.openxmlformats.org/officeDocument/2006/relationships/hyperlink" Target="https://fbref.com/en/players/4fd08daa/matchlogs/2025-2026/summary/Jan-Paul-van-Hecke-Match-Logs" TargetMode="External"/><Relationship Id="rId875" Type="http://schemas.openxmlformats.org/officeDocument/2006/relationships/hyperlink" Target="https://fbref.com/en/squads/d07537b9/Brighton-and-Hove-Albion-Stats" TargetMode="External"/><Relationship Id="rId874" Type="http://schemas.openxmlformats.org/officeDocument/2006/relationships/hyperlink" Target="https://fbref.com/en/country/NED/Netherlands-Football" TargetMode="External"/><Relationship Id="rId879" Type="http://schemas.openxmlformats.org/officeDocument/2006/relationships/hyperlink" Target="https://fbref.com/en/squads/8cec06e1/Wolverhampton-Wanderers-Stats" TargetMode="External"/><Relationship Id="rId878" Type="http://schemas.openxmlformats.org/officeDocument/2006/relationships/hyperlink" Target="https://fbref.com/en/country/KOR/Korea-Republic-Football" TargetMode="External"/><Relationship Id="rId873" Type="http://schemas.openxmlformats.org/officeDocument/2006/relationships/hyperlink" Target="https://fbref.com/en/players/4fd08daa/Jan-Paul-van-Hecke" TargetMode="External"/><Relationship Id="rId1220" Type="http://schemas.openxmlformats.org/officeDocument/2006/relationships/hyperlink" Target="https://fbref.com/en/players/a2b105e0/matchlogs/2025-2026/summary/Sean-Longstaff-Match-Logs" TargetMode="External"/><Relationship Id="rId872" Type="http://schemas.openxmlformats.org/officeDocument/2006/relationships/hyperlink" Target="https://fbref.com/en/players/64e17fab/matchlogs/2025-2026/summary/Ayden-Heaven-Match-Logs" TargetMode="External"/><Relationship Id="rId1221" Type="http://schemas.openxmlformats.org/officeDocument/2006/relationships/hyperlink" Target="https://fbref.com/en/players/675cacff/Fer-Lopez" TargetMode="External"/><Relationship Id="rId871" Type="http://schemas.openxmlformats.org/officeDocument/2006/relationships/hyperlink" Target="https://fbref.com/en/squads/19538871/Manchester-United-Stats" TargetMode="External"/><Relationship Id="rId1222" Type="http://schemas.openxmlformats.org/officeDocument/2006/relationships/hyperlink" Target="https://fbref.com/en/country/ESP/Spain-Football" TargetMode="External"/><Relationship Id="rId870" Type="http://schemas.openxmlformats.org/officeDocument/2006/relationships/hyperlink" Target="https://fbref.com/en/country/ENG/England-Football" TargetMode="External"/><Relationship Id="rId1223" Type="http://schemas.openxmlformats.org/officeDocument/2006/relationships/hyperlink" Target="https://fbref.com/en/squads/8cec06e1/Wolverhampton-Wanderers-Stats" TargetMode="External"/><Relationship Id="rId1653" Type="http://schemas.openxmlformats.org/officeDocument/2006/relationships/hyperlink" Target="https://fbref.com/en/players/1544f145/Jacob-Ramsey" TargetMode="External"/><Relationship Id="rId1654" Type="http://schemas.openxmlformats.org/officeDocument/2006/relationships/hyperlink" Target="https://fbref.com/en/country/ENG/England-Football" TargetMode="External"/><Relationship Id="rId1655" Type="http://schemas.openxmlformats.org/officeDocument/2006/relationships/hyperlink" Target="https://fbref.com/en/squads/b2b47a98/Newcastle-United-Stats" TargetMode="External"/><Relationship Id="rId1656" Type="http://schemas.openxmlformats.org/officeDocument/2006/relationships/hyperlink" Target="https://fbref.com/en/players/1544f145/matchlogs/2025-2026/summary/Jacob-Ramsey-Match-Logs" TargetMode="External"/><Relationship Id="rId1657" Type="http://schemas.openxmlformats.org/officeDocument/2006/relationships/hyperlink" Target="https://fbref.com/en/players/98ea5115/David-Raya" TargetMode="External"/><Relationship Id="rId1658" Type="http://schemas.openxmlformats.org/officeDocument/2006/relationships/hyperlink" Target="https://fbref.com/en/country/ESP/Spain-Football" TargetMode="External"/><Relationship Id="rId1659" Type="http://schemas.openxmlformats.org/officeDocument/2006/relationships/hyperlink" Target="https://fbref.com/en/squads/18bb7c10/Arsenal-Stats" TargetMode="External"/><Relationship Id="rId829" Type="http://schemas.openxmlformats.org/officeDocument/2006/relationships/hyperlink" Target="https://fbref.com/en/players/e082af5b/Angus-Gunn" TargetMode="External"/><Relationship Id="rId828" Type="http://schemas.openxmlformats.org/officeDocument/2006/relationships/hyperlink" Target="https://fbref.com/en/players/d3d774cc/matchlogs/2025-2026/summary/Marc-Guiu-Match-Logs" TargetMode="External"/><Relationship Id="rId827" Type="http://schemas.openxmlformats.org/officeDocument/2006/relationships/hyperlink" Target="https://fbref.com/en/squads/cff3d9bb/Chelsea-Stats" TargetMode="External"/><Relationship Id="rId822" Type="http://schemas.openxmlformats.org/officeDocument/2006/relationships/hyperlink" Target="https://fbref.com/en/country/ESP/Spain-Football" TargetMode="External"/><Relationship Id="rId821" Type="http://schemas.openxmlformats.org/officeDocument/2006/relationships/hyperlink" Target="https://fbref.com/en/players/d3d774cc/Marc-Guiu" TargetMode="External"/><Relationship Id="rId820" Type="http://schemas.openxmlformats.org/officeDocument/2006/relationships/hyperlink" Target="https://fbref.com/en/players/82518f62/matchlogs/2025-2026/summary/Bruno-Guimaraes-Match-Logs" TargetMode="External"/><Relationship Id="rId826" Type="http://schemas.openxmlformats.org/officeDocument/2006/relationships/hyperlink" Target="https://fbref.com/en/country/ESP/Spain-Football" TargetMode="External"/><Relationship Id="rId825" Type="http://schemas.openxmlformats.org/officeDocument/2006/relationships/hyperlink" Target="https://fbref.com/en/players/d3d774cc/Marc-Guiu" TargetMode="External"/><Relationship Id="rId824" Type="http://schemas.openxmlformats.org/officeDocument/2006/relationships/hyperlink" Target="https://fbref.com/en/players/d3d774cc/matchlogs/2025-2026/summary/Marc-Guiu-Match-Logs" TargetMode="External"/><Relationship Id="rId823" Type="http://schemas.openxmlformats.org/officeDocument/2006/relationships/hyperlink" Target="https://fbref.com/en/squads/8ef52968/Sunderland-Stats" TargetMode="External"/><Relationship Id="rId1650" Type="http://schemas.openxmlformats.org/officeDocument/2006/relationships/hyperlink" Target="https://fbref.com/en/country/ENG/England-Football" TargetMode="External"/><Relationship Id="rId1651" Type="http://schemas.openxmlformats.org/officeDocument/2006/relationships/hyperlink" Target="https://fbref.com/en/squads/b2b47a98/Newcastle-United-Stats" TargetMode="External"/><Relationship Id="rId1652" Type="http://schemas.openxmlformats.org/officeDocument/2006/relationships/hyperlink" Target="https://fbref.com/en/players/466fb2c5/matchlogs/2025-2026/summary/Aaron-Ramsdale-Match-Logs" TargetMode="External"/><Relationship Id="rId1642" Type="http://schemas.openxmlformats.org/officeDocument/2006/relationships/hyperlink" Target="https://fbref.com/en/country/ESP/Spain-Football" TargetMode="External"/><Relationship Id="rId1643" Type="http://schemas.openxmlformats.org/officeDocument/2006/relationships/hyperlink" Target="https://fbref.com/en/squads/361ca564/Tottenham-Hotspur-Stats" TargetMode="External"/><Relationship Id="rId1644" Type="http://schemas.openxmlformats.org/officeDocument/2006/relationships/hyperlink" Target="https://fbref.com/en/players/27d0a506/matchlogs/2025-2026/summary/Pedro-Porro-Match-Logs" TargetMode="External"/><Relationship Id="rId1645" Type="http://schemas.openxmlformats.org/officeDocument/2006/relationships/hyperlink" Target="https://fbref.com/en/players/86bf27f0/Freddie-Potts" TargetMode="External"/><Relationship Id="rId1646" Type="http://schemas.openxmlformats.org/officeDocument/2006/relationships/hyperlink" Target="https://fbref.com/en/country/ENG/England-Football" TargetMode="External"/><Relationship Id="rId1647" Type="http://schemas.openxmlformats.org/officeDocument/2006/relationships/hyperlink" Target="https://fbref.com/en/squads/7c21e445/West-Ham-United-Stats" TargetMode="External"/><Relationship Id="rId1648" Type="http://schemas.openxmlformats.org/officeDocument/2006/relationships/hyperlink" Target="https://fbref.com/en/players/86bf27f0/matchlogs/2025-2026/summary/Freddie-Potts-Match-Logs" TargetMode="External"/><Relationship Id="rId1649" Type="http://schemas.openxmlformats.org/officeDocument/2006/relationships/hyperlink" Target="https://fbref.com/en/players/466fb2c5/Aaron-Ramsdale" TargetMode="External"/><Relationship Id="rId819" Type="http://schemas.openxmlformats.org/officeDocument/2006/relationships/hyperlink" Target="https://fbref.com/en/squads/b2b47a98/Newcastle-United-Stats" TargetMode="External"/><Relationship Id="rId818" Type="http://schemas.openxmlformats.org/officeDocument/2006/relationships/hyperlink" Target="https://fbref.com/en/country/BRA/Brazil-Football" TargetMode="External"/><Relationship Id="rId817" Type="http://schemas.openxmlformats.org/officeDocument/2006/relationships/hyperlink" Target="https://fbref.com/en/players/82518f62/Bruno-Guimaraes" TargetMode="External"/><Relationship Id="rId816" Type="http://schemas.openxmlformats.org/officeDocument/2006/relationships/hyperlink" Target="https://fbref.com/en/players/b7672d43/matchlogs/2025-2026/summary/Luis-Guilherme-Match-Logs" TargetMode="External"/><Relationship Id="rId811" Type="http://schemas.openxmlformats.org/officeDocument/2006/relationships/hyperlink" Target="https://fbref.com/en/squads/8602292d/Aston-Villa-Stats" TargetMode="External"/><Relationship Id="rId810" Type="http://schemas.openxmlformats.org/officeDocument/2006/relationships/hyperlink" Target="https://fbref.com/en/country/CIV/Cote-dIvoire-Football" TargetMode="External"/><Relationship Id="rId815" Type="http://schemas.openxmlformats.org/officeDocument/2006/relationships/hyperlink" Target="https://fbref.com/en/squads/7c21e445/West-Ham-United-Stats" TargetMode="External"/><Relationship Id="rId814" Type="http://schemas.openxmlformats.org/officeDocument/2006/relationships/hyperlink" Target="https://fbref.com/en/country/BRA/Brazil-Football" TargetMode="External"/><Relationship Id="rId813" Type="http://schemas.openxmlformats.org/officeDocument/2006/relationships/hyperlink" Target="https://fbref.com/en/players/b7672d43/Luis-Guilherme" TargetMode="External"/><Relationship Id="rId812" Type="http://schemas.openxmlformats.org/officeDocument/2006/relationships/hyperlink" Target="https://fbref.com/en/players/b73f17f8/matchlogs/2025-2026/summary/Evann-Guessand-Match-Logs" TargetMode="External"/><Relationship Id="rId1640" Type="http://schemas.openxmlformats.org/officeDocument/2006/relationships/hyperlink" Target="https://fbref.com/en/players/4b40d9ca/matchlogs/2025-2026/summary/Nick-Pope-Match-Logs" TargetMode="External"/><Relationship Id="rId1641" Type="http://schemas.openxmlformats.org/officeDocument/2006/relationships/hyperlink" Target="https://fbref.com/en/players/27d0a506/Pedro-Porro" TargetMode="External"/><Relationship Id="rId1675" Type="http://schemas.openxmlformats.org/officeDocument/2006/relationships/hyperlink" Target="https://fbref.com/en/squads/47c64c55/Crystal-Palace-Stats" TargetMode="External"/><Relationship Id="rId1676" Type="http://schemas.openxmlformats.org/officeDocument/2006/relationships/hyperlink" Target="https://fbref.com/en/players/b3b9b8b8/matchlogs/2025-2026/summary/Chadi-Riad-Match-Logs" TargetMode="External"/><Relationship Id="rId1677" Type="http://schemas.openxmlformats.org/officeDocument/2006/relationships/hyperlink" Target="https://fbref.com/en/players/1c7012b8/Declan-Rice" TargetMode="External"/><Relationship Id="rId1678" Type="http://schemas.openxmlformats.org/officeDocument/2006/relationships/hyperlink" Target="https://fbref.com/en/country/ENG/England-Football" TargetMode="External"/><Relationship Id="rId1679" Type="http://schemas.openxmlformats.org/officeDocument/2006/relationships/hyperlink" Target="https://fbref.com/en/squads/18bb7c10/Arsenal-Stats" TargetMode="External"/><Relationship Id="rId849" Type="http://schemas.openxmlformats.org/officeDocument/2006/relationships/hyperlink" Target="https://fbref.com/en/players/da011f18/Lewis-Hall" TargetMode="External"/><Relationship Id="rId844" Type="http://schemas.openxmlformats.org/officeDocument/2006/relationships/hyperlink" Target="https://fbref.com/en/players/4d5a9185/matchlogs/2025-2026/summary/Viktor-Gyokeres-Match-Logs" TargetMode="External"/><Relationship Id="rId843" Type="http://schemas.openxmlformats.org/officeDocument/2006/relationships/hyperlink" Target="https://fbref.com/en/squads/18bb7c10/Arsenal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4d5a9185/Viktor-Gyokeres" TargetMode="External"/><Relationship Id="rId848" Type="http://schemas.openxmlformats.org/officeDocument/2006/relationships/hyperlink" Target="https://fbref.com/en/players/1f44ac21/matchlogs/2025-2026/summary/Erling-Haaland-Match-Logs" TargetMode="External"/><Relationship Id="rId847" Type="http://schemas.openxmlformats.org/officeDocument/2006/relationships/hyperlink" Target="https://fbref.com/en/squads/b8fd03ef/Manchester-City-Stats" TargetMode="External"/><Relationship Id="rId846" Type="http://schemas.openxmlformats.org/officeDocument/2006/relationships/hyperlink" Target="https://fbref.com/en/country/NOR/Norway-Football" TargetMode="External"/><Relationship Id="rId845" Type="http://schemas.openxmlformats.org/officeDocument/2006/relationships/hyperlink" Target="https://fbref.com/en/players/1f44ac21/Erling-Haaland" TargetMode="External"/><Relationship Id="rId1670" Type="http://schemas.openxmlformats.org/officeDocument/2006/relationships/hyperlink" Target="https://fbref.com/en/country/NED/Netherlands-Football" TargetMode="External"/><Relationship Id="rId840" Type="http://schemas.openxmlformats.org/officeDocument/2006/relationships/hyperlink" Target="https://fbref.com/en/players/5ad50391/matchlogs/2025-2026/summary/Josko-Gvardiol-Match-Logs" TargetMode="External"/><Relationship Id="rId1671" Type="http://schemas.openxmlformats.org/officeDocument/2006/relationships/hyperlink" Target="https://fbref.com/en/squads/b8fd03ef/Manchester-City-Stats" TargetMode="External"/><Relationship Id="rId1672" Type="http://schemas.openxmlformats.org/officeDocument/2006/relationships/hyperlink" Target="https://fbref.com/en/players/afb61630/matchlogs/2025-2026/summary/Tijjani-Reijnders-Match-Logs" TargetMode="External"/><Relationship Id="rId1673" Type="http://schemas.openxmlformats.org/officeDocument/2006/relationships/hyperlink" Target="https://fbref.com/en/players/b3b9b8b8/Chadi-Riad" TargetMode="External"/><Relationship Id="rId1674" Type="http://schemas.openxmlformats.org/officeDocument/2006/relationships/hyperlink" Target="https://fbref.com/en/country/MAR/Morocco-Football" TargetMode="External"/><Relationship Id="rId1664" Type="http://schemas.openxmlformats.org/officeDocument/2006/relationships/hyperlink" Target="https://fbref.com/en/players/288647fc/matchlogs/2025-2026/summary/Rayan-Match-Logs" TargetMode="External"/><Relationship Id="rId1665" Type="http://schemas.openxmlformats.org/officeDocument/2006/relationships/hyperlink" Target="https://fbref.com/en/players/803ae100/Harrison-Reed" TargetMode="External"/><Relationship Id="rId1666" Type="http://schemas.openxmlformats.org/officeDocument/2006/relationships/hyperlink" Target="https://fbref.com/en/country/ENG/England-Football" TargetMode="External"/><Relationship Id="rId1667" Type="http://schemas.openxmlformats.org/officeDocument/2006/relationships/hyperlink" Target="https://fbref.com/en/squads/fd962109/Fulham-Stats" TargetMode="External"/><Relationship Id="rId1668" Type="http://schemas.openxmlformats.org/officeDocument/2006/relationships/hyperlink" Target="https://fbref.com/en/players/803ae100/matchlogs/2025-2026/summary/Harrison-Reed-Match-Logs" TargetMode="External"/><Relationship Id="rId1669" Type="http://schemas.openxmlformats.org/officeDocument/2006/relationships/hyperlink" Target="https://fbref.com/en/players/afb61630/Tijjani-Reijnders" TargetMode="External"/><Relationship Id="rId839" Type="http://schemas.openxmlformats.org/officeDocument/2006/relationships/hyperlink" Target="https://fbref.com/en/squads/b8fd03ef/Manchester-City-Stats" TargetMode="External"/><Relationship Id="rId838" Type="http://schemas.openxmlformats.org/officeDocument/2006/relationships/hyperlink" Target="https://fbref.com/en/country/CRO/Croatia-Football" TargetMode="External"/><Relationship Id="rId833" Type="http://schemas.openxmlformats.org/officeDocument/2006/relationships/hyperlink" Target="https://fbref.com/en/players/d56b9520/Malo-Gusto" TargetMode="External"/><Relationship Id="rId832" Type="http://schemas.openxmlformats.org/officeDocument/2006/relationships/hyperlink" Target="https://fbref.com/en/players/e082af5b/matchlogs/2025-2026/summary/Angus-Gunn-Match-Logs" TargetMode="External"/><Relationship Id="rId831" Type="http://schemas.openxmlformats.org/officeDocument/2006/relationships/hyperlink" Target="https://fbref.com/en/squads/e4a775cb/Nottingham-Forest-Stats" TargetMode="External"/><Relationship Id="rId830" Type="http://schemas.openxmlformats.org/officeDocument/2006/relationships/hyperlink" Target="https://fbref.com/en/country/SCO/Scotland-Football" TargetMode="External"/><Relationship Id="rId837" Type="http://schemas.openxmlformats.org/officeDocument/2006/relationships/hyperlink" Target="https://fbref.com/en/players/5ad50391/Josko-Gvardiol" TargetMode="External"/><Relationship Id="rId836" Type="http://schemas.openxmlformats.org/officeDocument/2006/relationships/hyperlink" Target="https://fbref.com/en/players/d56b9520/matchlogs/2025-2026/summary/Malo-Gusto-Match-Logs" TargetMode="External"/><Relationship Id="rId835" Type="http://schemas.openxmlformats.org/officeDocument/2006/relationships/hyperlink" Target="https://fbref.com/en/squads/cff3d9bb/Chelsea-Stats" TargetMode="External"/><Relationship Id="rId834" Type="http://schemas.openxmlformats.org/officeDocument/2006/relationships/hyperlink" Target="https://fbref.com/en/country/FRA/France-Football" TargetMode="External"/><Relationship Id="rId1660" Type="http://schemas.openxmlformats.org/officeDocument/2006/relationships/hyperlink" Target="https://fbref.com/en/players/98ea5115/matchlogs/2025-2026/summary/David-Raya-Match-Logs" TargetMode="External"/><Relationship Id="rId1661" Type="http://schemas.openxmlformats.org/officeDocument/2006/relationships/hyperlink" Target="https://fbref.com/en/players/288647fc/Rayan" TargetMode="External"/><Relationship Id="rId1662" Type="http://schemas.openxmlformats.org/officeDocument/2006/relationships/hyperlink" Target="https://fbref.com/en/country/BRA/Brazil-Football" TargetMode="External"/><Relationship Id="rId1663" Type="http://schemas.openxmlformats.org/officeDocument/2006/relationships/hyperlink" Target="https://fbref.com/en/squads/4ba7cbea/Bournemouth-Stats" TargetMode="External"/><Relationship Id="rId2148" Type="http://schemas.openxmlformats.org/officeDocument/2006/relationships/hyperlink" Target="https://fbref.com/en/players/ba31eee2/matchlogs/2025-2026/summary/Ben-Winterburn-Match-Logs" TargetMode="External"/><Relationship Id="rId2149" Type="http://schemas.openxmlformats.org/officeDocument/2006/relationships/hyperlink" Target="https://fbref.com/en/players/e7fcf289/Florian-Wirtz" TargetMode="External"/><Relationship Id="rId469" Type="http://schemas.openxmlformats.org/officeDocument/2006/relationships/hyperlink" Target="https://fbref.com/en/players/bbfe0e5d/Jesse-Derry" TargetMode="External"/><Relationship Id="rId468" Type="http://schemas.openxmlformats.org/officeDocument/2006/relationships/hyperlink" Target="https://fbref.com/en/players/7bf9400b/matchlogs/2025-2026/summary/Sepp-van-den-Berg-Match-Logs" TargetMode="External"/><Relationship Id="rId467" Type="http://schemas.openxmlformats.org/officeDocument/2006/relationships/hyperlink" Target="https://fbref.com/en/squads/cd051869/Brentford-Stats" TargetMode="External"/><Relationship Id="rId1290" Type="http://schemas.openxmlformats.org/officeDocument/2006/relationships/hyperlink" Target="https://fbref.com/en/country/GEO/Georgia-Football" TargetMode="External"/><Relationship Id="rId1291" Type="http://schemas.openxmlformats.org/officeDocument/2006/relationships/hyperlink" Target="https://fbref.com/en/squads/822bd0ba/Liverpool-Stats" TargetMode="External"/><Relationship Id="rId1292" Type="http://schemas.openxmlformats.org/officeDocument/2006/relationships/hyperlink" Target="https://fbref.com/en/players/d4b73232/matchlogs/2025-2026/summary/Giorgi-Mamardashvili-Match-Logs" TargetMode="External"/><Relationship Id="rId462" Type="http://schemas.openxmlformats.org/officeDocument/2006/relationships/hyperlink" Target="https://fbref.com/en/country/ENG/England-Football" TargetMode="External"/><Relationship Id="rId1293" Type="http://schemas.openxmlformats.org/officeDocument/2006/relationships/hyperlink" Target="https://fbref.com/en/players/c20bdcd7/Reinildo-Mandava" TargetMode="External"/><Relationship Id="rId2140" Type="http://schemas.openxmlformats.org/officeDocument/2006/relationships/hyperlink" Target="https://fbref.com/en/players/c596fcb0/matchlogs/2025-2026/summary/Callum-Wilson-Match-Logs" TargetMode="External"/><Relationship Id="rId461" Type="http://schemas.openxmlformats.org/officeDocument/2006/relationships/hyperlink" Target="https://fbref.com/en/players/dd897ee7/Liam-Delap" TargetMode="External"/><Relationship Id="rId1294" Type="http://schemas.openxmlformats.org/officeDocument/2006/relationships/hyperlink" Target="https://fbref.com/en/country/MOZ/Mozambique-Football" TargetMode="External"/><Relationship Id="rId2141" Type="http://schemas.openxmlformats.org/officeDocument/2006/relationships/hyperlink" Target="https://fbref.com/en/players/c6dc9ecd/Harry-Wilson" TargetMode="External"/><Relationship Id="rId460" Type="http://schemas.openxmlformats.org/officeDocument/2006/relationships/hyperlink" Target="https://fbref.com/en/players/d494882e/matchlogs/2025-2026/summary/Maxim-De-Cuyper-Match-Logs" TargetMode="External"/><Relationship Id="rId1295" Type="http://schemas.openxmlformats.org/officeDocument/2006/relationships/hyperlink" Target="https://fbref.com/en/squads/8ef52968/Sunderland-Stats" TargetMode="External"/><Relationship Id="rId2142" Type="http://schemas.openxmlformats.org/officeDocument/2006/relationships/hyperlink" Target="https://fbref.com/en/country/WAL/Wales-Football" TargetMode="External"/><Relationship Id="rId1296" Type="http://schemas.openxmlformats.org/officeDocument/2006/relationships/hyperlink" Target="https://fbref.com/en/players/c20bdcd7/matchlogs/2025-2026/summary/Reinildo-Mandava-Match-Logs" TargetMode="External"/><Relationship Id="rId2143" Type="http://schemas.openxmlformats.org/officeDocument/2006/relationships/hyperlink" Target="https://fbref.com/en/squads/fd962109/Fulham-Stats" TargetMode="External"/><Relationship Id="rId466" Type="http://schemas.openxmlformats.org/officeDocument/2006/relationships/hyperlink" Target="https://fbref.com/en/country/NED/Netherlands-Football" TargetMode="External"/><Relationship Id="rId1297" Type="http://schemas.openxmlformats.org/officeDocument/2006/relationships/hyperlink" Target="https://fbref.com/en/players/c15cb409/Mateus-Mane" TargetMode="External"/><Relationship Id="rId2144" Type="http://schemas.openxmlformats.org/officeDocument/2006/relationships/hyperlink" Target="https://fbref.com/en/players/c6dc9ecd/matchlogs/2025-2026/summary/Harry-Wilson-Match-Logs" TargetMode="External"/><Relationship Id="rId465" Type="http://schemas.openxmlformats.org/officeDocument/2006/relationships/hyperlink" Target="https://fbref.com/en/players/7bf9400b/Sepp-van-den-Berg" TargetMode="External"/><Relationship Id="rId1298" Type="http://schemas.openxmlformats.org/officeDocument/2006/relationships/hyperlink" Target="https://fbref.com/en/country/POR/Portugal-Football" TargetMode="External"/><Relationship Id="rId2145" Type="http://schemas.openxmlformats.org/officeDocument/2006/relationships/hyperlink" Target="https://fbref.com/en/players/ba31eee2/Ben-Winterburn" TargetMode="External"/><Relationship Id="rId464" Type="http://schemas.openxmlformats.org/officeDocument/2006/relationships/hyperlink" Target="https://fbref.com/en/players/dd897ee7/matchlogs/2025-2026/summary/Liam-Delap-Match-Logs" TargetMode="External"/><Relationship Id="rId1299" Type="http://schemas.openxmlformats.org/officeDocument/2006/relationships/hyperlink" Target="https://fbref.com/en/squads/8cec06e1/Wolverhampton-Wanderers-Stats" TargetMode="External"/><Relationship Id="rId2146" Type="http://schemas.openxmlformats.org/officeDocument/2006/relationships/hyperlink" Target="https://fbref.com/en/country/ENG/England-Football" TargetMode="External"/><Relationship Id="rId463" Type="http://schemas.openxmlformats.org/officeDocument/2006/relationships/hyperlink" Target="https://fbref.com/en/squads/cff3d9bb/Chelsea-Stats" TargetMode="External"/><Relationship Id="rId2147" Type="http://schemas.openxmlformats.org/officeDocument/2006/relationships/hyperlink" Target="https://fbref.com/en/squads/4ba7cbea/Bournemouth-Stats" TargetMode="External"/><Relationship Id="rId2137" Type="http://schemas.openxmlformats.org/officeDocument/2006/relationships/hyperlink" Target="https://fbref.com/en/players/c596fcb0/Callum-Wilson" TargetMode="External"/><Relationship Id="rId2138" Type="http://schemas.openxmlformats.org/officeDocument/2006/relationships/hyperlink" Target="https://fbref.com/en/country/ENG/England-Football" TargetMode="External"/><Relationship Id="rId2139" Type="http://schemas.openxmlformats.org/officeDocument/2006/relationships/hyperlink" Target="https://fbref.com/en/squads/7c21e445/West-Ham-United-Stats" TargetMode="External"/><Relationship Id="rId459" Type="http://schemas.openxmlformats.org/officeDocument/2006/relationships/hyperlink" Target="https://fbref.com/en/squads/d07537b9/Brighton-and-Hove-Albion-Stats" TargetMode="External"/><Relationship Id="rId458" Type="http://schemas.openxmlformats.org/officeDocument/2006/relationships/hyperlink" Target="https://fbref.com/en/country/BEL/Belgium-Football" TargetMode="External"/><Relationship Id="rId457" Type="http://schemas.openxmlformats.org/officeDocument/2006/relationships/hyperlink" Target="https://fbref.com/en/players/d494882e/Maxim-De-Cuyper" TargetMode="External"/><Relationship Id="rId456" Type="http://schemas.openxmlformats.org/officeDocument/2006/relationships/hyperlink" Target="https://fbref.com/en/players/44781702/matchlogs/2025-2026/summary/Ben-Davies-Match-Logs" TargetMode="External"/><Relationship Id="rId1280" Type="http://schemas.openxmlformats.org/officeDocument/2006/relationships/hyperlink" Target="https://fbref.com/en/players/c6220452/matchlogs/2025-2026/summary/Kobbie-Mainoo-Match-Logs" TargetMode="External"/><Relationship Id="rId1281" Type="http://schemas.openxmlformats.org/officeDocument/2006/relationships/hyperlink" Target="https://fbref.com/en/players/6b6c793c/Tyrell-Malacia" TargetMode="External"/><Relationship Id="rId451" Type="http://schemas.openxmlformats.org/officeDocument/2006/relationships/hyperlink" Target="https://fbref.com/en/squads/cd051869/Brentford-Stats" TargetMode="External"/><Relationship Id="rId1282" Type="http://schemas.openxmlformats.org/officeDocument/2006/relationships/hyperlink" Target="https://fbref.com/en/country/NED/Netherlands-Football" TargetMode="External"/><Relationship Id="rId450" Type="http://schemas.openxmlformats.org/officeDocument/2006/relationships/hyperlink" Target="https://fbref.com/en/country/ENG/England-Football" TargetMode="External"/><Relationship Id="rId1283" Type="http://schemas.openxmlformats.org/officeDocument/2006/relationships/hyperlink" Target="https://fbref.com/en/squads/19538871/Manchester-United-Stats" TargetMode="External"/><Relationship Id="rId2130" Type="http://schemas.openxmlformats.org/officeDocument/2006/relationships/hyperlink" Target="https://fbref.com/en/country/BRA/Brazil-Football" TargetMode="External"/><Relationship Id="rId1284" Type="http://schemas.openxmlformats.org/officeDocument/2006/relationships/hyperlink" Target="https://fbref.com/en/players/6b6c793c/matchlogs/2025-2026/summary/Tyrell-Malacia-Match-Logs" TargetMode="External"/><Relationship Id="rId2131" Type="http://schemas.openxmlformats.org/officeDocument/2006/relationships/hyperlink" Target="https://fbref.com/en/squads/cff3d9bb/Chelsea-Stats" TargetMode="External"/><Relationship Id="rId1285" Type="http://schemas.openxmlformats.org/officeDocument/2006/relationships/hyperlink" Target="https://fbref.com/en/players/116c35df/Donyell-Malen" TargetMode="External"/><Relationship Id="rId2132" Type="http://schemas.openxmlformats.org/officeDocument/2006/relationships/hyperlink" Target="https://fbref.com/en/players/2eda11b1/matchlogs/2025-2026/summary/Estevao-Willian-Match-Logs" TargetMode="External"/><Relationship Id="rId455" Type="http://schemas.openxmlformats.org/officeDocument/2006/relationships/hyperlink" Target="https://fbref.com/en/squads/361ca564/Tottenham-Hotspur-Stats" TargetMode="External"/><Relationship Id="rId1286" Type="http://schemas.openxmlformats.org/officeDocument/2006/relationships/hyperlink" Target="https://fbref.com/en/country/NED/Netherlands-Football" TargetMode="External"/><Relationship Id="rId2133" Type="http://schemas.openxmlformats.org/officeDocument/2006/relationships/hyperlink" Target="https://fbref.com/en/players/a3b03921/Joe-Willock" TargetMode="External"/><Relationship Id="rId454" Type="http://schemas.openxmlformats.org/officeDocument/2006/relationships/hyperlink" Target="https://fbref.com/en/country/WAL/Wales-Football" TargetMode="External"/><Relationship Id="rId1287" Type="http://schemas.openxmlformats.org/officeDocument/2006/relationships/hyperlink" Target="https://fbref.com/en/squads/8602292d/Aston-Villa-Stats" TargetMode="External"/><Relationship Id="rId2134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44781702/Ben-Davies" TargetMode="External"/><Relationship Id="rId1288" Type="http://schemas.openxmlformats.org/officeDocument/2006/relationships/hyperlink" Target="https://fbref.com/en/players/116c35df/matchlogs/2025-2026/summary/Donyell-Malen-Match-Logs" TargetMode="External"/><Relationship Id="rId2135" Type="http://schemas.openxmlformats.org/officeDocument/2006/relationships/hyperlink" Target="https://fbref.com/en/squads/b2b47a98/Newcastle-United-Stats" TargetMode="External"/><Relationship Id="rId452" Type="http://schemas.openxmlformats.org/officeDocument/2006/relationships/hyperlink" Target="https://fbref.com/en/players/60344e4f/matchlogs/2025-2026/summary/Josh-Dasilva-Match-Logs" TargetMode="External"/><Relationship Id="rId1289" Type="http://schemas.openxmlformats.org/officeDocument/2006/relationships/hyperlink" Target="https://fbref.com/en/players/d4b73232/Giorgi-Mamardashvili" TargetMode="External"/><Relationship Id="rId2136" Type="http://schemas.openxmlformats.org/officeDocument/2006/relationships/hyperlink" Target="https://fbref.com/en/players/a3b03921/matchlogs/2025-2026/summary/Joe-Willock-Match-Logs" TargetMode="External"/><Relationship Id="rId491" Type="http://schemas.openxmlformats.org/officeDocument/2006/relationships/hyperlink" Target="https://fbref.com/en/squads/8ef52968/Sunderland-Stats" TargetMode="External"/><Relationship Id="rId490" Type="http://schemas.openxmlformats.org/officeDocument/2006/relationships/hyperlink" Target="https://fbref.com/en/country/SEN/Senegal-Football" TargetMode="External"/><Relationship Id="rId489" Type="http://schemas.openxmlformats.org/officeDocument/2006/relationships/hyperlink" Target="https://fbref.com/en/players/6d0fe035/Habib-Diarra" TargetMode="External"/><Relationship Id="rId2160" Type="http://schemas.openxmlformats.org/officeDocument/2006/relationships/hyperlink" Target="https://fbref.com/en/players/7ca196eb/matchlogs/2025-2026/summary/Nick-Woltemade-Match-Logs" TargetMode="External"/><Relationship Id="rId2161" Type="http://schemas.openxmlformats.org/officeDocument/2006/relationships/hyperlink" Target="https://fbref.com/en/players/4e9a0555/Chris-Wood" TargetMode="External"/><Relationship Id="rId484" Type="http://schemas.openxmlformats.org/officeDocument/2006/relationships/hyperlink" Target="https://fbref.com/en/players/1bfb6fef/matchlogs/2025-2026/summary/Bafode-Diakite-Match-Logs" TargetMode="External"/><Relationship Id="rId2162" Type="http://schemas.openxmlformats.org/officeDocument/2006/relationships/hyperlink" Target="https://fbref.com/en/country/NZL/New-Zealand-Football" TargetMode="External"/><Relationship Id="rId483" Type="http://schemas.openxmlformats.org/officeDocument/2006/relationships/hyperlink" Target="https://fbref.com/en/squads/4ba7cbea/Bournemouth-Stats" TargetMode="External"/><Relationship Id="rId2163" Type="http://schemas.openxmlformats.org/officeDocument/2006/relationships/hyperlink" Target="https://fbref.com/en/squads/e4a775cb/Nottingham-Forest-Stats" TargetMode="External"/><Relationship Id="rId482" Type="http://schemas.openxmlformats.org/officeDocument/2006/relationships/hyperlink" Target="https://fbref.com/en/country/FRA/France-Football" TargetMode="External"/><Relationship Id="rId2164" Type="http://schemas.openxmlformats.org/officeDocument/2006/relationships/hyperlink" Target="https://fbref.com/en/players/4e9a0555/matchlogs/2025-2026/summary/Chris-Wood-Match-Logs" TargetMode="External"/><Relationship Id="rId481" Type="http://schemas.openxmlformats.org/officeDocument/2006/relationships/hyperlink" Target="https://fbref.com/en/players/1bfb6fef/Bafode-Diakite" TargetMode="External"/><Relationship Id="rId2165" Type="http://schemas.openxmlformats.org/officeDocument/2006/relationships/hyperlink" Target="https://fbref.com/en/players/19e50035/Freddie-Woodman" TargetMode="External"/><Relationship Id="rId488" Type="http://schemas.openxmlformats.org/officeDocument/2006/relationships/hyperlink" Target="https://fbref.com/en/players/9dc96f10/matchlogs/2025-2026/summary/Amad-Diallo-Match-Logs" TargetMode="External"/><Relationship Id="rId2166" Type="http://schemas.openxmlformats.org/officeDocument/2006/relationships/hyperlink" Target="https://fbref.com/en/country/ENG/England-Football" TargetMode="External"/><Relationship Id="rId487" Type="http://schemas.openxmlformats.org/officeDocument/2006/relationships/hyperlink" Target="https://fbref.com/en/squads/19538871/Manchester-United-Stats" TargetMode="External"/><Relationship Id="rId2167" Type="http://schemas.openxmlformats.org/officeDocument/2006/relationships/hyperlink" Target="https://fbref.com/en/squads/822bd0ba/Liverpool-Stats" TargetMode="External"/><Relationship Id="rId486" Type="http://schemas.openxmlformats.org/officeDocument/2006/relationships/hyperlink" Target="https://fbref.com/en/country/CIV/Cote-dIvoire-Football" TargetMode="External"/><Relationship Id="rId2168" Type="http://schemas.openxmlformats.org/officeDocument/2006/relationships/hyperlink" Target="https://fbref.com/en/players/19e50035/matchlogs/2025-2026/summary/Freddie-Woodman-Match-Logs" TargetMode="External"/><Relationship Id="rId485" Type="http://schemas.openxmlformats.org/officeDocument/2006/relationships/hyperlink" Target="https://fbref.com/en/players/9dc96f10/Amad-Diallo" TargetMode="External"/><Relationship Id="rId2169" Type="http://schemas.openxmlformats.org/officeDocument/2006/relationships/hyperlink" Target="https://fbref.com/en/players/a5212312/Joe-Worrall" TargetMode="External"/><Relationship Id="rId2159" Type="http://schemas.openxmlformats.org/officeDocument/2006/relationships/hyperlink" Target="https://fbref.com/en/squads/b2b47a98/Newcastle-United-Stats" TargetMode="External"/><Relationship Id="rId480" Type="http://schemas.openxmlformats.org/officeDocument/2006/relationships/hyperlink" Target="https://fbref.com/en/players/5c74c0f5/matchlogs/2025-2026/summary/Kiernan-Dewsbury-Hall-Match-Logs" TargetMode="External"/><Relationship Id="rId479" Type="http://schemas.openxmlformats.org/officeDocument/2006/relationships/hyperlink" Target="https://fbref.com/en/squads/d3fd31cc/Everton-Stats" TargetMode="External"/><Relationship Id="rId478" Type="http://schemas.openxmlformats.org/officeDocument/2006/relationships/hyperlink" Target="https://fbref.com/en/country/ENG/England-Football" TargetMode="External"/><Relationship Id="rId2150" Type="http://schemas.openxmlformats.org/officeDocument/2006/relationships/hyperlink" Target="https://fbref.com/en/country/GER/Germany-Football" TargetMode="External"/><Relationship Id="rId473" Type="http://schemas.openxmlformats.org/officeDocument/2006/relationships/hyperlink" Target="https://fbref.com/en/players/6c2b66fc/Justin-Devenny" TargetMode="External"/><Relationship Id="rId2151" Type="http://schemas.openxmlformats.org/officeDocument/2006/relationships/hyperlink" Target="https://fbref.com/en/squads/822bd0ba/Liverpool-Stats" TargetMode="External"/><Relationship Id="rId472" Type="http://schemas.openxmlformats.org/officeDocument/2006/relationships/hyperlink" Target="https://fbref.com/en/players/bbfe0e5d/matchlogs/2025-2026/summary/Jesse-Derry-Match-Logs" TargetMode="External"/><Relationship Id="rId2152" Type="http://schemas.openxmlformats.org/officeDocument/2006/relationships/hyperlink" Target="https://fbref.com/en/players/e7fcf289/matchlogs/2025-2026/summary/Florian-Wirtz-Match-Logs" TargetMode="External"/><Relationship Id="rId471" Type="http://schemas.openxmlformats.org/officeDocument/2006/relationships/hyperlink" Target="https://fbref.com/en/squads/cff3d9bb/Chelsea-Stats" TargetMode="External"/><Relationship Id="rId2153" Type="http://schemas.openxmlformats.org/officeDocument/2006/relationships/hyperlink" Target="https://fbref.com/en/players/2500cef9/Yoane-Wissa" TargetMode="External"/><Relationship Id="rId470" Type="http://schemas.openxmlformats.org/officeDocument/2006/relationships/hyperlink" Target="https://fbref.com/en/country/ENG/England-Football" TargetMode="External"/><Relationship Id="rId2154" Type="http://schemas.openxmlformats.org/officeDocument/2006/relationships/hyperlink" Target="https://fbref.com/en/country/COD/Congo-DR-Football" TargetMode="External"/><Relationship Id="rId477" Type="http://schemas.openxmlformats.org/officeDocument/2006/relationships/hyperlink" Target="https://fbref.com/en/players/5c74c0f5/Kiernan-Dewsbury-Hall" TargetMode="External"/><Relationship Id="rId2155" Type="http://schemas.openxmlformats.org/officeDocument/2006/relationships/hyperlink" Target="https://fbref.com/en/squads/b2b47a98/Newcastle-United-Stats" TargetMode="External"/><Relationship Id="rId476" Type="http://schemas.openxmlformats.org/officeDocument/2006/relationships/hyperlink" Target="https://fbref.com/en/players/6c2b66fc/matchlogs/2025-2026/summary/Justin-Devenny-Match-Logs" TargetMode="External"/><Relationship Id="rId2156" Type="http://schemas.openxmlformats.org/officeDocument/2006/relationships/hyperlink" Target="https://fbref.com/en/players/2500cef9/matchlogs/2025-2026/summary/Yoane-Wissa-Match-Logs" TargetMode="External"/><Relationship Id="rId475" Type="http://schemas.openxmlformats.org/officeDocument/2006/relationships/hyperlink" Target="https://fbref.com/en/squads/47c64c55/Crystal-Palace-Stats" TargetMode="External"/><Relationship Id="rId2157" Type="http://schemas.openxmlformats.org/officeDocument/2006/relationships/hyperlink" Target="https://fbref.com/en/players/7ca196eb/Nick-Woltemade" TargetMode="External"/><Relationship Id="rId474" Type="http://schemas.openxmlformats.org/officeDocument/2006/relationships/hyperlink" Target="https://fbref.com/en/country/NIR/Northern-Ireland-Football" TargetMode="External"/><Relationship Id="rId2158" Type="http://schemas.openxmlformats.org/officeDocument/2006/relationships/hyperlink" Target="https://fbref.com/en/country/GER/Germany-Football" TargetMode="External"/><Relationship Id="rId1257" Type="http://schemas.openxmlformats.org/officeDocument/2006/relationships/hyperlink" Target="https://fbref.com/en/players/ee38d9c5/James-Maddison" TargetMode="External"/><Relationship Id="rId2104" Type="http://schemas.openxmlformats.org/officeDocument/2006/relationships/hyperlink" Target="https://fbref.com/en/players/9886c32e/matchlogs/2025-2026/summary/Tom-Watson-Match-Logs" TargetMode="External"/><Relationship Id="rId1258" Type="http://schemas.openxmlformats.org/officeDocument/2006/relationships/hyperlink" Target="https://fbref.com/en/country/ENG/England-Football" TargetMode="External"/><Relationship Id="rId2105" Type="http://schemas.openxmlformats.org/officeDocument/2006/relationships/hyperlink" Target="https://fbref.com/en/players/882228c2/Max-Weiss" TargetMode="External"/><Relationship Id="rId1259" Type="http://schemas.openxmlformats.org/officeDocument/2006/relationships/hyperlink" Target="https://fbref.com/en/squads/361ca564/Tottenham-Hotspur-Stats" TargetMode="External"/><Relationship Id="rId2106" Type="http://schemas.openxmlformats.org/officeDocument/2006/relationships/hyperlink" Target="https://fbref.com/en/country/GER/Germany-Football" TargetMode="External"/><Relationship Id="rId2107" Type="http://schemas.openxmlformats.org/officeDocument/2006/relationships/hyperlink" Target="https://fbref.com/en/squads/943e8050/Burnley-Stats" TargetMode="External"/><Relationship Id="rId2108" Type="http://schemas.openxmlformats.org/officeDocument/2006/relationships/hyperlink" Target="https://fbref.com/en/players/882228c2/matchlogs/2025-2026/summary/Max-Weiss-Match-Logs" TargetMode="External"/><Relationship Id="rId2109" Type="http://schemas.openxmlformats.org/officeDocument/2006/relationships/hyperlink" Target="https://fbref.com/en/players/ce5143da/Danny-Welbeck" TargetMode="External"/><Relationship Id="rId426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ac31d35e/Jair-Cunha" TargetMode="External"/><Relationship Id="rId424" Type="http://schemas.openxmlformats.org/officeDocument/2006/relationships/hyperlink" Target="https://fbref.com/en/players/f6d7d690/matchlogs/2025-2026/summary/Josh-Cullen-Match-Logs" TargetMode="External"/><Relationship Id="rId423" Type="http://schemas.openxmlformats.org/officeDocument/2006/relationships/hyperlink" Target="https://fbref.com/en/squads/943e8050/Burnley-Stats" TargetMode="External"/><Relationship Id="rId429" Type="http://schemas.openxmlformats.org/officeDocument/2006/relationships/hyperlink" Target="https://fbref.com/en/players/dc62b55d/Matheus-Cunha" TargetMode="External"/><Relationship Id="rId428" Type="http://schemas.openxmlformats.org/officeDocument/2006/relationships/hyperlink" Target="https://fbref.com/en/players/ac31d35e/matchlogs/2025-2026/summary/Jair-Cunha-Match-Logs" TargetMode="External"/><Relationship Id="rId427" Type="http://schemas.openxmlformats.org/officeDocument/2006/relationships/hyperlink" Target="https://fbref.com/en/squads/e4a775cb/Nottingham-Forest-Stats" TargetMode="External"/><Relationship Id="rId1250" Type="http://schemas.openxmlformats.org/officeDocument/2006/relationships/hyperlink" Target="https://fbref.com/en/country/NED/Netherlands-Football" TargetMode="External"/><Relationship Id="rId1251" Type="http://schemas.openxmlformats.org/officeDocument/2006/relationships/hyperlink" Target="https://fbref.com/en/squads/8602292d/Aston-Villa-Stats" TargetMode="External"/><Relationship Id="rId1252" Type="http://schemas.openxmlformats.org/officeDocument/2006/relationships/hyperlink" Target="https://fbref.com/en/players/cab9634e/matchlogs/2025-2026/summary/Ian-Maatsen-Match-Logs" TargetMode="External"/><Relationship Id="rId422" Type="http://schemas.openxmlformats.org/officeDocument/2006/relationships/hyperlink" Target="https://fbref.com/en/country/IRL/Republic-of-Ireland-Football" TargetMode="External"/><Relationship Id="rId1253" Type="http://schemas.openxmlformats.org/officeDocument/2006/relationships/hyperlink" Target="https://fbref.com/en/players/83d074ff/Alexis-Mac-Allister" TargetMode="External"/><Relationship Id="rId2100" Type="http://schemas.openxmlformats.org/officeDocument/2006/relationships/hyperlink" Target="https://fbref.com/en/players/aed3a70f/matchlogs/2025-2026/summary/Ollie-Watkins-Match-Logs" TargetMode="External"/><Relationship Id="rId421" Type="http://schemas.openxmlformats.org/officeDocument/2006/relationships/hyperlink" Target="https://fbref.com/en/players/f6d7d690/Josh-Cullen" TargetMode="External"/><Relationship Id="rId1254" Type="http://schemas.openxmlformats.org/officeDocument/2006/relationships/hyperlink" Target="https://fbref.com/en/country/ARG/Argentina-Football" TargetMode="External"/><Relationship Id="rId2101" Type="http://schemas.openxmlformats.org/officeDocument/2006/relationships/hyperlink" Target="https://fbref.com/en/players/9886c32e/Tom-Watson" TargetMode="External"/><Relationship Id="rId420" Type="http://schemas.openxmlformats.org/officeDocument/2006/relationships/hyperlink" Target="https://fbref.com/en/players/0abc51f2/matchlogs/2025-2026/summary/Jorge-Cuenca-Match-Logs" TargetMode="External"/><Relationship Id="rId1255" Type="http://schemas.openxmlformats.org/officeDocument/2006/relationships/hyperlink" Target="https://fbref.com/en/squads/822bd0ba/Liverpool-Stats" TargetMode="External"/><Relationship Id="rId2102" Type="http://schemas.openxmlformats.org/officeDocument/2006/relationships/hyperlink" Target="https://fbref.com/en/country/ENG/England-Football" TargetMode="External"/><Relationship Id="rId1256" Type="http://schemas.openxmlformats.org/officeDocument/2006/relationships/hyperlink" Target="https://fbref.com/en/players/83d074ff/matchlogs/2025-2026/summary/Alexis-Mac-Allister-Match-Logs" TargetMode="External"/><Relationship Id="rId2103" Type="http://schemas.openxmlformats.org/officeDocument/2006/relationships/hyperlink" Target="https://fbref.com/en/squads/d07537b9/Brighton-and-Hove-Albion-Stats" TargetMode="External"/><Relationship Id="rId1246" Type="http://schemas.openxmlformats.org/officeDocument/2006/relationships/hyperlink" Target="https://fbref.com/en/country/SRB/Serbia-Football" TargetMode="External"/><Relationship Id="rId1247" Type="http://schemas.openxmlformats.org/officeDocument/2006/relationships/hyperlink" Target="https://fbref.com/en/squads/fd962109/Fulham-Stats" TargetMode="External"/><Relationship Id="rId1248" Type="http://schemas.openxmlformats.org/officeDocument/2006/relationships/hyperlink" Target="https://fbref.com/en/players/c6e8cf1f/matchlogs/2025-2026/summary/Sasa-Lukic-Match-Logs" TargetMode="External"/><Relationship Id="rId1249" Type="http://schemas.openxmlformats.org/officeDocument/2006/relationships/hyperlink" Target="https://fbref.com/en/players/cab9634e/Ian-Maatsen" TargetMode="External"/><Relationship Id="rId415" Type="http://schemas.openxmlformats.org/officeDocument/2006/relationships/hyperlink" Target="https://fbref.com/en/squads/cff3d9bb/Chelsea-Stats" TargetMode="External"/><Relationship Id="rId899" Type="http://schemas.openxmlformats.org/officeDocument/2006/relationships/hyperlink" Target="https://fbref.com/en/squads/7c21e445/West-Ham-United-Stats" TargetMode="External"/><Relationship Id="rId414" Type="http://schemas.openxmlformats.org/officeDocument/2006/relationships/hyperlink" Target="https://fbref.com/en/country/ESP/Spain-Football" TargetMode="External"/><Relationship Id="rId898" Type="http://schemas.openxmlformats.org/officeDocument/2006/relationships/hyperlink" Target="https://fbref.com/en/country/DEN/Denmark-Football" TargetMode="External"/><Relationship Id="rId413" Type="http://schemas.openxmlformats.org/officeDocument/2006/relationships/hyperlink" Target="https://fbref.com/en/players/1daec722/Marc-Cucurella" TargetMode="External"/><Relationship Id="rId897" Type="http://schemas.openxmlformats.org/officeDocument/2006/relationships/hyperlink" Target="https://fbref.com/en/players/c924b17d/Mads-Hermansen" TargetMode="External"/><Relationship Id="rId412" Type="http://schemas.openxmlformats.org/officeDocument/2006/relationships/hyperlink" Target="https://fbref.com/en/players/22ae86f9/matchlogs/2025-2026/summary/Diego-Coppola-Match-Logs" TargetMode="External"/><Relationship Id="rId896" Type="http://schemas.openxmlformats.org/officeDocument/2006/relationships/hyperlink" Target="https://fbref.com/en/players/8a3c1dc7/matchlogs/2025-2026/summary/Rico-Henry-Match-Logs" TargetMode="External"/><Relationship Id="rId419" Type="http://schemas.openxmlformats.org/officeDocument/2006/relationships/hyperlink" Target="https://fbref.com/en/squads/fd962109/Fulham-Stats" TargetMode="External"/><Relationship Id="rId418" Type="http://schemas.openxmlformats.org/officeDocument/2006/relationships/hyperlink" Target="https://fbref.com/en/country/ESP/Spain-Football" TargetMode="External"/><Relationship Id="rId417" Type="http://schemas.openxmlformats.org/officeDocument/2006/relationships/hyperlink" Target="https://fbref.com/en/players/0abc51f2/Jorge-Cuenca" TargetMode="External"/><Relationship Id="rId416" Type="http://schemas.openxmlformats.org/officeDocument/2006/relationships/hyperlink" Target="https://fbref.com/en/players/1daec722/matchlogs/2025-2026/summary/Marc-Cucurella-Match-Logs" TargetMode="External"/><Relationship Id="rId891" Type="http://schemas.openxmlformats.org/officeDocument/2006/relationships/hyperlink" Target="https://fbref.com/en/squads/cd051869/Brentford-Stats" TargetMode="External"/><Relationship Id="rId890" Type="http://schemas.openxmlformats.org/officeDocument/2006/relationships/hyperlink" Target="https://fbref.com/en/country/ENG/England-Football" TargetMode="External"/><Relationship Id="rId1240" Type="http://schemas.openxmlformats.org/officeDocument/2006/relationships/hyperlink" Target="https://fbref.com/en/players/6f7d826d/matchlogs/2025-2026/summary/Douglas-Luiz-Match-Logs" TargetMode="External"/><Relationship Id="rId1241" Type="http://schemas.openxmlformats.org/officeDocument/2006/relationships/hyperlink" Target="https://fbref.com/en/players/6f7d826d/Douglas-Luiz" TargetMode="External"/><Relationship Id="rId411" Type="http://schemas.openxmlformats.org/officeDocument/2006/relationships/hyperlink" Target="https://fbref.com/en/squads/d07537b9/Brighton-and-Hove-Albion-Stats" TargetMode="External"/><Relationship Id="rId895" Type="http://schemas.openxmlformats.org/officeDocument/2006/relationships/hyperlink" Target="https://fbref.com/en/squads/cd051869/Brentford-Stats" TargetMode="External"/><Relationship Id="rId1242" Type="http://schemas.openxmlformats.org/officeDocument/2006/relationships/hyperlink" Target="https://fbref.com/en/country/BRA/Brazil-Football" TargetMode="External"/><Relationship Id="rId410" Type="http://schemas.openxmlformats.org/officeDocument/2006/relationships/hyperlink" Target="https://fbref.com/en/country/ITA/Italy-Football" TargetMode="External"/><Relationship Id="rId894" Type="http://schemas.openxmlformats.org/officeDocument/2006/relationships/hyperlink" Target="https://fbref.com/en/country/JAM/Jamaica-Football" TargetMode="External"/><Relationship Id="rId1243" Type="http://schemas.openxmlformats.org/officeDocument/2006/relationships/hyperlink" Target="https://fbref.com/en/squads/e4a775cb/Nottingham-Forest-Stats" TargetMode="External"/><Relationship Id="rId893" Type="http://schemas.openxmlformats.org/officeDocument/2006/relationships/hyperlink" Target="https://fbref.com/en/players/8a3c1dc7/Rico-Henry" TargetMode="External"/><Relationship Id="rId1244" Type="http://schemas.openxmlformats.org/officeDocument/2006/relationships/hyperlink" Target="https://fbref.com/en/players/6f7d826d/matchlogs/2025-2026/summary/Douglas-Luiz-Match-Logs" TargetMode="External"/><Relationship Id="rId892" Type="http://schemas.openxmlformats.org/officeDocument/2006/relationships/hyperlink" Target="https://fbref.com/en/players/935e6b8f/matchlogs/2025-2026/summary/Jordan-Henderson-Match-Logs" TargetMode="External"/><Relationship Id="rId1245" Type="http://schemas.openxmlformats.org/officeDocument/2006/relationships/hyperlink" Target="https://fbref.com/en/players/c6e8cf1f/Sasa-Lukic" TargetMode="External"/><Relationship Id="rId1279" Type="http://schemas.openxmlformats.org/officeDocument/2006/relationships/hyperlink" Target="https://fbref.com/en/squads/19538871/Manchester-United-Stats" TargetMode="External"/><Relationship Id="rId2126" Type="http://schemas.openxmlformats.org/officeDocument/2006/relationships/hyperlink" Target="https://fbref.com/en/country/WAL/Wales-Football" TargetMode="External"/><Relationship Id="rId2127" Type="http://schemas.openxmlformats.org/officeDocument/2006/relationships/hyperlink" Target="https://fbref.com/en/squads/e4a775cb/Nottingham-Forest-Stats" TargetMode="External"/><Relationship Id="rId2128" Type="http://schemas.openxmlformats.org/officeDocument/2006/relationships/hyperlink" Target="https://fbref.com/en/players/dd323728/matchlogs/2025-2026/summary/Neco-Williams-Match-Logs" TargetMode="External"/><Relationship Id="rId2129" Type="http://schemas.openxmlformats.org/officeDocument/2006/relationships/hyperlink" Target="https://fbref.com/en/players/2eda11b1/Estevao-Willian" TargetMode="External"/><Relationship Id="rId448" Type="http://schemas.openxmlformats.org/officeDocument/2006/relationships/hyperlink" Target="https://fbref.com/en/players/cde3309f/matchlogs/2025-2026/summary/Karl-Darlow-Match-Logs" TargetMode="External"/><Relationship Id="rId447" Type="http://schemas.openxmlformats.org/officeDocument/2006/relationships/hyperlink" Target="https://fbref.com/en/squads/5bfb9659/Leeds-United-Stats" TargetMode="External"/><Relationship Id="rId446" Type="http://schemas.openxmlformats.org/officeDocument/2006/relationships/hyperlink" Target="https://fbref.com/en/country/WAL/Wales-Football" TargetMode="External"/><Relationship Id="rId445" Type="http://schemas.openxmlformats.org/officeDocument/2006/relationships/hyperlink" Target="https://fbref.com/en/players/cde3309f/Karl-Darlow" TargetMode="External"/><Relationship Id="rId449" Type="http://schemas.openxmlformats.org/officeDocument/2006/relationships/hyperlink" Target="https://fbref.com/en/players/60344e4f/Josh-Dasilva" TargetMode="External"/><Relationship Id="rId1270" Type="http://schemas.openxmlformats.org/officeDocument/2006/relationships/hyperlink" Target="https://fbref.com/en/country/FRA/France-Football" TargetMode="External"/><Relationship Id="rId440" Type="http://schemas.openxmlformats.org/officeDocument/2006/relationships/hyperlink" Target="https://fbref.com/en/players/215f3907/matchlogs/2025-2026/summary/Mikkel-Damsgaard-Match-Logs" TargetMode="External"/><Relationship Id="rId1271" Type="http://schemas.openxmlformats.org/officeDocument/2006/relationships/hyperlink" Target="https://fbref.com/en/squads/7c21e445/West-Ham-United-Stats" TargetMode="External"/><Relationship Id="rId1272" Type="http://schemas.openxmlformats.org/officeDocument/2006/relationships/hyperlink" Target="https://fbref.com/en/players/dfc5d4fa/matchlogs/2025-2026/summary/Soungoutou-Magassa-Match-Logs" TargetMode="External"/><Relationship Id="rId1273" Type="http://schemas.openxmlformats.org/officeDocument/2006/relationships/hyperlink" Target="https://fbref.com/en/players/d8931174/Harry-Maguire" TargetMode="External"/><Relationship Id="rId2120" Type="http://schemas.openxmlformats.org/officeDocument/2006/relationships/hyperlink" Target="https://fbref.com/en/players/35e413f1/matchlogs/2025-2026/summary/Ben-White-Match-Logs" TargetMode="External"/><Relationship Id="rId1274" Type="http://schemas.openxmlformats.org/officeDocument/2006/relationships/hyperlink" Target="https://fbref.com/en/country/ENG/England-Football" TargetMode="External"/><Relationship Id="rId2121" Type="http://schemas.openxmlformats.org/officeDocument/2006/relationships/hyperlink" Target="https://fbref.com/en/players/4876c9ab/Mats-Wieffer" TargetMode="External"/><Relationship Id="rId444" Type="http://schemas.openxmlformats.org/officeDocument/2006/relationships/hyperlink" Target="https://fbref.com/en/players/6e33125f/matchlogs/2025-2026/summary/Kevin-Danso-Match-Logs" TargetMode="External"/><Relationship Id="rId1275" Type="http://schemas.openxmlformats.org/officeDocument/2006/relationships/hyperlink" Target="https://fbref.com/en/squads/19538871/Manchester-United-Stats" TargetMode="External"/><Relationship Id="rId2122" Type="http://schemas.openxmlformats.org/officeDocument/2006/relationships/hyperlink" Target="https://fbref.com/en/country/NED/Netherlands-Football" TargetMode="External"/><Relationship Id="rId443" Type="http://schemas.openxmlformats.org/officeDocument/2006/relationships/hyperlink" Target="https://fbref.com/en/squads/361ca564/Tottenham-Hotspur-Stats" TargetMode="External"/><Relationship Id="rId1276" Type="http://schemas.openxmlformats.org/officeDocument/2006/relationships/hyperlink" Target="https://fbref.com/en/players/d8931174/matchlogs/2025-2026/summary/Harry-Maguire-Match-Logs" TargetMode="External"/><Relationship Id="rId2123" Type="http://schemas.openxmlformats.org/officeDocument/2006/relationships/hyperlink" Target="https://fbref.com/en/squads/d07537b9/Brighton-and-Hove-Albion-Stats" TargetMode="External"/><Relationship Id="rId442" Type="http://schemas.openxmlformats.org/officeDocument/2006/relationships/hyperlink" Target="https://fbref.com/en/country/AUT/Austria-Football" TargetMode="External"/><Relationship Id="rId1277" Type="http://schemas.openxmlformats.org/officeDocument/2006/relationships/hyperlink" Target="https://fbref.com/en/players/c6220452/Kobbie-Mainoo" TargetMode="External"/><Relationship Id="rId2124" Type="http://schemas.openxmlformats.org/officeDocument/2006/relationships/hyperlink" Target="https://fbref.com/en/players/4876c9ab/matchlogs/2025-2026/summary/Mats-Wieffer-Match-Logs" TargetMode="External"/><Relationship Id="rId441" Type="http://schemas.openxmlformats.org/officeDocument/2006/relationships/hyperlink" Target="https://fbref.com/en/players/6e33125f/Kevin-Danso" TargetMode="External"/><Relationship Id="rId1278" Type="http://schemas.openxmlformats.org/officeDocument/2006/relationships/hyperlink" Target="https://fbref.com/en/country/ENG/England-Football" TargetMode="External"/><Relationship Id="rId2125" Type="http://schemas.openxmlformats.org/officeDocument/2006/relationships/hyperlink" Target="https://fbref.com/en/players/dd323728/Neco-Williams" TargetMode="External"/><Relationship Id="rId1268" Type="http://schemas.openxmlformats.org/officeDocument/2006/relationships/hyperlink" Target="https://fbref.com/en/players/67ac5bb8/matchlogs/2025-2026/summary/Gabriel-Magalhaes-Match-Logs" TargetMode="External"/><Relationship Id="rId2115" Type="http://schemas.openxmlformats.org/officeDocument/2006/relationships/hyperlink" Target="https://fbref.com/en/squads/47c64c55/Crystal-Palace-Stats" TargetMode="External"/><Relationship Id="rId1269" Type="http://schemas.openxmlformats.org/officeDocument/2006/relationships/hyperlink" Target="https://fbref.com/en/players/dfc5d4fa/Soungoutou-Magassa" TargetMode="External"/><Relationship Id="rId2116" Type="http://schemas.openxmlformats.org/officeDocument/2006/relationships/hyperlink" Target="https://fbref.com/en/players/4b542852/matchlogs/2025-2026/summary/Adam-Wharton-Match-Logs" TargetMode="External"/><Relationship Id="rId2117" Type="http://schemas.openxmlformats.org/officeDocument/2006/relationships/hyperlink" Target="https://fbref.com/en/players/35e413f1/Ben-White" TargetMode="External"/><Relationship Id="rId2118" Type="http://schemas.openxmlformats.org/officeDocument/2006/relationships/hyperlink" Target="https://fbref.com/en/country/ENG/England-Football" TargetMode="External"/><Relationship Id="rId2119" Type="http://schemas.openxmlformats.org/officeDocument/2006/relationships/hyperlink" Target="https://fbref.com/en/squads/18bb7c10/Arsenal-Stats" TargetMode="External"/><Relationship Id="rId437" Type="http://schemas.openxmlformats.org/officeDocument/2006/relationships/hyperlink" Target="https://fbref.com/en/players/215f3907/Mikkel-Damsgaard" TargetMode="External"/><Relationship Id="rId436" Type="http://schemas.openxmlformats.org/officeDocument/2006/relationships/hyperlink" Target="https://fbref.com/en/players/d9565625/matchlogs/2025-2026/summary/Diogo-Dalot-Match-Logs" TargetMode="External"/><Relationship Id="rId435" Type="http://schemas.openxmlformats.org/officeDocument/2006/relationships/hyperlink" Target="https://fbref.com/en/squads/19538871/Manchester-United-Stats" TargetMode="External"/><Relationship Id="rId434" Type="http://schemas.openxmlformats.org/officeDocument/2006/relationships/hyperlink" Target="https://fbref.com/en/country/POR/Portugal-Football" TargetMode="External"/><Relationship Id="rId439" Type="http://schemas.openxmlformats.org/officeDocument/2006/relationships/hyperlink" Target="https://fbref.com/en/squads/cd051869/Brentford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ee38d9c5/matchlogs/2025-2026/summary/James-Maddison-Match-Logs" TargetMode="External"/><Relationship Id="rId1261" Type="http://schemas.openxmlformats.org/officeDocument/2006/relationships/hyperlink" Target="https://fbref.com/en/players/bf34eebd/Noni-Madueke" TargetMode="External"/><Relationship Id="rId1262" Type="http://schemas.openxmlformats.org/officeDocument/2006/relationships/hyperlink" Target="https://fbref.com/en/country/ENG/England-Football" TargetMode="External"/><Relationship Id="rId1263" Type="http://schemas.openxmlformats.org/officeDocument/2006/relationships/hyperlink" Target="https://fbref.com/en/squads/18bb7c10/Arsenal-Stats" TargetMode="External"/><Relationship Id="rId2110" Type="http://schemas.openxmlformats.org/officeDocument/2006/relationships/hyperlink" Target="https://fbref.com/en/country/ENG/England-Football" TargetMode="External"/><Relationship Id="rId433" Type="http://schemas.openxmlformats.org/officeDocument/2006/relationships/hyperlink" Target="https://fbref.com/en/players/d9565625/Diogo-Dalot" TargetMode="External"/><Relationship Id="rId1264" Type="http://schemas.openxmlformats.org/officeDocument/2006/relationships/hyperlink" Target="https://fbref.com/en/players/bf34eebd/matchlogs/2025-2026/summary/Noni-Madueke-Match-Logs" TargetMode="External"/><Relationship Id="rId2111" Type="http://schemas.openxmlformats.org/officeDocument/2006/relationships/hyperlink" Target="https://fbref.com/en/squads/d07537b9/Brighton-and-Hove-Albion-Stats" TargetMode="External"/><Relationship Id="rId432" Type="http://schemas.openxmlformats.org/officeDocument/2006/relationships/hyperlink" Target="https://fbref.com/en/players/dc62b55d/matchlogs/2025-2026/summary/Matheus-Cunha-Match-Logs" TargetMode="External"/><Relationship Id="rId1265" Type="http://schemas.openxmlformats.org/officeDocument/2006/relationships/hyperlink" Target="https://fbref.com/en/players/67ac5bb8/Gabriel-Magalhaes" TargetMode="External"/><Relationship Id="rId2112" Type="http://schemas.openxmlformats.org/officeDocument/2006/relationships/hyperlink" Target="https://fbref.com/en/players/ce5143da/matchlogs/2025-2026/summary/Danny-Welbeck-Match-Logs" TargetMode="External"/><Relationship Id="rId431" Type="http://schemas.openxmlformats.org/officeDocument/2006/relationships/hyperlink" Target="https://fbref.com/en/squads/19538871/Manchester-United-Stats" TargetMode="External"/><Relationship Id="rId1266" Type="http://schemas.openxmlformats.org/officeDocument/2006/relationships/hyperlink" Target="https://fbref.com/en/country/BRA/Brazil-Football" TargetMode="External"/><Relationship Id="rId2113" Type="http://schemas.openxmlformats.org/officeDocument/2006/relationships/hyperlink" Target="https://fbref.com/en/players/4b542852/Adam-Wharton" TargetMode="External"/><Relationship Id="rId430" Type="http://schemas.openxmlformats.org/officeDocument/2006/relationships/hyperlink" Target="https://fbref.com/en/country/BRA/Brazil-Football" TargetMode="External"/><Relationship Id="rId1267" Type="http://schemas.openxmlformats.org/officeDocument/2006/relationships/hyperlink" Target="https://fbref.com/en/squads/18bb7c10/Arsenal-Stats" TargetMode="External"/><Relationship Id="rId2114" Type="http://schemas.openxmlformats.org/officeDocument/2006/relationships/hyperlink" Target="https://fbref.com/en/country/ENG/England-Footbal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bref.com/en/players/7a2e46a8/Alisson" TargetMode="External"/><Relationship Id="rId2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squads/822bd0ba/Liverpool-Stats" TargetMode="External"/><Relationship Id="rId4" Type="http://schemas.openxmlformats.org/officeDocument/2006/relationships/hyperlink" Target="https://fbref.com/en/players/7a2e46a8/matchlogs/2025-2026/keeper/Alisson-Match-Logs" TargetMode="External"/><Relationship Id="rId9" Type="http://schemas.openxmlformats.org/officeDocument/2006/relationships/hyperlink" Target="https://fbref.com/en/players/28d596a0/Kepa-Arrizabalaga" TargetMode="External"/><Relationship Id="rId5" Type="http://schemas.openxmlformats.org/officeDocument/2006/relationships/hyperlink" Target="https://fbref.com/en/players/2f965a72/Alphonse-Areola" TargetMode="External"/><Relationship Id="rId6" Type="http://schemas.openxmlformats.org/officeDocument/2006/relationships/hyperlink" Target="https://fbref.com/en/country/FRA/France-Football" TargetMode="External"/><Relationship Id="rId7" Type="http://schemas.openxmlformats.org/officeDocument/2006/relationships/hyperlink" Target="https://fbref.com/en/squads/7c21e445/West-Ham-United-Stats" TargetMode="External"/><Relationship Id="rId8" Type="http://schemas.openxmlformats.org/officeDocument/2006/relationships/hyperlink" Target="https://fbref.com/en/players/2f965a72/matchlogs/2025-2026/keeper/Alphonse-Areola-Match-Logs" TargetMode="External"/><Relationship Id="rId40" Type="http://schemas.openxmlformats.org/officeDocument/2006/relationships/hyperlink" Target="https://fbref.com/en/players/3a949a25/matchlogs/2025-2026/keeper/Martin-Dubravka-Match-Logs" TargetMode="External"/><Relationship Id="rId42" Type="http://schemas.openxmlformats.org/officeDocument/2006/relationships/hyperlink" Target="https://fbref.com/en/country/SWE/Sweden-Football" TargetMode="External"/><Relationship Id="rId41" Type="http://schemas.openxmlformats.org/officeDocument/2006/relationships/hyperlink" Target="https://fbref.com/en/players/013d348e/Melker-Ellborg" TargetMode="External"/><Relationship Id="rId44" Type="http://schemas.openxmlformats.org/officeDocument/2006/relationships/hyperlink" Target="https://fbref.com/en/players/013d348e/matchlogs/2025-2026/keeper/Melker-Ellborg-Match-Logs" TargetMode="External"/><Relationship Id="rId43" Type="http://schemas.openxmlformats.org/officeDocument/2006/relationships/hyperlink" Target="https://fbref.com/en/squads/8ef52968/Sunderland-Stats" TargetMode="External"/><Relationship Id="rId46" Type="http://schemas.openxmlformats.org/officeDocument/2006/relationships/hyperlink" Target="https://fbref.com/en/country/SCO/Scotland-Football" TargetMode="External"/><Relationship Id="rId45" Type="http://schemas.openxmlformats.org/officeDocument/2006/relationships/hyperlink" Target="https://fbref.com/en/players/e082af5b/Angus-Gunn" TargetMode="External"/><Relationship Id="rId48" Type="http://schemas.openxmlformats.org/officeDocument/2006/relationships/hyperlink" Target="https://fbref.com/en/players/e082af5b/matchlogs/2025-2026/keeper/Angus-Gunn-Match-Logs" TargetMode="External"/><Relationship Id="rId47" Type="http://schemas.openxmlformats.org/officeDocument/2006/relationships/hyperlink" Target="https://fbref.com/en/squads/e4a775cb/Nottingham-Forest-Stats" TargetMode="External"/><Relationship Id="rId49" Type="http://schemas.openxmlformats.org/officeDocument/2006/relationships/hyperlink" Target="https://fbref.com/en/players/e5a76dfe/Dean-Henderson" TargetMode="External"/><Relationship Id="rId31" Type="http://schemas.openxmlformats.org/officeDocument/2006/relationships/hyperlink" Target="https://fbref.com/en/squads/5bfb9659/Leeds-United-Stats" TargetMode="External"/><Relationship Id="rId30" Type="http://schemas.openxmlformats.org/officeDocument/2006/relationships/hyperlink" Target="https://fbref.com/en/country/WAL/Wales-Football" TargetMode="External"/><Relationship Id="rId33" Type="http://schemas.openxmlformats.org/officeDocument/2006/relationships/hyperlink" Target="https://fbref.com/en/players/08f5afaa/Gianluigi-Donnarumma" TargetMode="External"/><Relationship Id="rId32" Type="http://schemas.openxmlformats.org/officeDocument/2006/relationships/hyperlink" Target="https://fbref.com/en/players/cde3309f/matchlogs/2025-2026/keeper/Karl-Darlow-Match-Logs" TargetMode="External"/><Relationship Id="rId35" Type="http://schemas.openxmlformats.org/officeDocument/2006/relationships/hyperlink" Target="https://fbref.com/en/squads/b8fd03ef/Manchester-City-Stats" TargetMode="External"/><Relationship Id="rId34" Type="http://schemas.openxmlformats.org/officeDocument/2006/relationships/hyperlink" Target="https://fbref.com/en/country/ITA/Italy-Football" TargetMode="External"/><Relationship Id="rId37" Type="http://schemas.openxmlformats.org/officeDocument/2006/relationships/hyperlink" Target="https://fbref.com/en/players/3a949a25/Martin-Dubravka" TargetMode="External"/><Relationship Id="rId36" Type="http://schemas.openxmlformats.org/officeDocument/2006/relationships/hyperlink" Target="https://fbref.com/en/players/08f5afaa/matchlogs/2025-2026/keeper/Gianluigi-Donnarumma-Match-Logs" TargetMode="External"/><Relationship Id="rId39" Type="http://schemas.openxmlformats.org/officeDocument/2006/relationships/hyperlink" Target="https://fbref.com/en/squads/943e8050/Burnley-Stats" TargetMode="External"/><Relationship Id="rId38" Type="http://schemas.openxmlformats.org/officeDocument/2006/relationships/hyperlink" Target="https://fbref.com/en/country/SVK/Slovakia-Football" TargetMode="External"/><Relationship Id="rId20" Type="http://schemas.openxmlformats.org/officeDocument/2006/relationships/hyperlink" Target="https://fbref.com/en/players/8a2248b4/matchlogs/2025-2026/keeper/Walter-Benitez-Match-Logs" TargetMode="External"/><Relationship Id="rId22" Type="http://schemas.openxmlformats.org/officeDocument/2006/relationships/hyperlink" Target="https://fbref.com/en/country/ENG/England-Football" TargetMode="External"/><Relationship Id="rId21" Type="http://schemas.openxmlformats.org/officeDocument/2006/relationships/hyperlink" Target="https://fbref.com/en/players/68db6358/Daniel-Bentley" TargetMode="External"/><Relationship Id="rId24" Type="http://schemas.openxmlformats.org/officeDocument/2006/relationships/hyperlink" Target="https://fbref.com/en/players/68db6358/matchlogs/2025-2026/keeper/Daniel-Bentley-Match-Logs" TargetMode="External"/><Relationship Id="rId23" Type="http://schemas.openxmlformats.org/officeDocument/2006/relationships/hyperlink" Target="https://fbref.com/en/squads/8cec06e1/Wolverhampton-Wanderers-Stats" TargetMode="External"/><Relationship Id="rId26" Type="http://schemas.openxmlformats.org/officeDocument/2006/relationships/hyperlink" Target="https://fbref.com/en/country/NED/Netherlands-Football" TargetMode="External"/><Relationship Id="rId25" Type="http://schemas.openxmlformats.org/officeDocument/2006/relationships/hyperlink" Target="https://fbref.com/en/players/3d214e5f/Marco-Bizot" TargetMode="External"/><Relationship Id="rId28" Type="http://schemas.openxmlformats.org/officeDocument/2006/relationships/hyperlink" Target="https://fbref.com/en/players/3d214e5f/matchlogs/2025-2026/keeper/Marco-Bizot-Match-Logs" TargetMode="External"/><Relationship Id="rId27" Type="http://schemas.openxmlformats.org/officeDocument/2006/relationships/hyperlink" Target="https://fbref.com/en/squads/8602292d/Aston-Villa-Stats" TargetMode="External"/><Relationship Id="rId29" Type="http://schemas.openxmlformats.org/officeDocument/2006/relationships/hyperlink" Target="https://fbref.com/en/players/cde3309f/Karl-Darlow" TargetMode="External"/><Relationship Id="rId11" Type="http://schemas.openxmlformats.org/officeDocument/2006/relationships/hyperlink" Target="https://fbref.com/en/squads/18bb7c10/Arsenal-Stats" TargetMode="External"/><Relationship Id="rId10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072e68ed/Altay-Bayindir" TargetMode="External"/><Relationship Id="rId12" Type="http://schemas.openxmlformats.org/officeDocument/2006/relationships/hyperlink" Target="https://fbref.com/en/players/28d596a0/matchlogs/2025-2026/keeper/Kepa-Arrizabalaga-Match-Logs" TargetMode="External"/><Relationship Id="rId15" Type="http://schemas.openxmlformats.org/officeDocument/2006/relationships/hyperlink" Target="https://fbref.com/en/squads/19538871/Manchester-United-Stats" TargetMode="External"/><Relationship Id="rId14" Type="http://schemas.openxmlformats.org/officeDocument/2006/relationships/hyperlink" Target="https://fbref.com/en/country/TUR/Turkey-Football" TargetMode="External"/><Relationship Id="rId17" Type="http://schemas.openxmlformats.org/officeDocument/2006/relationships/hyperlink" Target="https://fbref.com/en/players/8a2248b4/Walter-Benitez" TargetMode="External"/><Relationship Id="rId16" Type="http://schemas.openxmlformats.org/officeDocument/2006/relationships/hyperlink" Target="https://fbref.com/en/players/072e68ed/matchlogs/2025-2026/keeper/Altay-Bayindir-Match-Logs" TargetMode="External"/><Relationship Id="rId19" Type="http://schemas.openxmlformats.org/officeDocument/2006/relationships/hyperlink" Target="https://fbref.com/en/squads/47c64c55/Crystal-Palace-Stats" TargetMode="External"/><Relationship Id="rId18" Type="http://schemas.openxmlformats.org/officeDocument/2006/relationships/hyperlink" Target="https://fbref.com/en/country/ARG/Argentina-Football" TargetMode="External"/><Relationship Id="rId84" Type="http://schemas.openxmlformats.org/officeDocument/2006/relationships/hyperlink" Target="https://fbref.com/en/players/2628fd2b/matchlogs/2025-2026/keeper/Bernd-Leno-Match-Logs" TargetMode="External"/><Relationship Id="rId83" Type="http://schemas.openxmlformats.org/officeDocument/2006/relationships/hyperlink" Target="https://fbref.com/en/squads/fd962109/Fulham-Stats" TargetMode="External"/><Relationship Id="rId86" Type="http://schemas.openxmlformats.org/officeDocument/2006/relationships/hyperlink" Target="https://fbref.com/en/country/GEO/Georgia-Football" TargetMode="External"/><Relationship Id="rId85" Type="http://schemas.openxmlformats.org/officeDocument/2006/relationships/hyperlink" Target="https://fbref.com/en/players/d4b73232/Giorgi-Mamardashvili" TargetMode="External"/><Relationship Id="rId88" Type="http://schemas.openxmlformats.org/officeDocument/2006/relationships/hyperlink" Target="https://fbref.com/en/players/d4b73232/matchlogs/2025-2026/keeper/Giorgi-Mamardashvili-Match-Logs" TargetMode="External"/><Relationship Id="rId87" Type="http://schemas.openxmlformats.org/officeDocument/2006/relationships/hyperlink" Target="https://fbref.com/en/squads/822bd0ba/Liverpool-Stats" TargetMode="External"/><Relationship Id="rId89" Type="http://schemas.openxmlformats.org/officeDocument/2006/relationships/hyperlink" Target="https://fbref.com/en/players/7956236f/Emiliano-Martinez" TargetMode="External"/><Relationship Id="rId80" Type="http://schemas.openxmlformats.org/officeDocument/2006/relationships/hyperlink" Target="https://fbref.com/en/players/8e6d2fcd/matchlogs/2025-2026/keeper/Senne-Lammens-Match-Logs" TargetMode="External"/><Relationship Id="rId82" Type="http://schemas.openxmlformats.org/officeDocument/2006/relationships/hyperlink" Target="https://fbref.com/en/country/GER/Germany-Football" TargetMode="External"/><Relationship Id="rId81" Type="http://schemas.openxmlformats.org/officeDocument/2006/relationships/hyperlink" Target="https://fbref.com/en/players/2628fd2b/Bernd-Leno" TargetMode="External"/><Relationship Id="rId73" Type="http://schemas.openxmlformats.org/officeDocument/2006/relationships/hyperlink" Target="https://fbref.com/en/players/b38ac6a4/Antonin-Kinsky" TargetMode="External"/><Relationship Id="rId72" Type="http://schemas.openxmlformats.org/officeDocument/2006/relationships/hyperlink" Target="https://fbref.com/en/players/62d7ef38/matchlogs/2025-2026/keeper/Caoimhin-Kelleher-Match-Logs" TargetMode="External"/><Relationship Id="rId75" Type="http://schemas.openxmlformats.org/officeDocument/2006/relationships/hyperlink" Target="https://fbref.com/en/squads/361ca564/Tottenham-Hotspur-Stats" TargetMode="External"/><Relationship Id="rId74" Type="http://schemas.openxmlformats.org/officeDocument/2006/relationships/hyperlink" Target="https://fbref.com/en/country/CZE/Czech-Republic-Football" TargetMode="External"/><Relationship Id="rId77" Type="http://schemas.openxmlformats.org/officeDocument/2006/relationships/hyperlink" Target="https://fbref.com/en/players/8e6d2fcd/Senne-Lammens" TargetMode="External"/><Relationship Id="rId76" Type="http://schemas.openxmlformats.org/officeDocument/2006/relationships/hyperlink" Target="https://fbref.com/en/players/b38ac6a4/matchlogs/2025-2026/keeper/Antonin-Kinsky-Match-Logs" TargetMode="External"/><Relationship Id="rId79" Type="http://schemas.openxmlformats.org/officeDocument/2006/relationships/hyperlink" Target="https://fbref.com/en/squads/19538871/Manchester-United-Stats" TargetMode="External"/><Relationship Id="rId78" Type="http://schemas.openxmlformats.org/officeDocument/2006/relationships/hyperlink" Target="https://fbref.com/en/country/BEL/Belgium-Football" TargetMode="External"/><Relationship Id="rId71" Type="http://schemas.openxmlformats.org/officeDocument/2006/relationships/hyperlink" Target="https://fbref.com/en/squads/cd051869/Brentford-Stats" TargetMode="External"/><Relationship Id="rId70" Type="http://schemas.openxmlformats.org/officeDocument/2006/relationships/hyperlink" Target="https://fbref.com/en/country/IRL/Republic-of-Ireland-Football" TargetMode="External"/><Relationship Id="rId62" Type="http://schemas.openxmlformats.org/officeDocument/2006/relationships/hyperlink" Target="https://fbref.com/en/country/ENG/England-Football" TargetMode="External"/><Relationship Id="rId61" Type="http://schemas.openxmlformats.org/officeDocument/2006/relationships/hyperlink" Target="https://fbref.com/en/players/9e5708be/Sam-Johnstone" TargetMode="External"/><Relationship Id="rId64" Type="http://schemas.openxmlformats.org/officeDocument/2006/relationships/hyperlink" Target="https://fbref.com/en/players/9e5708be/matchlogs/2025-2026/keeper/Sam-Johnstone-Match-Logs" TargetMode="External"/><Relationship Id="rId63" Type="http://schemas.openxmlformats.org/officeDocument/2006/relationships/hyperlink" Target="https://fbref.com/en/squads/8cec06e1/Wolverhampton-Wanderers-Stats" TargetMode="External"/><Relationship Id="rId66" Type="http://schemas.openxmlformats.org/officeDocument/2006/relationships/hyperlink" Target="https://fbref.com/en/country/DEN/Denmark-Football" TargetMode="External"/><Relationship Id="rId65" Type="http://schemas.openxmlformats.org/officeDocument/2006/relationships/hyperlink" Target="https://fbref.com/en/players/0107757e/Filip-Jorgensen" TargetMode="External"/><Relationship Id="rId68" Type="http://schemas.openxmlformats.org/officeDocument/2006/relationships/hyperlink" Target="https://fbref.com/en/players/0107757e/matchlogs/2025-2026/keeper/Filip-Jorgensen-Match-Logs" TargetMode="External"/><Relationship Id="rId67" Type="http://schemas.openxmlformats.org/officeDocument/2006/relationships/hyperlink" Target="https://fbref.com/en/squads/cff3d9bb/Chelsea-Stats" TargetMode="External"/><Relationship Id="rId60" Type="http://schemas.openxmlformats.org/officeDocument/2006/relationships/hyperlink" Target="https://fbref.com/en/players/33a235af/matchlogs/2025-2026/keeper/John-Match-Logs" TargetMode="External"/><Relationship Id="rId69" Type="http://schemas.openxmlformats.org/officeDocument/2006/relationships/hyperlink" Target="https://fbref.com/en/players/62d7ef38/Caoimhin-Kelleher" TargetMode="External"/><Relationship Id="rId51" Type="http://schemas.openxmlformats.org/officeDocument/2006/relationships/hyperlink" Target="https://fbref.com/en/squads/47c64c55/Crystal-Palace-Stats" TargetMode="External"/><Relationship Id="rId50" Type="http://schemas.openxmlformats.org/officeDocument/2006/relationships/hyperlink" Target="https://fbref.com/en/country/ENG/England-Football" TargetMode="External"/><Relationship Id="rId53" Type="http://schemas.openxmlformats.org/officeDocument/2006/relationships/hyperlink" Target="https://fbref.com/en/players/c924b17d/Mads-Hermansen" TargetMode="External"/><Relationship Id="rId52" Type="http://schemas.openxmlformats.org/officeDocument/2006/relationships/hyperlink" Target="https://fbref.com/en/players/e5a76dfe/matchlogs/2025-2026/keeper/Dean-Henderson-Match-Logs" TargetMode="External"/><Relationship Id="rId55" Type="http://schemas.openxmlformats.org/officeDocument/2006/relationships/hyperlink" Target="https://fbref.com/en/squads/7c21e445/West-Ham-United-Stats" TargetMode="External"/><Relationship Id="rId54" Type="http://schemas.openxmlformats.org/officeDocument/2006/relationships/hyperlink" Target="https://fbref.com/en/country/DEN/Denmark-Football" TargetMode="External"/><Relationship Id="rId57" Type="http://schemas.openxmlformats.org/officeDocument/2006/relationships/hyperlink" Target="https://fbref.com/en/players/33a235af/John" TargetMode="External"/><Relationship Id="rId56" Type="http://schemas.openxmlformats.org/officeDocument/2006/relationships/hyperlink" Target="https://fbref.com/en/players/c924b17d/matchlogs/2025-2026/keeper/Mads-Hermansen-Match-Logs" TargetMode="External"/><Relationship Id="rId59" Type="http://schemas.openxmlformats.org/officeDocument/2006/relationships/hyperlink" Target="https://fbref.com/en/squads/e4a775cb/Nottingham-Forest-Stats" TargetMode="External"/><Relationship Id="rId58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e4a775cb/Nottingham-Forest-Stats" TargetMode="External"/><Relationship Id="rId94" Type="http://schemas.openxmlformats.org/officeDocument/2006/relationships/hyperlink" Target="https://fbref.com/en/country/GER/Germany-Football" TargetMode="External"/><Relationship Id="rId97" Type="http://schemas.openxmlformats.org/officeDocument/2006/relationships/hyperlink" Target="https://fbref.com/en/players/5dbd461a/Lucas-Perri" TargetMode="External"/><Relationship Id="rId96" Type="http://schemas.openxmlformats.org/officeDocument/2006/relationships/hyperlink" Target="https://fbref.com/en/players/c1242d4e/matchlogs/2025-2026/keeper/Stefan-Ortega-Match-Logs" TargetMode="External"/><Relationship Id="rId99" Type="http://schemas.openxmlformats.org/officeDocument/2006/relationships/hyperlink" Target="https://fbref.com/en/squads/5bfb9659/Leeds-United-Stats" TargetMode="External"/><Relationship Id="rId98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8602292d/Aston-Villa-Stats" TargetMode="External"/><Relationship Id="rId90" Type="http://schemas.openxmlformats.org/officeDocument/2006/relationships/hyperlink" Target="https://fbref.com/en/country/ARG/Argentina-Football" TargetMode="External"/><Relationship Id="rId93" Type="http://schemas.openxmlformats.org/officeDocument/2006/relationships/hyperlink" Target="https://fbref.com/en/players/c1242d4e/Stefan-Ortega" TargetMode="External"/><Relationship Id="rId92" Type="http://schemas.openxmlformats.org/officeDocument/2006/relationships/hyperlink" Target="https://fbref.com/en/players/7956236f/matchlogs/2025-2026/keeper/Emiliano-Martinez-Match-Logs" TargetMode="External"/><Relationship Id="rId150" Type="http://schemas.openxmlformats.org/officeDocument/2006/relationships/hyperlink" Target="https://fbref.com/en/country/ITA/Italy-Football" TargetMode="External"/><Relationship Id="rId149" Type="http://schemas.openxmlformats.org/officeDocument/2006/relationships/hyperlink" Target="https://fbref.com/en/players/77d6fd4d/Guglielmo-Vicario" TargetMode="External"/><Relationship Id="rId148" Type="http://schemas.openxmlformats.org/officeDocument/2006/relationships/hyperlink" Target="https://fbref.com/en/players/cf134113/matchlogs/2025-2026/keeper/Bart-Verbruggen-Match-Logs" TargetMode="External"/><Relationship Id="rId143" Type="http://schemas.openxmlformats.org/officeDocument/2006/relationships/hyperlink" Target="https://fbref.com/en/squads/cd051869/Brentford-Stats" TargetMode="External"/><Relationship Id="rId142" Type="http://schemas.openxmlformats.org/officeDocument/2006/relationships/hyperlink" Target="https://fbref.com/en/country/ISL/Iceland-Football" TargetMode="External"/><Relationship Id="rId141" Type="http://schemas.openxmlformats.org/officeDocument/2006/relationships/hyperlink" Target="https://fbref.com/en/players/57a34cf4/Hakon-Valdimarsson" TargetMode="External"/><Relationship Id="rId140" Type="http://schemas.openxmlformats.org/officeDocument/2006/relationships/hyperlink" Target="https://fbref.com/en/players/259fea27/matchlogs/2025-2026/keeper/James-Trafford-Match-Logs" TargetMode="External"/><Relationship Id="rId147" Type="http://schemas.openxmlformats.org/officeDocument/2006/relationships/hyperlink" Target="https://fbref.com/en/squads/d07537b9/Brighton-and-Hove-Albion-Stats" TargetMode="External"/><Relationship Id="rId146" Type="http://schemas.openxmlformats.org/officeDocument/2006/relationships/hyperlink" Target="https://fbref.com/en/country/NED/Netherlands-Football" TargetMode="External"/><Relationship Id="rId145" Type="http://schemas.openxmlformats.org/officeDocument/2006/relationships/hyperlink" Target="https://fbref.com/en/players/cf134113/Bart-Verbruggen" TargetMode="External"/><Relationship Id="rId144" Type="http://schemas.openxmlformats.org/officeDocument/2006/relationships/hyperlink" Target="https://fbref.com/en/players/57a34cf4/matchlogs/2025-2026/keeper/Hakon-Valdimarsson-Match-Logs" TargetMode="External"/><Relationship Id="rId139" Type="http://schemas.openxmlformats.org/officeDocument/2006/relationships/hyperlink" Target="https://fbref.com/en/squads/b8fd03ef/Manchester-City-Stats" TargetMode="External"/><Relationship Id="rId138" Type="http://schemas.openxmlformats.org/officeDocument/2006/relationships/hyperlink" Target="https://fbref.com/en/country/ENG/England-Football" TargetMode="External"/><Relationship Id="rId137" Type="http://schemas.openxmlformats.org/officeDocument/2006/relationships/hyperlink" Target="https://fbref.com/en/players/259fea27/James-Trafford" TargetMode="External"/><Relationship Id="rId132" Type="http://schemas.openxmlformats.org/officeDocument/2006/relationships/hyperlink" Target="https://fbref.com/en/players/6a713852/matchlogs/2025-2026/keeper/Robert-Sanchez-Match-Logs" TargetMode="External"/><Relationship Id="rId131" Type="http://schemas.openxmlformats.org/officeDocument/2006/relationships/hyperlink" Target="https://fbref.com/en/squads/cff3d9bb/Chelsea-Stats" TargetMode="External"/><Relationship Id="rId130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834b5c4c/matchlogs/2025-2026/keeper/Matz-Sels-Match-Logs" TargetMode="External"/><Relationship Id="rId135" Type="http://schemas.openxmlformats.org/officeDocument/2006/relationships/hyperlink" Target="https://fbref.com/en/squads/e4a775cb/Nottingham-Forest-Stats" TargetMode="External"/><Relationship Id="rId134" Type="http://schemas.openxmlformats.org/officeDocument/2006/relationships/hyperlink" Target="https://fbref.com/en/country/BEL/Belgium-Football" TargetMode="External"/><Relationship Id="rId133" Type="http://schemas.openxmlformats.org/officeDocument/2006/relationships/hyperlink" Target="https://fbref.com/en/players/834b5c4c/Matz-Sels" TargetMode="External"/><Relationship Id="rId161" Type="http://schemas.openxmlformats.org/officeDocument/2006/relationships/drawing" Target="../drawings/drawing2.xml"/><Relationship Id="rId160" Type="http://schemas.openxmlformats.org/officeDocument/2006/relationships/hyperlink" Target="https://fbref.com/en/players/19e50035/matchlogs/2025-2026/keeper/Freddie-Woodman-Match-Logs" TargetMode="External"/><Relationship Id="rId159" Type="http://schemas.openxmlformats.org/officeDocument/2006/relationships/hyperlink" Target="https://fbref.com/en/squads/822bd0ba/Liverpool-Stats" TargetMode="External"/><Relationship Id="rId154" Type="http://schemas.openxmlformats.org/officeDocument/2006/relationships/hyperlink" Target="https://fbref.com/en/country/GER/Germany-Football" TargetMode="External"/><Relationship Id="rId153" Type="http://schemas.openxmlformats.org/officeDocument/2006/relationships/hyperlink" Target="https://fbref.com/en/players/882228c2/Max-Weiss" TargetMode="External"/><Relationship Id="rId152" Type="http://schemas.openxmlformats.org/officeDocument/2006/relationships/hyperlink" Target="https://fbref.com/en/players/77d6fd4d/matchlogs/2025-2026/keeper/Guglielmo-Vicario-Match-Logs" TargetMode="External"/><Relationship Id="rId151" Type="http://schemas.openxmlformats.org/officeDocument/2006/relationships/hyperlink" Target="https://fbref.com/en/squads/361ca564/Tottenham-Hotspur-Stats" TargetMode="External"/><Relationship Id="rId158" Type="http://schemas.openxmlformats.org/officeDocument/2006/relationships/hyperlink" Target="https://fbref.com/en/country/ENG/England-Football" TargetMode="External"/><Relationship Id="rId157" Type="http://schemas.openxmlformats.org/officeDocument/2006/relationships/hyperlink" Target="https://fbref.com/en/players/19e50035/Freddie-Woodman" TargetMode="External"/><Relationship Id="rId156" Type="http://schemas.openxmlformats.org/officeDocument/2006/relationships/hyperlink" Target="https://fbref.com/en/players/882228c2/matchlogs/2025-2026/keeper/Max-Weiss-Match-Logs" TargetMode="External"/><Relationship Id="rId155" Type="http://schemas.openxmlformats.org/officeDocument/2006/relationships/hyperlink" Target="https://fbref.com/en/squads/943e8050/Burnley-Stats" TargetMode="External"/><Relationship Id="rId107" Type="http://schemas.openxmlformats.org/officeDocument/2006/relationships/hyperlink" Target="https://fbref.com/en/squads/d3fd31cc/Everton-Stats" TargetMode="External"/><Relationship Id="rId106" Type="http://schemas.openxmlformats.org/officeDocument/2006/relationships/hyperlink" Target="https://fbref.com/en/country/ENG/England-Football" TargetMode="External"/><Relationship Id="rId105" Type="http://schemas.openxmlformats.org/officeDocument/2006/relationships/hyperlink" Target="https://fbref.com/en/players/4806ec67/Jordan-Pickford" TargetMode="External"/><Relationship Id="rId104" Type="http://schemas.openxmlformats.org/officeDocument/2006/relationships/hyperlink" Target="https://fbref.com/en/players/0cf321c8/matchlogs/2025-2026/keeper/Djordje-Petrovic-Match-Logs" TargetMode="External"/><Relationship Id="rId109" Type="http://schemas.openxmlformats.org/officeDocument/2006/relationships/hyperlink" Target="https://fbref.com/en/players/4b40d9ca/Nick-Pope" TargetMode="External"/><Relationship Id="rId108" Type="http://schemas.openxmlformats.org/officeDocument/2006/relationships/hyperlink" Target="https://fbref.com/en/players/4806ec67/matchlogs/2025-2026/keeper/Jordan-Pickford-Match-Logs" TargetMode="External"/><Relationship Id="rId103" Type="http://schemas.openxmlformats.org/officeDocument/2006/relationships/hyperlink" Target="https://fbref.com/en/squads/4ba7cbea/Bournemouth-Stats" TargetMode="External"/><Relationship Id="rId102" Type="http://schemas.openxmlformats.org/officeDocument/2006/relationships/hyperlink" Target="https://fbref.com/en/country/SRB/Serbia-Football" TargetMode="External"/><Relationship Id="rId101" Type="http://schemas.openxmlformats.org/officeDocument/2006/relationships/hyperlink" Target="https://fbref.com/en/players/0cf321c8/Djordje-Petrovic" TargetMode="External"/><Relationship Id="rId100" Type="http://schemas.openxmlformats.org/officeDocument/2006/relationships/hyperlink" Target="https://fbref.com/en/players/5dbd461a/matchlogs/2025-2026/keeper/Lucas-Perri-Match-Logs" TargetMode="External"/><Relationship Id="rId129" Type="http://schemas.openxmlformats.org/officeDocument/2006/relationships/hyperlink" Target="https://fbref.com/en/players/6a713852/Robert-Sanchez" TargetMode="External"/><Relationship Id="rId128" Type="http://schemas.openxmlformats.org/officeDocument/2006/relationships/hyperlink" Target="https://fbref.com/en/players/903b6e8b/matchlogs/2025-2026/keeper/Jose-Sa-Match-Logs" TargetMode="External"/><Relationship Id="rId127" Type="http://schemas.openxmlformats.org/officeDocument/2006/relationships/hyperlink" Target="https://fbref.com/en/squads/8cec06e1/Wolverhampton-Wanderers-Stats" TargetMode="External"/><Relationship Id="rId126" Type="http://schemas.openxmlformats.org/officeDocument/2006/relationships/hyperlink" Target="https://fbref.com/en/country/POR/Portugal-Football" TargetMode="External"/><Relationship Id="rId121" Type="http://schemas.openxmlformats.org/officeDocument/2006/relationships/hyperlink" Target="https://fbref.com/en/players/349fa918/Robin-Roefs" TargetMode="External"/><Relationship Id="rId120" Type="http://schemas.openxmlformats.org/officeDocument/2006/relationships/hyperlink" Target="https://fbref.com/en/players/98ea5115/matchlogs/2025-2026/keeper/David-Raya-Match-Logs" TargetMode="External"/><Relationship Id="rId125" Type="http://schemas.openxmlformats.org/officeDocument/2006/relationships/hyperlink" Target="https://fbref.com/en/players/903b6e8b/Jose-Sa" TargetMode="External"/><Relationship Id="rId124" Type="http://schemas.openxmlformats.org/officeDocument/2006/relationships/hyperlink" Target="https://fbref.com/en/players/349fa918/matchlogs/2025-2026/keeper/Robin-Roefs-Match-Logs" TargetMode="External"/><Relationship Id="rId123" Type="http://schemas.openxmlformats.org/officeDocument/2006/relationships/hyperlink" Target="https://fbref.com/en/squads/8ef52968/Sunderland-Stats" TargetMode="External"/><Relationship Id="rId122" Type="http://schemas.openxmlformats.org/officeDocument/2006/relationships/hyperlink" Target="https://fbref.com/en/country/NED/Netherlands-Football" TargetMode="External"/><Relationship Id="rId118" Type="http://schemas.openxmlformats.org/officeDocument/2006/relationships/hyperlink" Target="https://fbref.com/en/country/ESP/Spain-Football" TargetMode="External"/><Relationship Id="rId117" Type="http://schemas.openxmlformats.org/officeDocument/2006/relationships/hyperlink" Target="https://fbref.com/en/players/98ea5115/David-Raya" TargetMode="External"/><Relationship Id="rId116" Type="http://schemas.openxmlformats.org/officeDocument/2006/relationships/hyperlink" Target="https://fbref.com/en/players/466fb2c5/matchlogs/2025-2026/keeper/Aaron-Ramsdale-Match-Logs" TargetMode="External"/><Relationship Id="rId115" Type="http://schemas.openxmlformats.org/officeDocument/2006/relationships/hyperlink" Target="https://fbref.com/en/squads/b2b47a98/Newcastle-United-Stats" TargetMode="External"/><Relationship Id="rId119" Type="http://schemas.openxmlformats.org/officeDocument/2006/relationships/hyperlink" Target="https://fbref.com/en/squads/18bb7c10/Arsenal-Stats" TargetMode="External"/><Relationship Id="rId110" Type="http://schemas.openxmlformats.org/officeDocument/2006/relationships/hyperlink" Target="https://fbref.com/en/country/ENG/England-Football" TargetMode="External"/><Relationship Id="rId114" Type="http://schemas.openxmlformats.org/officeDocument/2006/relationships/hyperlink" Target="https://fbref.com/en/country/ENG/England-Football" TargetMode="External"/><Relationship Id="rId113" Type="http://schemas.openxmlformats.org/officeDocument/2006/relationships/hyperlink" Target="https://fbref.com/en/players/466fb2c5/Aaron-Ramsdale" TargetMode="External"/><Relationship Id="rId112" Type="http://schemas.openxmlformats.org/officeDocument/2006/relationships/hyperlink" Target="https://fbref.com/en/players/4b40d9ca/matchlogs/2025-2026/keeper/Nick-Pope-Match-Logs" TargetMode="External"/><Relationship Id="rId111" Type="http://schemas.openxmlformats.org/officeDocument/2006/relationships/hyperlink" Target="https://fbref.com/en/squads/b2b47a98/Newcastle-United-Stats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0442183b/matchlogs/2025-2026/summary/Nathaniel-Clyne-Match-Logs" TargetMode="External"/><Relationship Id="rId391" Type="http://schemas.openxmlformats.org/officeDocument/2006/relationships/hyperlink" Target="https://fbref.com/en/squads/47c64c55/Crystal-Palace-Stats" TargetMode="External"/><Relationship Id="rId390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players/5bc43860/Brenden-Aaronson" TargetMode="External"/><Relationship Id="rId2" Type="http://schemas.openxmlformats.org/officeDocument/2006/relationships/hyperlink" Target="https://fbref.com/en/country/USA/United-States-Football" TargetMode="External"/><Relationship Id="rId3" Type="http://schemas.openxmlformats.org/officeDocument/2006/relationships/hyperlink" Target="https://fbref.com/en/squads/5bfb9659/Leeds-United-Stats" TargetMode="External"/><Relationship Id="rId4" Type="http://schemas.openxmlformats.org/officeDocument/2006/relationships/hyperlink" Target="https://fbref.com/en/players/5bc43860/matchlogs/2025-2026/summary/Brenden-Aaronson-Match-Logs" TargetMode="External"/><Relationship Id="rId2180" Type="http://schemas.openxmlformats.org/officeDocument/2006/relationships/hyperlink" Target="https://fbref.com/en/players/907a5d7c/matchlogs/2025-2026/summary/Yehor-Yarmoliuk-Match-Logs" TargetMode="External"/><Relationship Id="rId2181" Type="http://schemas.openxmlformats.org/officeDocument/2006/relationships/hyperlink" Target="https://fbref.com/en/players/c1fe2a48/Ryan-Yates" TargetMode="External"/><Relationship Id="rId2182" Type="http://schemas.openxmlformats.org/officeDocument/2006/relationships/hyperlink" Target="https://fbref.com/en/country/ENG/England-Football" TargetMode="External"/><Relationship Id="rId2183" Type="http://schemas.openxmlformats.org/officeDocument/2006/relationships/hyperlink" Target="https://fbref.com/en/squads/e4a775cb/Nottingham-Forest-Stats" TargetMode="External"/><Relationship Id="rId9" Type="http://schemas.openxmlformats.org/officeDocument/2006/relationships/hyperlink" Target="https://fbref.com/en/players/c103921a/Zach-Abbott" TargetMode="External"/><Relationship Id="rId385" Type="http://schemas.openxmlformats.org/officeDocument/2006/relationships/hyperlink" Target="https://fbref.com/en/players/307ea3b6/Dennis-Cirkin" TargetMode="External"/><Relationship Id="rId2184" Type="http://schemas.openxmlformats.org/officeDocument/2006/relationships/hyperlink" Target="https://fbref.com/en/players/c1fe2a48/matchlogs/2025-2026/summary/Ryan-Yates-Match-Logs" TargetMode="External"/><Relationship Id="rId384" Type="http://schemas.openxmlformats.org/officeDocument/2006/relationships/hyperlink" Target="https://fbref.com/en/players/b8a642fc/matchlogs/2025-2026/summary/Samuel-Chukwueze-Match-Logs" TargetMode="External"/><Relationship Id="rId2185" Type="http://schemas.openxmlformats.org/officeDocument/2006/relationships/hyperlink" Target="https://fbref.com/en/players/6763f716/Leny-Yoro" TargetMode="External"/><Relationship Id="rId383" Type="http://schemas.openxmlformats.org/officeDocument/2006/relationships/hyperlink" Target="https://fbref.com/en/squads/fd962109/Fulham-Stats" TargetMode="External"/><Relationship Id="rId2186" Type="http://schemas.openxmlformats.org/officeDocument/2006/relationships/hyperlink" Target="https://fbref.com/en/country/FRA/France-Football" TargetMode="External"/><Relationship Id="rId382" Type="http://schemas.openxmlformats.org/officeDocument/2006/relationships/hyperlink" Target="https://fbref.com/en/country/NGA/Nigeria-Football" TargetMode="External"/><Relationship Id="rId2187" Type="http://schemas.openxmlformats.org/officeDocument/2006/relationships/hyperlink" Target="https://fbref.com/en/squads/19538871/Manchester-United-Stats" TargetMode="External"/><Relationship Id="rId5" Type="http://schemas.openxmlformats.org/officeDocument/2006/relationships/hyperlink" Target="https://fbref.com/en/players/4f504fcc/Jerome-Abbey" TargetMode="External"/><Relationship Id="rId389" Type="http://schemas.openxmlformats.org/officeDocument/2006/relationships/hyperlink" Target="https://fbref.com/en/players/0442183b/Nathaniel-Clyne" TargetMode="External"/><Relationship Id="rId2188" Type="http://schemas.openxmlformats.org/officeDocument/2006/relationships/hyperlink" Target="https://fbref.com/en/players/6763f716/matchlogs/2025-2026/summary/Leny-Yoro-Match-Logs" TargetMode="External"/><Relationship Id="rId6" Type="http://schemas.openxmlformats.org/officeDocument/2006/relationships/hyperlink" Target="https://fbref.com/en/country/ENG/England-Football" TargetMode="External"/><Relationship Id="rId388" Type="http://schemas.openxmlformats.org/officeDocument/2006/relationships/hyperlink" Target="https://fbref.com/en/players/307ea3b6/matchlogs/2025-2026/summary/Dennis-Cirkin-Match-Logs" TargetMode="External"/><Relationship Id="rId2189" Type="http://schemas.openxmlformats.org/officeDocument/2006/relationships/hyperlink" Target="https://fbref.com/en/players/51cf8561/Oleksandr-Zinchenko" TargetMode="External"/><Relationship Id="rId7" Type="http://schemas.openxmlformats.org/officeDocument/2006/relationships/hyperlink" Target="https://fbref.com/en/squads/8cec06e1/Wolverhampton-Wanderers-Stats" TargetMode="External"/><Relationship Id="rId387" Type="http://schemas.openxmlformats.org/officeDocument/2006/relationships/hyperlink" Target="https://fbref.com/en/squads/8ef52968/Sunderland-Stats" TargetMode="External"/><Relationship Id="rId8" Type="http://schemas.openxmlformats.org/officeDocument/2006/relationships/hyperlink" Target="https://fbref.com/en/players/4f504fcc/matchlogs/2025-2026/summary/Jerome-Abbey-Match-Logs" TargetMode="External"/><Relationship Id="rId386" Type="http://schemas.openxmlformats.org/officeDocument/2006/relationships/hyperlink" Target="https://fbref.com/en/country/LVA/Latvia-Football" TargetMode="External"/><Relationship Id="rId381" Type="http://schemas.openxmlformats.org/officeDocument/2006/relationships/hyperlink" Target="https://fbref.com/en/players/b8a642fc/Samuel-Chukwueze" TargetMode="External"/><Relationship Id="rId380" Type="http://schemas.openxmlformats.org/officeDocument/2006/relationships/hyperlink" Target="https://fbref.com/en/players/26ce2263/matchlogs/2025-2026/summary/Ryan-Christie-Match-Logs" TargetMode="External"/><Relationship Id="rId379" Type="http://schemas.openxmlformats.org/officeDocument/2006/relationships/hyperlink" Target="https://fbref.com/en/squads/4ba7cbea/Bournemouth-Stats" TargetMode="External"/><Relationship Id="rId2170" Type="http://schemas.openxmlformats.org/officeDocument/2006/relationships/hyperlink" Target="https://fbref.com/en/country/ENG/England-Football" TargetMode="External"/><Relationship Id="rId2171" Type="http://schemas.openxmlformats.org/officeDocument/2006/relationships/hyperlink" Target="https://fbref.com/en/squads/943e8050/Burnley-Stats" TargetMode="External"/><Relationship Id="rId2172" Type="http://schemas.openxmlformats.org/officeDocument/2006/relationships/hyperlink" Target="https://fbref.com/en/players/a5212312/matchlogs/2025-2026/summary/Joe-Worrall-Match-Logs" TargetMode="External"/><Relationship Id="rId374" Type="http://schemas.openxmlformats.org/officeDocument/2006/relationships/hyperlink" Target="https://fbref.com/en/country/ZIM/Zimbabwe-Football" TargetMode="External"/><Relationship Id="rId2173" Type="http://schemas.openxmlformats.org/officeDocument/2006/relationships/hyperlink" Target="https://fbref.com/en/players/e61b8aee/Granit-Xhaka" TargetMode="External"/><Relationship Id="rId373" Type="http://schemas.openxmlformats.org/officeDocument/2006/relationships/hyperlink" Target="https://fbref.com/en/players/34721c11/Tawanda-Chirewa" TargetMode="External"/><Relationship Id="rId2174" Type="http://schemas.openxmlformats.org/officeDocument/2006/relationships/hyperlink" Target="https://fbref.com/en/country/SUI/Switzerland-Football" TargetMode="External"/><Relationship Id="rId372" Type="http://schemas.openxmlformats.org/officeDocument/2006/relationships/hyperlink" Target="https://fbref.com/en/players/b0f7e36c/matchlogs/2025-2026/summary/Federico-Chiesa-Match-Logs" TargetMode="External"/><Relationship Id="rId2175" Type="http://schemas.openxmlformats.org/officeDocument/2006/relationships/hyperlink" Target="https://fbref.com/en/squads/8ef52968/Sunderland-Stats" TargetMode="External"/><Relationship Id="rId371" Type="http://schemas.openxmlformats.org/officeDocument/2006/relationships/hyperlink" Target="https://fbref.com/en/squads/822bd0ba/Liverpool-Stats" TargetMode="External"/><Relationship Id="rId2176" Type="http://schemas.openxmlformats.org/officeDocument/2006/relationships/hyperlink" Target="https://fbref.com/en/players/e61b8aee/matchlogs/2025-2026/summary/Granit-Xhaka-Match-Logs" TargetMode="External"/><Relationship Id="rId378" Type="http://schemas.openxmlformats.org/officeDocument/2006/relationships/hyperlink" Target="https://fbref.com/en/country/SCO/Scotland-Football" TargetMode="External"/><Relationship Id="rId2177" Type="http://schemas.openxmlformats.org/officeDocument/2006/relationships/hyperlink" Target="https://fbref.com/en/players/907a5d7c/Yehor-Yarmoliuk" TargetMode="External"/><Relationship Id="rId377" Type="http://schemas.openxmlformats.org/officeDocument/2006/relationships/hyperlink" Target="https://fbref.com/en/players/26ce2263/Ryan-Christie" TargetMode="External"/><Relationship Id="rId2178" Type="http://schemas.openxmlformats.org/officeDocument/2006/relationships/hyperlink" Target="https://fbref.com/en/country/UKR/Ukraine-Football" TargetMode="External"/><Relationship Id="rId376" Type="http://schemas.openxmlformats.org/officeDocument/2006/relationships/hyperlink" Target="https://fbref.com/en/players/34721c11/matchlogs/2025-2026/summary/Tawanda-Chirewa-Match-Logs" TargetMode="External"/><Relationship Id="rId2179" Type="http://schemas.openxmlformats.org/officeDocument/2006/relationships/hyperlink" Target="https://fbref.com/en/squads/cd051869/Brentford-Stats" TargetMode="External"/><Relationship Id="rId375" Type="http://schemas.openxmlformats.org/officeDocument/2006/relationships/hyperlink" Target="https://fbref.com/en/squads/8cec06e1/Wolverhampton-Wanderers-Stats" TargetMode="External"/><Relationship Id="rId2190" Type="http://schemas.openxmlformats.org/officeDocument/2006/relationships/hyperlink" Target="https://fbref.com/en/country/UKR/Ukraine-Football" TargetMode="External"/><Relationship Id="rId2191" Type="http://schemas.openxmlformats.org/officeDocument/2006/relationships/hyperlink" Target="https://fbref.com/en/squads/e4a775cb/Nottingham-Forest-Stats" TargetMode="External"/><Relationship Id="rId2192" Type="http://schemas.openxmlformats.org/officeDocument/2006/relationships/hyperlink" Target="https://fbref.com/en/players/51cf8561/matchlogs/2025-2026/summary/Oleksandr-Zinchenko-Match-Logs" TargetMode="External"/><Relationship Id="rId2193" Type="http://schemas.openxmlformats.org/officeDocument/2006/relationships/hyperlink" Target="https://fbref.com/en/players/028e70b9/Joshua-Zirkzee" TargetMode="External"/><Relationship Id="rId2194" Type="http://schemas.openxmlformats.org/officeDocument/2006/relationships/hyperlink" Target="https://fbref.com/en/country/NED/Netherlands-Football" TargetMode="External"/><Relationship Id="rId396" Type="http://schemas.openxmlformats.org/officeDocument/2006/relationships/hyperlink" Target="https://fbref.com/en/players/0420d84f/matchlogs/2025-2026/summary/Seamus-Coleman-Match-Logs" TargetMode="External"/><Relationship Id="rId2195" Type="http://schemas.openxmlformats.org/officeDocument/2006/relationships/hyperlink" Target="https://fbref.com/en/squads/19538871/Manchester-United-Stats" TargetMode="External"/><Relationship Id="rId395" Type="http://schemas.openxmlformats.org/officeDocument/2006/relationships/hyperlink" Target="https://fbref.com/en/squads/d3fd31cc/Everton-Stats" TargetMode="External"/><Relationship Id="rId2196" Type="http://schemas.openxmlformats.org/officeDocument/2006/relationships/hyperlink" Target="https://fbref.com/en/players/028e70b9/matchlogs/2025-2026/summary/Joshua-Zirkzee-Match-Logs" TargetMode="External"/><Relationship Id="rId394" Type="http://schemas.openxmlformats.org/officeDocument/2006/relationships/hyperlink" Target="https://fbref.com/en/country/IRL/Republic-of-Ireland-Football" TargetMode="External"/><Relationship Id="rId2197" Type="http://schemas.openxmlformats.org/officeDocument/2006/relationships/hyperlink" Target="https://fbref.com/en/players/3ee0dd59/Martin-Zubimendi" TargetMode="External"/><Relationship Id="rId393" Type="http://schemas.openxmlformats.org/officeDocument/2006/relationships/hyperlink" Target="https://fbref.com/en/players/0420d84f/Seamus-Coleman" TargetMode="External"/><Relationship Id="rId2198" Type="http://schemas.openxmlformats.org/officeDocument/2006/relationships/hyperlink" Target="https://fbref.com/en/country/ESP/Spain-Football" TargetMode="External"/><Relationship Id="rId2199" Type="http://schemas.openxmlformats.org/officeDocument/2006/relationships/hyperlink" Target="https://fbref.com/en/squads/18bb7c10/Arsenal-Stats" TargetMode="External"/><Relationship Id="rId399" Type="http://schemas.openxmlformats.org/officeDocument/2006/relationships/hyperlink" Target="https://fbref.com/en/squads/cd051869/Brentford-Stats" TargetMode="External"/><Relationship Id="rId398" Type="http://schemas.openxmlformats.org/officeDocument/2006/relationships/hyperlink" Target="https://fbref.com/en/country/IRL/Republic-of-Ireland-Football" TargetMode="External"/><Relationship Id="rId397" Type="http://schemas.openxmlformats.org/officeDocument/2006/relationships/hyperlink" Target="https://fbref.com/en/players/a8c19eb8/Nathan-Collins" TargetMode="External"/><Relationship Id="rId1730" Type="http://schemas.openxmlformats.org/officeDocument/2006/relationships/hyperlink" Target="https://fbref.com/en/country/GER/Germany-Football" TargetMode="External"/><Relationship Id="rId1731" Type="http://schemas.openxmlformats.org/officeDocument/2006/relationships/hyperlink" Target="https://fbref.com/en/squads/d3fd31cc/Everton-Stats" TargetMode="External"/><Relationship Id="rId1732" Type="http://schemas.openxmlformats.org/officeDocument/2006/relationships/hyperlink" Target="https://fbref.com/en/players/1f2c7b55/matchlogs/2025-2026/summary/Merlin-Rohl-Match-Logs" TargetMode="External"/><Relationship Id="rId1733" Type="http://schemas.openxmlformats.org/officeDocument/2006/relationships/hyperlink" Target="https://fbref.com/en/players/a3d94a58/Cristian-Romero" TargetMode="External"/><Relationship Id="rId1734" Type="http://schemas.openxmlformats.org/officeDocument/2006/relationships/hyperlink" Target="https://fbref.com/en/country/ARG/Argentina-Football" TargetMode="External"/><Relationship Id="rId1735" Type="http://schemas.openxmlformats.org/officeDocument/2006/relationships/hyperlink" Target="https://fbref.com/en/squads/361ca564/Tottenham-Hotspur-Stats" TargetMode="External"/><Relationship Id="rId1736" Type="http://schemas.openxmlformats.org/officeDocument/2006/relationships/hyperlink" Target="https://fbref.com/en/players/a3d94a58/matchlogs/2025-2026/summary/Cristian-Romero-Match-Logs" TargetMode="External"/><Relationship Id="rId1737" Type="http://schemas.openxmlformats.org/officeDocument/2006/relationships/hyperlink" Target="https://fbref.com/en/players/419147f7/James-Rowswell" TargetMode="External"/><Relationship Id="rId1738" Type="http://schemas.openxmlformats.org/officeDocument/2006/relationships/hyperlink" Target="https://fbref.com/en/country/ENG/England-Football" TargetMode="External"/><Relationship Id="rId1739" Type="http://schemas.openxmlformats.org/officeDocument/2006/relationships/hyperlink" Target="https://fbref.com/en/squads/361ca564/Tottenham-Hotspur-Stats" TargetMode="External"/><Relationship Id="rId1720" Type="http://schemas.openxmlformats.org/officeDocument/2006/relationships/hyperlink" Target="https://fbref.com/en/players/34e393f2/matchlogs/2025-2026/summary/Guido-Rodriguez-Match-Logs" TargetMode="External"/><Relationship Id="rId1721" Type="http://schemas.openxmlformats.org/officeDocument/2006/relationships/hyperlink" Target="https://fbref.com/en/players/349fa918/Robin-Roefs" TargetMode="External"/><Relationship Id="rId1722" Type="http://schemas.openxmlformats.org/officeDocument/2006/relationships/hyperlink" Target="https://fbref.com/en/country/NED/Netherlands-Football" TargetMode="External"/><Relationship Id="rId1723" Type="http://schemas.openxmlformats.org/officeDocument/2006/relationships/hyperlink" Target="https://fbref.com/en/squads/8ef52968/Sunderland-Stats" TargetMode="External"/><Relationship Id="rId1724" Type="http://schemas.openxmlformats.org/officeDocument/2006/relationships/hyperlink" Target="https://fbref.com/en/players/349fa918/matchlogs/2025-2026/summary/Robin-Roefs-Match-Logs" TargetMode="External"/><Relationship Id="rId1725" Type="http://schemas.openxmlformats.org/officeDocument/2006/relationships/hyperlink" Target="https://fbref.com/en/players/2e5915f1/Morgan-Rogers" TargetMode="External"/><Relationship Id="rId1726" Type="http://schemas.openxmlformats.org/officeDocument/2006/relationships/hyperlink" Target="https://fbref.com/en/country/ENG/England-Football" TargetMode="External"/><Relationship Id="rId1727" Type="http://schemas.openxmlformats.org/officeDocument/2006/relationships/hyperlink" Target="https://fbref.com/en/squads/8602292d/Aston-Villa-Stats" TargetMode="External"/><Relationship Id="rId1728" Type="http://schemas.openxmlformats.org/officeDocument/2006/relationships/hyperlink" Target="https://fbref.com/en/players/2e5915f1/matchlogs/2025-2026/summary/Morgan-Rogers-Match-Logs" TargetMode="External"/><Relationship Id="rId1729" Type="http://schemas.openxmlformats.org/officeDocument/2006/relationships/hyperlink" Target="https://fbref.com/en/players/1f2c7b55/Merlin-Rohl" TargetMode="External"/><Relationship Id="rId1752" Type="http://schemas.openxmlformats.org/officeDocument/2006/relationships/hyperlink" Target="https://fbref.com/en/players/645481cc/matchlogs/2025-2026/summary/Noah-Sadiki-Match-Logs" TargetMode="External"/><Relationship Id="rId1753" Type="http://schemas.openxmlformats.org/officeDocument/2006/relationships/hyperlink" Target="https://fbref.com/en/players/bc7dc64d/Bukayo-Saka" TargetMode="External"/><Relationship Id="rId1754" Type="http://schemas.openxmlformats.org/officeDocument/2006/relationships/hyperlink" Target="https://fbref.com/en/country/ENG/England-Football" TargetMode="External"/><Relationship Id="rId1755" Type="http://schemas.openxmlformats.org/officeDocument/2006/relationships/hyperlink" Target="https://fbref.com/en/squads/18bb7c10/Arsenal-Stats" TargetMode="External"/><Relationship Id="rId1756" Type="http://schemas.openxmlformats.org/officeDocument/2006/relationships/hyperlink" Target="https://fbref.com/en/players/bc7dc64d/matchlogs/2025-2026/summary/Bukayo-Saka-Match-Logs" TargetMode="External"/><Relationship Id="rId1757" Type="http://schemas.openxmlformats.org/officeDocument/2006/relationships/hyperlink" Target="https://fbref.com/en/players/e342ad68/Mohamed-Salah" TargetMode="External"/><Relationship Id="rId1758" Type="http://schemas.openxmlformats.org/officeDocument/2006/relationships/hyperlink" Target="https://fbref.com/en/country/EGY/Egypt-Football" TargetMode="External"/><Relationship Id="rId1759" Type="http://schemas.openxmlformats.org/officeDocument/2006/relationships/hyperlink" Target="https://fbref.com/en/squads/822bd0ba/Liverpool-Stats" TargetMode="External"/><Relationship Id="rId808" Type="http://schemas.openxmlformats.org/officeDocument/2006/relationships/hyperlink" Target="https://fbref.com/en/players/b73f17f8/matchlogs/2025-2026/summary/Evann-Guessand-Match-Logs" TargetMode="External"/><Relationship Id="rId807" Type="http://schemas.openxmlformats.org/officeDocument/2006/relationships/hyperlink" Target="https://fbref.com/en/squads/47c64c55/Crystal-Palace-Stats" TargetMode="External"/><Relationship Id="rId806" Type="http://schemas.openxmlformats.org/officeDocument/2006/relationships/hyperlink" Target="https://fbref.com/en/country/CIV/Cote-dIvoire-Football" TargetMode="External"/><Relationship Id="rId805" Type="http://schemas.openxmlformats.org/officeDocument/2006/relationships/hyperlink" Target="https://fbref.com/en/players/b73f17f8/Evann-Guessand" TargetMode="External"/><Relationship Id="rId809" Type="http://schemas.openxmlformats.org/officeDocument/2006/relationships/hyperlink" Target="https://fbref.com/en/players/b73f17f8/Evann-Guessand" TargetMode="External"/><Relationship Id="rId800" Type="http://schemas.openxmlformats.org/officeDocument/2006/relationships/hyperlink" Target="https://fbref.com/en/players/d0706b27/matchlogs/2025-2026/summary/Marc-Guehi-Match-Logs" TargetMode="External"/><Relationship Id="rId804" Type="http://schemas.openxmlformats.org/officeDocument/2006/relationships/hyperlink" Target="https://fbref.com/en/players/d0706b27/matchlogs/2025-2026/summary/Marc-Guehi-Match-Logs" TargetMode="External"/><Relationship Id="rId803" Type="http://schemas.openxmlformats.org/officeDocument/2006/relationships/hyperlink" Target="https://fbref.com/en/squads/b8fd03ef/Manchester-City-Stats" TargetMode="External"/><Relationship Id="rId802" Type="http://schemas.openxmlformats.org/officeDocument/2006/relationships/hyperlink" Target="https://fbref.com/en/country/ENG/England-Football" TargetMode="External"/><Relationship Id="rId801" Type="http://schemas.openxmlformats.org/officeDocument/2006/relationships/hyperlink" Target="https://fbref.com/en/players/d0706b27/Marc-Guehi" TargetMode="External"/><Relationship Id="rId1750" Type="http://schemas.openxmlformats.org/officeDocument/2006/relationships/hyperlink" Target="https://fbref.com/en/country/COD/Congo-DR-Football" TargetMode="External"/><Relationship Id="rId1751" Type="http://schemas.openxmlformats.org/officeDocument/2006/relationships/hyperlink" Target="https://fbref.com/en/squads/8ef52968/Sunderland-Stats" TargetMode="External"/><Relationship Id="rId1741" Type="http://schemas.openxmlformats.org/officeDocument/2006/relationships/hyperlink" Target="https://fbref.com/en/players/c64c01fc/Georginio-Rutter" TargetMode="External"/><Relationship Id="rId1742" Type="http://schemas.openxmlformats.org/officeDocument/2006/relationships/hyperlink" Target="https://fbref.com/en/country/FRA/France-Football" TargetMode="External"/><Relationship Id="rId1743" Type="http://schemas.openxmlformats.org/officeDocument/2006/relationships/hyperlink" Target="https://fbref.com/en/squads/d07537b9/Brighton-and-Hove-Albion-Stats" TargetMode="External"/><Relationship Id="rId1744" Type="http://schemas.openxmlformats.org/officeDocument/2006/relationships/hyperlink" Target="https://fbref.com/en/players/c64c01fc/matchlogs/2025-2026/summary/Georginio-Rutter-Match-Logs" TargetMode="External"/><Relationship Id="rId1745" Type="http://schemas.openxmlformats.org/officeDocument/2006/relationships/hyperlink" Target="https://fbref.com/en/players/903b6e8b/Jose-Sa" TargetMode="External"/><Relationship Id="rId1746" Type="http://schemas.openxmlformats.org/officeDocument/2006/relationships/hyperlink" Target="https://fbref.com/en/country/POR/Portugal-Football" TargetMode="External"/><Relationship Id="rId1747" Type="http://schemas.openxmlformats.org/officeDocument/2006/relationships/hyperlink" Target="https://fbref.com/en/squads/8cec06e1/Wolverhampton-Wanderers-Stats" TargetMode="External"/><Relationship Id="rId1748" Type="http://schemas.openxmlformats.org/officeDocument/2006/relationships/hyperlink" Target="https://fbref.com/en/players/903b6e8b/matchlogs/2025-2026/summary/Jose-Sa-Match-Logs" TargetMode="External"/><Relationship Id="rId1749" Type="http://schemas.openxmlformats.org/officeDocument/2006/relationships/hyperlink" Target="https://fbref.com/en/players/645481cc/Noah-Sadiki" TargetMode="External"/><Relationship Id="rId1740" Type="http://schemas.openxmlformats.org/officeDocument/2006/relationships/hyperlink" Target="https://fbref.com/en/players/419147f7/matchlogs/2025-2026/summary/James-Rowswell-Match-Logs" TargetMode="External"/><Relationship Id="rId1710" Type="http://schemas.openxmlformats.org/officeDocument/2006/relationships/hyperlink" Target="https://fbref.com/en/country/WAL/Wales-Football" TargetMode="External"/><Relationship Id="rId1711" Type="http://schemas.openxmlformats.org/officeDocument/2006/relationships/hyperlink" Target="https://fbref.com/en/squads/5bfb9659/Leeds-United-Stats" TargetMode="External"/><Relationship Id="rId1712" Type="http://schemas.openxmlformats.org/officeDocument/2006/relationships/hyperlink" Target="https://fbref.com/en/players/8d62d31a/matchlogs/2025-2026/summary/Joe-Rodon-Match-Logs" TargetMode="External"/><Relationship Id="rId1713" Type="http://schemas.openxmlformats.org/officeDocument/2006/relationships/hyperlink" Target="https://fbref.com/en/players/6434f10d/Rodri" TargetMode="External"/><Relationship Id="rId1714" Type="http://schemas.openxmlformats.org/officeDocument/2006/relationships/hyperlink" Target="https://fbref.com/en/country/ESP/Spain-Football" TargetMode="External"/><Relationship Id="rId1715" Type="http://schemas.openxmlformats.org/officeDocument/2006/relationships/hyperlink" Target="https://fbref.com/en/squads/b8fd03ef/Manchester-City-Stats" TargetMode="External"/><Relationship Id="rId1716" Type="http://schemas.openxmlformats.org/officeDocument/2006/relationships/hyperlink" Target="https://fbref.com/en/players/6434f10d/matchlogs/2025-2026/summary/Rodri-Match-Logs" TargetMode="External"/><Relationship Id="rId1717" Type="http://schemas.openxmlformats.org/officeDocument/2006/relationships/hyperlink" Target="https://fbref.com/en/players/34e393f2/Guido-Rodriguez" TargetMode="External"/><Relationship Id="rId1718" Type="http://schemas.openxmlformats.org/officeDocument/2006/relationships/hyperlink" Target="https://fbref.com/en/country/ARG/Argentina-Football" TargetMode="External"/><Relationship Id="rId1719" Type="http://schemas.openxmlformats.org/officeDocument/2006/relationships/hyperlink" Target="https://fbref.com/en/squads/7c21e445/West-Ham-United-Stats" TargetMode="External"/><Relationship Id="rId1700" Type="http://schemas.openxmlformats.org/officeDocument/2006/relationships/hyperlink" Target="https://fbref.com/en/players/2e4f5f03/matchlogs/2025-2026/summary/Andrew-Robertson-Match-Logs" TargetMode="External"/><Relationship Id="rId1701" Type="http://schemas.openxmlformats.org/officeDocument/2006/relationships/hyperlink" Target="https://fbref.com/en/players/289601e6/Antonee-Robinson" TargetMode="External"/><Relationship Id="rId1702" Type="http://schemas.openxmlformats.org/officeDocument/2006/relationships/hyperlink" Target="https://fbref.com/en/country/USA/United-States-Football" TargetMode="External"/><Relationship Id="rId1703" Type="http://schemas.openxmlformats.org/officeDocument/2006/relationships/hyperlink" Target="https://fbref.com/en/squads/fd962109/Fulham-Stats" TargetMode="External"/><Relationship Id="rId1704" Type="http://schemas.openxmlformats.org/officeDocument/2006/relationships/hyperlink" Target="https://fbref.com/en/players/289601e6/matchlogs/2025-2026/summary/Antonee-Robinson-Match-Logs" TargetMode="External"/><Relationship Id="rId1705" Type="http://schemas.openxmlformats.org/officeDocument/2006/relationships/hyperlink" Target="https://fbref.com/en/players/49375cdd/Kaden-Rodney" TargetMode="External"/><Relationship Id="rId1706" Type="http://schemas.openxmlformats.org/officeDocument/2006/relationships/hyperlink" Target="https://fbref.com/en/country/ENG/England-Football" TargetMode="External"/><Relationship Id="rId1707" Type="http://schemas.openxmlformats.org/officeDocument/2006/relationships/hyperlink" Target="https://fbref.com/en/squads/47c64c55/Crystal-Palace-Stats" TargetMode="External"/><Relationship Id="rId1708" Type="http://schemas.openxmlformats.org/officeDocument/2006/relationships/hyperlink" Target="https://fbref.com/en/players/49375cdd/matchlogs/2025-2026/summary/Kaden-Rodney-Match-Logs" TargetMode="External"/><Relationship Id="rId1709" Type="http://schemas.openxmlformats.org/officeDocument/2006/relationships/hyperlink" Target="https://fbref.com/en/players/8d62d31a/Joe-Rodon" TargetMode="External"/><Relationship Id="rId40" Type="http://schemas.openxmlformats.org/officeDocument/2006/relationships/hyperlink" Target="https://fbref.com/en/players/75f1ed80/matchlogs/2025-2026/summary/Emmanuel-Agbadou-Match-Logs" TargetMode="External"/><Relationship Id="rId1334" Type="http://schemas.openxmlformats.org/officeDocument/2006/relationships/hyperlink" Target="https://fbref.com/en/country/SEN/Senegal-Football" TargetMode="External"/><Relationship Id="rId1335" Type="http://schemas.openxmlformats.org/officeDocument/2006/relationships/hyperlink" Target="https://fbref.com/en/squads/361ca564/Tottenham-Hotspur-Stats" TargetMode="External"/><Relationship Id="rId42" Type="http://schemas.openxmlformats.org/officeDocument/2006/relationships/hyperlink" Target="https://fbref.com/en/country/MAR/Morocco-Football" TargetMode="External"/><Relationship Id="rId1336" Type="http://schemas.openxmlformats.org/officeDocument/2006/relationships/hyperlink" Target="https://fbref.com/en/players/feb5d972/matchlogs/2025-2026/summary/Pape-Matar-Sarr-Match-Logs" TargetMode="External"/><Relationship Id="rId41" Type="http://schemas.openxmlformats.org/officeDocument/2006/relationships/hyperlink" Target="https://fbref.com/en/players/288e1e13/Nayef-Aguerd" TargetMode="External"/><Relationship Id="rId1337" Type="http://schemas.openxmlformats.org/officeDocument/2006/relationships/hyperlink" Target="https://fbref.com/en/players/50e6dc35/Jean-Philippe-Mateta" TargetMode="External"/><Relationship Id="rId44" Type="http://schemas.openxmlformats.org/officeDocument/2006/relationships/hyperlink" Target="https://fbref.com/en/players/288e1e13/matchlogs/2025-2026/summary/Nayef-Aguerd-Match-Logs" TargetMode="External"/><Relationship Id="rId1338" Type="http://schemas.openxmlformats.org/officeDocument/2006/relationships/hyperlink" Target="https://fbref.com/en/country/FRA/France-Football" TargetMode="External"/><Relationship Id="rId43" Type="http://schemas.openxmlformats.org/officeDocument/2006/relationships/hyperlink" Target="https://fbref.com/en/squads/7c21e445/West-Ham-United-Stats" TargetMode="External"/><Relationship Id="rId1339" Type="http://schemas.openxmlformats.org/officeDocument/2006/relationships/hyperlink" Target="https://fbref.com/en/squads/47c64c55/Crystal-Palace-Stats" TargetMode="External"/><Relationship Id="rId46" Type="http://schemas.openxmlformats.org/officeDocument/2006/relationships/hyperlink" Target="https://fbref.com/en/country/NGA/Nigeria-Football" TargetMode="External"/><Relationship Id="rId45" Type="http://schemas.openxmlformats.org/officeDocument/2006/relationships/hyperlink" Target="https://fbref.com/en/players/246d153b/Ola-Aina" TargetMode="External"/><Relationship Id="rId745" Type="http://schemas.openxmlformats.org/officeDocument/2006/relationships/hyperlink" Target="https://fbref.com/en/players/8dcf77c0/Rodrigo-Gomes" TargetMode="External"/><Relationship Id="rId744" Type="http://schemas.openxmlformats.org/officeDocument/2006/relationships/hyperlink" Target="https://fbref.com/en/players/8b57ad2c/matchlogs/2025-2026/summary/Joao-Gomes-Match-Logs" TargetMode="External"/><Relationship Id="rId743" Type="http://schemas.openxmlformats.org/officeDocument/2006/relationships/hyperlink" Target="https://fbref.com/en/squads/8cec06e1/Wolverhampton-Wanderers-Stats" TargetMode="External"/><Relationship Id="rId742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players/f0caab96/Toti-Gomes" TargetMode="External"/><Relationship Id="rId748" Type="http://schemas.openxmlformats.org/officeDocument/2006/relationships/hyperlink" Target="https://fbref.com/en/players/8dcf77c0/matchlogs/2025-2026/summary/Rodrigo-Gomes-Match-Logs" TargetMode="External"/><Relationship Id="rId747" Type="http://schemas.openxmlformats.org/officeDocument/2006/relationships/hyperlink" Target="https://fbref.com/en/squads/8cec06e1/Wolverhampton-Wanderers-Stats" TargetMode="External"/><Relationship Id="rId746" Type="http://schemas.openxmlformats.org/officeDocument/2006/relationships/hyperlink" Target="https://fbref.com/en/country/POR/Portugal-Football" TargetMode="External"/><Relationship Id="rId48" Type="http://schemas.openxmlformats.org/officeDocument/2006/relationships/hyperlink" Target="https://fbref.com/en/players/246d153b/matchlogs/2025-2026/summary/Ola-Aina-Match-Logs" TargetMode="External"/><Relationship Id="rId47" Type="http://schemas.openxmlformats.org/officeDocument/2006/relationships/hyperlink" Target="https://fbref.com/en/squads/e4a775cb/Nottingham-Forest-Stats" TargetMode="External"/><Relationship Id="rId49" Type="http://schemas.openxmlformats.org/officeDocument/2006/relationships/hyperlink" Target="https://fbref.com/en/players/9b398aea/Rayan-Ait-Nouri" TargetMode="External"/><Relationship Id="rId741" Type="http://schemas.openxmlformats.org/officeDocument/2006/relationships/hyperlink" Target="https://fbref.com/en/players/8b57ad2c/Joao-Gomes" TargetMode="External"/><Relationship Id="rId1330" Type="http://schemas.openxmlformats.org/officeDocument/2006/relationships/hyperlink" Target="https://fbref.com/en/country/COD/Congo-DR-Football" TargetMode="External"/><Relationship Id="rId740" Type="http://schemas.openxmlformats.org/officeDocument/2006/relationships/hyperlink" Target="https://fbref.com/en/players/645a3363/matchlogs/2025-2026/summary/Angel-Gomes-Match-Logs" TargetMode="External"/><Relationship Id="rId1331" Type="http://schemas.openxmlformats.org/officeDocument/2006/relationships/hyperlink" Target="https://fbref.com/en/squads/8ef52968/Sunderland-Stats" TargetMode="External"/><Relationship Id="rId1332" Type="http://schemas.openxmlformats.org/officeDocument/2006/relationships/hyperlink" Target="https://fbref.com/en/players/57df7a11/matchlogs/2025-2026/summary/Arthur-Masuaku-Match-Logs" TargetMode="External"/><Relationship Id="rId1333" Type="http://schemas.openxmlformats.org/officeDocument/2006/relationships/hyperlink" Target="https://fbref.com/en/players/feb5d972/Pape-Matar-Sarr" TargetMode="External"/><Relationship Id="rId1323" Type="http://schemas.openxmlformats.org/officeDocument/2006/relationships/hyperlink" Target="https://fbref.com/en/squads/8602292d/Aston-Villa-Stats" TargetMode="External"/><Relationship Id="rId1324" Type="http://schemas.openxmlformats.org/officeDocument/2006/relationships/hyperlink" Target="https://fbref.com/en/players/7956236f/matchlogs/2025-2026/summary/Emiliano-Martinez-Match-Logs" TargetMode="External"/><Relationship Id="rId31" Type="http://schemas.openxmlformats.org/officeDocument/2006/relationships/hyperlink" Target="https://fbref.com/en/squads/8ef52968/Sunderland-Stats" TargetMode="External"/><Relationship Id="rId1325" Type="http://schemas.openxmlformats.org/officeDocument/2006/relationships/hyperlink" Target="https://fbref.com/en/players/bac46a10/Lisandro-Martinez" TargetMode="External"/><Relationship Id="rId30" Type="http://schemas.openxmlformats.org/officeDocument/2006/relationships/hyperlink" Target="https://fbref.com/en/country/CIV/Cote-dIvoire-Football" TargetMode="External"/><Relationship Id="rId1326" Type="http://schemas.openxmlformats.org/officeDocument/2006/relationships/hyperlink" Target="https://fbref.com/en/country/ARG/Argentina-Football" TargetMode="External"/><Relationship Id="rId33" Type="http://schemas.openxmlformats.org/officeDocument/2006/relationships/hyperlink" Target="https://fbref.com/en/players/dcfb17f4/Amine-Adli" TargetMode="External"/><Relationship Id="rId1327" Type="http://schemas.openxmlformats.org/officeDocument/2006/relationships/hyperlink" Target="https://fbref.com/en/squads/19538871/Manchester-United-Stats" TargetMode="External"/><Relationship Id="rId32" Type="http://schemas.openxmlformats.org/officeDocument/2006/relationships/hyperlink" Target="https://fbref.com/en/players/4dcec659/matchlogs/2025-2026/summary/Simon-Adingra-Match-Logs" TargetMode="External"/><Relationship Id="rId1328" Type="http://schemas.openxmlformats.org/officeDocument/2006/relationships/hyperlink" Target="https://fbref.com/en/players/bac46a10/matchlogs/2025-2026/summary/Lisandro-Martinez-Match-Logs" TargetMode="External"/><Relationship Id="rId35" Type="http://schemas.openxmlformats.org/officeDocument/2006/relationships/hyperlink" Target="https://fbref.com/en/squads/4ba7cbea/Bournemouth-Stats" TargetMode="External"/><Relationship Id="rId1329" Type="http://schemas.openxmlformats.org/officeDocument/2006/relationships/hyperlink" Target="https://fbref.com/en/players/57df7a11/Arthur-Masuaku" TargetMode="External"/><Relationship Id="rId34" Type="http://schemas.openxmlformats.org/officeDocument/2006/relationships/hyperlink" Target="https://fbref.com/en/country/MAR/Morocco-Football" TargetMode="External"/><Relationship Id="rId739" Type="http://schemas.openxmlformats.org/officeDocument/2006/relationships/hyperlink" Target="https://fbref.com/en/squads/8cec06e1/Wolverhampton-Wanderers-Stats" TargetMode="External"/><Relationship Id="rId734" Type="http://schemas.openxmlformats.org/officeDocument/2006/relationships/hyperlink" Target="https://fbref.com/en/country/ITA/Italy-Football" TargetMode="External"/><Relationship Id="rId733" Type="http://schemas.openxmlformats.org/officeDocument/2006/relationships/hyperlink" Target="https://fbref.com/en/players/75fdd638/Wilfried-Gnonto" TargetMode="External"/><Relationship Id="rId732" Type="http://schemas.openxmlformats.org/officeDocument/2006/relationships/hyperlink" Target="https://fbref.com/en/players/10745192/matchlogs/2025-2026/summary/Jamie-Gittens-Match-Logs" TargetMode="External"/><Relationship Id="rId731" Type="http://schemas.openxmlformats.org/officeDocument/2006/relationships/hyperlink" Target="https://fbref.com/en/squads/cff3d9bb/Chelsea-Stats" TargetMode="External"/><Relationship Id="rId738" Type="http://schemas.openxmlformats.org/officeDocument/2006/relationships/hyperlink" Target="https://fbref.com/en/country/ENG/England-Football" TargetMode="External"/><Relationship Id="rId737" Type="http://schemas.openxmlformats.org/officeDocument/2006/relationships/hyperlink" Target="https://fbref.com/en/players/645a3363/Angel-Gomes" TargetMode="External"/><Relationship Id="rId736" Type="http://schemas.openxmlformats.org/officeDocument/2006/relationships/hyperlink" Target="https://fbref.com/en/players/75fdd638/matchlogs/2025-2026/summary/Wilfried-Gnonto-Match-Logs" TargetMode="External"/><Relationship Id="rId735" Type="http://schemas.openxmlformats.org/officeDocument/2006/relationships/hyperlink" Target="https://fbref.com/en/squads/5bfb9659/Leeds-United-Stats" TargetMode="External"/><Relationship Id="rId37" Type="http://schemas.openxmlformats.org/officeDocument/2006/relationships/hyperlink" Target="https://fbref.com/en/players/75f1ed80/Emmanuel-Agbadou" TargetMode="External"/><Relationship Id="rId36" Type="http://schemas.openxmlformats.org/officeDocument/2006/relationships/hyperlink" Target="https://fbref.com/en/players/dcfb17f4/matchlogs/2025-2026/summary/Amine-Adli-Match-Logs" TargetMode="External"/><Relationship Id="rId39" Type="http://schemas.openxmlformats.org/officeDocument/2006/relationships/hyperlink" Target="https://fbref.com/en/squads/8cec06e1/Wolverhampton-Wanderers-Stats" TargetMode="External"/><Relationship Id="rId38" Type="http://schemas.openxmlformats.org/officeDocument/2006/relationships/hyperlink" Target="https://fbref.com/en/country/CIV/Cote-dIvoire-Football" TargetMode="External"/><Relationship Id="rId730" Type="http://schemas.openxmlformats.org/officeDocument/2006/relationships/hyperlink" Target="https://fbref.com/en/country/ENG/England-Football" TargetMode="External"/><Relationship Id="rId1320" Type="http://schemas.openxmlformats.org/officeDocument/2006/relationships/hyperlink" Target="https://fbref.com/en/players/48a5a5d6/matchlogs/2025-2026/summary/Gabriel-Martinelli-Match-Logs" TargetMode="External"/><Relationship Id="rId1321" Type="http://schemas.openxmlformats.org/officeDocument/2006/relationships/hyperlink" Target="https://fbref.com/en/players/7956236f/Emiliano-Martinez" TargetMode="External"/><Relationship Id="rId1322" Type="http://schemas.openxmlformats.org/officeDocument/2006/relationships/hyperlink" Target="https://fbref.com/en/country/ARG/Argentina-Football" TargetMode="External"/><Relationship Id="rId1356" Type="http://schemas.openxmlformats.org/officeDocument/2006/relationships/hyperlink" Target="https://fbref.com/en/players/b74277a0/matchlogs/2025-2026/summary/Noussair-Mazraoui-Match-Logs" TargetMode="External"/><Relationship Id="rId2203" Type="http://schemas.openxmlformats.org/officeDocument/2006/relationships/hyperlink" Target="https://fbref.com/en/squads/18bb7c10/Arsenal-Stats" TargetMode="External"/><Relationship Id="rId1357" Type="http://schemas.openxmlformats.org/officeDocument/2006/relationships/hyperlink" Target="https://fbref.com/en/players/6afaebf2/Bryan-Mbeumo" TargetMode="External"/><Relationship Id="rId2204" Type="http://schemas.openxmlformats.org/officeDocument/2006/relationships/hyperlink" Target="https://fbref.com/en/players/79300479/matchlogs/2025-2026/summary/Martin-Odegaard-Match-Logs" TargetMode="External"/><Relationship Id="rId20" Type="http://schemas.openxmlformats.org/officeDocument/2006/relationships/hyperlink" Target="https://fbref.com/en/players/b7e62e1d/matchlogs/2025-2026/summary/Joshua-Acheampong-Match-Logs" TargetMode="External"/><Relationship Id="rId1358" Type="http://schemas.openxmlformats.org/officeDocument/2006/relationships/hyperlink" Target="https://fbref.com/en/country/CMR/Cameroon-Football" TargetMode="External"/><Relationship Id="rId2205" Type="http://schemas.openxmlformats.org/officeDocument/2006/relationships/drawing" Target="../drawings/drawing3.xml"/><Relationship Id="rId1359" Type="http://schemas.openxmlformats.org/officeDocument/2006/relationships/hyperlink" Target="https://fbref.com/en/squads/19538871/Manchester-United-Stats" TargetMode="External"/><Relationship Id="rId22" Type="http://schemas.openxmlformats.org/officeDocument/2006/relationships/hyperlink" Target="https://fbref.com/en/country/USA/United-States-Football" TargetMode="External"/><Relationship Id="rId21" Type="http://schemas.openxmlformats.org/officeDocument/2006/relationships/hyperlink" Target="https://fbref.com/en/players/2b09d998/Tyler-Adams" TargetMode="External"/><Relationship Id="rId24" Type="http://schemas.openxmlformats.org/officeDocument/2006/relationships/hyperlink" Target="https://fbref.com/en/players/2b09d998/matchlogs/2025-2026/summary/Tyler-Adams-Match-Logs" TargetMode="External"/><Relationship Id="rId23" Type="http://schemas.openxmlformats.org/officeDocument/2006/relationships/hyperlink" Target="https://fbref.com/en/squads/4ba7cbea/Bournemouth-Stats" TargetMode="External"/><Relationship Id="rId767" Type="http://schemas.openxmlformats.org/officeDocument/2006/relationships/hyperlink" Target="https://fbref.com/en/squads/b2b47a98/Newcastle-United-Stats" TargetMode="External"/><Relationship Id="rId766" Type="http://schemas.openxmlformats.org/officeDocument/2006/relationships/hyperlink" Target="https://fbref.com/en/country/ENG/England-Football" TargetMode="External"/><Relationship Id="rId765" Type="http://schemas.openxmlformats.org/officeDocument/2006/relationships/hyperlink" Target="https://fbref.com/en/players/2bd83368/Anthony-Gordon" TargetMode="External"/><Relationship Id="rId764" Type="http://schemas.openxmlformats.org/officeDocument/2006/relationships/hyperlink" Target="https://fbref.com/en/players/2c56a792/matchlogs/2025-2026/summary/Nicolas-Gonzalez-Match-Logs" TargetMode="External"/><Relationship Id="rId769" Type="http://schemas.openxmlformats.org/officeDocument/2006/relationships/hyperlink" Target="https://fbref.com/en/players/b8e740fb/Ryan-Gravenberch" TargetMode="External"/><Relationship Id="rId768" Type="http://schemas.openxmlformats.org/officeDocument/2006/relationships/hyperlink" Target="https://fbref.com/en/players/2bd83368/matchlogs/2025-2026/summary/Anthony-Gordon-Match-Logs" TargetMode="External"/><Relationship Id="rId26" Type="http://schemas.openxmlformats.org/officeDocument/2006/relationships/hyperlink" Target="https://fbref.com/en/country/ENG/England-Football" TargetMode="External"/><Relationship Id="rId25" Type="http://schemas.openxmlformats.org/officeDocument/2006/relationships/hyperlink" Target="https://fbref.com/en/players/c81d773d/Tosin-Adarabioyo" TargetMode="External"/><Relationship Id="rId28" Type="http://schemas.openxmlformats.org/officeDocument/2006/relationships/hyperlink" Target="https://fbref.com/en/players/c81d773d/matchlogs/2025-2026/summary/Tosin-Adarabioyo-Match-Logs" TargetMode="External"/><Relationship Id="rId1350" Type="http://schemas.openxmlformats.org/officeDocument/2006/relationships/hyperlink" Target="https://fbref.com/en/country/BRB/Barbados-Football" TargetMode="External"/><Relationship Id="rId27" Type="http://schemas.openxmlformats.org/officeDocument/2006/relationships/hyperlink" Target="https://fbref.com/en/squads/cff3d9bb/Chelsea-Stats" TargetMode="External"/><Relationship Id="rId1351" Type="http://schemas.openxmlformats.org/officeDocument/2006/relationships/hyperlink" Target="https://fbref.com/en/squads/7c21e445/West-Ham-United-Stats" TargetMode="External"/><Relationship Id="rId763" Type="http://schemas.openxmlformats.org/officeDocument/2006/relationships/hyperlink" Target="https://fbref.com/en/squads/b8fd03ef/Manchester-City-Stats" TargetMode="External"/><Relationship Id="rId1352" Type="http://schemas.openxmlformats.org/officeDocument/2006/relationships/hyperlink" Target="https://fbref.com/en/players/9a85a651/matchlogs/2025-2026/summary/Ezra-Mayers-Match-Logs" TargetMode="External"/><Relationship Id="rId29" Type="http://schemas.openxmlformats.org/officeDocument/2006/relationships/hyperlink" Target="https://fbref.com/en/players/4dcec659/Simon-Adingra" TargetMode="External"/><Relationship Id="rId762" Type="http://schemas.openxmlformats.org/officeDocument/2006/relationships/hyperlink" Target="https://fbref.com/en/country/ESP/Spain-Football" TargetMode="External"/><Relationship Id="rId1353" Type="http://schemas.openxmlformats.org/officeDocument/2006/relationships/hyperlink" Target="https://fbref.com/en/players/b74277a0/Noussair-Mazraoui" TargetMode="External"/><Relationship Id="rId2200" Type="http://schemas.openxmlformats.org/officeDocument/2006/relationships/hyperlink" Target="https://fbref.com/en/players/3ee0dd59/matchlogs/2025-2026/summary/Martin-Zubimendi-Match-Logs" TargetMode="External"/><Relationship Id="rId761" Type="http://schemas.openxmlformats.org/officeDocument/2006/relationships/hyperlink" Target="https://fbref.com/en/players/2c56a792/Nicolas-Gonzalez" TargetMode="External"/><Relationship Id="rId1354" Type="http://schemas.openxmlformats.org/officeDocument/2006/relationships/hyperlink" Target="https://fbref.com/en/country/MAR/Morocco-Football" TargetMode="External"/><Relationship Id="rId2201" Type="http://schemas.openxmlformats.org/officeDocument/2006/relationships/hyperlink" Target="https://fbref.com/en/players/79300479/Martin-Odegaard" TargetMode="External"/><Relationship Id="rId760" Type="http://schemas.openxmlformats.org/officeDocument/2006/relationships/hyperlink" Target="https://fbref.com/en/players/7a11550b/matchlogs/2025-2026/summary/Joe-Gomez-Match-Logs" TargetMode="External"/><Relationship Id="rId1355" Type="http://schemas.openxmlformats.org/officeDocument/2006/relationships/hyperlink" Target="https://fbref.com/en/squads/19538871/Manchester-United-Stats" TargetMode="External"/><Relationship Id="rId2202" Type="http://schemas.openxmlformats.org/officeDocument/2006/relationships/hyperlink" Target="https://fbref.com/en/country/NOR/Norway-Football" TargetMode="External"/><Relationship Id="rId1345" Type="http://schemas.openxmlformats.org/officeDocument/2006/relationships/hyperlink" Target="https://fbref.com/en/players/6a021e43/Eliezer-Mayenda" TargetMode="External"/><Relationship Id="rId1346" Type="http://schemas.openxmlformats.org/officeDocument/2006/relationships/hyperlink" Target="https://fbref.com/en/country/ESP/Spain-Football" TargetMode="External"/><Relationship Id="rId1347" Type="http://schemas.openxmlformats.org/officeDocument/2006/relationships/hyperlink" Target="https://fbref.com/en/squads/8ef52968/Sunderland-Stats" TargetMode="External"/><Relationship Id="rId1348" Type="http://schemas.openxmlformats.org/officeDocument/2006/relationships/hyperlink" Target="https://fbref.com/en/players/6a021e43/matchlogs/2025-2026/summary/Eliezer-Mayenda-Match-Logs" TargetMode="External"/><Relationship Id="rId11" Type="http://schemas.openxmlformats.org/officeDocument/2006/relationships/hyperlink" Target="https://fbref.com/en/squads/e4a775cb/Nottingham-Forest-Stats" TargetMode="External"/><Relationship Id="rId1349" Type="http://schemas.openxmlformats.org/officeDocument/2006/relationships/hyperlink" Target="https://fbref.com/en/players/9a85a651/Ezra-Mayers" TargetMode="External"/><Relationship Id="rId10" Type="http://schemas.openxmlformats.org/officeDocument/2006/relationships/hyperlink" Target="https://fbref.com/en/country/ENG/England-Football" TargetMode="External"/><Relationship Id="rId13" Type="http://schemas.openxmlformats.org/officeDocument/2006/relationships/hyperlink" Target="https://fbref.com/en/players/f586779e/Tammy-Abraham" TargetMode="External"/><Relationship Id="rId12" Type="http://schemas.openxmlformats.org/officeDocument/2006/relationships/hyperlink" Target="https://fbref.com/en/players/c103921a/matchlogs/2025-2026/summary/Zach-Abbott-Match-Logs" TargetMode="External"/><Relationship Id="rId756" Type="http://schemas.openxmlformats.org/officeDocument/2006/relationships/hyperlink" Target="https://fbref.com/en/players/916728da/matchlogs/2025-2026/summary/Diego-Gomez-Match-Logs" TargetMode="External"/><Relationship Id="rId755" Type="http://schemas.openxmlformats.org/officeDocument/2006/relationships/hyperlink" Target="https://fbref.com/en/squads/d07537b9/Brighton-and-Hove-Albion-Stats" TargetMode="External"/><Relationship Id="rId754" Type="http://schemas.openxmlformats.org/officeDocument/2006/relationships/hyperlink" Target="https://fbref.com/en/country/PAR/Paraguay-Football" TargetMode="External"/><Relationship Id="rId753" Type="http://schemas.openxmlformats.org/officeDocument/2006/relationships/hyperlink" Target="https://fbref.com/en/players/916728da/Diego-Gomez" TargetMode="External"/><Relationship Id="rId759" Type="http://schemas.openxmlformats.org/officeDocument/2006/relationships/hyperlink" Target="https://fbref.com/en/squads/822bd0ba/Liverpool-Stats" TargetMode="External"/><Relationship Id="rId758" Type="http://schemas.openxmlformats.org/officeDocument/2006/relationships/hyperlink" Target="https://fbref.com/en/country/ENG/England-Football" TargetMode="External"/><Relationship Id="rId757" Type="http://schemas.openxmlformats.org/officeDocument/2006/relationships/hyperlink" Target="https://fbref.com/en/players/7a11550b/Joe-Gomez" TargetMode="External"/><Relationship Id="rId15" Type="http://schemas.openxmlformats.org/officeDocument/2006/relationships/hyperlink" Target="https://fbref.com/en/squads/8602292d/Aston-Villa-Stats" TargetMode="External"/><Relationship Id="rId14" Type="http://schemas.openxmlformats.org/officeDocument/2006/relationships/hyperlink" Target="https://fbref.com/en/country/ENG/England-Football" TargetMode="External"/><Relationship Id="rId17" Type="http://schemas.openxmlformats.org/officeDocument/2006/relationships/hyperlink" Target="https://fbref.com/en/players/b7e62e1d/Joshua-Acheampong" TargetMode="External"/><Relationship Id="rId16" Type="http://schemas.openxmlformats.org/officeDocument/2006/relationships/hyperlink" Target="https://fbref.com/en/players/f586779e/matchlogs/2025-2026/summary/Tammy-Abraham-Match-Logs" TargetMode="External"/><Relationship Id="rId1340" Type="http://schemas.openxmlformats.org/officeDocument/2006/relationships/hyperlink" Target="https://fbref.com/en/players/50e6dc35/matchlogs/2025-2026/summary/Jean-Philippe-Mateta-Match-Logs" TargetMode="External"/><Relationship Id="rId19" Type="http://schemas.openxmlformats.org/officeDocument/2006/relationships/hyperlink" Target="https://fbref.com/en/squads/cff3d9bb/Chelsea-Stats" TargetMode="External"/><Relationship Id="rId752" Type="http://schemas.openxmlformats.org/officeDocument/2006/relationships/hyperlink" Target="https://fbref.com/en/players/f0caab96/matchlogs/2025-2026/summary/Toti-Gomes-Match-Logs" TargetMode="External"/><Relationship Id="rId1341" Type="http://schemas.openxmlformats.org/officeDocument/2006/relationships/hyperlink" Target="https://fbref.com/en/players/00963611/Konstantinos-Mavropanos" TargetMode="External"/><Relationship Id="rId18" Type="http://schemas.openxmlformats.org/officeDocument/2006/relationships/hyperlink" Target="https://fbref.com/en/country/ENG/England-Football" TargetMode="External"/><Relationship Id="rId751" Type="http://schemas.openxmlformats.org/officeDocument/2006/relationships/hyperlink" Target="https://fbref.com/en/squads/8cec06e1/Wolverhampton-Wanderers-Stats" TargetMode="External"/><Relationship Id="rId1342" Type="http://schemas.openxmlformats.org/officeDocument/2006/relationships/hyperlink" Target="https://fbref.com/en/country/GRE/Greece-Football" TargetMode="External"/><Relationship Id="rId750" Type="http://schemas.openxmlformats.org/officeDocument/2006/relationships/hyperlink" Target="https://fbref.com/en/country/POR/Portugal-Football" TargetMode="External"/><Relationship Id="rId1343" Type="http://schemas.openxmlformats.org/officeDocument/2006/relationships/hyperlink" Target="https://fbref.com/en/squads/7c21e445/West-Ham-United-Stats" TargetMode="External"/><Relationship Id="rId1344" Type="http://schemas.openxmlformats.org/officeDocument/2006/relationships/hyperlink" Target="https://fbref.com/en/players/00963611/matchlogs/2025-2026/summary/Konstantinos-Mavropanos-Match-Logs" TargetMode="External"/><Relationship Id="rId84" Type="http://schemas.openxmlformats.org/officeDocument/2006/relationships/hyperlink" Target="https://fbref.com/en/players/2ee5b0c9/matchlogs/2025-2026/summary/Zeki-Amdouni-Match-Logs" TargetMode="External"/><Relationship Id="rId1774" Type="http://schemas.openxmlformats.org/officeDocument/2006/relationships/hyperlink" Target="https://fbref.com/en/country/CIV/Cote-dIvoire-Football" TargetMode="External"/><Relationship Id="rId83" Type="http://schemas.openxmlformats.org/officeDocument/2006/relationships/hyperlink" Target="https://fbref.com/en/squads/943e8050/Burnley-Stats" TargetMode="External"/><Relationship Id="rId1775" Type="http://schemas.openxmlformats.org/officeDocument/2006/relationships/hyperlink" Target="https://fbref.com/en/squads/e4a775cb/Nottingham-Forest-Stats" TargetMode="External"/><Relationship Id="rId86" Type="http://schemas.openxmlformats.org/officeDocument/2006/relationships/hyperlink" Target="https://fbref.com/en/country/WAL/Wales-Football" TargetMode="External"/><Relationship Id="rId1776" Type="http://schemas.openxmlformats.org/officeDocument/2006/relationships/hyperlink" Target="https://fbref.com/en/players/bced0375/matchlogs/2025-2026/summary/Ibrahim-Sangare-Match-Logs" TargetMode="External"/><Relationship Id="rId85" Type="http://schemas.openxmlformats.org/officeDocument/2006/relationships/hyperlink" Target="https://fbref.com/en/players/10b9fa99/Ethan-Ampadu" TargetMode="External"/><Relationship Id="rId1777" Type="http://schemas.openxmlformats.org/officeDocument/2006/relationships/hyperlink" Target="https://fbref.com/en/players/dd745366/Andrey-Santos" TargetMode="External"/><Relationship Id="rId88" Type="http://schemas.openxmlformats.org/officeDocument/2006/relationships/hyperlink" Target="https://fbref.com/en/players/10b9fa99/matchlogs/2025-2026/summary/Ethan-Ampadu-Match-Logs" TargetMode="External"/><Relationship Id="rId1778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5bfb9659/Leeds-United-Stats" TargetMode="External"/><Relationship Id="rId1779" Type="http://schemas.openxmlformats.org/officeDocument/2006/relationships/hyperlink" Target="https://fbref.com/en/squads/cff3d9bb/Chelsea-Stats" TargetMode="External"/><Relationship Id="rId89" Type="http://schemas.openxmlformats.org/officeDocument/2006/relationships/hyperlink" Target="https://fbref.com/en/players/e34fc66d/Joachim-Andersen" TargetMode="External"/><Relationship Id="rId709" Type="http://schemas.openxmlformats.org/officeDocument/2006/relationships/hyperlink" Target="https://fbref.com/en/players/4e015693/James-Garner" TargetMode="External"/><Relationship Id="rId708" Type="http://schemas.openxmlformats.org/officeDocument/2006/relationships/hyperlink" Target="https://fbref.com/en/players/7aa8adfe/matchlogs/2025-2026/summary/Alejandro-Garnacho-Match-Logs" TargetMode="External"/><Relationship Id="rId707" Type="http://schemas.openxmlformats.org/officeDocument/2006/relationships/hyperlink" Target="https://fbref.com/en/squads/cff3d9bb/Chelsea-Stats" TargetMode="External"/><Relationship Id="rId706" Type="http://schemas.openxmlformats.org/officeDocument/2006/relationships/hyperlink" Target="https://fbref.com/en/country/ARG/Argentina-Football" TargetMode="External"/><Relationship Id="rId80" Type="http://schemas.openxmlformats.org/officeDocument/2006/relationships/hyperlink" Target="https://fbref.com/en/players/98e0d76c/matchlogs/2025-2026/summary/Jaydon-Amauri-Banel-Match-Logs" TargetMode="External"/><Relationship Id="rId82" Type="http://schemas.openxmlformats.org/officeDocument/2006/relationships/hyperlink" Target="https://fbref.com/en/country/SUI/Switzerland-Football" TargetMode="External"/><Relationship Id="rId81" Type="http://schemas.openxmlformats.org/officeDocument/2006/relationships/hyperlink" Target="https://fbref.com/en/players/2ee5b0c9/Zeki-Amdouni" TargetMode="External"/><Relationship Id="rId701" Type="http://schemas.openxmlformats.org/officeDocument/2006/relationships/hyperlink" Target="https://fbref.com/en/players/40498af1/Andres-Garcia" TargetMode="External"/><Relationship Id="rId700" Type="http://schemas.openxmlformats.org/officeDocument/2006/relationships/hyperlink" Target="https://fbref.com/en/players/733f1a7d/matchlogs/2025-2026/summary/Ben-Gannon-Doak-Match-Logs" TargetMode="External"/><Relationship Id="rId705" Type="http://schemas.openxmlformats.org/officeDocument/2006/relationships/hyperlink" Target="https://fbref.com/en/players/7aa8adfe/Alejandro-Garnacho" TargetMode="External"/><Relationship Id="rId704" Type="http://schemas.openxmlformats.org/officeDocument/2006/relationships/hyperlink" Target="https://fbref.com/en/players/40498af1/matchlogs/2025-2026/summary/Andres-Garcia-Match-Logs" TargetMode="External"/><Relationship Id="rId703" Type="http://schemas.openxmlformats.org/officeDocument/2006/relationships/hyperlink" Target="https://fbref.com/en/squads/8602292d/Aston-Villa-Stats" TargetMode="External"/><Relationship Id="rId702" Type="http://schemas.openxmlformats.org/officeDocument/2006/relationships/hyperlink" Target="https://fbref.com/en/country/ESP/Spain-Football" TargetMode="External"/><Relationship Id="rId1770" Type="http://schemas.openxmlformats.org/officeDocument/2006/relationships/hyperlink" Target="https://fbref.com/en/country/ENG/England-Football" TargetMode="External"/><Relationship Id="rId1771" Type="http://schemas.openxmlformats.org/officeDocument/2006/relationships/hyperlink" Target="https://fbref.com/en/squads/8602292d/Aston-Villa-Stats" TargetMode="External"/><Relationship Id="rId1772" Type="http://schemas.openxmlformats.org/officeDocument/2006/relationships/hyperlink" Target="https://fbref.com/en/players/dbf053da/matchlogs/2025-2026/summary/Jadon-Sancho-Match-Logs" TargetMode="External"/><Relationship Id="rId1773" Type="http://schemas.openxmlformats.org/officeDocument/2006/relationships/hyperlink" Target="https://fbref.com/en/players/bced0375/Ibrahim-Sangare" TargetMode="External"/><Relationship Id="rId73" Type="http://schemas.openxmlformats.org/officeDocument/2006/relationships/hyperlink" Target="https://fbref.com/en/players/defcfd32/Max-Alleyne" TargetMode="External"/><Relationship Id="rId1763" Type="http://schemas.openxmlformats.org/officeDocument/2006/relationships/hyperlink" Target="https://fbref.com/en/squads/18bb7c10/Arsenal-Stats" TargetMode="External"/><Relationship Id="rId72" Type="http://schemas.openxmlformats.org/officeDocument/2006/relationships/hyperlink" Target="https://fbref.com/en/players/7a2e46a8/matchlogs/2025-2026/summary/Alisson-Match-Logs" TargetMode="External"/><Relationship Id="rId1764" Type="http://schemas.openxmlformats.org/officeDocument/2006/relationships/hyperlink" Target="https://fbref.com/en/players/972aeb2a/matchlogs/2025-2026/summary/William-Saliba-Match-Logs" TargetMode="External"/><Relationship Id="rId75" Type="http://schemas.openxmlformats.org/officeDocument/2006/relationships/hyperlink" Target="https://fbref.com/en/squads/b8fd03ef/Manchester-City-Stats" TargetMode="External"/><Relationship Id="rId1765" Type="http://schemas.openxmlformats.org/officeDocument/2006/relationships/hyperlink" Target="https://fbref.com/en/players/6a713852/Robert-Sanchez" TargetMode="External"/><Relationship Id="rId74" Type="http://schemas.openxmlformats.org/officeDocument/2006/relationships/hyperlink" Target="https://fbref.com/en/country/ENG/England-Football" TargetMode="External"/><Relationship Id="rId1766" Type="http://schemas.openxmlformats.org/officeDocument/2006/relationships/hyperlink" Target="https://fbref.com/en/country/ESP/Spain-Football" TargetMode="External"/><Relationship Id="rId77" Type="http://schemas.openxmlformats.org/officeDocument/2006/relationships/hyperlink" Target="https://fbref.com/en/players/98e0d76c/Jaydon-Amauri-Banel" TargetMode="External"/><Relationship Id="rId1767" Type="http://schemas.openxmlformats.org/officeDocument/2006/relationships/hyperlink" Target="https://fbref.com/en/squads/cff3d9bb/Chelsea-Stats" TargetMode="External"/><Relationship Id="rId76" Type="http://schemas.openxmlformats.org/officeDocument/2006/relationships/hyperlink" Target="https://fbref.com/en/players/defcfd32/matchlogs/2025-2026/summary/Max-Alleyne-Match-Logs" TargetMode="External"/><Relationship Id="rId1768" Type="http://schemas.openxmlformats.org/officeDocument/2006/relationships/hyperlink" Target="https://fbref.com/en/players/6a713852/matchlogs/2025-2026/summary/Robert-Sanchez-Match-Logs" TargetMode="External"/><Relationship Id="rId79" Type="http://schemas.openxmlformats.org/officeDocument/2006/relationships/hyperlink" Target="https://fbref.com/en/squads/943e8050/Burnley-Stats" TargetMode="External"/><Relationship Id="rId1769" Type="http://schemas.openxmlformats.org/officeDocument/2006/relationships/hyperlink" Target="https://fbref.com/en/players/dbf053da/Jadon-Sancho" TargetMode="External"/><Relationship Id="rId78" Type="http://schemas.openxmlformats.org/officeDocument/2006/relationships/hyperlink" Target="https://fbref.com/en/country/NED/Netherlands-Football" TargetMode="External"/><Relationship Id="rId71" Type="http://schemas.openxmlformats.org/officeDocument/2006/relationships/hyperlink" Target="https://fbref.com/en/squads/822bd0ba/Liverpool-Stats" TargetMode="External"/><Relationship Id="rId70" Type="http://schemas.openxmlformats.org/officeDocument/2006/relationships/hyperlink" Target="https://fbref.com/en/country/BRA/Brazil-Football" TargetMode="External"/><Relationship Id="rId1760" Type="http://schemas.openxmlformats.org/officeDocument/2006/relationships/hyperlink" Target="https://fbref.com/en/players/e342ad68/matchlogs/2025-2026/summary/Mohamed-Salah-Match-Logs" TargetMode="External"/><Relationship Id="rId1761" Type="http://schemas.openxmlformats.org/officeDocument/2006/relationships/hyperlink" Target="https://fbref.com/en/players/972aeb2a/William-Saliba" TargetMode="External"/><Relationship Id="rId1762" Type="http://schemas.openxmlformats.org/officeDocument/2006/relationships/hyperlink" Target="https://fbref.com/en/country/FRA/France-Football" TargetMode="External"/><Relationship Id="rId62" Type="http://schemas.openxmlformats.org/officeDocument/2006/relationships/hyperlink" Target="https://fbref.com/en/country/ARG/Argentina-Football" TargetMode="External"/><Relationship Id="rId1312" Type="http://schemas.openxmlformats.org/officeDocument/2006/relationships/hyperlink" Target="https://fbref.com/en/players/0e0102eb/matchlogs/2025-2026/summary/Omar-Marmoush-Match-Logs" TargetMode="External"/><Relationship Id="rId1796" Type="http://schemas.openxmlformats.org/officeDocument/2006/relationships/hyperlink" Target="https://fbref.com/en/players/e041497d/matchlogs/2025-2026/summary/Nicolo-Savona-Match-Logs" TargetMode="External"/><Relationship Id="rId61" Type="http://schemas.openxmlformats.org/officeDocument/2006/relationships/hyperlink" Target="https://fbref.com/en/players/4abac767/Carlos-Alcaraz" TargetMode="External"/><Relationship Id="rId1313" Type="http://schemas.openxmlformats.org/officeDocument/2006/relationships/hyperlink" Target="https://fbref.com/en/players/3a27f1bf/Callum-Marshall" TargetMode="External"/><Relationship Id="rId1797" Type="http://schemas.openxmlformats.org/officeDocument/2006/relationships/hyperlink" Target="https://fbref.com/en/players/242e5e6d/Oliver-Scarles" TargetMode="External"/><Relationship Id="rId64" Type="http://schemas.openxmlformats.org/officeDocument/2006/relationships/hyperlink" Target="https://fbref.com/en/players/4abac767/matchlogs/2025-2026/summary/Carlos-Alcaraz-Match-Logs" TargetMode="External"/><Relationship Id="rId1314" Type="http://schemas.openxmlformats.org/officeDocument/2006/relationships/hyperlink" Target="https://fbref.com/en/country/NIR/Northern-Ireland-Football" TargetMode="External"/><Relationship Id="rId1798" Type="http://schemas.openxmlformats.org/officeDocument/2006/relationships/hyperlink" Target="https://fbref.com/en/country/ENG/England-Football" TargetMode="External"/><Relationship Id="rId63" Type="http://schemas.openxmlformats.org/officeDocument/2006/relationships/hyperlink" Target="https://fbref.com/en/squads/d3fd31cc/Everton-Stats" TargetMode="External"/><Relationship Id="rId1315" Type="http://schemas.openxmlformats.org/officeDocument/2006/relationships/hyperlink" Target="https://fbref.com/en/squads/7c21e445/West-Ham-United-Stats" TargetMode="External"/><Relationship Id="rId1799" Type="http://schemas.openxmlformats.org/officeDocument/2006/relationships/hyperlink" Target="https://fbref.com/en/squads/7c21e445/West-Ham-United-Stats" TargetMode="External"/><Relationship Id="rId66" Type="http://schemas.openxmlformats.org/officeDocument/2006/relationships/hyperlink" Target="https://fbref.com/en/country/PAR/Paraguay-Football" TargetMode="External"/><Relationship Id="rId1316" Type="http://schemas.openxmlformats.org/officeDocument/2006/relationships/hyperlink" Target="https://fbref.com/en/players/3a27f1bf/matchlogs/2025-2026/summary/Callum-Marshall-Match-Logs" TargetMode="External"/><Relationship Id="rId65" Type="http://schemas.openxmlformats.org/officeDocument/2006/relationships/hyperlink" Target="https://fbref.com/en/players/bb08bce9/Omar-Alderete" TargetMode="External"/><Relationship Id="rId1317" Type="http://schemas.openxmlformats.org/officeDocument/2006/relationships/hyperlink" Target="https://fbref.com/en/players/48a5a5d6/Gabriel-Martinelli" TargetMode="External"/><Relationship Id="rId68" Type="http://schemas.openxmlformats.org/officeDocument/2006/relationships/hyperlink" Target="https://fbref.com/en/players/bb08bce9/matchlogs/2025-2026/summary/Omar-Alderete-Match-Logs" TargetMode="External"/><Relationship Id="rId1318" Type="http://schemas.openxmlformats.org/officeDocument/2006/relationships/hyperlink" Target="https://fbref.com/en/country/BRA/Brazil-Football" TargetMode="External"/><Relationship Id="rId67" Type="http://schemas.openxmlformats.org/officeDocument/2006/relationships/hyperlink" Target="https://fbref.com/en/squads/8ef52968/Sunderland-Stats" TargetMode="External"/><Relationship Id="rId1319" Type="http://schemas.openxmlformats.org/officeDocument/2006/relationships/hyperlink" Target="https://fbref.com/en/squads/18bb7c10/Arsenal-Stats" TargetMode="External"/><Relationship Id="rId729" Type="http://schemas.openxmlformats.org/officeDocument/2006/relationships/hyperlink" Target="https://fbref.com/en/players/10745192/Jamie-Gittens" TargetMode="External"/><Relationship Id="rId728" Type="http://schemas.openxmlformats.org/officeDocument/2006/relationships/hyperlink" Target="https://fbref.com/en/players/32f60ed8/matchlogs/2025-2026/summary/Morgan-Gibbs-White-Match-Logs" TargetMode="External"/><Relationship Id="rId60" Type="http://schemas.openxmlformats.org/officeDocument/2006/relationships/hyperlink" Target="https://fbref.com/en/players/eaeca114/matchlogs/2025-2026/summary/Nathan-Ake-Match-Logs" TargetMode="External"/><Relationship Id="rId723" Type="http://schemas.openxmlformats.org/officeDocument/2006/relationships/hyperlink" Target="https://fbref.com/en/squads/d3fd31cc/Everton-Stats" TargetMode="External"/><Relationship Id="rId722" Type="http://schemas.openxmlformats.org/officeDocument/2006/relationships/hyperlink" Target="https://fbref.com/en/country/ENG/England-Football" TargetMode="External"/><Relationship Id="rId721" Type="http://schemas.openxmlformats.org/officeDocument/2006/relationships/hyperlink" Target="https://fbref.com/en/players/e6f7797e/Tyrique-George" TargetMode="External"/><Relationship Id="rId720" Type="http://schemas.openxmlformats.org/officeDocument/2006/relationships/hyperlink" Target="https://fbref.com/en/players/e6f7797e/matchlogs/2025-2026/summary/Tyrique-George-Match-Logs" TargetMode="External"/><Relationship Id="rId727" Type="http://schemas.openxmlformats.org/officeDocument/2006/relationships/hyperlink" Target="https://fbref.com/en/squads/e4a775cb/Nottingham-Forest-Stats" TargetMode="External"/><Relationship Id="rId726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players/32f60ed8/Morgan-Gibbs-White" TargetMode="External"/><Relationship Id="rId724" Type="http://schemas.openxmlformats.org/officeDocument/2006/relationships/hyperlink" Target="https://fbref.com/en/players/e6f7797e/matchlogs/2025-2026/summary/Tyrique-George-Match-Logs" TargetMode="External"/><Relationship Id="rId69" Type="http://schemas.openxmlformats.org/officeDocument/2006/relationships/hyperlink" Target="https://fbref.com/en/players/7a2e46a8/Alisson" TargetMode="External"/><Relationship Id="rId1790" Type="http://schemas.openxmlformats.org/officeDocument/2006/relationships/hyperlink" Target="https://fbref.com/en/country/BRA/Brazil-Football" TargetMode="External"/><Relationship Id="rId1791" Type="http://schemas.openxmlformats.org/officeDocument/2006/relationships/hyperlink" Target="https://fbref.com/en/squads/b8fd03ef/Manchester-City-Stats" TargetMode="External"/><Relationship Id="rId1792" Type="http://schemas.openxmlformats.org/officeDocument/2006/relationships/hyperlink" Target="https://fbref.com/en/players/fe6e7156/matchlogs/2025-2026/summary/Savio-Match-Logs" TargetMode="External"/><Relationship Id="rId1793" Type="http://schemas.openxmlformats.org/officeDocument/2006/relationships/hyperlink" Target="https://fbref.com/en/players/e041497d/Nicolo-Savona" TargetMode="External"/><Relationship Id="rId1310" Type="http://schemas.openxmlformats.org/officeDocument/2006/relationships/hyperlink" Target="https://fbref.com/en/country/EGY/Egypt-Football" TargetMode="External"/><Relationship Id="rId1794" Type="http://schemas.openxmlformats.org/officeDocument/2006/relationships/hyperlink" Target="https://fbref.com/en/country/ITA/Italy-Football" TargetMode="External"/><Relationship Id="rId1311" Type="http://schemas.openxmlformats.org/officeDocument/2006/relationships/hyperlink" Target="https://fbref.com/en/squads/b8fd03ef/Manchester-City-Stats" TargetMode="External"/><Relationship Id="rId1795" Type="http://schemas.openxmlformats.org/officeDocument/2006/relationships/hyperlink" Target="https://fbref.com/en/squads/e4a775cb/Nottingham-Forest-Stats" TargetMode="External"/><Relationship Id="rId51" Type="http://schemas.openxmlformats.org/officeDocument/2006/relationships/hyperlink" Target="https://fbref.com/en/squads/b8fd03ef/Manchester-City-Stats" TargetMode="External"/><Relationship Id="rId1301" Type="http://schemas.openxmlformats.org/officeDocument/2006/relationships/hyperlink" Target="https://fbref.com/en/players/e8a55b80/Bendito-Mantato" TargetMode="External"/><Relationship Id="rId1785" Type="http://schemas.openxmlformats.org/officeDocument/2006/relationships/hyperlink" Target="https://fbref.com/en/players/61f80c89/Mamadou-Sarr" TargetMode="External"/><Relationship Id="rId50" Type="http://schemas.openxmlformats.org/officeDocument/2006/relationships/hyperlink" Target="https://fbref.com/en/country/ALG/Algeria-Football" TargetMode="External"/><Relationship Id="rId1302" Type="http://schemas.openxmlformats.org/officeDocument/2006/relationships/hyperlink" Target="https://fbref.com/en/country/ENG/England-Football" TargetMode="External"/><Relationship Id="rId1786" Type="http://schemas.openxmlformats.org/officeDocument/2006/relationships/hyperlink" Target="https://fbref.com/en/country/SEN/Senegal-Football" TargetMode="External"/><Relationship Id="rId53" Type="http://schemas.openxmlformats.org/officeDocument/2006/relationships/hyperlink" Target="https://fbref.com/en/players/a8c0acb7/Kristoffer-Ajer" TargetMode="External"/><Relationship Id="rId1303" Type="http://schemas.openxmlformats.org/officeDocument/2006/relationships/hyperlink" Target="https://fbref.com/en/squads/19538871/Manchester-United-Stats" TargetMode="External"/><Relationship Id="rId1787" Type="http://schemas.openxmlformats.org/officeDocument/2006/relationships/hyperlink" Target="https://fbref.com/en/squads/cff3d9bb/Chelsea-Stats" TargetMode="External"/><Relationship Id="rId52" Type="http://schemas.openxmlformats.org/officeDocument/2006/relationships/hyperlink" Target="https://fbref.com/en/players/9b398aea/matchlogs/2025-2026/summary/Rayan-Ait-Nouri-Match-Logs" TargetMode="External"/><Relationship Id="rId1304" Type="http://schemas.openxmlformats.org/officeDocument/2006/relationships/hyperlink" Target="https://fbref.com/en/players/e8a55b80/matchlogs/2025-2026/summary/Bendito-Mantato-Match-Logs" TargetMode="External"/><Relationship Id="rId1788" Type="http://schemas.openxmlformats.org/officeDocument/2006/relationships/hyperlink" Target="https://fbref.com/en/players/61f80c89/matchlogs/2025-2026/summary/Mamadou-Sarr-Match-Logs" TargetMode="External"/><Relationship Id="rId55" Type="http://schemas.openxmlformats.org/officeDocument/2006/relationships/hyperlink" Target="https://fbref.com/en/squads/cd051869/Brentford-Stats" TargetMode="External"/><Relationship Id="rId1305" Type="http://schemas.openxmlformats.org/officeDocument/2006/relationships/hyperlink" Target="https://fbref.com/en/players/bb5fbd2b/Solly-March" TargetMode="External"/><Relationship Id="rId1789" Type="http://schemas.openxmlformats.org/officeDocument/2006/relationships/hyperlink" Target="https://fbref.com/en/players/fe6e7156/Savio" TargetMode="External"/><Relationship Id="rId54" Type="http://schemas.openxmlformats.org/officeDocument/2006/relationships/hyperlink" Target="https://fbref.com/en/country/NOR/Norway-Football" TargetMode="External"/><Relationship Id="rId1306" Type="http://schemas.openxmlformats.org/officeDocument/2006/relationships/hyperlink" Target="https://fbref.com/en/country/ENG/England-Football" TargetMode="External"/><Relationship Id="rId57" Type="http://schemas.openxmlformats.org/officeDocument/2006/relationships/hyperlink" Target="https://fbref.com/en/players/eaeca114/Nathan-Ake" TargetMode="External"/><Relationship Id="rId1307" Type="http://schemas.openxmlformats.org/officeDocument/2006/relationships/hyperlink" Target="https://fbref.com/en/squads/d07537b9/Brighton-and-Hove-Albion-Stats" TargetMode="External"/><Relationship Id="rId56" Type="http://schemas.openxmlformats.org/officeDocument/2006/relationships/hyperlink" Target="https://fbref.com/en/players/a8c0acb7/matchlogs/2025-2026/summary/Kristoffer-Ajer-Match-Logs" TargetMode="External"/><Relationship Id="rId1308" Type="http://schemas.openxmlformats.org/officeDocument/2006/relationships/hyperlink" Target="https://fbref.com/en/players/bb5fbd2b/matchlogs/2025-2026/summary/Solly-March-Match-Logs" TargetMode="External"/><Relationship Id="rId1309" Type="http://schemas.openxmlformats.org/officeDocument/2006/relationships/hyperlink" Target="https://fbref.com/en/players/0e0102eb/Omar-Marmoush" TargetMode="External"/><Relationship Id="rId719" Type="http://schemas.openxmlformats.org/officeDocument/2006/relationships/hyperlink" Target="https://fbref.com/en/squads/cff3d9bb/Chelsea-Stats" TargetMode="External"/><Relationship Id="rId718" Type="http://schemas.openxmlformats.org/officeDocument/2006/relationships/hyperlink" Target="https://fbref.com/en/country/ENG/England-Football" TargetMode="External"/><Relationship Id="rId717" Type="http://schemas.openxmlformats.org/officeDocument/2006/relationships/hyperlink" Target="https://fbref.com/en/players/e6f7797e/Tyrique-George" TargetMode="External"/><Relationship Id="rId712" Type="http://schemas.openxmlformats.org/officeDocument/2006/relationships/hyperlink" Target="https://fbref.com/en/players/4e015693/matchlogs/2025-2026/summary/James-Garner-Match-Logs" TargetMode="External"/><Relationship Id="rId711" Type="http://schemas.openxmlformats.org/officeDocument/2006/relationships/hyperlink" Target="https://fbref.com/en/squads/d3fd31cc/Everton-Stats" TargetMode="External"/><Relationship Id="rId710" Type="http://schemas.openxmlformats.org/officeDocument/2006/relationships/hyperlink" Target="https://fbref.com/en/country/ENG/England-Football" TargetMode="External"/><Relationship Id="rId716" Type="http://schemas.openxmlformats.org/officeDocument/2006/relationships/hyperlink" Target="https://fbref.com/en/players/242e1043/matchlogs/2025-2026/summary/Lutsharel-Geertruida-Match-Logs" TargetMode="External"/><Relationship Id="rId715" Type="http://schemas.openxmlformats.org/officeDocument/2006/relationships/hyperlink" Target="https://fbref.com/en/squads/8ef52968/Sunderland-Stats" TargetMode="External"/><Relationship Id="rId714" Type="http://schemas.openxmlformats.org/officeDocument/2006/relationships/hyperlink" Target="https://fbref.com/en/country/NED/Netherlands-Football" TargetMode="External"/><Relationship Id="rId713" Type="http://schemas.openxmlformats.org/officeDocument/2006/relationships/hyperlink" Target="https://fbref.com/en/players/242e1043/Lutsharel-Geertruida" TargetMode="External"/><Relationship Id="rId59" Type="http://schemas.openxmlformats.org/officeDocument/2006/relationships/hyperlink" Target="https://fbref.com/en/squads/b8fd03ef/Manchester-City-Stats" TargetMode="External"/><Relationship Id="rId58" Type="http://schemas.openxmlformats.org/officeDocument/2006/relationships/hyperlink" Target="https://fbref.com/en/country/NED/Netherlands-Football" TargetMode="External"/><Relationship Id="rId1780" Type="http://schemas.openxmlformats.org/officeDocument/2006/relationships/hyperlink" Target="https://fbref.com/en/players/dd745366/matchlogs/2025-2026/summary/Andrey-Santos-Match-Logs" TargetMode="External"/><Relationship Id="rId1781" Type="http://schemas.openxmlformats.org/officeDocument/2006/relationships/hyperlink" Target="https://fbref.com/en/players/bfdb33aa/Ismaila-Sarr" TargetMode="External"/><Relationship Id="rId1782" Type="http://schemas.openxmlformats.org/officeDocument/2006/relationships/hyperlink" Target="https://fbref.com/en/country/SEN/Senegal-Football" TargetMode="External"/><Relationship Id="rId1783" Type="http://schemas.openxmlformats.org/officeDocument/2006/relationships/hyperlink" Target="https://fbref.com/en/squads/47c64c55/Crystal-Palace-Stats" TargetMode="External"/><Relationship Id="rId1300" Type="http://schemas.openxmlformats.org/officeDocument/2006/relationships/hyperlink" Target="https://fbref.com/en/players/c15cb409/matchlogs/2025-2026/summary/Mateus-Mane-Match-Logs" TargetMode="External"/><Relationship Id="rId1784" Type="http://schemas.openxmlformats.org/officeDocument/2006/relationships/hyperlink" Target="https://fbref.com/en/players/bfdb33aa/matchlogs/2025-2026/summary/Ismaila-Sarr-Match-Logs" TargetMode="External"/><Relationship Id="rId349" Type="http://schemas.openxmlformats.org/officeDocument/2006/relationships/hyperlink" Target="https://fbref.com/en/players/2389cdc2/Matty-Cash" TargetMode="External"/><Relationship Id="rId348" Type="http://schemas.openxmlformats.org/officeDocument/2006/relationships/hyperlink" Target="https://fbref.com/en/players/4d224fe8/matchlogs/2025-2026/summary/Casemiro-Match-Logs" TargetMode="External"/><Relationship Id="rId347" Type="http://schemas.openxmlformats.org/officeDocument/2006/relationships/hyperlink" Target="https://fbref.com/en/squads/19538871/Manchester-United-Stats" TargetMode="External"/><Relationship Id="rId346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966e28d0/Fabio-Carvalho" TargetMode="External"/><Relationship Id="rId340" Type="http://schemas.openxmlformats.org/officeDocument/2006/relationships/hyperlink" Target="https://fbref.com/en/players/702812fe/matchlogs/2025-2026/summary/Rio-Cardines-Match-Logs" TargetMode="External"/><Relationship Id="rId345" Type="http://schemas.openxmlformats.org/officeDocument/2006/relationships/hyperlink" Target="https://fbref.com/en/players/4d224fe8/Casemiro" TargetMode="External"/><Relationship Id="rId344" Type="http://schemas.openxmlformats.org/officeDocument/2006/relationships/hyperlink" Target="https://fbref.com/en/players/966e28d0/matchlogs/2025-2026/summary/Fabio-Carvalho-Match-Logs" TargetMode="External"/><Relationship Id="rId343" Type="http://schemas.openxmlformats.org/officeDocument/2006/relationships/hyperlink" Target="https://fbref.com/en/squads/cd051869/Brentford-Stats" TargetMode="External"/><Relationship Id="rId342" Type="http://schemas.openxmlformats.org/officeDocument/2006/relationships/hyperlink" Target="https://fbref.com/en/country/POR/Portugal-Football" TargetMode="External"/><Relationship Id="rId338" Type="http://schemas.openxmlformats.org/officeDocument/2006/relationships/hyperlink" Target="https://fbref.com/en/country/TRI/Trinidad-and-Tobago-Football" TargetMode="External"/><Relationship Id="rId337" Type="http://schemas.openxmlformats.org/officeDocument/2006/relationships/hyperlink" Target="https://fbref.com/en/players/702812fe/Rio-Cardines" TargetMode="External"/><Relationship Id="rId336" Type="http://schemas.openxmlformats.org/officeDocument/2006/relationships/hyperlink" Target="https://fbref.com/en/players/3684108d/matchlogs/2025-2026/summary/Jaydee-Canvot-Match-Logs" TargetMode="External"/><Relationship Id="rId335" Type="http://schemas.openxmlformats.org/officeDocument/2006/relationships/hyperlink" Target="https://fbref.com/en/squads/47c64c55/Crystal-Palace-Stats" TargetMode="External"/><Relationship Id="rId339" Type="http://schemas.openxmlformats.org/officeDocument/2006/relationships/hyperlink" Target="https://fbref.com/en/squads/47c64c55/Crystal-Palace-Stats" TargetMode="External"/><Relationship Id="rId330" Type="http://schemas.openxmlformats.org/officeDocument/2006/relationships/hyperlink" Target="https://fbref.com/en/country/ENG/England-Football" TargetMode="External"/><Relationship Id="rId334" Type="http://schemas.openxmlformats.org/officeDocument/2006/relationships/hyperlink" Target="https://fbref.com/en/country/FRA/France-Football" TargetMode="External"/><Relationship Id="rId333" Type="http://schemas.openxmlformats.org/officeDocument/2006/relationships/hyperlink" Target="https://fbref.com/en/players/3684108d/Jaydee-Canvot" TargetMode="External"/><Relationship Id="rId332" Type="http://schemas.openxmlformats.org/officeDocument/2006/relationships/hyperlink" Target="https://fbref.com/en/players/59e6e5bf/matchlogs/2025-2026/summary/Dominic-Calvert-Lewin-Match-Logs" TargetMode="External"/><Relationship Id="rId331" Type="http://schemas.openxmlformats.org/officeDocument/2006/relationships/hyperlink" Target="https://fbref.com/en/squads/5bfb9659/Leeds-United-Stats" TargetMode="External"/><Relationship Id="rId370" Type="http://schemas.openxmlformats.org/officeDocument/2006/relationships/hyperlink" Target="https://fbref.com/en/country/ITA/Italy-Football" TargetMode="External"/><Relationship Id="rId369" Type="http://schemas.openxmlformats.org/officeDocument/2006/relationships/hyperlink" Target="https://fbref.com/en/players/b0f7e36c/Federico-Chiesa" TargetMode="External"/><Relationship Id="rId368" Type="http://schemas.openxmlformats.org/officeDocument/2006/relationships/hyperlink" Target="https://fbref.com/en/players/b34c63a5/matchlogs/2025-2026/summary/Rayan-Cherki-Match-Logs" TargetMode="External"/><Relationship Id="rId363" Type="http://schemas.openxmlformats.org/officeDocument/2006/relationships/hyperlink" Target="https://fbref.com/en/squads/cff3d9bb/Chelsea-Stats" TargetMode="External"/><Relationship Id="rId362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5515376c/Trevoh-Chalobah" TargetMode="External"/><Relationship Id="rId360" Type="http://schemas.openxmlformats.org/officeDocument/2006/relationships/hyperlink" Target="https://fbref.com/en/players/da76bab4/matchlogs/2025-2026/summary/Valentin-Castellanos-Match-Logs" TargetMode="External"/><Relationship Id="rId367" Type="http://schemas.openxmlformats.org/officeDocument/2006/relationships/hyperlink" Target="https://fbref.com/en/squads/b8fd03ef/Manchester-City-Stats" TargetMode="External"/><Relationship Id="rId366" Type="http://schemas.openxmlformats.org/officeDocument/2006/relationships/hyperlink" Target="https://fbref.com/en/country/FRA/France-Football" TargetMode="External"/><Relationship Id="rId365" Type="http://schemas.openxmlformats.org/officeDocument/2006/relationships/hyperlink" Target="https://fbref.com/en/players/b34c63a5/Rayan-Cherki" TargetMode="External"/><Relationship Id="rId364" Type="http://schemas.openxmlformats.org/officeDocument/2006/relationships/hyperlink" Target="https://fbref.com/en/players/5515376c/matchlogs/2025-2026/summary/Trevoh-Chalobah-Match-Logs" TargetMode="External"/><Relationship Id="rId95" Type="http://schemas.openxmlformats.org/officeDocument/2006/relationships/hyperlink" Target="https://fbref.com/en/squads/e4a775cb/Nottingham-Forest-Stats" TargetMode="External"/><Relationship Id="rId94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ec604e2c/Andre" TargetMode="External"/><Relationship Id="rId96" Type="http://schemas.openxmlformats.org/officeDocument/2006/relationships/hyperlink" Target="https://fbref.com/en/players/de31038e/matchlogs/2025-2026/summary/Elliot-Anderson-Match-Logs" TargetMode="External"/><Relationship Id="rId99" Type="http://schemas.openxmlformats.org/officeDocument/2006/relationships/hyperlink" Target="https://fbref.com/en/squads/8cec06e1/Wolverhampton-Wanderers-Stats" TargetMode="External"/><Relationship Id="rId98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fd962109/Fulham-Stats" TargetMode="External"/><Relationship Id="rId90" Type="http://schemas.openxmlformats.org/officeDocument/2006/relationships/hyperlink" Target="https://fbref.com/en/country/DEN/Denmark-Football" TargetMode="External"/><Relationship Id="rId93" Type="http://schemas.openxmlformats.org/officeDocument/2006/relationships/hyperlink" Target="https://fbref.com/en/players/de31038e/Elliot-Anderson" TargetMode="External"/><Relationship Id="rId92" Type="http://schemas.openxmlformats.org/officeDocument/2006/relationships/hyperlink" Target="https://fbref.com/en/players/e34fc66d/matchlogs/2025-2026/summary/Joachim-Andersen-Match-Logs" TargetMode="External"/><Relationship Id="rId359" Type="http://schemas.openxmlformats.org/officeDocument/2006/relationships/hyperlink" Target="https://fbref.com/en/squads/7c21e445/West-Ham-United-Stats" TargetMode="External"/><Relationship Id="rId358" Type="http://schemas.openxmlformats.org/officeDocument/2006/relationships/hyperlink" Target="https://fbref.com/en/country/ARG/Argentina-Football" TargetMode="External"/><Relationship Id="rId357" Type="http://schemas.openxmlformats.org/officeDocument/2006/relationships/hyperlink" Target="https://fbref.com/en/players/da76bab4/Valentin-Castellanos" TargetMode="External"/><Relationship Id="rId352" Type="http://schemas.openxmlformats.org/officeDocument/2006/relationships/hyperlink" Target="https://fbref.com/en/players/2389cdc2/matchlogs/2025-2026/summary/Matty-Cash-Match-Logs" TargetMode="External"/><Relationship Id="rId351" Type="http://schemas.openxmlformats.org/officeDocument/2006/relationships/hyperlink" Target="https://fbref.com/en/squads/8602292d/Aston-Villa-Stats" TargetMode="External"/><Relationship Id="rId350" Type="http://schemas.openxmlformats.org/officeDocument/2006/relationships/hyperlink" Target="https://fbref.com/en/country/POL/Poland-Football" TargetMode="External"/><Relationship Id="rId356" Type="http://schemas.openxmlformats.org/officeDocument/2006/relationships/hyperlink" Target="https://fbref.com/en/players/197640fd/matchlogs/2025-2026/summary/Timothy-Castagne-Match-Logs" TargetMode="External"/><Relationship Id="rId355" Type="http://schemas.openxmlformats.org/officeDocument/2006/relationships/hyperlink" Target="https://fbref.com/en/squads/fd962109/Fulham-Stats" TargetMode="External"/><Relationship Id="rId354" Type="http://schemas.openxmlformats.org/officeDocument/2006/relationships/hyperlink" Target="https://fbref.com/en/country/BEL/Belgium-Football" TargetMode="External"/><Relationship Id="rId353" Type="http://schemas.openxmlformats.org/officeDocument/2006/relationships/hyperlink" Target="https://fbref.com/en/players/197640fd/Timothy-Castagne" TargetMode="External"/><Relationship Id="rId1378" Type="http://schemas.openxmlformats.org/officeDocument/2006/relationships/hyperlink" Target="https://fbref.com/en/country/ESP/Spain-Football" TargetMode="External"/><Relationship Id="rId1379" Type="http://schemas.openxmlformats.org/officeDocument/2006/relationships/hyperlink" Target="https://fbref.com/en/squads/18bb7c10/Arsenal-Stats" TargetMode="External"/><Relationship Id="rId305" Type="http://schemas.openxmlformats.org/officeDocument/2006/relationships/hyperlink" Target="https://fbref.com/en/players/802ee5ca/Bradley-Burrowes" TargetMode="External"/><Relationship Id="rId789" Type="http://schemas.openxmlformats.org/officeDocument/2006/relationships/hyperlink" Target="https://fbref.com/en/players/1fc4f3d1/Ilia-Gruev" TargetMode="External"/><Relationship Id="rId304" Type="http://schemas.openxmlformats.org/officeDocument/2006/relationships/hyperlink" Target="https://fbref.com/en/players/b2d31e83/matchlogs/2025-2026/summary/Dan-Burn-Match-Logs" TargetMode="External"/><Relationship Id="rId788" Type="http://schemas.openxmlformats.org/officeDocument/2006/relationships/hyperlink" Target="https://fbref.com/en/players/ae9b998d/matchlogs/2025-2026/summary/Brajan-Gruda-Match-Logs" TargetMode="External"/><Relationship Id="rId303" Type="http://schemas.openxmlformats.org/officeDocument/2006/relationships/hyperlink" Target="https://fbref.com/en/squads/b2b47a98/Newcastle-United-Stats" TargetMode="External"/><Relationship Id="rId787" Type="http://schemas.openxmlformats.org/officeDocument/2006/relationships/hyperlink" Target="https://fbref.com/en/squads/d07537b9/Brighton-and-Hove-Albion-Stats" TargetMode="External"/><Relationship Id="rId302" Type="http://schemas.openxmlformats.org/officeDocument/2006/relationships/hyperlink" Target="https://fbref.com/en/country/ENG/England-Football" TargetMode="External"/><Relationship Id="rId786" Type="http://schemas.openxmlformats.org/officeDocument/2006/relationships/hyperlink" Target="https://fbref.com/en/country/GER/Germany-Football" TargetMode="External"/><Relationship Id="rId309" Type="http://schemas.openxmlformats.org/officeDocument/2006/relationships/hyperlink" Target="https://fbref.com/en/players/0312881b/Junai-Byfield" TargetMode="External"/><Relationship Id="rId308" Type="http://schemas.openxmlformats.org/officeDocument/2006/relationships/hyperlink" Target="https://fbref.com/en/players/802ee5ca/matchlogs/2025-2026/summary/Bradley-Burrowes-Match-Logs" TargetMode="External"/><Relationship Id="rId307" Type="http://schemas.openxmlformats.org/officeDocument/2006/relationships/hyperlink" Target="https://fbref.com/en/squads/8602292d/Aston-Villa-Stats" TargetMode="External"/><Relationship Id="rId306" Type="http://schemas.openxmlformats.org/officeDocument/2006/relationships/hyperlink" Target="https://fbref.com/en/country/ENG/England-Football" TargetMode="External"/><Relationship Id="rId781" Type="http://schemas.openxmlformats.org/officeDocument/2006/relationships/hyperlink" Target="https://fbref.com/en/players/8aec0537/Pascal-Gross" TargetMode="External"/><Relationship Id="rId1370" Type="http://schemas.openxmlformats.org/officeDocument/2006/relationships/hyperlink" Target="https://fbref.com/en/country/ENG/England-Football" TargetMode="External"/><Relationship Id="rId780" Type="http://schemas.openxmlformats.org/officeDocument/2006/relationships/hyperlink" Target="https://fbref.com/en/players/b0b4fd3e/matchlogs/2025-2026/summary/Jack-Grealish-Match-Logs" TargetMode="External"/><Relationship Id="rId1371" Type="http://schemas.openxmlformats.org/officeDocument/2006/relationships/hyperlink" Target="https://fbref.com/en/squads/d3fd31cc/Everton-Stats" TargetMode="External"/><Relationship Id="rId1372" Type="http://schemas.openxmlformats.org/officeDocument/2006/relationships/hyperlink" Target="https://fbref.com/en/players/fc15fb84/matchlogs/2025-2026/summary/Dwight-McNeil-Match-Logs" TargetMode="External"/><Relationship Id="rId1373" Type="http://schemas.openxmlformats.org/officeDocument/2006/relationships/hyperlink" Target="https://fbref.com/en/players/ca22ccb0/Hannibal-Mejbri" TargetMode="External"/><Relationship Id="rId301" Type="http://schemas.openxmlformats.org/officeDocument/2006/relationships/hyperlink" Target="https://fbref.com/en/players/b2d31e83/Dan-Burn" TargetMode="External"/><Relationship Id="rId785" Type="http://schemas.openxmlformats.org/officeDocument/2006/relationships/hyperlink" Target="https://fbref.com/en/players/ae9b998d/Brajan-Gruda" TargetMode="External"/><Relationship Id="rId1374" Type="http://schemas.openxmlformats.org/officeDocument/2006/relationships/hyperlink" Target="https://fbref.com/en/country/TUN/Tunisia-Football" TargetMode="External"/><Relationship Id="rId300" Type="http://schemas.openxmlformats.org/officeDocument/2006/relationships/hyperlink" Target="https://fbref.com/en/players/468a7a91/matchlogs/2025-2026/summary/Facundo-Buonanotte-Match-Logs" TargetMode="External"/><Relationship Id="rId784" Type="http://schemas.openxmlformats.org/officeDocument/2006/relationships/hyperlink" Target="https://fbref.com/en/players/8aec0537/matchlogs/2025-2026/summary/Pascal-Gross-Match-Logs" TargetMode="External"/><Relationship Id="rId1375" Type="http://schemas.openxmlformats.org/officeDocument/2006/relationships/hyperlink" Target="https://fbref.com/en/squads/943e8050/Burnley-Stats" TargetMode="External"/><Relationship Id="rId783" Type="http://schemas.openxmlformats.org/officeDocument/2006/relationships/hyperlink" Target="https://fbref.com/en/squads/d07537b9/Brighton-and-Hove-Albion-Stats" TargetMode="External"/><Relationship Id="rId1376" Type="http://schemas.openxmlformats.org/officeDocument/2006/relationships/hyperlink" Target="https://fbref.com/en/players/ca22ccb0/matchlogs/2025-2026/summary/Hannibal-Mejbri-Match-Logs" TargetMode="External"/><Relationship Id="rId782" Type="http://schemas.openxmlformats.org/officeDocument/2006/relationships/hyperlink" Target="https://fbref.com/en/country/GER/Germany-Football" TargetMode="External"/><Relationship Id="rId1377" Type="http://schemas.openxmlformats.org/officeDocument/2006/relationships/hyperlink" Target="https://fbref.com/en/players/d080ed5e/Mikel-Merino" TargetMode="External"/><Relationship Id="rId1367" Type="http://schemas.openxmlformats.org/officeDocument/2006/relationships/hyperlink" Target="https://fbref.com/en/squads/8602292d/Aston-Villa-Stats" TargetMode="External"/><Relationship Id="rId1368" Type="http://schemas.openxmlformats.org/officeDocument/2006/relationships/hyperlink" Target="https://fbref.com/en/players/90f91999/matchlogs/2025-2026/summary/John-McGinn-Match-Logs" TargetMode="External"/><Relationship Id="rId1369" Type="http://schemas.openxmlformats.org/officeDocument/2006/relationships/hyperlink" Target="https://fbref.com/en/players/fc15fb84/Dwight-McNeil" TargetMode="External"/><Relationship Id="rId778" Type="http://schemas.openxmlformats.org/officeDocument/2006/relationships/hyperlink" Target="https://fbref.com/en/country/ENG/England-Football" TargetMode="External"/><Relationship Id="rId777" Type="http://schemas.openxmlformats.org/officeDocument/2006/relationships/hyperlink" Target="https://fbref.com/en/players/b0b4fd3e/Jack-Grealish" TargetMode="External"/><Relationship Id="rId776" Type="http://schemas.openxmlformats.org/officeDocument/2006/relationships/hyperlink" Target="https://fbref.com/en/players/f58515f5/matchlogs/2025-2026/summary/Archie-Gray-Match-Logs" TargetMode="External"/><Relationship Id="rId775" Type="http://schemas.openxmlformats.org/officeDocument/2006/relationships/hyperlink" Target="https://fbref.com/en/squads/361ca564/Tottenham-Hotspur-Stats" TargetMode="External"/><Relationship Id="rId779" Type="http://schemas.openxmlformats.org/officeDocument/2006/relationships/hyperlink" Target="https://fbref.com/en/squads/d3fd31cc/Everton-Stats" TargetMode="External"/><Relationship Id="rId770" Type="http://schemas.openxmlformats.org/officeDocument/2006/relationships/hyperlink" Target="https://fbref.com/en/country/NED/Netherlands-Football" TargetMode="External"/><Relationship Id="rId1360" Type="http://schemas.openxmlformats.org/officeDocument/2006/relationships/hyperlink" Target="https://fbref.com/en/players/6afaebf2/matchlogs/2025-2026/summary/Bryan-Mbeumo-Match-Logs" TargetMode="External"/><Relationship Id="rId1361" Type="http://schemas.openxmlformats.org/officeDocument/2006/relationships/hyperlink" Target="https://fbref.com/en/players/96593e89/James-Mcatee" TargetMode="External"/><Relationship Id="rId1362" Type="http://schemas.openxmlformats.org/officeDocument/2006/relationships/hyperlink" Target="https://fbref.com/en/country/ENG/England-Football" TargetMode="External"/><Relationship Id="rId774" Type="http://schemas.openxmlformats.org/officeDocument/2006/relationships/hyperlink" Target="https://fbref.com/en/country/ENG/England-Football" TargetMode="External"/><Relationship Id="rId1363" Type="http://schemas.openxmlformats.org/officeDocument/2006/relationships/hyperlink" Target="https://fbref.com/en/squads/e4a775cb/Nottingham-Forest-Stats" TargetMode="External"/><Relationship Id="rId773" Type="http://schemas.openxmlformats.org/officeDocument/2006/relationships/hyperlink" Target="https://fbref.com/en/players/f58515f5/Archie-Gray" TargetMode="External"/><Relationship Id="rId1364" Type="http://schemas.openxmlformats.org/officeDocument/2006/relationships/hyperlink" Target="https://fbref.com/en/players/96593e89/matchlogs/2025-2026/summary/James-Mcatee-Match-Logs" TargetMode="External"/><Relationship Id="rId772" Type="http://schemas.openxmlformats.org/officeDocument/2006/relationships/hyperlink" Target="https://fbref.com/en/players/b8e740fb/matchlogs/2025-2026/summary/Ryan-Gravenberch-Match-Logs" TargetMode="External"/><Relationship Id="rId1365" Type="http://schemas.openxmlformats.org/officeDocument/2006/relationships/hyperlink" Target="https://fbref.com/en/players/90f91999/John-McGinn" TargetMode="External"/><Relationship Id="rId771" Type="http://schemas.openxmlformats.org/officeDocument/2006/relationships/hyperlink" Target="https://fbref.com/en/squads/822bd0ba/Liverpool-Stats" TargetMode="External"/><Relationship Id="rId1366" Type="http://schemas.openxmlformats.org/officeDocument/2006/relationships/hyperlink" Target="https://fbref.com/en/country/SCO/Scotland-Football" TargetMode="External"/><Relationship Id="rId327" Type="http://schemas.openxmlformats.org/officeDocument/2006/relationships/hyperlink" Target="https://fbref.com/en/squads/18bb7c10/Arsenal-Stats" TargetMode="External"/><Relationship Id="rId326" Type="http://schemas.openxmlformats.org/officeDocument/2006/relationships/hyperlink" Target="https://fbref.com/en/country/ITA/Italy-Football" TargetMode="External"/><Relationship Id="rId325" Type="http://schemas.openxmlformats.org/officeDocument/2006/relationships/hyperlink" Target="https://fbref.com/en/players/aded8e6f/Riccardo-Calafiori" TargetMode="External"/><Relationship Id="rId324" Type="http://schemas.openxmlformats.org/officeDocument/2006/relationships/hyperlink" Target="https://fbref.com/en/players/a8748947/matchlogs/2025-2026/summary/Tom-Cairney-Match-Logs" TargetMode="External"/><Relationship Id="rId329" Type="http://schemas.openxmlformats.org/officeDocument/2006/relationships/hyperlink" Target="https://fbref.com/en/players/59e6e5bf/Dominic-Calvert-Lewin" TargetMode="External"/><Relationship Id="rId1390" Type="http://schemas.openxmlformats.org/officeDocument/2006/relationships/hyperlink" Target="https://fbref.com/en/country/SRB/Serbia-Football" TargetMode="External"/><Relationship Id="rId328" Type="http://schemas.openxmlformats.org/officeDocument/2006/relationships/hyperlink" Target="https://fbref.com/en/players/aded8e6f/matchlogs/2025-2026/summary/Riccardo-Calafiori-Match-Logs" TargetMode="External"/><Relationship Id="rId1391" Type="http://schemas.openxmlformats.org/officeDocument/2006/relationships/hyperlink" Target="https://fbref.com/en/squads/e4a775cb/Nottingham-Forest-Stats" TargetMode="External"/><Relationship Id="rId1392" Type="http://schemas.openxmlformats.org/officeDocument/2006/relationships/hyperlink" Target="https://fbref.com/en/players/bee704fc/matchlogs/2025-2026/summary/Nikola-Milenkovic-Match-Logs" TargetMode="External"/><Relationship Id="rId1393" Type="http://schemas.openxmlformats.org/officeDocument/2006/relationships/hyperlink" Target="https://fbref.com/en/players/2c6835e5/Lewis-Miley" TargetMode="External"/><Relationship Id="rId1394" Type="http://schemas.openxmlformats.org/officeDocument/2006/relationships/hyperlink" Target="https://fbref.com/en/country/ENG/England-Football" TargetMode="External"/><Relationship Id="rId1395" Type="http://schemas.openxmlformats.org/officeDocument/2006/relationships/hyperlink" Target="https://fbref.com/en/squads/b2b47a98/Newcastle-United-Stats" TargetMode="External"/><Relationship Id="rId323" Type="http://schemas.openxmlformats.org/officeDocument/2006/relationships/hyperlink" Target="https://fbref.com/en/squads/fd962109/Fulham-Stats" TargetMode="External"/><Relationship Id="rId1396" Type="http://schemas.openxmlformats.org/officeDocument/2006/relationships/hyperlink" Target="https://fbref.com/en/players/2c6835e5/matchlogs/2025-2026/summary/Lewis-Miley-Match-Logs" TargetMode="External"/><Relationship Id="rId322" Type="http://schemas.openxmlformats.org/officeDocument/2006/relationships/hyperlink" Target="https://fbref.com/en/country/SCO/Scotland-Football" TargetMode="External"/><Relationship Id="rId1397" Type="http://schemas.openxmlformats.org/officeDocument/2006/relationships/hyperlink" Target="https://fbref.com/en/players/2f90f6b8/James-Milner" TargetMode="External"/><Relationship Id="rId321" Type="http://schemas.openxmlformats.org/officeDocument/2006/relationships/hyperlink" Target="https://fbref.com/en/players/a8748947/Tom-Cairney" TargetMode="External"/><Relationship Id="rId1398" Type="http://schemas.openxmlformats.org/officeDocument/2006/relationships/hyperlink" Target="https://fbref.com/en/country/ENG/England-Football" TargetMode="External"/><Relationship Id="rId320" Type="http://schemas.openxmlformats.org/officeDocument/2006/relationships/hyperlink" Target="https://fbref.com/en/players/16264a81/matchlogs/2025-2026/summary/Moises-Caicedo-Match-Logs" TargetMode="External"/><Relationship Id="rId1399" Type="http://schemas.openxmlformats.org/officeDocument/2006/relationships/hyperlink" Target="https://fbref.com/en/squads/d07537b9/Brighton-and-Hove-Albion-Stats" TargetMode="External"/><Relationship Id="rId1389" Type="http://schemas.openxmlformats.org/officeDocument/2006/relationships/hyperlink" Target="https://fbref.com/en/players/bee704fc/Nikola-Milenkovic" TargetMode="External"/><Relationship Id="rId316" Type="http://schemas.openxmlformats.org/officeDocument/2006/relationships/hyperlink" Target="https://fbref.com/en/players/1bf811d4/matchlogs/2025-2026/summary/Sam-Byram-Match-Logs" TargetMode="External"/><Relationship Id="rId315" Type="http://schemas.openxmlformats.org/officeDocument/2006/relationships/hyperlink" Target="https://fbref.com/en/squads/5bfb9659/Leeds-United-Stats" TargetMode="External"/><Relationship Id="rId799" Type="http://schemas.openxmlformats.org/officeDocument/2006/relationships/hyperlink" Target="https://fbref.com/en/squads/47c64c55/Crystal-Palace-Stats" TargetMode="External"/><Relationship Id="rId314" Type="http://schemas.openxmlformats.org/officeDocument/2006/relationships/hyperlink" Target="https://fbref.com/en/country/ENG/England-Football" TargetMode="External"/><Relationship Id="rId798" Type="http://schemas.openxmlformats.org/officeDocument/2006/relationships/hyperlink" Target="https://fbref.com/en/country/ENG/England-Football" TargetMode="External"/><Relationship Id="rId313" Type="http://schemas.openxmlformats.org/officeDocument/2006/relationships/hyperlink" Target="https://fbref.com/en/players/1bf811d4/Sam-Byram" TargetMode="External"/><Relationship Id="rId797" Type="http://schemas.openxmlformats.org/officeDocument/2006/relationships/hyperlink" Target="https://fbref.com/en/players/d0706b27/Marc-Guehi" TargetMode="External"/><Relationship Id="rId319" Type="http://schemas.openxmlformats.org/officeDocument/2006/relationships/hyperlink" Target="https://fbref.com/en/squads/cff3d9bb/Chelsea-Stats" TargetMode="External"/><Relationship Id="rId318" Type="http://schemas.openxmlformats.org/officeDocument/2006/relationships/hyperlink" Target="https://fbref.com/en/country/ECU/Ecuador-Football" TargetMode="External"/><Relationship Id="rId317" Type="http://schemas.openxmlformats.org/officeDocument/2006/relationships/hyperlink" Target="https://fbref.com/en/players/16264a81/Moises-Caicedo" TargetMode="External"/><Relationship Id="rId1380" Type="http://schemas.openxmlformats.org/officeDocument/2006/relationships/hyperlink" Target="https://fbref.com/en/players/d080ed5e/matchlogs/2025-2026/summary/Mikel-Merino-Match-Logs" TargetMode="External"/><Relationship Id="rId792" Type="http://schemas.openxmlformats.org/officeDocument/2006/relationships/hyperlink" Target="https://fbref.com/en/players/1fc4f3d1/matchlogs/2025-2026/summary/Ilia-Gruev-Match-Logs" TargetMode="External"/><Relationship Id="rId1381" Type="http://schemas.openxmlformats.org/officeDocument/2006/relationships/hyperlink" Target="https://fbref.com/en/players/43d0b694/Shumaira-Mheuka" TargetMode="External"/><Relationship Id="rId791" Type="http://schemas.openxmlformats.org/officeDocument/2006/relationships/hyperlink" Target="https://fbref.com/en/squads/5bfb9659/Leeds-United-Stats" TargetMode="External"/><Relationship Id="rId1382" Type="http://schemas.openxmlformats.org/officeDocument/2006/relationships/hyperlink" Target="https://fbref.com/en/country/ENG/England-Football" TargetMode="External"/><Relationship Id="rId790" Type="http://schemas.openxmlformats.org/officeDocument/2006/relationships/hyperlink" Target="https://fbref.com/en/country/BUL/Bulgaria-Football" TargetMode="External"/><Relationship Id="rId1383" Type="http://schemas.openxmlformats.org/officeDocument/2006/relationships/hyperlink" Target="https://fbref.com/en/squads/cff3d9bb/Chelsea-Stats" TargetMode="External"/><Relationship Id="rId1384" Type="http://schemas.openxmlformats.org/officeDocument/2006/relationships/hyperlink" Target="https://fbref.com/en/players/43d0b694/matchlogs/2025-2026/summary/Shumaira-Mheuka-Match-Logs" TargetMode="External"/><Relationship Id="rId312" Type="http://schemas.openxmlformats.org/officeDocument/2006/relationships/hyperlink" Target="https://fbref.com/en/players/0312881b/matchlogs/2025-2026/summary/Junai-Byfield-Match-Logs" TargetMode="External"/><Relationship Id="rId796" Type="http://schemas.openxmlformats.org/officeDocument/2006/relationships/hyperlink" Target="https://fbref.com/en/players/d5d22a58/matchlogs/2025-2026/summary/Gabriel-Gudmundsson-Match-Logs" TargetMode="External"/><Relationship Id="rId1385" Type="http://schemas.openxmlformats.org/officeDocument/2006/relationships/hyperlink" Target="https://fbref.com/en/players/b05f4787/Antoni-Milambo" TargetMode="External"/><Relationship Id="rId311" Type="http://schemas.openxmlformats.org/officeDocument/2006/relationships/hyperlink" Target="https://fbref.com/en/squads/361ca564/Tottenham-Hotspur-Stats" TargetMode="External"/><Relationship Id="rId795" Type="http://schemas.openxmlformats.org/officeDocument/2006/relationships/hyperlink" Target="https://fbref.com/en/squads/5bfb9659/Leeds-United-Stats" TargetMode="External"/><Relationship Id="rId1386" Type="http://schemas.openxmlformats.org/officeDocument/2006/relationships/hyperlink" Target="https://fbref.com/en/country/NED/Netherlands-Football" TargetMode="External"/><Relationship Id="rId310" Type="http://schemas.openxmlformats.org/officeDocument/2006/relationships/hyperlink" Target="https://fbref.com/en/country/ENG/England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squads/cd051869/Brentford-Stats" TargetMode="External"/><Relationship Id="rId793" Type="http://schemas.openxmlformats.org/officeDocument/2006/relationships/hyperlink" Target="https://fbref.com/en/players/d5d22a58/Gabriel-Gudmundsson" TargetMode="External"/><Relationship Id="rId1388" Type="http://schemas.openxmlformats.org/officeDocument/2006/relationships/hyperlink" Target="https://fbref.com/en/players/b05f4787/matchlogs/2025-2026/summary/Antoni-Milambo-Match-Logs" TargetMode="External"/><Relationship Id="rId297" Type="http://schemas.openxmlformats.org/officeDocument/2006/relationships/hyperlink" Target="https://fbref.com/en/players/468a7a91/Facundo-Buonanotte" TargetMode="External"/><Relationship Id="rId296" Type="http://schemas.openxmlformats.org/officeDocument/2006/relationships/hyperlink" Target="https://fbref.com/en/players/468a7a91/matchlogs/2025-2026/summary/Facundo-Buonanotte-Match-Logs" TargetMode="External"/><Relationship Id="rId295" Type="http://schemas.openxmlformats.org/officeDocument/2006/relationships/hyperlink" Target="https://fbref.com/en/squads/cff3d9bb/Chelsea-Stats" TargetMode="External"/><Relationship Id="rId294" Type="http://schemas.openxmlformats.org/officeDocument/2006/relationships/hyperlink" Target="https://fbref.com/en/country/ARG/Argentina-Football" TargetMode="External"/><Relationship Id="rId299" Type="http://schemas.openxmlformats.org/officeDocument/2006/relationships/hyperlink" Target="https://fbref.com/en/squads/5bfb9659/Leeds-United-Stats" TargetMode="External"/><Relationship Id="rId298" Type="http://schemas.openxmlformats.org/officeDocument/2006/relationships/hyperlink" Target="https://fbref.com/en/country/ARG/Argentina-Football" TargetMode="External"/><Relationship Id="rId271" Type="http://schemas.openxmlformats.org/officeDocument/2006/relationships/hyperlink" Target="https://fbref.com/en/squads/943e8050/Burnley-Stats" TargetMode="External"/><Relationship Id="rId270" Type="http://schemas.openxmlformats.org/officeDocument/2006/relationships/hyperlink" Target="https://fbref.com/en/country/ALB/Albania-Football" TargetMode="External"/><Relationship Id="rId269" Type="http://schemas.openxmlformats.org/officeDocument/2006/relationships/hyperlink" Target="https://fbref.com/en/players/97220da2/Armando-Broja" TargetMode="External"/><Relationship Id="rId264" Type="http://schemas.openxmlformats.org/officeDocument/2006/relationships/hyperlink" Target="https://fbref.com/en/players/c1949191/matchlogs/2025-2026/summary/Jarrad-Branthwaite-Match-Logs" TargetMode="External"/><Relationship Id="rId263" Type="http://schemas.openxmlformats.org/officeDocument/2006/relationships/hyperlink" Target="https://fbref.com/en/squads/d3fd31cc/Everton-Stats" TargetMode="External"/><Relationship Id="rId262" Type="http://schemas.openxmlformats.org/officeDocument/2006/relationships/hyperlink" Target="https://fbref.com/en/country/ENG/England-Football" TargetMode="External"/><Relationship Id="rId261" Type="http://schemas.openxmlformats.org/officeDocument/2006/relationships/hyperlink" Target="https://fbref.com/en/players/c1949191/Jarrad-Branthwaite" TargetMode="External"/><Relationship Id="rId268" Type="http://schemas.openxmlformats.org/officeDocument/2006/relationships/hyperlink" Target="https://fbref.com/en/players/4c184730/matchlogs/2025-2026/summary/Brian-Brobbey-Match-Logs" TargetMode="External"/><Relationship Id="rId267" Type="http://schemas.openxmlformats.org/officeDocument/2006/relationships/hyperlink" Target="https://fbref.com/en/squads/8ef52968/Sunderland-Stats" TargetMode="External"/><Relationship Id="rId266" Type="http://schemas.openxmlformats.org/officeDocument/2006/relationships/hyperlink" Target="https://fbref.com/en/country/NED/Netherlands-Football" TargetMode="External"/><Relationship Id="rId265" Type="http://schemas.openxmlformats.org/officeDocument/2006/relationships/hyperlink" Target="https://fbref.com/en/players/4c184730/Brian-Brobbey" TargetMode="External"/><Relationship Id="rId260" Type="http://schemas.openxmlformats.org/officeDocument/2006/relationships/hyperlink" Target="https://fbref.com/en/players/bbd67769/matchlogs/2025-2026/summary/Conor-Bradley-Match-Logs" TargetMode="External"/><Relationship Id="rId259" Type="http://schemas.openxmlformats.org/officeDocument/2006/relationships/hyperlink" Target="https://fbref.com/en/squads/822bd0ba/Liverpool-Stats" TargetMode="External"/><Relationship Id="rId258" Type="http://schemas.openxmlformats.org/officeDocument/2006/relationships/hyperlink" Target="https://fbref.com/en/country/NIR/Northern-Ireland-Football" TargetMode="External"/><Relationship Id="rId253" Type="http://schemas.openxmlformats.org/officeDocument/2006/relationships/hyperlink" Target="https://fbref.com/en/players/79c84d1c/Jarrod-Bowen" TargetMode="External"/><Relationship Id="rId252" Type="http://schemas.openxmlformats.org/officeDocument/2006/relationships/hyperlink" Target="https://fbref.com/en/players/ccce7025/matchlogs/2025-2026/summary/Sven-Botman-Match-Logs" TargetMode="External"/><Relationship Id="rId251" Type="http://schemas.openxmlformats.org/officeDocument/2006/relationships/hyperlink" Target="https://fbref.com/en/squads/b2b47a98/Newcastle-United-Stats" TargetMode="External"/><Relationship Id="rId250" Type="http://schemas.openxmlformats.org/officeDocument/2006/relationships/hyperlink" Target="https://fbref.com/en/country/NED/Netherlands-Football" TargetMode="External"/><Relationship Id="rId257" Type="http://schemas.openxmlformats.org/officeDocument/2006/relationships/hyperlink" Target="https://fbref.com/en/players/bbd67769/Conor-Bradley" TargetMode="External"/><Relationship Id="rId256" Type="http://schemas.openxmlformats.org/officeDocument/2006/relationships/hyperlink" Target="https://fbref.com/en/players/79c84d1c/matchlogs/2025-2026/summary/Jarrod-Bowen-Match-Logs" TargetMode="External"/><Relationship Id="rId255" Type="http://schemas.openxmlformats.org/officeDocument/2006/relationships/hyperlink" Target="https://fbref.com/en/squads/7c21e445/West-Ham-United-Stats" TargetMode="External"/><Relationship Id="rId254" Type="http://schemas.openxmlformats.org/officeDocument/2006/relationships/hyperlink" Target="https://fbref.com/en/country/ENG/England-Football" TargetMode="External"/><Relationship Id="rId293" Type="http://schemas.openxmlformats.org/officeDocument/2006/relationships/hyperlink" Target="https://fbref.com/en/players/468a7a91/Facundo-Buonanotte" TargetMode="External"/><Relationship Id="rId292" Type="http://schemas.openxmlformats.org/officeDocument/2006/relationships/hyperlink" Target="https://fbref.com/en/players/edc98fac/matchlogs/2025-2026/summary/Santiago-Bueno-Match-Logs" TargetMode="External"/><Relationship Id="rId291" Type="http://schemas.openxmlformats.org/officeDocument/2006/relationships/hyperlink" Target="https://fbref.com/en/squads/8cec06e1/Wolverhampton-Wanderers-Stats" TargetMode="External"/><Relationship Id="rId290" Type="http://schemas.openxmlformats.org/officeDocument/2006/relationships/hyperlink" Target="https://fbref.com/en/country/URU/Uruguay-Football" TargetMode="External"/><Relationship Id="rId286" Type="http://schemas.openxmlformats.org/officeDocument/2006/relationships/hyperlink" Target="https://fbref.com/en/country/ESP/Spain-Football" TargetMode="External"/><Relationship Id="rId285" Type="http://schemas.openxmlformats.org/officeDocument/2006/relationships/hyperlink" Target="https://fbref.com/en/players/bfc3b3a0/Hugo-Bueno" TargetMode="External"/><Relationship Id="rId284" Type="http://schemas.openxmlformats.org/officeDocument/2006/relationships/hyperlink" Target="https://fbref.com/en/players/66b76d44/matchlogs/2025-2026/summary/Emi-Buendia-Match-Logs" TargetMode="External"/><Relationship Id="rId283" Type="http://schemas.openxmlformats.org/officeDocument/2006/relationships/hyperlink" Target="https://fbref.com/en/squads/8602292d/Aston-Villa-Stats" TargetMode="External"/><Relationship Id="rId289" Type="http://schemas.openxmlformats.org/officeDocument/2006/relationships/hyperlink" Target="https://fbref.com/en/players/edc98fac/Santiago-Bueno" TargetMode="External"/><Relationship Id="rId288" Type="http://schemas.openxmlformats.org/officeDocument/2006/relationships/hyperlink" Target="https://fbref.com/en/players/bfc3b3a0/matchlogs/2025-2026/summary/Hugo-Bueno-Match-Logs" TargetMode="External"/><Relationship Id="rId287" Type="http://schemas.openxmlformats.org/officeDocument/2006/relationships/hyperlink" Target="https://fbref.com/en/squads/8cec06e1/Wolverhampton-Wanderers-Stats" TargetMode="External"/><Relationship Id="rId282" Type="http://schemas.openxmlformats.org/officeDocument/2006/relationships/hyperlink" Target="https://fbref.com/en/country/ARG/Argentina-Football" TargetMode="External"/><Relationship Id="rId281" Type="http://schemas.openxmlformats.org/officeDocument/2006/relationships/hyperlink" Target="https://fbref.com/en/players/66b76d44/Emi-Buendia" TargetMode="External"/><Relationship Id="rId280" Type="http://schemas.openxmlformats.org/officeDocument/2006/relationships/hyperlink" Target="https://fbref.com/en/players/4e204552/matchlogs/2025-2026/summary/Jacob-Bruun-Larsen-Match-Logs" TargetMode="External"/><Relationship Id="rId275" Type="http://schemas.openxmlformats.org/officeDocument/2006/relationships/hyperlink" Target="https://fbref.com/en/squads/4ba7cbea/Bournemouth-Stats" TargetMode="External"/><Relationship Id="rId274" Type="http://schemas.openxmlformats.org/officeDocument/2006/relationships/hyperlink" Target="https://fbref.com/en/country/WAL/Wales-Football" TargetMode="External"/><Relationship Id="rId273" Type="http://schemas.openxmlformats.org/officeDocument/2006/relationships/hyperlink" Target="https://fbref.com/en/players/dc4cae05/David-Brooks" TargetMode="External"/><Relationship Id="rId272" Type="http://schemas.openxmlformats.org/officeDocument/2006/relationships/hyperlink" Target="https://fbref.com/en/players/97220da2/matchlogs/2025-2026/summary/Armando-Broja-Match-Logs" TargetMode="External"/><Relationship Id="rId279" Type="http://schemas.openxmlformats.org/officeDocument/2006/relationships/hyperlink" Target="https://fbref.com/en/squads/943e8050/Burnley-Stats" TargetMode="External"/><Relationship Id="rId278" Type="http://schemas.openxmlformats.org/officeDocument/2006/relationships/hyperlink" Target="https://fbref.com/en/country/DEN/Denmark-Football" TargetMode="External"/><Relationship Id="rId277" Type="http://schemas.openxmlformats.org/officeDocument/2006/relationships/hyperlink" Target="https://fbref.com/en/players/4e204552/Jacob-Bruun-Larsen" TargetMode="External"/><Relationship Id="rId276" Type="http://schemas.openxmlformats.org/officeDocument/2006/relationships/hyperlink" Target="https://fbref.com/en/players/dc4cae05/matchlogs/2025-2026/summary/David-Brooks-Match-Logs" TargetMode="External"/><Relationship Id="rId1851" Type="http://schemas.openxmlformats.org/officeDocument/2006/relationships/hyperlink" Target="https://fbref.com/en/squads/b8fd03ef/Manchester-City-Stats" TargetMode="External"/><Relationship Id="rId1852" Type="http://schemas.openxmlformats.org/officeDocument/2006/relationships/hyperlink" Target="https://fbref.com/en/players/3eb22ec9/matchlogs/2025-2026/summary/Bernardo-Silva-Match-Logs" TargetMode="External"/><Relationship Id="rId1853" Type="http://schemas.openxmlformats.org/officeDocument/2006/relationships/hyperlink" Target="https://fbref.com/en/players/4d77e622/Jota-Silva" TargetMode="External"/><Relationship Id="rId1854" Type="http://schemas.openxmlformats.org/officeDocument/2006/relationships/hyperlink" Target="https://fbref.com/en/country/POR/Portugal-Football" TargetMode="External"/><Relationship Id="rId1855" Type="http://schemas.openxmlformats.org/officeDocument/2006/relationships/hyperlink" Target="https://fbref.com/en/squads/e4a775cb/Nottingham-Forest-Stats" TargetMode="External"/><Relationship Id="rId1856" Type="http://schemas.openxmlformats.org/officeDocument/2006/relationships/hyperlink" Target="https://fbref.com/en/players/4d77e622/matchlogs/2025-2026/summary/Jota-Silva-Match-Logs" TargetMode="External"/><Relationship Id="rId1857" Type="http://schemas.openxmlformats.org/officeDocument/2006/relationships/hyperlink" Target="https://fbref.com/en/players/da4d670f/Xavi-Simons" TargetMode="External"/><Relationship Id="rId1858" Type="http://schemas.openxmlformats.org/officeDocument/2006/relationships/hyperlink" Target="https://fbref.com/en/country/NED/Netherlands-Football" TargetMode="External"/><Relationship Id="rId1859" Type="http://schemas.openxmlformats.org/officeDocument/2006/relationships/hyperlink" Target="https://fbref.com/en/squads/361ca564/Tottenham-Hotspur-Stats" TargetMode="External"/><Relationship Id="rId1850" Type="http://schemas.openxmlformats.org/officeDocument/2006/relationships/hyperlink" Target="https://fbref.com/en/country/POR/Portugal-Football" TargetMode="External"/><Relationship Id="rId1840" Type="http://schemas.openxmlformats.org/officeDocument/2006/relationships/hyperlink" Target="https://fbref.com/en/players/3260690c/matchlogs/2025-2026/summary/Benjamin-Sesko-Match-Logs" TargetMode="External"/><Relationship Id="rId1841" Type="http://schemas.openxmlformats.org/officeDocument/2006/relationships/hyperlink" Target="https://fbref.com/en/players/6aa3e78b/Ryan-Sessegnon" TargetMode="External"/><Relationship Id="rId1842" Type="http://schemas.openxmlformats.org/officeDocument/2006/relationships/hyperlink" Target="https://fbref.com/en/country/ENG/England-Football" TargetMode="External"/><Relationship Id="rId1843" Type="http://schemas.openxmlformats.org/officeDocument/2006/relationships/hyperlink" Target="https://fbref.com/en/squads/fd962109/Fulham-Stats" TargetMode="External"/><Relationship Id="rId1844" Type="http://schemas.openxmlformats.org/officeDocument/2006/relationships/hyperlink" Target="https://fbref.com/en/players/6aa3e78b/matchlogs/2025-2026/summary/Ryan-Sessegnon-Match-Logs" TargetMode="External"/><Relationship Id="rId1845" Type="http://schemas.openxmlformats.org/officeDocument/2006/relationships/hyperlink" Target="https://fbref.com/en/players/9c94165b/Luke-Shaw" TargetMode="External"/><Relationship Id="rId1846" Type="http://schemas.openxmlformats.org/officeDocument/2006/relationships/hyperlink" Target="https://fbref.com/en/country/ENG/England-Football" TargetMode="External"/><Relationship Id="rId1847" Type="http://schemas.openxmlformats.org/officeDocument/2006/relationships/hyperlink" Target="https://fbref.com/en/squads/19538871/Manchester-United-Stats" TargetMode="External"/><Relationship Id="rId1848" Type="http://schemas.openxmlformats.org/officeDocument/2006/relationships/hyperlink" Target="https://fbref.com/en/players/9c94165b/matchlogs/2025-2026/summary/Luke-Shaw-Match-Logs" TargetMode="External"/><Relationship Id="rId1849" Type="http://schemas.openxmlformats.org/officeDocument/2006/relationships/hyperlink" Target="https://fbref.com/en/players/3eb22ec9/Bernardo-Silva" TargetMode="External"/><Relationship Id="rId1873" Type="http://schemas.openxmlformats.org/officeDocument/2006/relationships/hyperlink" Target="https://fbref.com/en/players/98c8559a/Julio-Soler" TargetMode="External"/><Relationship Id="rId1874" Type="http://schemas.openxmlformats.org/officeDocument/2006/relationships/hyperlink" Target="https://fbref.com/en/country/ARG/Argentina-Football" TargetMode="External"/><Relationship Id="rId1875" Type="http://schemas.openxmlformats.org/officeDocument/2006/relationships/hyperlink" Target="https://fbref.com/en/squads/4ba7cbea/Bournemouth-Stats" TargetMode="External"/><Relationship Id="rId1876" Type="http://schemas.openxmlformats.org/officeDocument/2006/relationships/hyperlink" Target="https://fbref.com/en/players/98c8559a/matchlogs/2025-2026/summary/Julio-Soler-Match-Logs" TargetMode="External"/><Relationship Id="rId1877" Type="http://schemas.openxmlformats.org/officeDocument/2006/relationships/hyperlink" Target="https://fbref.com/en/players/b66b8d5e/Oliver-Sonne" TargetMode="External"/><Relationship Id="rId1878" Type="http://schemas.openxmlformats.org/officeDocument/2006/relationships/hyperlink" Target="https://fbref.com/en/country/PER/Peru-Football" TargetMode="External"/><Relationship Id="rId1879" Type="http://schemas.openxmlformats.org/officeDocument/2006/relationships/hyperlink" Target="https://fbref.com/en/squads/943e8050/Burnley-Stats" TargetMode="External"/><Relationship Id="rId1870" Type="http://schemas.openxmlformats.org/officeDocument/2006/relationships/hyperlink" Target="https://fbref.com/en/country/ENG/England-Football" TargetMode="External"/><Relationship Id="rId1871" Type="http://schemas.openxmlformats.org/officeDocument/2006/relationships/hyperlink" Target="https://fbref.com/en/squads/361ca564/Tottenham-Hotspur-Stats" TargetMode="External"/><Relationship Id="rId1872" Type="http://schemas.openxmlformats.org/officeDocument/2006/relationships/hyperlink" Target="https://fbref.com/en/players/e77dc3b2/matchlogs/2025-2026/summary/Dominic-Solanke-Match-Logs" TargetMode="External"/><Relationship Id="rId1862" Type="http://schemas.openxmlformats.org/officeDocument/2006/relationships/hyperlink" Target="https://fbref.com/en/country/ENG/England-Football" TargetMode="External"/><Relationship Id="rId1863" Type="http://schemas.openxmlformats.org/officeDocument/2006/relationships/hyperlink" Target="https://fbref.com/en/squads/4ba7cbea/Bournemouth-Stats" TargetMode="External"/><Relationship Id="rId1864" Type="http://schemas.openxmlformats.org/officeDocument/2006/relationships/hyperlink" Target="https://fbref.com/en/players/20b104bc/matchlogs/2025-2026/summary/Adam-Smith-Match-Logs" TargetMode="External"/><Relationship Id="rId1865" Type="http://schemas.openxmlformats.org/officeDocument/2006/relationships/hyperlink" Target="https://fbref.com/en/players/17695062/Emile-Smith-Rowe" TargetMode="External"/><Relationship Id="rId1866" Type="http://schemas.openxmlformats.org/officeDocument/2006/relationships/hyperlink" Target="https://fbref.com/en/country/ENG/England-Football" TargetMode="External"/><Relationship Id="rId1867" Type="http://schemas.openxmlformats.org/officeDocument/2006/relationships/hyperlink" Target="https://fbref.com/en/squads/fd962109/Fulham-Stats" TargetMode="External"/><Relationship Id="rId1868" Type="http://schemas.openxmlformats.org/officeDocument/2006/relationships/hyperlink" Target="https://fbref.com/en/players/17695062/matchlogs/2025-2026/summary/Emile-Smith-Rowe-Match-Logs" TargetMode="External"/><Relationship Id="rId1869" Type="http://schemas.openxmlformats.org/officeDocument/2006/relationships/hyperlink" Target="https://fbref.com/en/players/e77dc3b2/Dominic-Solanke" TargetMode="External"/><Relationship Id="rId1860" Type="http://schemas.openxmlformats.org/officeDocument/2006/relationships/hyperlink" Target="https://fbref.com/en/players/da4d670f/matchlogs/2025-2026/summary/Xavi-Simons-Match-Logs" TargetMode="External"/><Relationship Id="rId1861" Type="http://schemas.openxmlformats.org/officeDocument/2006/relationships/hyperlink" Target="https://fbref.com/en/players/20b104bc/Adam-Smith" TargetMode="External"/><Relationship Id="rId1810" Type="http://schemas.openxmlformats.org/officeDocument/2006/relationships/hyperlink" Target="https://fbref.com/en/country/SUI/Switzerland-Football" TargetMode="External"/><Relationship Id="rId1811" Type="http://schemas.openxmlformats.org/officeDocument/2006/relationships/hyperlink" Target="https://fbref.com/en/squads/b2b47a98/Newcastle-United-Stats" TargetMode="External"/><Relationship Id="rId1812" Type="http://schemas.openxmlformats.org/officeDocument/2006/relationships/hyperlink" Target="https://fbref.com/en/players/c8aa95da/matchlogs/2025-2026/summary/Fabian-Schar-Match-Logs" TargetMode="External"/><Relationship Id="rId1813" Type="http://schemas.openxmlformats.org/officeDocument/2006/relationships/hyperlink" Target="https://fbref.com/en/players/104d0bb8/Alex-Scott" TargetMode="External"/><Relationship Id="rId1814" Type="http://schemas.openxmlformats.org/officeDocument/2006/relationships/hyperlink" Target="https://fbref.com/en/country/ENG/England-Football" TargetMode="External"/><Relationship Id="rId1815" Type="http://schemas.openxmlformats.org/officeDocument/2006/relationships/hyperlink" Target="https://fbref.com/en/squads/4ba7cbea/Bournemouth-Stats" TargetMode="External"/><Relationship Id="rId1816" Type="http://schemas.openxmlformats.org/officeDocument/2006/relationships/hyperlink" Target="https://fbref.com/en/players/104d0bb8/matchlogs/2025-2026/summary/Alex-Scott-Match-Logs" TargetMode="External"/><Relationship Id="rId1817" Type="http://schemas.openxmlformats.org/officeDocument/2006/relationships/hyperlink" Target="https://fbref.com/en/players/ec75ee25/Jenson-Seelt" TargetMode="External"/><Relationship Id="rId1818" Type="http://schemas.openxmlformats.org/officeDocument/2006/relationships/hyperlink" Target="https://fbref.com/en/country/NED/Netherlands-Football" TargetMode="External"/><Relationship Id="rId1819" Type="http://schemas.openxmlformats.org/officeDocument/2006/relationships/hyperlink" Target="https://fbref.com/en/squads/8ef52968/Sunderland-Stats" TargetMode="External"/><Relationship Id="rId1800" Type="http://schemas.openxmlformats.org/officeDocument/2006/relationships/hyperlink" Target="https://fbref.com/en/players/242e5e6d/matchlogs/2025-2026/summary/Oliver-Scarles-Match-Logs" TargetMode="External"/><Relationship Id="rId1801" Type="http://schemas.openxmlformats.org/officeDocument/2006/relationships/hyperlink" Target="https://fbref.com/en/players/21945a9e/Dane-Scarlett" TargetMode="External"/><Relationship Id="rId1802" Type="http://schemas.openxmlformats.org/officeDocument/2006/relationships/hyperlink" Target="https://fbref.com/en/country/ENG/England-Football" TargetMode="External"/><Relationship Id="rId1803" Type="http://schemas.openxmlformats.org/officeDocument/2006/relationships/hyperlink" Target="https://fbref.com/en/squads/361ca564/Tottenham-Hotspur-Stats" TargetMode="External"/><Relationship Id="rId1804" Type="http://schemas.openxmlformats.org/officeDocument/2006/relationships/hyperlink" Target="https://fbref.com/en/players/21945a9e/matchlogs/2025-2026/summary/Dane-Scarlett-Match-Logs" TargetMode="External"/><Relationship Id="rId1805" Type="http://schemas.openxmlformats.org/officeDocument/2006/relationships/hyperlink" Target="https://fbref.com/en/players/52afb588/Kevin-Schade" TargetMode="External"/><Relationship Id="rId1806" Type="http://schemas.openxmlformats.org/officeDocument/2006/relationships/hyperlink" Target="https://fbref.com/en/country/GER/Germany-Football" TargetMode="External"/><Relationship Id="rId1807" Type="http://schemas.openxmlformats.org/officeDocument/2006/relationships/hyperlink" Target="https://fbref.com/en/squads/cd051869/Brentford-Stats" TargetMode="External"/><Relationship Id="rId1808" Type="http://schemas.openxmlformats.org/officeDocument/2006/relationships/hyperlink" Target="https://fbref.com/en/players/52afb588/matchlogs/2025-2026/summary/Kevin-Schade-Match-Logs" TargetMode="External"/><Relationship Id="rId1809" Type="http://schemas.openxmlformats.org/officeDocument/2006/relationships/hyperlink" Target="https://fbref.com/en/players/c8aa95da/Fabian-Schar" TargetMode="External"/><Relationship Id="rId1830" Type="http://schemas.openxmlformats.org/officeDocument/2006/relationships/hyperlink" Target="https://fbref.com/en/country/GHA/Ghana-Football" TargetMode="External"/><Relationship Id="rId1831" Type="http://schemas.openxmlformats.org/officeDocument/2006/relationships/hyperlink" Target="https://fbref.com/en/squads/4ba7cbea/Bournemouth-Stats" TargetMode="External"/><Relationship Id="rId1832" Type="http://schemas.openxmlformats.org/officeDocument/2006/relationships/hyperlink" Target="https://fbref.com/en/players/efd2ec23/matchlogs/2025-2026/summary/Antoine-Semenyo-Match-Logs" TargetMode="External"/><Relationship Id="rId1833" Type="http://schemas.openxmlformats.org/officeDocument/2006/relationships/hyperlink" Target="https://fbref.com/en/players/35141f4c/Marcos-Senesi" TargetMode="External"/><Relationship Id="rId1834" Type="http://schemas.openxmlformats.org/officeDocument/2006/relationships/hyperlink" Target="https://fbref.com/en/country/ARG/Argentina-Football" TargetMode="External"/><Relationship Id="rId1835" Type="http://schemas.openxmlformats.org/officeDocument/2006/relationships/hyperlink" Target="https://fbref.com/en/squads/4ba7cbea/Bournemouth-Stats" TargetMode="External"/><Relationship Id="rId1836" Type="http://schemas.openxmlformats.org/officeDocument/2006/relationships/hyperlink" Target="https://fbref.com/en/players/35141f4c/matchlogs/2025-2026/summary/Marcos-Senesi-Match-Logs" TargetMode="External"/><Relationship Id="rId1837" Type="http://schemas.openxmlformats.org/officeDocument/2006/relationships/hyperlink" Target="https://fbref.com/en/players/3260690c/Benjamin-Sesko" TargetMode="External"/><Relationship Id="rId1838" Type="http://schemas.openxmlformats.org/officeDocument/2006/relationships/hyperlink" Target="https://fbref.com/en/country/SVN/Slovenia-Football" TargetMode="External"/><Relationship Id="rId1839" Type="http://schemas.openxmlformats.org/officeDocument/2006/relationships/hyperlink" Target="https://fbref.com/en/squads/19538871/Manchester-United-Stats" TargetMode="External"/><Relationship Id="rId1820" Type="http://schemas.openxmlformats.org/officeDocument/2006/relationships/hyperlink" Target="https://fbref.com/en/players/ec75ee25/matchlogs/2025-2026/summary/Jenson-Seelt-Match-Logs" TargetMode="External"/><Relationship Id="rId1821" Type="http://schemas.openxmlformats.org/officeDocument/2006/relationships/hyperlink" Target="https://fbref.com/en/players/834b5c4c/Matz-Sels" TargetMode="External"/><Relationship Id="rId1822" Type="http://schemas.openxmlformats.org/officeDocument/2006/relationships/hyperlink" Target="https://fbref.com/en/country/BEL/Belgium-Football" TargetMode="External"/><Relationship Id="rId1823" Type="http://schemas.openxmlformats.org/officeDocument/2006/relationships/hyperlink" Target="https://fbref.com/en/squads/e4a775cb/Nottingham-Forest-Stats" TargetMode="External"/><Relationship Id="rId1824" Type="http://schemas.openxmlformats.org/officeDocument/2006/relationships/hyperlink" Target="https://fbref.com/en/players/834b5c4c/matchlogs/2025-2026/summary/Matz-Sels-Match-Logs" TargetMode="External"/><Relationship Id="rId1825" Type="http://schemas.openxmlformats.org/officeDocument/2006/relationships/hyperlink" Target="https://fbref.com/en/players/efd2ec23/Antoine-Semenyo" TargetMode="External"/><Relationship Id="rId1826" Type="http://schemas.openxmlformats.org/officeDocument/2006/relationships/hyperlink" Target="https://fbref.com/en/country/GHA/Ghana-Football" TargetMode="External"/><Relationship Id="rId1827" Type="http://schemas.openxmlformats.org/officeDocument/2006/relationships/hyperlink" Target="https://fbref.com/en/squads/b8fd03ef/Manchester-City-Stats" TargetMode="External"/><Relationship Id="rId1828" Type="http://schemas.openxmlformats.org/officeDocument/2006/relationships/hyperlink" Target="https://fbref.com/en/players/efd2ec23/matchlogs/2025-2026/summary/Antoine-Semenyo-Match-Logs" TargetMode="External"/><Relationship Id="rId1829" Type="http://schemas.openxmlformats.org/officeDocument/2006/relationships/hyperlink" Target="https://fbref.com/en/players/efd2ec23/Antoine-Semenyo" TargetMode="External"/><Relationship Id="rId1455" Type="http://schemas.openxmlformats.org/officeDocument/2006/relationships/hyperlink" Target="https://fbref.com/en/squads/fd962109/Fulham-Stats" TargetMode="External"/><Relationship Id="rId1456" Type="http://schemas.openxmlformats.org/officeDocument/2006/relationships/hyperlink" Target="https://fbref.com/en/players/a755db8c/matchlogs/2025-2026/summary/Rodrigo-Muniz-Match-Logs" TargetMode="External"/><Relationship Id="rId1457" Type="http://schemas.openxmlformats.org/officeDocument/2006/relationships/hyperlink" Target="https://fbref.com/en/players/778ef829/Daniel-Munoz" TargetMode="External"/><Relationship Id="rId1458" Type="http://schemas.openxmlformats.org/officeDocument/2006/relationships/hyperlink" Target="https://fbref.com/en/country/COL/Colombia-Football" TargetMode="External"/><Relationship Id="rId1459" Type="http://schemas.openxmlformats.org/officeDocument/2006/relationships/hyperlink" Target="https://fbref.com/en/squads/47c64c55/Crystal-Palace-Stats" TargetMode="External"/><Relationship Id="rId629" Type="http://schemas.openxmlformats.org/officeDocument/2006/relationships/hyperlink" Target="https://fbref.com/en/players/ae4fc6a4/Eberechi-Eze" TargetMode="External"/><Relationship Id="rId624" Type="http://schemas.openxmlformats.org/officeDocument/2006/relationships/hyperlink" Target="https://fbref.com/en/players/6f3cc2fe/matchlogs/2025-2026/summary/Evanilson-Match-Logs" TargetMode="External"/><Relationship Id="rId623" Type="http://schemas.openxmlformats.org/officeDocument/2006/relationships/hyperlink" Target="https://fbref.com/en/squads/4ba7cbea/Bournemouth-Stats" TargetMode="External"/><Relationship Id="rId622" Type="http://schemas.openxmlformats.org/officeDocument/2006/relationships/hyperlink" Target="https://fbref.com/en/country/BRA/Brazil-Football" TargetMode="External"/><Relationship Id="rId621" Type="http://schemas.openxmlformats.org/officeDocument/2006/relationships/hyperlink" Target="https://fbref.com/en/players/6f3cc2fe/Evanilson" TargetMode="External"/><Relationship Id="rId628" Type="http://schemas.openxmlformats.org/officeDocument/2006/relationships/hyperlink" Target="https://fbref.com/en/players/ae4fc6a4/matchlogs/2025-2026/summary/Eberechi-Eze-Match-Logs" TargetMode="External"/><Relationship Id="rId627" Type="http://schemas.openxmlformats.org/officeDocument/2006/relationships/hyperlink" Target="https://fbref.com/en/squads/47c64c55/Crystal-Palace-Stats" TargetMode="External"/><Relationship Id="rId626" Type="http://schemas.openxmlformats.org/officeDocument/2006/relationships/hyperlink" Target="https://fbref.com/en/country/ENG/England-Football" TargetMode="External"/><Relationship Id="rId625" Type="http://schemas.openxmlformats.org/officeDocument/2006/relationships/hyperlink" Target="https://fbref.com/en/players/ae4fc6a4/Eberechi-Eze" TargetMode="External"/><Relationship Id="rId1450" Type="http://schemas.openxmlformats.org/officeDocument/2006/relationships/hyperlink" Target="https://fbref.com/en/country/ZIM/Zimbabwe-Football" TargetMode="External"/><Relationship Id="rId620" Type="http://schemas.openxmlformats.org/officeDocument/2006/relationships/hyperlink" Target="https://fbref.com/en/players/1a066e69/matchlogs/2025-2026/summary/Maxime-Esteve-Match-Logs" TargetMode="External"/><Relationship Id="rId1451" Type="http://schemas.openxmlformats.org/officeDocument/2006/relationships/hyperlink" Target="https://fbref.com/en/squads/8cec06e1/Wolverhampton-Wanderers-Stats" TargetMode="External"/><Relationship Id="rId1452" Type="http://schemas.openxmlformats.org/officeDocument/2006/relationships/hyperlink" Target="https://fbref.com/en/players/2acf0cd7/matchlogs/2025-2026/summary/Marshall-Munetsi-Match-Logs" TargetMode="External"/><Relationship Id="rId1453" Type="http://schemas.openxmlformats.org/officeDocument/2006/relationships/hyperlink" Target="https://fbref.com/en/players/a755db8c/Rodrigo-Muniz" TargetMode="External"/><Relationship Id="rId1454" Type="http://schemas.openxmlformats.org/officeDocument/2006/relationships/hyperlink" Target="https://fbref.com/en/country/BRA/Brazil-Football" TargetMode="External"/><Relationship Id="rId1444" Type="http://schemas.openxmlformats.org/officeDocument/2006/relationships/hyperlink" Target="https://fbref.com/en/players/ac73ec79/matchlogs/2025-2026/summary/Nordi-Mukiele-Match-Logs" TargetMode="External"/><Relationship Id="rId1445" Type="http://schemas.openxmlformats.org/officeDocument/2006/relationships/hyperlink" Target="https://fbref.com/en/players/597610cd/Romaine-Mundle" TargetMode="External"/><Relationship Id="rId1446" Type="http://schemas.openxmlformats.org/officeDocument/2006/relationships/hyperlink" Target="https://fbref.com/en/country/ENG/England-Football" TargetMode="External"/><Relationship Id="rId1447" Type="http://schemas.openxmlformats.org/officeDocument/2006/relationships/hyperlink" Target="https://fbref.com/en/squads/8ef52968/Sunderland-Stats" TargetMode="External"/><Relationship Id="rId1448" Type="http://schemas.openxmlformats.org/officeDocument/2006/relationships/hyperlink" Target="https://fbref.com/en/players/597610cd/matchlogs/2025-2026/summary/Romaine-Mundle-Match-Logs" TargetMode="External"/><Relationship Id="rId1449" Type="http://schemas.openxmlformats.org/officeDocument/2006/relationships/hyperlink" Target="https://fbref.com/en/players/2acf0cd7/Marshall-Munetsi" TargetMode="External"/><Relationship Id="rId619" Type="http://schemas.openxmlformats.org/officeDocument/2006/relationships/hyperlink" Target="https://fbref.com/en/squads/943e8050/Burnley-Stats" TargetMode="External"/><Relationship Id="rId618" Type="http://schemas.openxmlformats.org/officeDocument/2006/relationships/hyperlink" Target="https://fbref.com/en/country/FRA/France-Football" TargetMode="External"/><Relationship Id="rId613" Type="http://schemas.openxmlformats.org/officeDocument/2006/relationships/hyperlink" Target="https://fbref.com/en/players/1e4319ac/Dario-Essugo" TargetMode="External"/><Relationship Id="rId612" Type="http://schemas.openxmlformats.org/officeDocument/2006/relationships/hyperlink" Target="https://fbref.com/en/players/87189f25/matchlogs/2025-2026/summary/Romain-Esse-Match-Logs" TargetMode="External"/><Relationship Id="rId611" Type="http://schemas.openxmlformats.org/officeDocument/2006/relationships/hyperlink" Target="https://fbref.com/en/squads/47c64c55/Crystal-Palace-Stats" TargetMode="External"/><Relationship Id="rId610" Type="http://schemas.openxmlformats.org/officeDocument/2006/relationships/hyperlink" Target="https://fbref.com/en/country/ENG/England-Football" TargetMode="External"/><Relationship Id="rId617" Type="http://schemas.openxmlformats.org/officeDocument/2006/relationships/hyperlink" Target="https://fbref.com/en/players/1a066e69/Maxime-Esteve" TargetMode="External"/><Relationship Id="rId616" Type="http://schemas.openxmlformats.org/officeDocument/2006/relationships/hyperlink" Target="https://fbref.com/en/players/1e4319ac/matchlogs/2025-2026/summary/Dario-Essugo-Match-Logs" TargetMode="External"/><Relationship Id="rId615" Type="http://schemas.openxmlformats.org/officeDocument/2006/relationships/hyperlink" Target="https://fbref.com/en/squads/cff3d9bb/Chelsea-Stats" TargetMode="External"/><Relationship Id="rId614" Type="http://schemas.openxmlformats.org/officeDocument/2006/relationships/hyperlink" Target="https://fbref.com/en/country/POR/Portugal-Football" TargetMode="External"/><Relationship Id="rId1440" Type="http://schemas.openxmlformats.org/officeDocument/2006/relationships/hyperlink" Target="https://fbref.com/en/players/ce7ae86a/matchlogs/2025-2026/summary/Divine-Mukasa-Match-Logs" TargetMode="External"/><Relationship Id="rId1441" Type="http://schemas.openxmlformats.org/officeDocument/2006/relationships/hyperlink" Target="https://fbref.com/en/players/ac73ec79/Nordi-Mukiele" TargetMode="External"/><Relationship Id="rId1442" Type="http://schemas.openxmlformats.org/officeDocument/2006/relationships/hyperlink" Target="https://fbref.com/en/country/FRA/France-Football" TargetMode="External"/><Relationship Id="rId1443" Type="http://schemas.openxmlformats.org/officeDocument/2006/relationships/hyperlink" Target="https://fbref.com/en/squads/8ef52968/Sunderland-Stats" TargetMode="External"/><Relationship Id="rId1477" Type="http://schemas.openxmlformats.org/officeDocument/2006/relationships/hyperlink" Target="https://fbref.com/en/players/9affc5f2/David-Moller-Wolfe" TargetMode="External"/><Relationship Id="rId1478" Type="http://schemas.openxmlformats.org/officeDocument/2006/relationships/hyperlink" Target="https://fbref.com/en/country/NOR/Norway-Football" TargetMode="External"/><Relationship Id="rId1479" Type="http://schemas.openxmlformats.org/officeDocument/2006/relationships/hyperlink" Target="https://fbref.com/en/squads/8cec06e1/Wolverhampton-Wanderers-Stats" TargetMode="External"/><Relationship Id="rId646" Type="http://schemas.openxmlformats.org/officeDocument/2006/relationships/hyperlink" Target="https://fbref.com/en/country/NED/Netherlands-Football" TargetMode="External"/><Relationship Id="rId645" Type="http://schemas.openxmlformats.org/officeDocument/2006/relationships/hyperlink" Target="https://fbref.com/en/players/b3f36e72/Zian-Flemming" TargetMode="External"/><Relationship Id="rId644" Type="http://schemas.openxmlformats.org/officeDocument/2006/relationships/hyperlink" Target="https://fbref.com/en/players/5ff4ab71/matchlogs/2025-2026/summary/Enzo-Fernandez-Match-Logs" TargetMode="External"/><Relationship Id="rId643" Type="http://schemas.openxmlformats.org/officeDocument/2006/relationships/hyperlink" Target="https://fbref.com/en/squads/cff3d9bb/Chelsea-Stats" TargetMode="External"/><Relationship Id="rId649" Type="http://schemas.openxmlformats.org/officeDocument/2006/relationships/hyperlink" Target="https://fbref.com/en/players/38a6c944/Jack-Fletcher" TargetMode="External"/><Relationship Id="rId648" Type="http://schemas.openxmlformats.org/officeDocument/2006/relationships/hyperlink" Target="https://fbref.com/en/players/b3f36e72/matchlogs/2025-2026/summary/Zian-Flemming-Match-Logs" TargetMode="External"/><Relationship Id="rId647" Type="http://schemas.openxmlformats.org/officeDocument/2006/relationships/hyperlink" Target="https://fbref.com/en/squads/943e8050/Burnley-Stats" TargetMode="External"/><Relationship Id="rId1470" Type="http://schemas.openxmlformats.org/officeDocument/2006/relationships/hyperlink" Target="https://fbref.com/en/country/ENG/England-Football" TargetMode="External"/><Relationship Id="rId1471" Type="http://schemas.openxmlformats.org/officeDocument/2006/relationships/hyperlink" Target="https://fbref.com/en/squads/b2b47a98/Newcastle-United-Stats" TargetMode="External"/><Relationship Id="rId1472" Type="http://schemas.openxmlformats.org/officeDocument/2006/relationships/hyperlink" Target="https://fbref.com/en/players/de112b84/matchlogs/2025-2026/summary/Jacob-Murphy-Match-Logs" TargetMode="External"/><Relationship Id="rId642" Type="http://schemas.openxmlformats.org/officeDocument/2006/relationships/hyperlink" Target="https://fbref.com/en/country/ARG/Argentina-Football" TargetMode="External"/><Relationship Id="rId1473" Type="http://schemas.openxmlformats.org/officeDocument/2006/relationships/hyperlink" Target="https://fbref.com/en/players/30d4a2e5/Vitaliy-Mykolenko" TargetMode="External"/><Relationship Id="rId641" Type="http://schemas.openxmlformats.org/officeDocument/2006/relationships/hyperlink" Target="https://fbref.com/en/players/5ff4ab71/Enzo-Fernandez" TargetMode="External"/><Relationship Id="rId1474" Type="http://schemas.openxmlformats.org/officeDocument/2006/relationships/hyperlink" Target="https://fbref.com/en/country/UKR/Ukraine-Football" TargetMode="External"/><Relationship Id="rId640" Type="http://schemas.openxmlformats.org/officeDocument/2006/relationships/hyperlink" Target="https://fbref.com/en/players/ef491564/matchlogs/2025-2026/summary/Mateus-Fernandes-Match-Logs" TargetMode="External"/><Relationship Id="rId1475" Type="http://schemas.openxmlformats.org/officeDocument/2006/relationships/hyperlink" Target="https://fbref.com/en/squads/d3fd31cc/Everton-Stats" TargetMode="External"/><Relationship Id="rId1476" Type="http://schemas.openxmlformats.org/officeDocument/2006/relationships/hyperlink" Target="https://fbref.com/en/players/30d4a2e5/matchlogs/2025-2026/summary/Vitaliy-Mykolenko-Match-Logs" TargetMode="External"/><Relationship Id="rId1466" Type="http://schemas.openxmlformats.org/officeDocument/2006/relationships/hyperlink" Target="https://fbref.com/en/country/IRL/Republic-of-Ireland-Football" TargetMode="External"/><Relationship Id="rId1467" Type="http://schemas.openxmlformats.org/officeDocument/2006/relationships/hyperlink" Target="https://fbref.com/en/squads/b2b47a98/Newcastle-United-Stats" TargetMode="External"/><Relationship Id="rId1468" Type="http://schemas.openxmlformats.org/officeDocument/2006/relationships/hyperlink" Target="https://fbref.com/en/players/f1c42eb3/matchlogs/2025-2026/summary/Alex-Murphy-Match-Logs" TargetMode="External"/><Relationship Id="rId1469" Type="http://schemas.openxmlformats.org/officeDocument/2006/relationships/hyperlink" Target="https://fbref.com/en/players/de112b84/Jacob-Murphy" TargetMode="External"/><Relationship Id="rId635" Type="http://schemas.openxmlformats.org/officeDocument/2006/relationships/hyperlink" Target="https://fbref.com/en/squads/19538871/Manchester-United-Stats" TargetMode="External"/><Relationship Id="rId634" Type="http://schemas.openxmlformats.org/officeDocument/2006/relationships/hyperlink" Target="https://fbref.com/en/country/POR/Portugal-Football" TargetMode="External"/><Relationship Id="rId633" Type="http://schemas.openxmlformats.org/officeDocument/2006/relationships/hyperlink" Target="https://fbref.com/en/players/507c7bdf/Bruno-Fernandes" TargetMode="External"/><Relationship Id="rId632" Type="http://schemas.openxmlformats.org/officeDocument/2006/relationships/hyperlink" Target="https://fbref.com/en/players/ae4fc6a4/matchlogs/2025-2026/summary/Eberechi-Eze-Match-Logs" TargetMode="External"/><Relationship Id="rId639" Type="http://schemas.openxmlformats.org/officeDocument/2006/relationships/hyperlink" Target="https://fbref.com/en/squads/7c21e445/West-Ham-United-Stats" TargetMode="External"/><Relationship Id="rId638" Type="http://schemas.openxmlformats.org/officeDocument/2006/relationships/hyperlink" Target="https://fbref.com/en/country/POR/Portugal-Football" TargetMode="External"/><Relationship Id="rId637" Type="http://schemas.openxmlformats.org/officeDocument/2006/relationships/hyperlink" Target="https://fbref.com/en/players/ef491564/Mateus-Fernandes" TargetMode="External"/><Relationship Id="rId636" Type="http://schemas.openxmlformats.org/officeDocument/2006/relationships/hyperlink" Target="https://fbref.com/en/players/507c7bdf/matchlogs/2025-2026/summary/Bruno-Fernandes-Match-Logs" TargetMode="External"/><Relationship Id="rId1460" Type="http://schemas.openxmlformats.org/officeDocument/2006/relationships/hyperlink" Target="https://fbref.com/en/players/778ef829/matchlogs/2025-2026/summary/Daniel-Munoz-Match-Logs" TargetMode="External"/><Relationship Id="rId1461" Type="http://schemas.openxmlformats.org/officeDocument/2006/relationships/hyperlink" Target="https://fbref.com/en/players/1704b0b8/Murillo" TargetMode="External"/><Relationship Id="rId631" Type="http://schemas.openxmlformats.org/officeDocument/2006/relationships/hyperlink" Target="https://fbref.com/en/squads/18bb7c10/Arsenal-Stats" TargetMode="External"/><Relationship Id="rId1462" Type="http://schemas.openxmlformats.org/officeDocument/2006/relationships/hyperlink" Target="https://fbref.com/en/country/BRA/Brazil-Football" TargetMode="External"/><Relationship Id="rId630" Type="http://schemas.openxmlformats.org/officeDocument/2006/relationships/hyperlink" Target="https://fbref.com/en/country/ENG/England-Football" TargetMode="External"/><Relationship Id="rId1463" Type="http://schemas.openxmlformats.org/officeDocument/2006/relationships/hyperlink" Target="https://fbref.com/en/squads/e4a775cb/Nottingham-Forest-Stats" TargetMode="External"/><Relationship Id="rId1464" Type="http://schemas.openxmlformats.org/officeDocument/2006/relationships/hyperlink" Target="https://fbref.com/en/players/1704b0b8/matchlogs/2025-2026/summary/Murillo-Match-Logs" TargetMode="External"/><Relationship Id="rId1465" Type="http://schemas.openxmlformats.org/officeDocument/2006/relationships/hyperlink" Target="https://fbref.com/en/players/f1c42eb3/Alex-Murphy" TargetMode="External"/><Relationship Id="rId1411" Type="http://schemas.openxmlformats.org/officeDocument/2006/relationships/hyperlink" Target="https://fbref.com/en/squads/d07537b9/Brighton-and-Hove-Albion-Stats" TargetMode="External"/><Relationship Id="rId1895" Type="http://schemas.openxmlformats.org/officeDocument/2006/relationships/hyperlink" Target="https://fbref.com/en/squads/361ca564/Tottenham-Hotspur-Stats" TargetMode="External"/><Relationship Id="rId1412" Type="http://schemas.openxmlformats.org/officeDocument/2006/relationships/hyperlink" Target="https://fbref.com/en/players/c3cf087d/matchlogs/2025-2026/summary/Yankuba-Minteh-Match-Logs" TargetMode="External"/><Relationship Id="rId1896" Type="http://schemas.openxmlformats.org/officeDocument/2006/relationships/hyperlink" Target="https://fbref.com/en/players/9bc9a519/matchlogs/2025-2026/summary/Djed-Spence-Match-Logs" TargetMode="External"/><Relationship Id="rId1413" Type="http://schemas.openxmlformats.org/officeDocument/2006/relationships/hyperlink" Target="https://fbref.com/en/players/5cbd1eb0/Tyrick-Mitchell" TargetMode="External"/><Relationship Id="rId1897" Type="http://schemas.openxmlformats.org/officeDocument/2006/relationships/hyperlink" Target="https://fbref.com/en/players/0f59a7bf/Anton-Stach" TargetMode="External"/><Relationship Id="rId1414" Type="http://schemas.openxmlformats.org/officeDocument/2006/relationships/hyperlink" Target="https://fbref.com/en/country/ENG/England-Football" TargetMode="External"/><Relationship Id="rId1898" Type="http://schemas.openxmlformats.org/officeDocument/2006/relationships/hyperlink" Target="https://fbref.com/en/country/GER/Germany-Football" TargetMode="External"/><Relationship Id="rId1415" Type="http://schemas.openxmlformats.org/officeDocument/2006/relationships/hyperlink" Target="https://fbref.com/en/squads/47c64c55/Crystal-Palace-Stats" TargetMode="External"/><Relationship Id="rId1899" Type="http://schemas.openxmlformats.org/officeDocument/2006/relationships/hyperlink" Target="https://fbref.com/en/squads/5bfb9659/Leeds-United-Stats" TargetMode="External"/><Relationship Id="rId1416" Type="http://schemas.openxmlformats.org/officeDocument/2006/relationships/hyperlink" Target="https://fbref.com/en/players/5cbd1eb0/matchlogs/2025-2026/summary/Tyrick-Mitchell-Match-Logs" TargetMode="External"/><Relationship Id="rId1417" Type="http://schemas.openxmlformats.org/officeDocument/2006/relationships/hyperlink" Target="https://fbref.com/en/players/74618572/Kaoru-Mitoma" TargetMode="External"/><Relationship Id="rId1418" Type="http://schemas.openxmlformats.org/officeDocument/2006/relationships/hyperlink" Target="https://fbref.com/en/country/JPN/Japan-Football" TargetMode="External"/><Relationship Id="rId1419" Type="http://schemas.openxmlformats.org/officeDocument/2006/relationships/hyperlink" Target="https://fbref.com/en/squads/d07537b9/Brighton-and-Hove-Albion-Stats" TargetMode="External"/><Relationship Id="rId1890" Type="http://schemas.openxmlformats.org/officeDocument/2006/relationships/hyperlink" Target="https://fbref.com/en/country/BRA/Brazil-Football" TargetMode="External"/><Relationship Id="rId1891" Type="http://schemas.openxmlformats.org/officeDocument/2006/relationships/hyperlink" Target="https://fbref.com/en/squads/361ca564/Tottenham-Hotspur-Stats" TargetMode="External"/><Relationship Id="rId1892" Type="http://schemas.openxmlformats.org/officeDocument/2006/relationships/hyperlink" Target="https://fbref.com/en/players/10b0c6f4/matchlogs/2025-2026/summary/Souza-Match-Logs" TargetMode="External"/><Relationship Id="rId1893" Type="http://schemas.openxmlformats.org/officeDocument/2006/relationships/hyperlink" Target="https://fbref.com/en/players/9bc9a519/Djed-Spence" TargetMode="External"/><Relationship Id="rId1410" Type="http://schemas.openxmlformats.org/officeDocument/2006/relationships/hyperlink" Target="https://fbref.com/en/country/GAM/Gambia-Football" TargetMode="External"/><Relationship Id="rId1894" Type="http://schemas.openxmlformats.org/officeDocument/2006/relationships/hyperlink" Target="https://fbref.com/en/country/ENG/England-Football" TargetMode="External"/><Relationship Id="rId1400" Type="http://schemas.openxmlformats.org/officeDocument/2006/relationships/hyperlink" Target="https://fbref.com/en/players/2f90f6b8/matchlogs/2025-2026/summary/James-Milner-Match-Logs" TargetMode="External"/><Relationship Id="rId1884" Type="http://schemas.openxmlformats.org/officeDocument/2006/relationships/hyperlink" Target="https://fbref.com/en/players/af0d79a9/matchlogs/2025-2026/summary/Borna-Sosa-Match-Logs" TargetMode="External"/><Relationship Id="rId1401" Type="http://schemas.openxmlformats.org/officeDocument/2006/relationships/hyperlink" Target="https://fbref.com/en/players/c478319d/Veljko-Milosavljevic" TargetMode="External"/><Relationship Id="rId1885" Type="http://schemas.openxmlformats.org/officeDocument/2006/relationships/hyperlink" Target="https://fbref.com/en/players/6613c819/Tomas-Soucek" TargetMode="External"/><Relationship Id="rId1402" Type="http://schemas.openxmlformats.org/officeDocument/2006/relationships/hyperlink" Target="https://fbref.com/en/country/SRB/Serbia-Football" TargetMode="External"/><Relationship Id="rId1886" Type="http://schemas.openxmlformats.org/officeDocument/2006/relationships/hyperlink" Target="https://fbref.com/en/country/CZE/Czech-Republic-Football" TargetMode="External"/><Relationship Id="rId1403" Type="http://schemas.openxmlformats.org/officeDocument/2006/relationships/hyperlink" Target="https://fbref.com/en/squads/4ba7cbea/Bournemouth-Stats" TargetMode="External"/><Relationship Id="rId1887" Type="http://schemas.openxmlformats.org/officeDocument/2006/relationships/hyperlink" Target="https://fbref.com/en/squads/7c21e445/West-Ham-United-Stats" TargetMode="External"/><Relationship Id="rId1404" Type="http://schemas.openxmlformats.org/officeDocument/2006/relationships/hyperlink" Target="https://fbref.com/en/players/c478319d/matchlogs/2025-2026/summary/Veljko-Milosavljevic-Match-Logs" TargetMode="External"/><Relationship Id="rId1888" Type="http://schemas.openxmlformats.org/officeDocument/2006/relationships/hyperlink" Target="https://fbref.com/en/players/6613c819/matchlogs/2025-2026/summary/Tomas-Soucek-Match-Logs" TargetMode="External"/><Relationship Id="rId1405" Type="http://schemas.openxmlformats.org/officeDocument/2006/relationships/hyperlink" Target="https://fbref.com/en/players/8397a50c/Tyrone-Mings" TargetMode="External"/><Relationship Id="rId1889" Type="http://schemas.openxmlformats.org/officeDocument/2006/relationships/hyperlink" Target="https://fbref.com/en/players/10b0c6f4/Souza" TargetMode="External"/><Relationship Id="rId1406" Type="http://schemas.openxmlformats.org/officeDocument/2006/relationships/hyperlink" Target="https://fbref.com/en/country/ENG/England-Football" TargetMode="External"/><Relationship Id="rId1407" Type="http://schemas.openxmlformats.org/officeDocument/2006/relationships/hyperlink" Target="https://fbref.com/en/squads/8602292d/Aston-Villa-Stats" TargetMode="External"/><Relationship Id="rId1408" Type="http://schemas.openxmlformats.org/officeDocument/2006/relationships/hyperlink" Target="https://fbref.com/en/players/8397a50c/matchlogs/2025-2026/summary/Tyrone-Mings-Match-Logs" TargetMode="External"/><Relationship Id="rId1409" Type="http://schemas.openxmlformats.org/officeDocument/2006/relationships/hyperlink" Target="https://fbref.com/en/players/c3cf087d/Yankuba-Minteh" TargetMode="External"/><Relationship Id="rId1880" Type="http://schemas.openxmlformats.org/officeDocument/2006/relationships/hyperlink" Target="https://fbref.com/en/players/b66b8d5e/matchlogs/2025-2026/summary/Oliver-Sonne-Match-Logs" TargetMode="External"/><Relationship Id="rId1881" Type="http://schemas.openxmlformats.org/officeDocument/2006/relationships/hyperlink" Target="https://fbref.com/en/players/af0d79a9/Borna-Sosa" TargetMode="External"/><Relationship Id="rId1882" Type="http://schemas.openxmlformats.org/officeDocument/2006/relationships/hyperlink" Target="https://fbref.com/en/country/CRO/Croatia-Football" TargetMode="External"/><Relationship Id="rId1883" Type="http://schemas.openxmlformats.org/officeDocument/2006/relationships/hyperlink" Target="https://fbref.com/en/squads/47c64c55/Crystal-Palace-Stats" TargetMode="External"/><Relationship Id="rId1433" Type="http://schemas.openxmlformats.org/officeDocument/2006/relationships/hyperlink" Target="https://fbref.com/en/players/9674002f/Mason-Mount" TargetMode="External"/><Relationship Id="rId1434" Type="http://schemas.openxmlformats.org/officeDocument/2006/relationships/hyperlink" Target="https://fbref.com/en/country/ENG/England-Football" TargetMode="External"/><Relationship Id="rId1435" Type="http://schemas.openxmlformats.org/officeDocument/2006/relationships/hyperlink" Target="https://fbref.com/en/squads/19538871/Manchester-United-Stats" TargetMode="External"/><Relationship Id="rId1436" Type="http://schemas.openxmlformats.org/officeDocument/2006/relationships/hyperlink" Target="https://fbref.com/en/players/9674002f/matchlogs/2025-2026/summary/Mason-Mount-Match-Logs" TargetMode="External"/><Relationship Id="rId1437" Type="http://schemas.openxmlformats.org/officeDocument/2006/relationships/hyperlink" Target="https://fbref.com/en/players/ce7ae86a/Divine-Mukasa" TargetMode="External"/><Relationship Id="rId1438" Type="http://schemas.openxmlformats.org/officeDocument/2006/relationships/hyperlink" Target="https://fbref.com/en/country/ENG/England-Football" TargetMode="External"/><Relationship Id="rId1439" Type="http://schemas.openxmlformats.org/officeDocument/2006/relationships/hyperlink" Target="https://fbref.com/en/squads/b8fd03ef/Manchester-City-Stats" TargetMode="External"/><Relationship Id="rId609" Type="http://schemas.openxmlformats.org/officeDocument/2006/relationships/hyperlink" Target="https://fbref.com/en/players/87189f25/Romain-Esse" TargetMode="External"/><Relationship Id="rId608" Type="http://schemas.openxmlformats.org/officeDocument/2006/relationships/hyperlink" Target="https://fbref.com/en/players/c149016b/matchlogs/2025-2026/summary/Wataru-Endo-Match-Logs" TargetMode="External"/><Relationship Id="rId607" Type="http://schemas.openxmlformats.org/officeDocument/2006/relationships/hyperlink" Target="https://fbref.com/en/squads/822bd0ba/Liverpool-Stats" TargetMode="External"/><Relationship Id="rId602" Type="http://schemas.openxmlformats.org/officeDocument/2006/relationships/hyperlink" Target="https://fbref.com/en/country/ENG/England-Football" TargetMode="External"/><Relationship Id="rId601" Type="http://schemas.openxmlformats.org/officeDocument/2006/relationships/hyperlink" Target="https://fbref.com/en/players/b9e1436c/Harvey-Elliott" TargetMode="External"/><Relationship Id="rId600" Type="http://schemas.openxmlformats.org/officeDocument/2006/relationships/hyperlink" Target="https://fbref.com/en/players/b9e1436c/matchlogs/2025-2026/summary/Harvey-Elliott-Match-Logs" TargetMode="External"/><Relationship Id="rId606" Type="http://schemas.openxmlformats.org/officeDocument/2006/relationships/hyperlink" Target="https://fbref.com/en/country/JPN/Japan-Football" TargetMode="External"/><Relationship Id="rId605" Type="http://schemas.openxmlformats.org/officeDocument/2006/relationships/hyperlink" Target="https://fbref.com/en/players/c149016b/Wataru-Endo" TargetMode="External"/><Relationship Id="rId604" Type="http://schemas.openxmlformats.org/officeDocument/2006/relationships/hyperlink" Target="https://fbref.com/en/players/b9e1436c/matchlogs/2025-2026/summary/Harvey-Elliott-Match-Logs" TargetMode="External"/><Relationship Id="rId603" Type="http://schemas.openxmlformats.org/officeDocument/2006/relationships/hyperlink" Target="https://fbref.com/en/squads/8602292d/Aston-Villa-Stats" TargetMode="External"/><Relationship Id="rId1430" Type="http://schemas.openxmlformats.org/officeDocument/2006/relationships/hyperlink" Target="https://fbref.com/en/country/COL/Colombia-Football" TargetMode="External"/><Relationship Id="rId1431" Type="http://schemas.openxmlformats.org/officeDocument/2006/relationships/hyperlink" Target="https://fbref.com/en/squads/8cec06e1/Wolverhampton-Wanderers-Stats" TargetMode="External"/><Relationship Id="rId1432" Type="http://schemas.openxmlformats.org/officeDocument/2006/relationships/hyperlink" Target="https://fbref.com/en/players/1e159d70/matchlogs/2025-2026/summary/Yerson-Mosquera-Match-Logs" TargetMode="External"/><Relationship Id="rId1422" Type="http://schemas.openxmlformats.org/officeDocument/2006/relationships/hyperlink" Target="https://fbref.com/en/country/BRA/Brazil-Football" TargetMode="External"/><Relationship Id="rId1423" Type="http://schemas.openxmlformats.org/officeDocument/2006/relationships/hyperlink" Target="https://fbref.com/en/squads/e4a775cb/Nottingham-Forest-Stats" TargetMode="External"/><Relationship Id="rId1424" Type="http://schemas.openxmlformats.org/officeDocument/2006/relationships/hyperlink" Target="https://fbref.com/en/players/0f41e2ee/matchlogs/2025-2026/summary/Morato-Match-Logs" TargetMode="External"/><Relationship Id="rId1425" Type="http://schemas.openxmlformats.org/officeDocument/2006/relationships/hyperlink" Target="https://fbref.com/en/players/dc1ce4f5/Cristhian-Mosquera" TargetMode="External"/><Relationship Id="rId1426" Type="http://schemas.openxmlformats.org/officeDocument/2006/relationships/hyperlink" Target="https://fbref.com/en/country/ESP/Spain-Football" TargetMode="External"/><Relationship Id="rId1427" Type="http://schemas.openxmlformats.org/officeDocument/2006/relationships/hyperlink" Target="https://fbref.com/en/squads/18bb7c10/Arsenal-Stats" TargetMode="External"/><Relationship Id="rId1428" Type="http://schemas.openxmlformats.org/officeDocument/2006/relationships/hyperlink" Target="https://fbref.com/en/players/dc1ce4f5/matchlogs/2025-2026/summary/Cristhian-Mosquera-Match-Logs" TargetMode="External"/><Relationship Id="rId1429" Type="http://schemas.openxmlformats.org/officeDocument/2006/relationships/hyperlink" Target="https://fbref.com/en/players/1e159d70/Yerson-Mosquera" TargetMode="External"/><Relationship Id="rId1420" Type="http://schemas.openxmlformats.org/officeDocument/2006/relationships/hyperlink" Target="https://fbref.com/en/players/74618572/matchlogs/2025-2026/summary/Kaoru-Mitoma-Match-Logs" TargetMode="External"/><Relationship Id="rId1421" Type="http://schemas.openxmlformats.org/officeDocument/2006/relationships/hyperlink" Target="https://fbref.com/en/players/0f41e2ee/Morato" TargetMode="External"/><Relationship Id="rId1059" Type="http://schemas.openxmlformats.org/officeDocument/2006/relationships/hyperlink" Target="https://fbref.com/en/squads/e4a775cb/Nottingham-Forest-Stats" TargetMode="External"/><Relationship Id="rId228" Type="http://schemas.openxmlformats.org/officeDocument/2006/relationships/hyperlink" Target="https://fbref.com/en/players/eed2427e/matchlogs/2025-2026/summary/Oscar-Bobb-Match-Logs" TargetMode="External"/><Relationship Id="rId227" Type="http://schemas.openxmlformats.org/officeDocument/2006/relationships/hyperlink" Target="https://fbref.com/en/squads/b8fd03ef/Manchester-City-Stats" TargetMode="External"/><Relationship Id="rId226" Type="http://schemas.openxmlformats.org/officeDocument/2006/relationships/hyperlink" Target="https://fbref.com/en/country/NOR/Norway-Football" TargetMode="External"/><Relationship Id="rId225" Type="http://schemas.openxmlformats.org/officeDocument/2006/relationships/hyperlink" Target="https://fbref.com/en/players/eed2427e/Oscar-Bobb" TargetMode="External"/><Relationship Id="rId229" Type="http://schemas.openxmlformats.org/officeDocument/2006/relationships/hyperlink" Target="https://fbref.com/en/players/eed2427e/Oscar-Bobb" TargetMode="External"/><Relationship Id="rId1050" Type="http://schemas.openxmlformats.org/officeDocument/2006/relationships/hyperlink" Target="https://fbref.com/en/country/TUR/Turkey-Football" TargetMode="External"/><Relationship Id="rId220" Type="http://schemas.openxmlformats.org/officeDocument/2006/relationships/hyperlink" Target="https://fbref.com/en/players/6c203af0/matchlogs/2025-2026/summary/Yves-Bissouma-Match-Logs" TargetMode="External"/><Relationship Id="rId1051" Type="http://schemas.openxmlformats.org/officeDocument/2006/relationships/hyperlink" Target="https://fbref.com/en/squads/d07537b9/Brighton-and-Hove-Albion-Stats" TargetMode="External"/><Relationship Id="rId1052" Type="http://schemas.openxmlformats.org/officeDocument/2006/relationships/hyperlink" Target="https://fbref.com/en/players/66c52a77/matchlogs/2025-2026/summary/Ferdi-Kadioglu-Match-Logs" TargetMode="External"/><Relationship Id="rId1053" Type="http://schemas.openxmlformats.org/officeDocument/2006/relationships/hyperlink" Target="https://fbref.com/en/players/15f24fe7/Sasa-Kalajdzic" TargetMode="External"/><Relationship Id="rId1054" Type="http://schemas.openxmlformats.org/officeDocument/2006/relationships/hyperlink" Target="https://fbref.com/en/country/AUT/Austria-Football" TargetMode="External"/><Relationship Id="rId224" Type="http://schemas.openxmlformats.org/officeDocument/2006/relationships/hyperlink" Target="https://fbref.com/en/players/3d214e5f/matchlogs/2025-2026/summary/Marco-Bizot-Match-Logs" TargetMode="External"/><Relationship Id="rId1055" Type="http://schemas.openxmlformats.org/officeDocument/2006/relationships/hyperlink" Target="https://fbref.com/en/squads/8cec06e1/Wolverhampton-Wanderers-Stats" TargetMode="External"/><Relationship Id="rId223" Type="http://schemas.openxmlformats.org/officeDocument/2006/relationships/hyperlink" Target="https://fbref.com/en/squads/8602292d/Aston-Villa-Stats" TargetMode="External"/><Relationship Id="rId1056" Type="http://schemas.openxmlformats.org/officeDocument/2006/relationships/hyperlink" Target="https://fbref.com/en/players/15f24fe7/matchlogs/2025-2026/summary/Sasa-Kalajdzic-Match-Logs" TargetMode="External"/><Relationship Id="rId222" Type="http://schemas.openxmlformats.org/officeDocument/2006/relationships/hyperlink" Target="https://fbref.com/en/country/NED/Netherlands-Football" TargetMode="External"/><Relationship Id="rId1057" Type="http://schemas.openxmlformats.org/officeDocument/2006/relationships/hyperlink" Target="https://fbref.com/en/players/bf4c41f9/Arnaud-Kalimuendo" TargetMode="External"/><Relationship Id="rId221" Type="http://schemas.openxmlformats.org/officeDocument/2006/relationships/hyperlink" Target="https://fbref.com/en/players/3d214e5f/Marco-Bizot" TargetMode="External"/><Relationship Id="rId1058" Type="http://schemas.openxmlformats.org/officeDocument/2006/relationships/hyperlink" Target="https://fbref.com/en/country/FRA/France-Football" TargetMode="External"/><Relationship Id="rId1048" Type="http://schemas.openxmlformats.org/officeDocument/2006/relationships/hyperlink" Target="https://fbref.com/en/players/0107757e/matchlogs/2025-2026/summary/Filip-Jorgensen-Match-Logs" TargetMode="External"/><Relationship Id="rId1049" Type="http://schemas.openxmlformats.org/officeDocument/2006/relationships/hyperlink" Target="https://fbref.com/en/players/66c52a77/Ferdi-Kadioglu" TargetMode="External"/><Relationship Id="rId217" Type="http://schemas.openxmlformats.org/officeDocument/2006/relationships/hyperlink" Target="https://fbref.com/en/players/6c203af0/Yves-Bissouma" TargetMode="External"/><Relationship Id="rId216" Type="http://schemas.openxmlformats.org/officeDocument/2006/relationships/hyperlink" Target="https://fbref.com/en/players/6fdac234/matchlogs/2025-2026/summary/Jaka-Bijol-Match-Logs" TargetMode="External"/><Relationship Id="rId215" Type="http://schemas.openxmlformats.org/officeDocument/2006/relationships/hyperlink" Target="https://fbref.com/en/squads/5bfb9659/Leeds-United-Stats" TargetMode="External"/><Relationship Id="rId699" Type="http://schemas.openxmlformats.org/officeDocument/2006/relationships/hyperlink" Target="https://fbref.com/en/squads/4ba7cbea/Bournemouth-Stats" TargetMode="External"/><Relationship Id="rId214" Type="http://schemas.openxmlformats.org/officeDocument/2006/relationships/hyperlink" Target="https://fbref.com/en/country/SVN/Slovenia-Football" TargetMode="External"/><Relationship Id="rId698" Type="http://schemas.openxmlformats.org/officeDocument/2006/relationships/hyperlink" Target="https://fbref.com/en/country/SCO/Scotland-Football" TargetMode="External"/><Relationship Id="rId219" Type="http://schemas.openxmlformats.org/officeDocument/2006/relationships/hyperlink" Target="https://fbref.com/en/squads/361ca564/Tottenham-Hotspur-Stats" TargetMode="External"/><Relationship Id="rId218" Type="http://schemas.openxmlformats.org/officeDocument/2006/relationships/hyperlink" Target="https://fbref.com/en/country/MLI/Mali-Football" TargetMode="External"/><Relationship Id="rId693" Type="http://schemas.openxmlformats.org/officeDocument/2006/relationships/hyperlink" Target="https://fbref.com/en/players/72c812f3/Idrissa-Gana-Gueye" TargetMode="External"/><Relationship Id="rId1040" Type="http://schemas.openxmlformats.org/officeDocument/2006/relationships/hyperlink" Target="https://fbref.com/en/players/570bb4b9/matchlogs/2025-2026/summary/Hamed-Junior-Traore-Match-Logs" TargetMode="External"/><Relationship Id="rId692" Type="http://schemas.openxmlformats.org/officeDocument/2006/relationships/hyperlink" Target="https://fbref.com/en/players/c2731c10/matchlogs/2025-2026/summary/Conor-Gallagher-Match-Logs" TargetMode="External"/><Relationship Id="rId1041" Type="http://schemas.openxmlformats.org/officeDocument/2006/relationships/hyperlink" Target="https://fbref.com/en/players/fb614c44/James-Justin" TargetMode="External"/><Relationship Id="rId691" Type="http://schemas.openxmlformats.org/officeDocument/2006/relationships/hyperlink" Target="https://fbref.com/en/squads/361ca564/Tottenham-Hotspur-Stats" TargetMode="External"/><Relationship Id="rId1042" Type="http://schemas.openxmlformats.org/officeDocument/2006/relationships/hyperlink" Target="https://fbref.com/en/country/ENG/England-Football" TargetMode="External"/><Relationship Id="rId690" Type="http://schemas.openxmlformats.org/officeDocument/2006/relationships/hyperlink" Target="https://fbref.com/en/country/ENG/England-Football" TargetMode="External"/><Relationship Id="rId1043" Type="http://schemas.openxmlformats.org/officeDocument/2006/relationships/hyperlink" Target="https://fbref.com/en/squads/5bfb9659/Leeds-United-Stats" TargetMode="External"/><Relationship Id="rId213" Type="http://schemas.openxmlformats.org/officeDocument/2006/relationships/hyperlink" Target="https://fbref.com/en/players/6fdac234/Jaka-Bijol" TargetMode="External"/><Relationship Id="rId697" Type="http://schemas.openxmlformats.org/officeDocument/2006/relationships/hyperlink" Target="https://fbref.com/en/players/733f1a7d/Ben-Gannon-Doak" TargetMode="External"/><Relationship Id="rId1044" Type="http://schemas.openxmlformats.org/officeDocument/2006/relationships/hyperlink" Target="https://fbref.com/en/players/fb614c44/matchlogs/2025-2026/summary/James-Justin-Match-Logs" TargetMode="External"/><Relationship Id="rId212" Type="http://schemas.openxmlformats.org/officeDocument/2006/relationships/hyperlink" Target="https://fbref.com/en/players/ed5c0319/matchlogs/2025-2026/summary/Beto-Match-Logs" TargetMode="External"/><Relationship Id="rId696" Type="http://schemas.openxmlformats.org/officeDocument/2006/relationships/hyperlink" Target="https://fbref.com/en/players/72c812f3/matchlogs/2025-2026/summary/Idrissa-Gana-Gueye-Match-Logs" TargetMode="External"/><Relationship Id="rId1045" Type="http://schemas.openxmlformats.org/officeDocument/2006/relationships/hyperlink" Target="https://fbref.com/en/players/0107757e/Filip-Jorgensen" TargetMode="External"/><Relationship Id="rId211" Type="http://schemas.openxmlformats.org/officeDocument/2006/relationships/hyperlink" Target="https://fbref.com/en/squads/d3fd31cc/Everton-Stats" TargetMode="External"/><Relationship Id="rId695" Type="http://schemas.openxmlformats.org/officeDocument/2006/relationships/hyperlink" Target="https://fbref.com/en/squads/d3fd31cc/Everton-Stats" TargetMode="External"/><Relationship Id="rId1046" Type="http://schemas.openxmlformats.org/officeDocument/2006/relationships/hyperlink" Target="https://fbref.com/en/country/DEN/Denmark-Football" TargetMode="External"/><Relationship Id="rId210" Type="http://schemas.openxmlformats.org/officeDocument/2006/relationships/hyperlink" Target="https://fbref.com/en/country/GNB/Guinea-Bissau-Football" TargetMode="External"/><Relationship Id="rId694" Type="http://schemas.openxmlformats.org/officeDocument/2006/relationships/hyperlink" Target="https://fbref.com/en/country/SEN/Senegal-Football" TargetMode="External"/><Relationship Id="rId1047" Type="http://schemas.openxmlformats.org/officeDocument/2006/relationships/hyperlink" Target="https://fbref.com/en/squads/cff3d9bb/Chelsea-Stats" TargetMode="External"/><Relationship Id="rId249" Type="http://schemas.openxmlformats.org/officeDocument/2006/relationships/hyperlink" Target="https://fbref.com/en/players/ccce7025/Sven-Botman" TargetMode="External"/><Relationship Id="rId248" Type="http://schemas.openxmlformats.org/officeDocument/2006/relationships/hyperlink" Target="https://fbref.com/en/players/403f5d20/matchlogs/2025-2026/summary/Olivier-Boscagli-Match-Logs" TargetMode="External"/><Relationship Id="rId247" Type="http://schemas.openxmlformats.org/officeDocument/2006/relationships/hyperlink" Target="https://fbref.com/en/squads/d07537b9/Brighton-and-Hove-Albion-Stats" TargetMode="External"/><Relationship Id="rId1070" Type="http://schemas.openxmlformats.org/officeDocument/2006/relationships/hyperlink" Target="https://fbref.com/en/country/FRA/France-Football" TargetMode="External"/><Relationship Id="rId1071" Type="http://schemas.openxmlformats.org/officeDocument/2006/relationships/hyperlink" Target="https://fbref.com/en/squads/7c21e445/West-Ham-United-Stats" TargetMode="External"/><Relationship Id="rId1072" Type="http://schemas.openxmlformats.org/officeDocument/2006/relationships/hyperlink" Target="https://fbref.com/en/players/0041f3e6/matchlogs/2025-2026/summary/Mohamadou-Kante-Match-Logs" TargetMode="External"/><Relationship Id="rId242" Type="http://schemas.openxmlformats.org/officeDocument/2006/relationships/hyperlink" Target="https://fbref.com/en/country/BEL/Belgium-Football" TargetMode="External"/><Relationship Id="rId1073" Type="http://schemas.openxmlformats.org/officeDocument/2006/relationships/hyperlink" Target="https://fbref.com/en/players/e19660a8/Michael-Kayode" TargetMode="External"/><Relationship Id="rId241" Type="http://schemas.openxmlformats.org/officeDocument/2006/relationships/hyperlink" Target="https://fbref.com/en/players/01834aa0/Sebastiaan-Bornauw" TargetMode="External"/><Relationship Id="rId1074" Type="http://schemas.openxmlformats.org/officeDocument/2006/relationships/hyperlink" Target="https://fbref.com/en/country/ITA/Italy-Football" TargetMode="External"/><Relationship Id="rId240" Type="http://schemas.openxmlformats.org/officeDocument/2006/relationships/hyperlink" Target="https://fbref.com/en/players/ae5019e6/matchlogs/2025-2026/summary/Jayden-Bogle-Match-Logs" TargetMode="External"/><Relationship Id="rId1075" Type="http://schemas.openxmlformats.org/officeDocument/2006/relationships/hyperlink" Target="https://fbref.com/en/squads/cd051869/Brentford-Stats" TargetMode="External"/><Relationship Id="rId1076" Type="http://schemas.openxmlformats.org/officeDocument/2006/relationships/hyperlink" Target="https://fbref.com/en/players/e19660a8/matchlogs/2025-2026/summary/Michael-Kayode-Match-Logs" TargetMode="External"/><Relationship Id="rId246" Type="http://schemas.openxmlformats.org/officeDocument/2006/relationships/hyperlink" Target="https://fbref.com/en/country/FRA/France-Football" TargetMode="External"/><Relationship Id="rId1077" Type="http://schemas.openxmlformats.org/officeDocument/2006/relationships/hyperlink" Target="https://fbref.com/en/players/c5b7c315/Michael-Keane" TargetMode="External"/><Relationship Id="rId245" Type="http://schemas.openxmlformats.org/officeDocument/2006/relationships/hyperlink" Target="https://fbref.com/en/players/403f5d20/Olivier-Boscagli" TargetMode="External"/><Relationship Id="rId1078" Type="http://schemas.openxmlformats.org/officeDocument/2006/relationships/hyperlink" Target="https://fbref.com/en/country/ENG/England-Football" TargetMode="External"/><Relationship Id="rId244" Type="http://schemas.openxmlformats.org/officeDocument/2006/relationships/hyperlink" Target="https://fbref.com/en/players/01834aa0/matchlogs/2025-2026/summary/Sebastiaan-Bornauw-Match-Logs" TargetMode="External"/><Relationship Id="rId1079" Type="http://schemas.openxmlformats.org/officeDocument/2006/relationships/hyperlink" Target="https://fbref.com/en/squads/d3fd31cc/Everton-Stats" TargetMode="External"/><Relationship Id="rId243" Type="http://schemas.openxmlformats.org/officeDocument/2006/relationships/hyperlink" Target="https://fbref.com/en/squads/5bfb9659/Leeds-United-Stats" TargetMode="External"/><Relationship Id="rId239" Type="http://schemas.openxmlformats.org/officeDocument/2006/relationships/hyperlink" Target="https://fbref.com/en/squads/5bfb9659/Leeds-United-Stats" TargetMode="External"/><Relationship Id="rId238" Type="http://schemas.openxmlformats.org/officeDocument/2006/relationships/hyperlink" Target="https://fbref.com/en/country/ENG/England-Football" TargetMode="External"/><Relationship Id="rId237" Type="http://schemas.openxmlformats.org/officeDocument/2006/relationships/hyperlink" Target="https://fbref.com/en/players/ae5019e6/Jayden-Bogle" TargetMode="External"/><Relationship Id="rId236" Type="http://schemas.openxmlformats.org/officeDocument/2006/relationships/hyperlink" Target="https://fbref.com/en/players/bca5c4a7/matchlogs/2025-2026/summary/Lamare-Bogarde-Match-Logs" TargetMode="External"/><Relationship Id="rId1060" Type="http://schemas.openxmlformats.org/officeDocument/2006/relationships/hyperlink" Target="https://fbref.com/en/players/bf4c41f9/matchlogs/2025-2026/summary/Arnaud-Kalimuendo-Match-Logs" TargetMode="External"/><Relationship Id="rId1061" Type="http://schemas.openxmlformats.org/officeDocument/2006/relationships/hyperlink" Target="https://fbref.com/en/players/15b287da/Daichi-Kamada" TargetMode="External"/><Relationship Id="rId231" Type="http://schemas.openxmlformats.org/officeDocument/2006/relationships/hyperlink" Target="https://fbref.com/en/squads/fd962109/Fulham-Stats" TargetMode="External"/><Relationship Id="rId1062" Type="http://schemas.openxmlformats.org/officeDocument/2006/relationships/hyperlink" Target="https://fbref.com/en/country/JPN/Japan-Football" TargetMode="External"/><Relationship Id="rId230" Type="http://schemas.openxmlformats.org/officeDocument/2006/relationships/hyperlink" Target="https://fbref.com/en/country/NOR/Norway-Football" TargetMode="External"/><Relationship Id="rId1063" Type="http://schemas.openxmlformats.org/officeDocument/2006/relationships/hyperlink" Target="https://fbref.com/en/squads/47c64c55/Crystal-Palace-Stats" TargetMode="External"/><Relationship Id="rId1064" Type="http://schemas.openxmlformats.org/officeDocument/2006/relationships/hyperlink" Target="https://fbref.com/en/players/15b287da/matchlogs/2025-2026/summary/Daichi-Kamada-Match-Logs" TargetMode="External"/><Relationship Id="rId1065" Type="http://schemas.openxmlformats.org/officeDocument/2006/relationships/hyperlink" Target="https://fbref.com/en/players/cc77354e/Boubacar-Kamara" TargetMode="External"/><Relationship Id="rId235" Type="http://schemas.openxmlformats.org/officeDocument/2006/relationships/hyperlink" Target="https://fbref.com/en/squads/8602292d/Aston-Villa-Stats" TargetMode="External"/><Relationship Id="rId1066" Type="http://schemas.openxmlformats.org/officeDocument/2006/relationships/hyperlink" Target="https://fbref.com/en/country/FRA/France-Football" TargetMode="External"/><Relationship Id="rId234" Type="http://schemas.openxmlformats.org/officeDocument/2006/relationships/hyperlink" Target="https://fbref.com/en/country/NED/Netherlands-Football" TargetMode="External"/><Relationship Id="rId1067" Type="http://schemas.openxmlformats.org/officeDocument/2006/relationships/hyperlink" Target="https://fbref.com/en/squads/8602292d/Aston-Villa-Stats" TargetMode="External"/><Relationship Id="rId233" Type="http://schemas.openxmlformats.org/officeDocument/2006/relationships/hyperlink" Target="https://fbref.com/en/players/bca5c4a7/Lamare-Bogarde" TargetMode="External"/><Relationship Id="rId1068" Type="http://schemas.openxmlformats.org/officeDocument/2006/relationships/hyperlink" Target="https://fbref.com/en/players/cc77354e/matchlogs/2025-2026/summary/Boubacar-Kamara-Match-Logs" TargetMode="External"/><Relationship Id="rId232" Type="http://schemas.openxmlformats.org/officeDocument/2006/relationships/hyperlink" Target="https://fbref.com/en/players/eed2427e/matchlogs/2025-2026/summary/Oscar-Bobb-Match-Logs" TargetMode="External"/><Relationship Id="rId1069" Type="http://schemas.openxmlformats.org/officeDocument/2006/relationships/hyperlink" Target="https://fbref.com/en/players/0041f3e6/Mohamadou-Kante" TargetMode="External"/><Relationship Id="rId1015" Type="http://schemas.openxmlformats.org/officeDocument/2006/relationships/hyperlink" Target="https://fbref.com/en/squads/e4a775cb/Nottingham-Forest-Stats" TargetMode="External"/><Relationship Id="rId1499" Type="http://schemas.openxmlformats.org/officeDocument/2006/relationships/hyperlink" Target="https://fbref.com/en/squads/cd051869/Brentford-Stats" TargetMode="External"/><Relationship Id="rId1016" Type="http://schemas.openxmlformats.org/officeDocument/2006/relationships/hyperlink" Target="https://fbref.com/en/players/33a235af/matchlogs/2025-2026/summary/John-Match-Logs" TargetMode="External"/><Relationship Id="rId1017" Type="http://schemas.openxmlformats.org/officeDocument/2006/relationships/hyperlink" Target="https://fbref.com/en/players/0cd31129/Brennan-Johnson" TargetMode="External"/><Relationship Id="rId1018" Type="http://schemas.openxmlformats.org/officeDocument/2006/relationships/hyperlink" Target="https://fbref.com/en/country/WAL/Wales-Football" TargetMode="External"/><Relationship Id="rId1019" Type="http://schemas.openxmlformats.org/officeDocument/2006/relationships/hyperlink" Target="https://fbref.com/en/squads/361ca564/Tottenham-Hotspur-Stats" TargetMode="External"/><Relationship Id="rId668" Type="http://schemas.openxmlformats.org/officeDocument/2006/relationships/hyperlink" Target="https://fbref.com/en/players/f84a807c/matchlogs/2025-2026/summary/Lyle-Foster-Match-Logs" TargetMode="External"/><Relationship Id="rId667" Type="http://schemas.openxmlformats.org/officeDocument/2006/relationships/hyperlink" Target="https://fbref.com/en/squads/943e8050/Burnley-Stats" TargetMode="External"/><Relationship Id="rId666" Type="http://schemas.openxmlformats.org/officeDocument/2006/relationships/hyperlink" Target="https://fbref.com/en/country/RSA/South-Africa-Football" TargetMode="External"/><Relationship Id="rId665" Type="http://schemas.openxmlformats.org/officeDocument/2006/relationships/hyperlink" Target="https://fbref.com/en/players/f84a807c/Lyle-Foster" TargetMode="External"/><Relationship Id="rId669" Type="http://schemas.openxmlformats.org/officeDocument/2006/relationships/hyperlink" Target="https://fbref.com/en/players/58630379/Tyler-Fredricson" TargetMode="External"/><Relationship Id="rId1490" Type="http://schemas.openxmlformats.org/officeDocument/2006/relationships/hyperlink" Target="https://fbref.com/en/country/ENG/England-Football" TargetMode="External"/><Relationship Id="rId660" Type="http://schemas.openxmlformats.org/officeDocument/2006/relationships/hyperlink" Target="https://fbref.com/en/players/ed1e53f3/matchlogs/2025-2026/summary/Phil-Foden-Match-Logs" TargetMode="External"/><Relationship Id="rId1491" Type="http://schemas.openxmlformats.org/officeDocument/2006/relationships/hyperlink" Target="https://fbref.com/en/squads/b2b47a98/Newcastle-United-Stats" TargetMode="External"/><Relationship Id="rId1492" Type="http://schemas.openxmlformats.org/officeDocument/2006/relationships/hyperlink" Target="https://fbref.com/en/players/ff392864/matchlogs/2025-2026/summary/Sean-Neave-Match-Logs" TargetMode="External"/><Relationship Id="rId1493" Type="http://schemas.openxmlformats.org/officeDocument/2006/relationships/hyperlink" Target="https://fbref.com/en/players/a47ad0f5/Dan-Neil" TargetMode="External"/><Relationship Id="rId1010" Type="http://schemas.openxmlformats.org/officeDocument/2006/relationships/hyperlink" Target="https://fbref.com/en/country/BRA/Brazil-Football" TargetMode="External"/><Relationship Id="rId1494" Type="http://schemas.openxmlformats.org/officeDocument/2006/relationships/hyperlink" Target="https://fbref.com/en/country/ENG/England-Football" TargetMode="External"/><Relationship Id="rId664" Type="http://schemas.openxmlformats.org/officeDocument/2006/relationships/hyperlink" Target="https://fbref.com/en/players/132a82f1/matchlogs/2025-2026/summary/Wesley-Fofana-Match-Logs" TargetMode="External"/><Relationship Id="rId1011" Type="http://schemas.openxmlformats.org/officeDocument/2006/relationships/hyperlink" Target="https://fbref.com/en/squads/b2b47a98/Newcastle-United-Stats" TargetMode="External"/><Relationship Id="rId1495" Type="http://schemas.openxmlformats.org/officeDocument/2006/relationships/hyperlink" Target="https://fbref.com/en/squads/8ef52968/Sunderland-Stats" TargetMode="External"/><Relationship Id="rId663" Type="http://schemas.openxmlformats.org/officeDocument/2006/relationships/hyperlink" Target="https://fbref.com/en/squads/cff3d9bb/Chelsea-Stats" TargetMode="External"/><Relationship Id="rId1012" Type="http://schemas.openxmlformats.org/officeDocument/2006/relationships/hyperlink" Target="https://fbref.com/en/players/c17bfb65/matchlogs/2025-2026/summary/Joelinton-Match-Logs" TargetMode="External"/><Relationship Id="rId1496" Type="http://schemas.openxmlformats.org/officeDocument/2006/relationships/hyperlink" Target="https://fbref.com/en/players/a47ad0f5/matchlogs/2025-2026/summary/Dan-Neil-Match-Logs" TargetMode="External"/><Relationship Id="rId662" Type="http://schemas.openxmlformats.org/officeDocument/2006/relationships/hyperlink" Target="https://fbref.com/en/country/FRA/France-Football" TargetMode="External"/><Relationship Id="rId1013" Type="http://schemas.openxmlformats.org/officeDocument/2006/relationships/hyperlink" Target="https://fbref.com/en/players/33a235af/John" TargetMode="External"/><Relationship Id="rId1497" Type="http://schemas.openxmlformats.org/officeDocument/2006/relationships/hyperlink" Target="https://fbref.com/en/players/c5bdb6e3/Reiss-Nelson" TargetMode="External"/><Relationship Id="rId661" Type="http://schemas.openxmlformats.org/officeDocument/2006/relationships/hyperlink" Target="https://fbref.com/en/players/132a82f1/Wesley-Fofana" TargetMode="External"/><Relationship Id="rId1014" Type="http://schemas.openxmlformats.org/officeDocument/2006/relationships/hyperlink" Target="https://fbref.com/en/country/BRA/Brazil-Football" TargetMode="External"/><Relationship Id="rId1498" Type="http://schemas.openxmlformats.org/officeDocument/2006/relationships/hyperlink" Target="https://fbref.com/en/country/ENG/England-Football" TargetMode="External"/><Relationship Id="rId1004" Type="http://schemas.openxmlformats.org/officeDocument/2006/relationships/hyperlink" Target="https://fbref.com/en/players/1e711234/matchlogs/2025-2026/summary/Jamaldeen-Jimoh-Match-Logs" TargetMode="External"/><Relationship Id="rId1488" Type="http://schemas.openxmlformats.org/officeDocument/2006/relationships/hyperlink" Target="https://fbref.com/en/players/8e697a8f/matchlogs/2025-2026/summary/Dan-Ndoye-Match-Logs" TargetMode="External"/><Relationship Id="rId1005" Type="http://schemas.openxmlformats.org/officeDocument/2006/relationships/hyperlink" Target="https://fbref.com/en/players/e8832875/Joao-Pedro" TargetMode="External"/><Relationship Id="rId1489" Type="http://schemas.openxmlformats.org/officeDocument/2006/relationships/hyperlink" Target="https://fbref.com/en/players/ff392864/Sean-Neave" TargetMode="External"/><Relationship Id="rId1006" Type="http://schemas.openxmlformats.org/officeDocument/2006/relationships/hyperlink" Target="https://fbref.com/en/country/BRA/Brazil-Football" TargetMode="External"/><Relationship Id="rId1007" Type="http://schemas.openxmlformats.org/officeDocument/2006/relationships/hyperlink" Target="https://fbref.com/en/squads/cff3d9bb/Chelsea-Stats" TargetMode="External"/><Relationship Id="rId1008" Type="http://schemas.openxmlformats.org/officeDocument/2006/relationships/hyperlink" Target="https://fbref.com/en/players/e8832875/matchlogs/2025-2026/summary/Joao-Pedro-Match-Logs" TargetMode="External"/><Relationship Id="rId1009" Type="http://schemas.openxmlformats.org/officeDocument/2006/relationships/hyperlink" Target="https://fbref.com/en/players/c17bfb65/Joelinton" TargetMode="External"/><Relationship Id="rId657" Type="http://schemas.openxmlformats.org/officeDocument/2006/relationships/hyperlink" Target="https://fbref.com/en/players/ed1e53f3/Phil-Foden" TargetMode="External"/><Relationship Id="rId656" Type="http://schemas.openxmlformats.org/officeDocument/2006/relationships/hyperlink" Target="https://fbref.com/en/players/81a92add/matchlogs/2025-2026/summary/Tyler-Fletcher-Match-Logs" TargetMode="External"/><Relationship Id="rId655" Type="http://schemas.openxmlformats.org/officeDocument/2006/relationships/hyperlink" Target="https://fbref.com/en/squads/19538871/Manchester-United-Stats" TargetMode="External"/><Relationship Id="rId654" Type="http://schemas.openxmlformats.org/officeDocument/2006/relationships/hyperlink" Target="https://fbref.com/en/country/SCO/Scotland-Football" TargetMode="External"/><Relationship Id="rId659" Type="http://schemas.openxmlformats.org/officeDocument/2006/relationships/hyperlink" Target="https://fbref.com/en/squads/b8fd03ef/Manchester-City-Stats" TargetMode="External"/><Relationship Id="rId658" Type="http://schemas.openxmlformats.org/officeDocument/2006/relationships/hyperlink" Target="https://fbref.com/en/country/ENG/England-Football" TargetMode="External"/><Relationship Id="rId1480" Type="http://schemas.openxmlformats.org/officeDocument/2006/relationships/hyperlink" Target="https://fbref.com/en/players/9affc5f2/matchlogs/2025-2026/summary/David-Moller-Wolfe-Match-Logs" TargetMode="External"/><Relationship Id="rId1481" Type="http://schemas.openxmlformats.org/officeDocument/2006/relationships/hyperlink" Target="https://fbref.com/en/players/5ed97752/Iliman-Ndiaye" TargetMode="External"/><Relationship Id="rId1482" Type="http://schemas.openxmlformats.org/officeDocument/2006/relationships/hyperlink" Target="https://fbref.com/en/country/SEN/Senegal-Football" TargetMode="External"/><Relationship Id="rId1483" Type="http://schemas.openxmlformats.org/officeDocument/2006/relationships/hyperlink" Target="https://fbref.com/en/squads/d3fd31cc/Everton-Stats" TargetMode="External"/><Relationship Id="rId653" Type="http://schemas.openxmlformats.org/officeDocument/2006/relationships/hyperlink" Target="https://fbref.com/en/players/81a92add/Tyler-Fletcher" TargetMode="External"/><Relationship Id="rId1000" Type="http://schemas.openxmlformats.org/officeDocument/2006/relationships/hyperlink" Target="https://fbref.com/en/players/b561db50/matchlogs/2025-2026/summary/Raul-Jimenez-Match-Logs" TargetMode="External"/><Relationship Id="rId1484" Type="http://schemas.openxmlformats.org/officeDocument/2006/relationships/hyperlink" Target="https://fbref.com/en/players/5ed97752/matchlogs/2025-2026/summary/Iliman-Ndiaye-Match-Logs" TargetMode="External"/><Relationship Id="rId652" Type="http://schemas.openxmlformats.org/officeDocument/2006/relationships/hyperlink" Target="https://fbref.com/en/players/38a6c944/matchlogs/2025-2026/summary/Jack-Fletcher-Match-Logs" TargetMode="External"/><Relationship Id="rId1001" Type="http://schemas.openxmlformats.org/officeDocument/2006/relationships/hyperlink" Target="https://fbref.com/en/players/1e711234/Jamaldeen-Jimoh" TargetMode="External"/><Relationship Id="rId1485" Type="http://schemas.openxmlformats.org/officeDocument/2006/relationships/hyperlink" Target="https://fbref.com/en/players/8e697a8f/Dan-Ndoye" TargetMode="External"/><Relationship Id="rId651" Type="http://schemas.openxmlformats.org/officeDocument/2006/relationships/hyperlink" Target="https://fbref.com/en/squads/19538871/Manchester-United-Stats" TargetMode="External"/><Relationship Id="rId1002" Type="http://schemas.openxmlformats.org/officeDocument/2006/relationships/hyperlink" Target="https://fbref.com/en/country/ENG/England-Football" TargetMode="External"/><Relationship Id="rId1486" Type="http://schemas.openxmlformats.org/officeDocument/2006/relationships/hyperlink" Target="https://fbref.com/en/country/SUI/Switzerland-Football" TargetMode="External"/><Relationship Id="rId650" Type="http://schemas.openxmlformats.org/officeDocument/2006/relationships/hyperlink" Target="https://fbref.com/en/country/ENG/England-Football" TargetMode="External"/><Relationship Id="rId1003" Type="http://schemas.openxmlformats.org/officeDocument/2006/relationships/hyperlink" Target="https://fbref.com/en/squads/8602292d/Aston-Villa-Stats" TargetMode="External"/><Relationship Id="rId1487" Type="http://schemas.openxmlformats.org/officeDocument/2006/relationships/hyperlink" Target="https://fbref.com/en/squads/e4a775cb/Nottingham-Forest-Stats" TargetMode="External"/><Relationship Id="rId1037" Type="http://schemas.openxmlformats.org/officeDocument/2006/relationships/hyperlink" Target="https://fbref.com/en/players/570bb4b9/Hamed-Junior-Traore" TargetMode="External"/><Relationship Id="rId1038" Type="http://schemas.openxmlformats.org/officeDocument/2006/relationships/hyperlink" Target="https://fbref.com/en/country/CIV/Cote-dIvoire-Football" TargetMode="External"/><Relationship Id="rId1039" Type="http://schemas.openxmlformats.org/officeDocument/2006/relationships/hyperlink" Target="https://fbref.com/en/squads/4ba7cbea/Bournemouth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a109e5c8/Lucas-Bergvall" TargetMode="External"/><Relationship Id="rId689" Type="http://schemas.openxmlformats.org/officeDocument/2006/relationships/hyperlink" Target="https://fbref.com/en/players/c2731c10/Conor-Gallagher" TargetMode="External"/><Relationship Id="rId204" Type="http://schemas.openxmlformats.org/officeDocument/2006/relationships/hyperlink" Target="https://fbref.com/en/players/d0b6129f/matchlogs/2025-2026/summary/Sander-Berge-Match-Logs" TargetMode="External"/><Relationship Id="rId688" Type="http://schemas.openxmlformats.org/officeDocument/2006/relationships/hyperlink" Target="https://fbref.com/en/players/1971591f/matchlogs/2025-2026/summary/Cody-Gakpo-Match-Logs" TargetMode="External"/><Relationship Id="rId203" Type="http://schemas.openxmlformats.org/officeDocument/2006/relationships/hyperlink" Target="https://fbref.com/en/squads/fd962109/Fulham-Stats" TargetMode="External"/><Relationship Id="rId687" Type="http://schemas.openxmlformats.org/officeDocument/2006/relationships/hyperlink" Target="https://fbref.com/en/squads/822bd0ba/Liverpool-Stats" TargetMode="External"/><Relationship Id="rId209" Type="http://schemas.openxmlformats.org/officeDocument/2006/relationships/hyperlink" Target="https://fbref.com/en/players/ed5c0319/Beto" TargetMode="External"/><Relationship Id="rId208" Type="http://schemas.openxmlformats.org/officeDocument/2006/relationships/hyperlink" Target="https://fbref.com/en/players/a109e5c8/matchlogs/2025-2026/summary/Lucas-Bergvall-Match-Logs" TargetMode="External"/><Relationship Id="rId207" Type="http://schemas.openxmlformats.org/officeDocument/2006/relationships/hyperlink" Target="https://fbref.com/en/squads/361ca564/Tottenham-Hotspur-Stats" TargetMode="External"/><Relationship Id="rId682" Type="http://schemas.openxmlformats.org/officeDocument/2006/relationships/hyperlink" Target="https://fbref.com/en/country/BEL/Belgium-Football" TargetMode="External"/><Relationship Id="rId681" Type="http://schemas.openxmlformats.org/officeDocument/2006/relationships/hyperlink" Target="https://fbref.com/en/players/9fea2579/Kaye-Furo" TargetMode="External"/><Relationship Id="rId1030" Type="http://schemas.openxmlformats.org/officeDocument/2006/relationships/hyperlink" Target="https://fbref.com/en/country/ENG/England-Football" TargetMode="External"/><Relationship Id="rId680" Type="http://schemas.openxmlformats.org/officeDocument/2006/relationships/hyperlink" Target="https://fbref.com/en/players/4f16405e/matchlogs/2025-2026/summary/Niclas-Fullkrug-Match-Logs" TargetMode="External"/><Relationship Id="rId1031" Type="http://schemas.openxmlformats.org/officeDocument/2006/relationships/hyperlink" Target="https://fbref.com/en/squads/822bd0ba/Liverpool-Stats" TargetMode="External"/><Relationship Id="rId1032" Type="http://schemas.openxmlformats.org/officeDocument/2006/relationships/hyperlink" Target="https://fbref.com/en/players/4fb9c88f/matchlogs/2025-2026/summary/Curtis-Jones-Match-Logs" TargetMode="External"/><Relationship Id="rId202" Type="http://schemas.openxmlformats.org/officeDocument/2006/relationships/hyperlink" Target="https://fbref.com/en/country/NOR/Norway-Football" TargetMode="External"/><Relationship Id="rId686" Type="http://schemas.openxmlformats.org/officeDocument/2006/relationships/hyperlink" Target="https://fbref.com/en/country/NED/Netherlands-Football" TargetMode="External"/><Relationship Id="rId1033" Type="http://schemas.openxmlformats.org/officeDocument/2006/relationships/hyperlink" Target="https://fbref.com/en/players/b2fe86e5/Eli-Junior-Kroupi" TargetMode="External"/><Relationship Id="rId201" Type="http://schemas.openxmlformats.org/officeDocument/2006/relationships/hyperlink" Target="https://fbref.com/en/players/d0b6129f/Sander-Berge" TargetMode="External"/><Relationship Id="rId685" Type="http://schemas.openxmlformats.org/officeDocument/2006/relationships/hyperlink" Target="https://fbref.com/en/players/1971591f/Cody-Gakpo" TargetMode="External"/><Relationship Id="rId1034" Type="http://schemas.openxmlformats.org/officeDocument/2006/relationships/hyperlink" Target="https://fbref.com/en/country/FRA/France-Football" TargetMode="External"/><Relationship Id="rId200" Type="http://schemas.openxmlformats.org/officeDocument/2006/relationships/hyperlink" Target="https://fbref.com/en/players/68db6358/matchlogs/2025-2026/summary/Daniel-Bentley-Match-Logs" TargetMode="External"/><Relationship Id="rId684" Type="http://schemas.openxmlformats.org/officeDocument/2006/relationships/hyperlink" Target="https://fbref.com/en/players/9fea2579/matchlogs/2025-2026/summary/Kaye-Furo-Match-Logs" TargetMode="External"/><Relationship Id="rId1035" Type="http://schemas.openxmlformats.org/officeDocument/2006/relationships/hyperlink" Target="https://fbref.com/en/squads/4ba7cbea/Bournemouth-Stats" TargetMode="External"/><Relationship Id="rId683" Type="http://schemas.openxmlformats.org/officeDocument/2006/relationships/hyperlink" Target="https://fbref.com/en/squads/cd051869/Brentford-Stats" TargetMode="External"/><Relationship Id="rId1036" Type="http://schemas.openxmlformats.org/officeDocument/2006/relationships/hyperlink" Target="https://fbref.com/en/players/b2fe86e5/matchlogs/2025-2026/summary/Eli-Junior-Kroupi-Match-Logs" TargetMode="External"/><Relationship Id="rId1026" Type="http://schemas.openxmlformats.org/officeDocument/2006/relationships/hyperlink" Target="https://fbref.com/en/country/ENG/England-Football" TargetMode="External"/><Relationship Id="rId1027" Type="http://schemas.openxmlformats.org/officeDocument/2006/relationships/hyperlink" Target="https://fbref.com/en/squads/8cec06e1/Wolverhampton-Wanderers-Stats" TargetMode="External"/><Relationship Id="rId1028" Type="http://schemas.openxmlformats.org/officeDocument/2006/relationships/hyperlink" Target="https://fbref.com/en/players/9e5708be/matchlogs/2025-2026/summary/Sam-Johnstone-Match-Logs" TargetMode="External"/><Relationship Id="rId1029" Type="http://schemas.openxmlformats.org/officeDocument/2006/relationships/hyperlink" Target="https://fbref.com/en/players/4fb9c88f/Curtis-Jones" TargetMode="External"/><Relationship Id="rId679" Type="http://schemas.openxmlformats.org/officeDocument/2006/relationships/hyperlink" Target="https://fbref.com/en/squads/7c21e445/West-Ham-United-Stats" TargetMode="External"/><Relationship Id="rId678" Type="http://schemas.openxmlformats.org/officeDocument/2006/relationships/hyperlink" Target="https://fbref.com/en/country/GER/Germany-Football" TargetMode="External"/><Relationship Id="rId677" Type="http://schemas.openxmlformats.org/officeDocument/2006/relationships/hyperlink" Target="https://fbref.com/en/players/4f16405e/Niclas-Fullkrug" TargetMode="External"/><Relationship Id="rId676" Type="http://schemas.openxmlformats.org/officeDocument/2006/relationships/hyperlink" Target="https://fbref.com/en/players/74f2e748/matchlogs/2025-2026/summary/Jeremie-Frimpong-Match-Logs" TargetMode="External"/><Relationship Id="rId671" Type="http://schemas.openxmlformats.org/officeDocument/2006/relationships/hyperlink" Target="https://fbref.com/en/squads/19538871/Manchester-United-Stats" TargetMode="External"/><Relationship Id="rId670" Type="http://schemas.openxmlformats.org/officeDocument/2006/relationships/hyperlink" Target="https://fbref.com/en/country/ENG/England-Football" TargetMode="External"/><Relationship Id="rId1020" Type="http://schemas.openxmlformats.org/officeDocument/2006/relationships/hyperlink" Target="https://fbref.com/en/players/0cd31129/matchlogs/2025-2026/summary/Brennan-Johnson-Match-Logs" TargetMode="External"/><Relationship Id="rId1021" Type="http://schemas.openxmlformats.org/officeDocument/2006/relationships/hyperlink" Target="https://fbref.com/en/players/0cd31129/Brennan-Johnson" TargetMode="External"/><Relationship Id="rId675" Type="http://schemas.openxmlformats.org/officeDocument/2006/relationships/hyperlink" Target="https://fbref.com/en/squads/822bd0ba/Liverpool-Stats" TargetMode="External"/><Relationship Id="rId1022" Type="http://schemas.openxmlformats.org/officeDocument/2006/relationships/hyperlink" Target="https://fbref.com/en/country/WAL/Wales-Football" TargetMode="External"/><Relationship Id="rId674" Type="http://schemas.openxmlformats.org/officeDocument/2006/relationships/hyperlink" Target="https://fbref.com/en/country/NED/Netherlands-Football" TargetMode="External"/><Relationship Id="rId1023" Type="http://schemas.openxmlformats.org/officeDocument/2006/relationships/hyperlink" Target="https://fbref.com/en/squads/47c64c55/Crystal-Palace-Stats" TargetMode="External"/><Relationship Id="rId673" Type="http://schemas.openxmlformats.org/officeDocument/2006/relationships/hyperlink" Target="https://fbref.com/en/players/74f2e748/Jeremie-Frimpong" TargetMode="External"/><Relationship Id="rId1024" Type="http://schemas.openxmlformats.org/officeDocument/2006/relationships/hyperlink" Target="https://fbref.com/en/players/0cd31129/matchlogs/2025-2026/summary/Brennan-Johnson-Match-Logs" TargetMode="External"/><Relationship Id="rId672" Type="http://schemas.openxmlformats.org/officeDocument/2006/relationships/hyperlink" Target="https://fbref.com/en/players/58630379/matchlogs/2025-2026/summary/Tyler-Fredricson-Match-Logs" TargetMode="External"/><Relationship Id="rId1025" Type="http://schemas.openxmlformats.org/officeDocument/2006/relationships/hyperlink" Target="https://fbref.com/en/players/9e5708be/Sam-Johnstone" TargetMode="External"/><Relationship Id="rId190" Type="http://schemas.openxmlformats.org/officeDocument/2006/relationships/hyperlink" Target="https://fbref.com/en/country/ARG/Argentina-Football" TargetMode="External"/><Relationship Id="rId194" Type="http://schemas.openxmlformats.org/officeDocument/2006/relationships/hyperlink" Target="https://fbref.com/en/country/URU/Uruguay-Football" TargetMode="External"/><Relationship Id="rId193" Type="http://schemas.openxmlformats.org/officeDocument/2006/relationships/hyperlink" Target="https://fbref.com/en/players/3b8674e6/Rodrigo-Bentancur" TargetMode="External"/><Relationship Id="rId192" Type="http://schemas.openxmlformats.org/officeDocument/2006/relationships/hyperlink" Target="https://fbref.com/en/players/8a2248b4/matchlogs/2025-2026/summary/Walter-Benitez-Match-Logs" TargetMode="External"/><Relationship Id="rId191" Type="http://schemas.openxmlformats.org/officeDocument/2006/relationships/hyperlink" Target="https://fbref.com/en/squads/47c64c55/Crystal-Palace-Stats" TargetMode="External"/><Relationship Id="rId187" Type="http://schemas.openxmlformats.org/officeDocument/2006/relationships/hyperlink" Target="https://fbref.com/en/squads/8cec06e1/Wolverhampton-Wanderers-Stats" TargetMode="External"/><Relationship Id="rId186" Type="http://schemas.openxmlformats.org/officeDocument/2006/relationships/hyperlink" Target="https://fbref.com/en/country/HAI/Haiti-Football" TargetMode="External"/><Relationship Id="rId185" Type="http://schemas.openxmlformats.org/officeDocument/2006/relationships/hyperlink" Target="https://fbref.com/en/players/10f0fdd3/Jean-Ricner-Bellegarde" TargetMode="External"/><Relationship Id="rId184" Type="http://schemas.openxmlformats.org/officeDocument/2006/relationships/hyperlink" Target="https://fbref.com/en/players/072e68ed/matchlogs/2025-2026/summary/Altay-Bayindir-Match-Logs" TargetMode="External"/><Relationship Id="rId189" Type="http://schemas.openxmlformats.org/officeDocument/2006/relationships/hyperlink" Target="https://fbref.com/en/players/8a2248b4/Walter-Benitez" TargetMode="External"/><Relationship Id="rId188" Type="http://schemas.openxmlformats.org/officeDocument/2006/relationships/hyperlink" Target="https://fbref.com/en/players/10f0fdd3/matchlogs/2025-2026/summary/Jean-Ricner-Bellegarde-Match-Logs" TargetMode="External"/><Relationship Id="rId183" Type="http://schemas.openxmlformats.org/officeDocument/2006/relationships/hyperlink" Target="https://fbref.com/en/squads/19538871/Manchester-United-Stats" TargetMode="External"/><Relationship Id="rId182" Type="http://schemas.openxmlformats.org/officeDocument/2006/relationships/hyperlink" Target="https://fbref.com/en/country/TUR/Turkey-Football" TargetMode="External"/><Relationship Id="rId181" Type="http://schemas.openxmlformats.org/officeDocument/2006/relationships/hyperlink" Target="https://fbref.com/en/players/072e68ed/Altay-Bayindir" TargetMode="External"/><Relationship Id="rId180" Type="http://schemas.openxmlformats.org/officeDocument/2006/relationships/hyperlink" Target="https://fbref.com/en/players/a36524bf/matchlogs/2025-2026/summary/Calvin-Bassey-Match-Logs" TargetMode="External"/><Relationship Id="rId176" Type="http://schemas.openxmlformats.org/officeDocument/2006/relationships/hyperlink" Target="https://fbref.com/en/players/52c3244b/matchlogs/2025-2026/summary/Thierno-Barry-Match-Logs" TargetMode="External"/><Relationship Id="rId175" Type="http://schemas.openxmlformats.org/officeDocument/2006/relationships/hyperlink" Target="https://fbref.com/en/squads/d3fd31cc/Everton-Stats" TargetMode="External"/><Relationship Id="rId174" Type="http://schemas.openxmlformats.org/officeDocument/2006/relationships/hyperlink" Target="https://fbref.com/en/country/FRA/France-Football" TargetMode="External"/><Relationship Id="rId173" Type="http://schemas.openxmlformats.org/officeDocument/2006/relationships/hyperlink" Target="https://fbref.com/en/players/52c3244b/Thierno-Barry" TargetMode="External"/><Relationship Id="rId179" Type="http://schemas.openxmlformats.org/officeDocument/2006/relationships/hyperlink" Target="https://fbref.com/en/squads/fd962109/Fulham-Stats" TargetMode="External"/><Relationship Id="rId178" Type="http://schemas.openxmlformats.org/officeDocument/2006/relationships/hyperlink" Target="https://fbref.com/en/country/NGA/Nigeria-Football" TargetMode="External"/><Relationship Id="rId177" Type="http://schemas.openxmlformats.org/officeDocument/2006/relationships/hyperlink" Target="https://fbref.com/en/players/a36524bf/Calvin-Bassey" TargetMode="External"/><Relationship Id="rId1910" Type="http://schemas.openxmlformats.org/officeDocument/2006/relationships/hyperlink" Target="https://fbref.com/en/country/NOR/Norway-Football" TargetMode="External"/><Relationship Id="rId1911" Type="http://schemas.openxmlformats.org/officeDocument/2006/relationships/hyperlink" Target="https://fbref.com/en/squads/47c64c55/Crystal-Palace-Stats" TargetMode="External"/><Relationship Id="rId1912" Type="http://schemas.openxmlformats.org/officeDocument/2006/relationships/hyperlink" Target="https://fbref.com/en/players/f553b2b3/matchlogs/2025-2026/summary/Jorgen-Strand-Larsen-Match-Logs" TargetMode="External"/><Relationship Id="rId1913" Type="http://schemas.openxmlformats.org/officeDocument/2006/relationships/hyperlink" Target="https://fbref.com/en/players/f4d296e4/Pascal-Struijk" TargetMode="External"/><Relationship Id="rId1914" Type="http://schemas.openxmlformats.org/officeDocument/2006/relationships/hyperlink" Target="https://fbref.com/en/country/NED/Netherlands-Football" TargetMode="External"/><Relationship Id="rId1915" Type="http://schemas.openxmlformats.org/officeDocument/2006/relationships/hyperlink" Target="https://fbref.com/en/squads/5bfb9659/Leeds-United-Stats" TargetMode="External"/><Relationship Id="rId1916" Type="http://schemas.openxmlformats.org/officeDocument/2006/relationships/hyperlink" Target="https://fbref.com/en/players/f4d296e4/matchlogs/2025-2026/summary/Pascal-Struijk-Match-Logs" TargetMode="External"/><Relationship Id="rId1917" Type="http://schemas.openxmlformats.org/officeDocument/2006/relationships/hyperlink" Target="https://fbref.com/en/players/df04eb4b/Crysencio-Summerville" TargetMode="External"/><Relationship Id="rId1918" Type="http://schemas.openxmlformats.org/officeDocument/2006/relationships/hyperlink" Target="https://fbref.com/en/country/NED/Netherlands-Football" TargetMode="External"/><Relationship Id="rId1919" Type="http://schemas.openxmlformats.org/officeDocument/2006/relationships/hyperlink" Target="https://fbref.com/en/squads/7c21e445/West-Ham-United-Stats" TargetMode="External"/><Relationship Id="rId1900" Type="http://schemas.openxmlformats.org/officeDocument/2006/relationships/hyperlink" Target="https://fbref.com/en/players/0f59a7bf/matchlogs/2025-2026/summary/Anton-Stach-Match-Logs" TargetMode="External"/><Relationship Id="rId1901" Type="http://schemas.openxmlformats.org/officeDocument/2006/relationships/hyperlink" Target="https://fbref.com/en/players/5eecec3d/John-Stones" TargetMode="External"/><Relationship Id="rId1902" Type="http://schemas.openxmlformats.org/officeDocument/2006/relationships/hyperlink" Target="https://fbref.com/en/country/ENG/England-Football" TargetMode="External"/><Relationship Id="rId1903" Type="http://schemas.openxmlformats.org/officeDocument/2006/relationships/hyperlink" Target="https://fbref.com/en/squads/b8fd03ef/Manchester-City-Stats" TargetMode="External"/><Relationship Id="rId1904" Type="http://schemas.openxmlformats.org/officeDocument/2006/relationships/hyperlink" Target="https://fbref.com/en/players/5eecec3d/matchlogs/2025-2026/summary/John-Stones-Match-Logs" TargetMode="External"/><Relationship Id="rId1905" Type="http://schemas.openxmlformats.org/officeDocument/2006/relationships/hyperlink" Target="https://fbref.com/en/players/f553b2b3/Jorgen-Strand-Larsen" TargetMode="External"/><Relationship Id="rId1906" Type="http://schemas.openxmlformats.org/officeDocument/2006/relationships/hyperlink" Target="https://fbref.com/en/country/NOR/Norway-Football" TargetMode="External"/><Relationship Id="rId1907" Type="http://schemas.openxmlformats.org/officeDocument/2006/relationships/hyperlink" Target="https://fbref.com/en/squads/8cec06e1/Wolverhampton-Wanderers-Stats" TargetMode="External"/><Relationship Id="rId1908" Type="http://schemas.openxmlformats.org/officeDocument/2006/relationships/hyperlink" Target="https://fbref.com/en/players/f553b2b3/matchlogs/2025-2026/summary/Jorgen-Strand-Larsen-Match-Logs" TargetMode="External"/><Relationship Id="rId1909" Type="http://schemas.openxmlformats.org/officeDocument/2006/relationships/hyperlink" Target="https://fbref.com/en/players/f553b2b3/Jorgen-Strand-Larsen" TargetMode="External"/><Relationship Id="rId198" Type="http://schemas.openxmlformats.org/officeDocument/2006/relationships/hyperlink" Target="https://fbref.com/en/country/ENG/England-Football" TargetMode="External"/><Relationship Id="rId197" Type="http://schemas.openxmlformats.org/officeDocument/2006/relationships/hyperlink" Target="https://fbref.com/en/players/68db6358/Daniel-Bentley" TargetMode="External"/><Relationship Id="rId196" Type="http://schemas.openxmlformats.org/officeDocument/2006/relationships/hyperlink" Target="https://fbref.com/en/players/3b8674e6/matchlogs/2025-2026/summary/Rodrigo-Bentancur-Match-Logs" TargetMode="External"/><Relationship Id="rId195" Type="http://schemas.openxmlformats.org/officeDocument/2006/relationships/hyperlink" Target="https://fbref.com/en/squads/361ca564/Tottenham-Hotspur-Stats" TargetMode="External"/><Relationship Id="rId199" Type="http://schemas.openxmlformats.org/officeDocument/2006/relationships/hyperlink" Target="https://fbref.com/en/squads/8cec06e1/Wolverhampton-Wanderers-Stats" TargetMode="External"/><Relationship Id="rId150" Type="http://schemas.openxmlformats.org/officeDocument/2006/relationships/hyperlink" Target="https://fbref.com/en/country/FRA/France-Football" TargetMode="External"/><Relationship Id="rId149" Type="http://schemas.openxmlformats.org/officeDocument/2006/relationships/hyperlink" Target="https://fbref.com/en/players/2b5a35e5/Dilane-Bakwa" TargetMode="External"/><Relationship Id="rId148" Type="http://schemas.openxmlformats.org/officeDocument/2006/relationships/hyperlink" Target="https://fbref.com/en/players/3a233281/matchlogs/2025-2026/summary/Leon-Bailey-Match-Logs" TargetMode="External"/><Relationship Id="rId1090" Type="http://schemas.openxmlformats.org/officeDocument/2006/relationships/hyperlink" Target="https://fbref.com/en/country/BRA/Brazil-Football" TargetMode="External"/><Relationship Id="rId1091" Type="http://schemas.openxmlformats.org/officeDocument/2006/relationships/hyperlink" Target="https://fbref.com/en/squads/fd962109/Fulham-Stats" TargetMode="External"/><Relationship Id="rId1092" Type="http://schemas.openxmlformats.org/officeDocument/2006/relationships/hyperlink" Target="https://fbref.com/en/players/93508980/matchlogs/2025-2026/summary/Kevin-Match-Logs" TargetMode="External"/><Relationship Id="rId1093" Type="http://schemas.openxmlformats.org/officeDocument/2006/relationships/hyperlink" Target="https://fbref.com/en/players/d17ce930/Abdukodir-Khusanov" TargetMode="External"/><Relationship Id="rId1094" Type="http://schemas.openxmlformats.org/officeDocument/2006/relationships/hyperlink" Target="https://fbref.com/en/country/UZB/Uzbekistan-Football" TargetMode="External"/><Relationship Id="rId143" Type="http://schemas.openxmlformats.org/officeDocument/2006/relationships/hyperlink" Target="https://fbref.com/en/squads/cff3d9bb/Chelsea-Stats" TargetMode="External"/><Relationship Id="rId1095" Type="http://schemas.openxmlformats.org/officeDocument/2006/relationships/hyperlink" Target="https://fbref.com/en/squads/b8fd03ef/Manchester-City-Stats" TargetMode="External"/><Relationship Id="rId142" Type="http://schemas.openxmlformats.org/officeDocument/2006/relationships/hyperlink" Target="https://fbref.com/en/country/FRA/France-Football" TargetMode="External"/><Relationship Id="rId1096" Type="http://schemas.openxmlformats.org/officeDocument/2006/relationships/hyperlink" Target="https://fbref.com/en/players/d17ce930/matchlogs/2025-2026/summary/Abdukodir-Khusanov-Match-Logs" TargetMode="External"/><Relationship Id="rId141" Type="http://schemas.openxmlformats.org/officeDocument/2006/relationships/hyperlink" Target="https://fbref.com/en/players/06df8256/Benoit-Badiashile" TargetMode="External"/><Relationship Id="rId1097" Type="http://schemas.openxmlformats.org/officeDocument/2006/relationships/hyperlink" Target="https://fbref.com/en/players/d0f72bf1/Max-Kilman" TargetMode="External"/><Relationship Id="rId140" Type="http://schemas.openxmlformats.org/officeDocument/2006/relationships/hyperlink" Target="https://fbref.com/en/players/f173303a/matchlogs/2025-2026/summary/Yasin-Ayari-Match-Logs" TargetMode="External"/><Relationship Id="rId1098" Type="http://schemas.openxmlformats.org/officeDocument/2006/relationships/hyperlink" Target="https://fbref.com/en/country/ENG/England-Football" TargetMode="External"/><Relationship Id="rId147" Type="http://schemas.openxmlformats.org/officeDocument/2006/relationships/hyperlink" Target="https://fbref.com/en/squads/8602292d/Aston-Villa-Stats" TargetMode="External"/><Relationship Id="rId1099" Type="http://schemas.openxmlformats.org/officeDocument/2006/relationships/hyperlink" Target="https://fbref.com/en/squads/7c21e445/West-Ham-United-Stats" TargetMode="External"/><Relationship Id="rId146" Type="http://schemas.openxmlformats.org/officeDocument/2006/relationships/hyperlink" Target="https://fbref.com/en/country/JAM/Jamaica-Football" TargetMode="External"/><Relationship Id="rId145" Type="http://schemas.openxmlformats.org/officeDocument/2006/relationships/hyperlink" Target="https://fbref.com/en/players/3a233281/Leon-Bailey" TargetMode="External"/><Relationship Id="rId144" Type="http://schemas.openxmlformats.org/officeDocument/2006/relationships/hyperlink" Target="https://fbref.com/en/players/06df8256/matchlogs/2025-2026/summary/Benoit-Badiashile-Match-Logs" TargetMode="External"/><Relationship Id="rId139" Type="http://schemas.openxmlformats.org/officeDocument/2006/relationships/hyperlink" Target="https://fbref.com/en/squads/d07537b9/Brighton-and-Hove-Albion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f173303a/Yasin-Ayari" TargetMode="External"/><Relationship Id="rId1080" Type="http://schemas.openxmlformats.org/officeDocument/2006/relationships/hyperlink" Target="https://fbref.com/en/players/c5b7c315/matchlogs/2025-2026/summary/Michael-Keane-Match-Logs" TargetMode="External"/><Relationship Id="rId1081" Type="http://schemas.openxmlformats.org/officeDocument/2006/relationships/hyperlink" Target="https://fbref.com/en/players/62d7ef38/Caoimhin-Kelleher" TargetMode="External"/><Relationship Id="rId1082" Type="http://schemas.openxmlformats.org/officeDocument/2006/relationships/hyperlink" Target="https://fbref.com/en/country/IRL/Republic-of-Ireland-Football" TargetMode="External"/><Relationship Id="rId1083" Type="http://schemas.openxmlformats.org/officeDocument/2006/relationships/hyperlink" Target="https://fbref.com/en/squads/cd051869/Brentford-Stats" TargetMode="External"/><Relationship Id="rId132" Type="http://schemas.openxmlformats.org/officeDocument/2006/relationships/hyperlink" Target="https://fbref.com/en/players/28d596a0/matchlogs/2025-2026/summary/Kepa-Arrizabalaga-Match-Logs" TargetMode="External"/><Relationship Id="rId1084" Type="http://schemas.openxmlformats.org/officeDocument/2006/relationships/hyperlink" Target="https://fbref.com/en/players/62d7ef38/matchlogs/2025-2026/summary/Caoimhin-Kelleher-Match-Logs" TargetMode="External"/><Relationship Id="rId131" Type="http://schemas.openxmlformats.org/officeDocument/2006/relationships/hyperlink" Target="https://fbref.com/en/squads/18bb7c10/Arsenal-Stats" TargetMode="External"/><Relationship Id="rId1085" Type="http://schemas.openxmlformats.org/officeDocument/2006/relationships/hyperlink" Target="https://fbref.com/en/players/0ad53bdc/Milos-Kerkez" TargetMode="External"/><Relationship Id="rId130" Type="http://schemas.openxmlformats.org/officeDocument/2006/relationships/hyperlink" Target="https://fbref.com/en/country/ESP/Spain-Football" TargetMode="External"/><Relationship Id="rId1086" Type="http://schemas.openxmlformats.org/officeDocument/2006/relationships/hyperlink" Target="https://fbref.com/en/country/HUN/Hungary-Football" TargetMode="External"/><Relationship Id="rId1087" Type="http://schemas.openxmlformats.org/officeDocument/2006/relationships/hyperlink" Target="https://fbref.com/en/squads/822bd0ba/Liverpool-Stats" TargetMode="External"/><Relationship Id="rId136" Type="http://schemas.openxmlformats.org/officeDocument/2006/relationships/hyperlink" Target="https://fbref.com/en/players/e5478b87/matchlogs/2025-2026/summary/Taiwo-Awoniyi-Match-Logs" TargetMode="External"/><Relationship Id="rId1088" Type="http://schemas.openxmlformats.org/officeDocument/2006/relationships/hyperlink" Target="https://fbref.com/en/players/0ad53bdc/matchlogs/2025-2026/summary/Milos-Kerkez-Match-Logs" TargetMode="External"/><Relationship Id="rId135" Type="http://schemas.openxmlformats.org/officeDocument/2006/relationships/hyperlink" Target="https://fbref.com/en/squads/e4a775cb/Nottingham-Forest-Stats" TargetMode="External"/><Relationship Id="rId1089" Type="http://schemas.openxmlformats.org/officeDocument/2006/relationships/hyperlink" Target="https://fbref.com/en/players/93508980/Kevin" TargetMode="External"/><Relationship Id="rId134" Type="http://schemas.openxmlformats.org/officeDocument/2006/relationships/hyperlink" Target="https://fbref.com/en/country/NGA/Nigeria-Football" TargetMode="External"/><Relationship Id="rId133" Type="http://schemas.openxmlformats.org/officeDocument/2006/relationships/hyperlink" Target="https://fbref.com/en/players/e5478b87/Taiwo-Awoniyi" TargetMode="External"/><Relationship Id="rId172" Type="http://schemas.openxmlformats.org/officeDocument/2006/relationships/hyperlink" Target="https://fbref.com/en/players/3ea50f67/matchlogs/2025-2026/summary/Harvey-Barnes-Match-Logs" TargetMode="External"/><Relationship Id="rId171" Type="http://schemas.openxmlformats.org/officeDocument/2006/relationships/hyperlink" Target="https://fbref.com/en/squads/b2b47a98/Newcastle-United-Stats" TargetMode="External"/><Relationship Id="rId170" Type="http://schemas.openxmlformats.org/officeDocument/2006/relationships/hyperlink" Target="https://fbref.com/en/country/ENG/England-Football" TargetMode="External"/><Relationship Id="rId165" Type="http://schemas.openxmlformats.org/officeDocument/2006/relationships/hyperlink" Target="https://fbref.com/en/players/2691c772/Ashley-Barnes" TargetMode="External"/><Relationship Id="rId164" Type="http://schemas.openxmlformats.org/officeDocument/2006/relationships/hyperlink" Target="https://fbref.com/en/players/3a24769f/matchlogs/2025-2026/summary/Ross-Barkley-Match-Logs" TargetMode="External"/><Relationship Id="rId163" Type="http://schemas.openxmlformats.org/officeDocument/2006/relationships/hyperlink" Target="https://fbref.com/en/squads/8602292d/Aston-Villa-Stats" TargetMode="External"/><Relationship Id="rId162" Type="http://schemas.openxmlformats.org/officeDocument/2006/relationships/hyperlink" Target="https://fbref.com/en/country/ENG/England-Football" TargetMode="External"/><Relationship Id="rId169" Type="http://schemas.openxmlformats.org/officeDocument/2006/relationships/hyperlink" Target="https://fbref.com/en/players/3ea50f67/Harvey-Barnes" TargetMode="External"/><Relationship Id="rId168" Type="http://schemas.openxmlformats.org/officeDocument/2006/relationships/hyperlink" Target="https://fbref.com/en/players/2691c772/matchlogs/2025-2026/summary/Ashley-Barnes-Match-Logs" TargetMode="External"/><Relationship Id="rId167" Type="http://schemas.openxmlformats.org/officeDocument/2006/relationships/hyperlink" Target="https://fbref.com/en/squads/943e8050/Burnley-Stats" TargetMode="External"/><Relationship Id="rId166" Type="http://schemas.openxmlformats.org/officeDocument/2006/relationships/hyperlink" Target="https://fbref.com/en/country/ENG/England-Football" TargetMode="External"/><Relationship Id="rId161" Type="http://schemas.openxmlformats.org/officeDocument/2006/relationships/hyperlink" Target="https://fbref.com/en/players/3a24769f/Ross-Barkley" TargetMode="External"/><Relationship Id="rId160" Type="http://schemas.openxmlformats.org/officeDocument/2006/relationships/hyperlink" Target="https://fbref.com/en/players/38f300f3/matchlogs/2025-2026/summary/Daniel-Ballard-Match-Logs" TargetMode="External"/><Relationship Id="rId159" Type="http://schemas.openxmlformats.org/officeDocument/2006/relationships/hyperlink" Target="https://fbref.com/en/squads/8ef52968/Sunderland-Stats" TargetMode="External"/><Relationship Id="rId154" Type="http://schemas.openxmlformats.org/officeDocument/2006/relationships/hyperlink" Target="https://fbref.com/en/country/CMR/Cameroon-Football" TargetMode="External"/><Relationship Id="rId153" Type="http://schemas.openxmlformats.org/officeDocument/2006/relationships/hyperlink" Target="https://fbref.com/en/players/a1390d2f/Carlos-Baleba" TargetMode="External"/><Relationship Id="rId152" Type="http://schemas.openxmlformats.org/officeDocument/2006/relationships/hyperlink" Target="https://fbref.com/en/players/2b5a35e5/matchlogs/2025-2026/summary/Dilane-Bakwa-Match-Logs" TargetMode="External"/><Relationship Id="rId151" Type="http://schemas.openxmlformats.org/officeDocument/2006/relationships/hyperlink" Target="https://fbref.com/en/squads/e4a775cb/Nottingham-Forest-Stats" TargetMode="External"/><Relationship Id="rId158" Type="http://schemas.openxmlformats.org/officeDocument/2006/relationships/hyperlink" Target="https://fbref.com/en/country/NIR/Northern-Ireland-Football" TargetMode="External"/><Relationship Id="rId157" Type="http://schemas.openxmlformats.org/officeDocument/2006/relationships/hyperlink" Target="https://fbref.com/en/players/38f300f3/Daniel-Ballard" TargetMode="External"/><Relationship Id="rId156" Type="http://schemas.openxmlformats.org/officeDocument/2006/relationships/hyperlink" Target="https://fbref.com/en/players/a1390d2f/matchlogs/2025-2026/summary/Carlos-Baleba-Match-Logs" TargetMode="External"/><Relationship Id="rId155" Type="http://schemas.openxmlformats.org/officeDocument/2006/relationships/hyperlink" Target="https://fbref.com/en/squads/d07537b9/Brighton-and-Hove-Albion-Stats" TargetMode="External"/><Relationship Id="rId1972" Type="http://schemas.openxmlformats.org/officeDocument/2006/relationships/hyperlink" Target="https://fbref.com/en/players/56f7a928/matchlogs/2025-2026/summary/Youri-Tielemans-Match-Logs" TargetMode="External"/><Relationship Id="rId1973" Type="http://schemas.openxmlformats.org/officeDocument/2006/relationships/hyperlink" Target="https://fbref.com/en/players/41034650/Jurrien-Timber" TargetMode="External"/><Relationship Id="rId1974" Type="http://schemas.openxmlformats.org/officeDocument/2006/relationships/hyperlink" Target="https://fbref.com/en/country/NED/Netherlands-Football" TargetMode="External"/><Relationship Id="rId1975" Type="http://schemas.openxmlformats.org/officeDocument/2006/relationships/hyperlink" Target="https://fbref.com/en/squads/18bb7c10/Arsenal-Stats" TargetMode="External"/><Relationship Id="rId1976" Type="http://schemas.openxmlformats.org/officeDocument/2006/relationships/hyperlink" Target="https://fbref.com/en/players/41034650/matchlogs/2025-2026/summary/Jurrien-Timber-Match-Logs" TargetMode="External"/><Relationship Id="rId1977" Type="http://schemas.openxmlformats.org/officeDocument/2006/relationships/hyperlink" Target="https://fbref.com/en/players/88f130ed/Jean-Clair-Todibo" TargetMode="External"/><Relationship Id="rId1978" Type="http://schemas.openxmlformats.org/officeDocument/2006/relationships/hyperlink" Target="https://fbref.com/en/country/FRA/France-Football" TargetMode="External"/><Relationship Id="rId1979" Type="http://schemas.openxmlformats.org/officeDocument/2006/relationships/hyperlink" Target="https://fbref.com/en/squads/7c21e445/West-Ham-United-Stats" TargetMode="External"/><Relationship Id="rId1970" Type="http://schemas.openxmlformats.org/officeDocument/2006/relationships/hyperlink" Target="https://fbref.com/en/country/BEL/Belgium-Football" TargetMode="External"/><Relationship Id="rId1971" Type="http://schemas.openxmlformats.org/officeDocument/2006/relationships/hyperlink" Target="https://fbref.com/en/squads/8602292d/Aston-Villa-Stats" TargetMode="External"/><Relationship Id="rId1961" Type="http://schemas.openxmlformats.org/officeDocument/2006/relationships/hyperlink" Target="https://fbref.com/en/players/dc45ac24/Igor-Thiago" TargetMode="External"/><Relationship Id="rId1962" Type="http://schemas.openxmlformats.org/officeDocument/2006/relationships/hyperlink" Target="https://fbref.com/en/country/BRA/Brazil-Football" TargetMode="External"/><Relationship Id="rId1963" Type="http://schemas.openxmlformats.org/officeDocument/2006/relationships/hyperlink" Target="https://fbref.com/en/squads/cd051869/Brentford-Stats" TargetMode="External"/><Relationship Id="rId1964" Type="http://schemas.openxmlformats.org/officeDocument/2006/relationships/hyperlink" Target="https://fbref.com/en/players/dc45ac24/matchlogs/2025-2026/summary/Igor-Thiago-Match-Logs" TargetMode="External"/><Relationship Id="rId1965" Type="http://schemas.openxmlformats.org/officeDocument/2006/relationships/hyperlink" Target="https://fbref.com/en/players/ff5ea0bf/Malick-Thiaw" TargetMode="External"/><Relationship Id="rId1966" Type="http://schemas.openxmlformats.org/officeDocument/2006/relationships/hyperlink" Target="https://fbref.com/en/country/GER/Germany-Football" TargetMode="External"/><Relationship Id="rId1967" Type="http://schemas.openxmlformats.org/officeDocument/2006/relationships/hyperlink" Target="https://fbref.com/en/squads/b2b47a98/Newcastle-United-Stats" TargetMode="External"/><Relationship Id="rId1968" Type="http://schemas.openxmlformats.org/officeDocument/2006/relationships/hyperlink" Target="https://fbref.com/en/players/ff5ea0bf/matchlogs/2025-2026/summary/Malick-Thiaw-Match-Logs" TargetMode="External"/><Relationship Id="rId1969" Type="http://schemas.openxmlformats.org/officeDocument/2006/relationships/hyperlink" Target="https://fbref.com/en/players/56f7a928/Youri-Tielemans" TargetMode="External"/><Relationship Id="rId1960" Type="http://schemas.openxmlformats.org/officeDocument/2006/relationships/hyperlink" Target="https://fbref.com/en/players/77d7c96f/matchlogs/2025-2026/summary/Kenny-Tete-Match-Logs" TargetMode="External"/><Relationship Id="rId1510" Type="http://schemas.openxmlformats.org/officeDocument/2006/relationships/hyperlink" Target="https://fbref.com/en/country/ENG/England-Football" TargetMode="External"/><Relationship Id="rId1994" Type="http://schemas.openxmlformats.org/officeDocument/2006/relationships/hyperlink" Target="https://fbref.com/en/country/ENG/England-Football" TargetMode="External"/><Relationship Id="rId1511" Type="http://schemas.openxmlformats.org/officeDocument/2006/relationships/hyperlink" Target="https://fbref.com/en/squads/822bd0ba/Liverpool-Stats" TargetMode="External"/><Relationship Id="rId1995" Type="http://schemas.openxmlformats.org/officeDocument/2006/relationships/hyperlink" Target="https://fbref.com/en/squads/b8fd03ef/Manchester-City-Stats" TargetMode="External"/><Relationship Id="rId1512" Type="http://schemas.openxmlformats.org/officeDocument/2006/relationships/hyperlink" Target="https://fbref.com/en/players/022eca88/matchlogs/2025-2026/summary/Rio-Ngumoha-Match-Logs" TargetMode="External"/><Relationship Id="rId1996" Type="http://schemas.openxmlformats.org/officeDocument/2006/relationships/hyperlink" Target="https://fbref.com/en/players/259fea27/matchlogs/2025-2026/summary/James-Trafford-Match-Logs" TargetMode="External"/><Relationship Id="rId1513" Type="http://schemas.openxmlformats.org/officeDocument/2006/relationships/hyperlink" Target="https://fbref.com/en/players/a53649b7/Eddie-Nketiah" TargetMode="External"/><Relationship Id="rId1997" Type="http://schemas.openxmlformats.org/officeDocument/2006/relationships/hyperlink" Target="https://fbref.com/en/players/9a28eba4/Adama-Traore" TargetMode="External"/><Relationship Id="rId1514" Type="http://schemas.openxmlformats.org/officeDocument/2006/relationships/hyperlink" Target="https://fbref.com/en/country/ENG/England-Football" TargetMode="External"/><Relationship Id="rId1998" Type="http://schemas.openxmlformats.org/officeDocument/2006/relationships/hyperlink" Target="https://fbref.com/en/country/ESP/Spain-Football" TargetMode="External"/><Relationship Id="rId1515" Type="http://schemas.openxmlformats.org/officeDocument/2006/relationships/hyperlink" Target="https://fbref.com/en/squads/47c64c55/Crystal-Palace-Stats" TargetMode="External"/><Relationship Id="rId1999" Type="http://schemas.openxmlformats.org/officeDocument/2006/relationships/hyperlink" Target="https://fbref.com/en/squads/fd962109/Fulham-Stats" TargetMode="External"/><Relationship Id="rId1516" Type="http://schemas.openxmlformats.org/officeDocument/2006/relationships/hyperlink" Target="https://fbref.com/en/players/a53649b7/matchlogs/2025-2026/summary/Eddie-Nketiah-Match-Logs" TargetMode="External"/><Relationship Id="rId1517" Type="http://schemas.openxmlformats.org/officeDocument/2006/relationships/hyperlink" Target="https://fbref.com/en/players/0cc5f4a5/Lukas-Nmecha" TargetMode="External"/><Relationship Id="rId1518" Type="http://schemas.openxmlformats.org/officeDocument/2006/relationships/hyperlink" Target="https://fbref.com/en/country/GER/Germany-Football" TargetMode="External"/><Relationship Id="rId1519" Type="http://schemas.openxmlformats.org/officeDocument/2006/relationships/hyperlink" Target="https://fbref.com/en/squads/5bfb9659/Leeds-United-Stats" TargetMode="External"/><Relationship Id="rId1990" Type="http://schemas.openxmlformats.org/officeDocument/2006/relationships/hyperlink" Target="https://fbref.com/en/country/HUN/Hungary-Football" TargetMode="External"/><Relationship Id="rId1991" Type="http://schemas.openxmlformats.org/officeDocument/2006/relationships/hyperlink" Target="https://fbref.com/en/squads/4ba7cbea/Bournemouth-Stats" TargetMode="External"/><Relationship Id="rId1992" Type="http://schemas.openxmlformats.org/officeDocument/2006/relationships/hyperlink" Target="https://fbref.com/en/players/5e18c6f4/matchlogs/2025-2026/summary/Alex-Toth-Match-Logs" TargetMode="External"/><Relationship Id="rId1993" Type="http://schemas.openxmlformats.org/officeDocument/2006/relationships/hyperlink" Target="https://fbref.com/en/players/259fea27/James-Trafford" TargetMode="External"/><Relationship Id="rId1983" Type="http://schemas.openxmlformats.org/officeDocument/2006/relationships/hyperlink" Target="https://fbref.com/en/squads/b2b47a98/Newcastle-United-Stats" TargetMode="External"/><Relationship Id="rId1500" Type="http://schemas.openxmlformats.org/officeDocument/2006/relationships/hyperlink" Target="https://fbref.com/en/players/c5bdb6e3/matchlogs/2025-2026/summary/Reiss-Nelson-Match-Logs" TargetMode="External"/><Relationship Id="rId1984" Type="http://schemas.openxmlformats.org/officeDocument/2006/relationships/hyperlink" Target="https://fbref.com/en/players/0db169ae/matchlogs/2025-2026/summary/Sandro-Tonali-Match-Logs" TargetMode="External"/><Relationship Id="rId1501" Type="http://schemas.openxmlformats.org/officeDocument/2006/relationships/hyperlink" Target="https://fbref.com/en/players/7ba2eaa9/Pedro-Neto" TargetMode="External"/><Relationship Id="rId1985" Type="http://schemas.openxmlformats.org/officeDocument/2006/relationships/hyperlink" Target="https://fbref.com/en/players/532e1e4f/Pau-Torres" TargetMode="External"/><Relationship Id="rId1502" Type="http://schemas.openxmlformats.org/officeDocument/2006/relationships/hyperlink" Target="https://fbref.com/en/country/POR/Portugal-Football" TargetMode="External"/><Relationship Id="rId1986" Type="http://schemas.openxmlformats.org/officeDocument/2006/relationships/hyperlink" Target="https://fbref.com/en/country/ESP/Spain-Football" TargetMode="External"/><Relationship Id="rId1503" Type="http://schemas.openxmlformats.org/officeDocument/2006/relationships/hyperlink" Target="https://fbref.com/en/squads/cff3d9bb/Chelsea-Stats" TargetMode="External"/><Relationship Id="rId1987" Type="http://schemas.openxmlformats.org/officeDocument/2006/relationships/hyperlink" Target="https://fbref.com/en/squads/8602292d/Aston-Villa-Stats" TargetMode="External"/><Relationship Id="rId1504" Type="http://schemas.openxmlformats.org/officeDocument/2006/relationships/hyperlink" Target="https://fbref.com/en/players/7ba2eaa9/matchlogs/2025-2026/summary/Pedro-Neto-Match-Logs" TargetMode="External"/><Relationship Id="rId1988" Type="http://schemas.openxmlformats.org/officeDocument/2006/relationships/hyperlink" Target="https://fbref.com/en/players/532e1e4f/matchlogs/2025-2026/summary/Pau-Torres-Match-Logs" TargetMode="External"/><Relationship Id="rId1505" Type="http://schemas.openxmlformats.org/officeDocument/2006/relationships/hyperlink" Target="https://fbref.com/en/players/e79269bd/Luca-Netz" TargetMode="External"/><Relationship Id="rId1989" Type="http://schemas.openxmlformats.org/officeDocument/2006/relationships/hyperlink" Target="https://fbref.com/en/players/5e18c6f4/Alex-Toth" TargetMode="External"/><Relationship Id="rId1506" Type="http://schemas.openxmlformats.org/officeDocument/2006/relationships/hyperlink" Target="https://fbref.com/en/country/GER/Germany-Football" TargetMode="External"/><Relationship Id="rId1507" Type="http://schemas.openxmlformats.org/officeDocument/2006/relationships/hyperlink" Target="https://fbref.com/en/squads/e4a775cb/Nottingham-Forest-Stats" TargetMode="External"/><Relationship Id="rId1508" Type="http://schemas.openxmlformats.org/officeDocument/2006/relationships/hyperlink" Target="https://fbref.com/en/players/e79269bd/matchlogs/2025-2026/summary/Luca-Netz-Match-Logs" TargetMode="External"/><Relationship Id="rId1509" Type="http://schemas.openxmlformats.org/officeDocument/2006/relationships/hyperlink" Target="https://fbref.com/en/players/022eca88/Rio-Ngumoha" TargetMode="External"/><Relationship Id="rId1980" Type="http://schemas.openxmlformats.org/officeDocument/2006/relationships/hyperlink" Target="https://fbref.com/en/players/88f130ed/matchlogs/2025-2026/summary/Jean-Clair-Todibo-Match-Logs" TargetMode="External"/><Relationship Id="rId1981" Type="http://schemas.openxmlformats.org/officeDocument/2006/relationships/hyperlink" Target="https://fbref.com/en/players/0db169ae/Sandro-Tonali" TargetMode="External"/><Relationship Id="rId1982" Type="http://schemas.openxmlformats.org/officeDocument/2006/relationships/hyperlink" Target="https://fbref.com/en/country/ITA/Italy-Football" TargetMode="External"/><Relationship Id="rId1930" Type="http://schemas.openxmlformats.org/officeDocument/2006/relationships/hyperlink" Target="https://fbref.com/en/country/MAR/Morocco-Football" TargetMode="External"/><Relationship Id="rId1931" Type="http://schemas.openxmlformats.org/officeDocument/2006/relationships/hyperlink" Target="https://fbref.com/en/squads/8ef52968/Sunderland-Stats" TargetMode="External"/><Relationship Id="rId1932" Type="http://schemas.openxmlformats.org/officeDocument/2006/relationships/hyperlink" Target="https://fbref.com/en/players/47ce793b/matchlogs/2025-2026/summary/Chemsdine-Talbi-Match-Logs" TargetMode="External"/><Relationship Id="rId1933" Type="http://schemas.openxmlformats.org/officeDocument/2006/relationships/hyperlink" Target="https://fbref.com/en/players/1d36d6b6/Ao-Tanaka" TargetMode="External"/><Relationship Id="rId1934" Type="http://schemas.openxmlformats.org/officeDocument/2006/relationships/hyperlink" Target="https://fbref.com/en/country/JPN/Japan-Football" TargetMode="External"/><Relationship Id="rId1935" Type="http://schemas.openxmlformats.org/officeDocument/2006/relationships/hyperlink" Target="https://fbref.com/en/squads/5bfb9659/Leeds-United-Stats" TargetMode="External"/><Relationship Id="rId1936" Type="http://schemas.openxmlformats.org/officeDocument/2006/relationships/hyperlink" Target="https://fbref.com/en/players/1d36d6b6/matchlogs/2025-2026/summary/Ao-Tanaka-Match-Logs" TargetMode="External"/><Relationship Id="rId1937" Type="http://schemas.openxmlformats.org/officeDocument/2006/relationships/hyperlink" Target="https://fbref.com/en/players/15ea812b/James-Tarkowski" TargetMode="External"/><Relationship Id="rId1938" Type="http://schemas.openxmlformats.org/officeDocument/2006/relationships/hyperlink" Target="https://fbref.com/en/country/ENG/England-Football" TargetMode="External"/><Relationship Id="rId1939" Type="http://schemas.openxmlformats.org/officeDocument/2006/relationships/hyperlink" Target="https://fbref.com/en/squads/d3fd31cc/Everton-Stats" TargetMode="External"/><Relationship Id="rId1920" Type="http://schemas.openxmlformats.org/officeDocument/2006/relationships/hyperlink" Target="https://fbref.com/en/players/df04eb4b/matchlogs/2025-2026/summary/Crysencio-Summerville-Match-Logs" TargetMode="External"/><Relationship Id="rId1921" Type="http://schemas.openxmlformats.org/officeDocument/2006/relationships/hyperlink" Target="https://fbref.com/en/players/934e1968/Dominik-Szoboszlai" TargetMode="External"/><Relationship Id="rId1922" Type="http://schemas.openxmlformats.org/officeDocument/2006/relationships/hyperlink" Target="https://fbref.com/en/country/HUN/Hungary-Football" TargetMode="External"/><Relationship Id="rId1923" Type="http://schemas.openxmlformats.org/officeDocument/2006/relationships/hyperlink" Target="https://fbref.com/en/squads/822bd0ba/Liverpool-Stats" TargetMode="External"/><Relationship Id="rId1924" Type="http://schemas.openxmlformats.org/officeDocument/2006/relationships/hyperlink" Target="https://fbref.com/en/players/934e1968/matchlogs/2025-2026/summary/Dominik-Szoboszlai-Match-Logs" TargetMode="External"/><Relationship Id="rId1925" Type="http://schemas.openxmlformats.org/officeDocument/2006/relationships/hyperlink" Target="https://fbref.com/en/players/1f019509/Jocelin-Ta-Bi" TargetMode="External"/><Relationship Id="rId1926" Type="http://schemas.openxmlformats.org/officeDocument/2006/relationships/hyperlink" Target="https://fbref.com/en/country/CIV/Cote-dIvoire-Football" TargetMode="External"/><Relationship Id="rId1927" Type="http://schemas.openxmlformats.org/officeDocument/2006/relationships/hyperlink" Target="https://fbref.com/en/squads/8ef52968/Sunderland-Stats" TargetMode="External"/><Relationship Id="rId1928" Type="http://schemas.openxmlformats.org/officeDocument/2006/relationships/hyperlink" Target="https://fbref.com/en/players/1f019509/matchlogs/2025-2026/summary/Jocelin-Ta-Bi-Match-Logs" TargetMode="External"/><Relationship Id="rId1929" Type="http://schemas.openxmlformats.org/officeDocument/2006/relationships/hyperlink" Target="https://fbref.com/en/players/47ce793b/Chemsdine-Talbi" TargetMode="External"/><Relationship Id="rId1950" Type="http://schemas.openxmlformats.org/officeDocument/2006/relationships/hyperlink" Target="https://fbref.com/en/country/CMR/Cameroon-Football" TargetMode="External"/><Relationship Id="rId1951" Type="http://schemas.openxmlformats.org/officeDocument/2006/relationships/hyperlink" Target="https://fbref.com/en/squads/8cec06e1/Wolverhampton-Wanderers-Stats" TargetMode="External"/><Relationship Id="rId1952" Type="http://schemas.openxmlformats.org/officeDocument/2006/relationships/hyperlink" Target="https://fbref.com/en/players/aeca7743/matchlogs/2025-2026/summary/Jackson-Tchatchoua-Match-Logs" TargetMode="External"/><Relationship Id="rId1953" Type="http://schemas.openxmlformats.org/officeDocument/2006/relationships/hyperlink" Target="https://fbref.com/en/players/829aa60c/Mathys-Tel" TargetMode="External"/><Relationship Id="rId1954" Type="http://schemas.openxmlformats.org/officeDocument/2006/relationships/hyperlink" Target="https://fbref.com/en/country/FRA/France-Football" TargetMode="External"/><Relationship Id="rId1955" Type="http://schemas.openxmlformats.org/officeDocument/2006/relationships/hyperlink" Target="https://fbref.com/en/squads/361ca564/Tottenham-Hotspur-Stats" TargetMode="External"/><Relationship Id="rId1956" Type="http://schemas.openxmlformats.org/officeDocument/2006/relationships/hyperlink" Target="https://fbref.com/en/players/829aa60c/matchlogs/2025-2026/summary/Mathys-Tel-Match-Logs" TargetMode="External"/><Relationship Id="rId1957" Type="http://schemas.openxmlformats.org/officeDocument/2006/relationships/hyperlink" Target="https://fbref.com/en/players/77d7c96f/Kenny-Tete" TargetMode="External"/><Relationship Id="rId1958" Type="http://schemas.openxmlformats.org/officeDocument/2006/relationships/hyperlink" Target="https://fbref.com/en/country/NED/Netherlands-Football" TargetMode="External"/><Relationship Id="rId1959" Type="http://schemas.openxmlformats.org/officeDocument/2006/relationships/hyperlink" Target="https://fbref.com/en/squads/fd962109/Fulham-Stats" TargetMode="External"/><Relationship Id="rId1940" Type="http://schemas.openxmlformats.org/officeDocument/2006/relationships/hyperlink" Target="https://fbref.com/en/players/15ea812b/matchlogs/2025-2026/summary/James-Tarkowski-Match-Logs" TargetMode="External"/><Relationship Id="rId1941" Type="http://schemas.openxmlformats.org/officeDocument/2006/relationships/hyperlink" Target="https://fbref.com/en/players/5c0da4a4/Marcus-Tavernier" TargetMode="External"/><Relationship Id="rId1942" Type="http://schemas.openxmlformats.org/officeDocument/2006/relationships/hyperlink" Target="https://fbref.com/en/country/ENG/England-Football" TargetMode="External"/><Relationship Id="rId1943" Type="http://schemas.openxmlformats.org/officeDocument/2006/relationships/hyperlink" Target="https://fbref.com/en/squads/4ba7cbea/Bournemouth-Stats" TargetMode="External"/><Relationship Id="rId1944" Type="http://schemas.openxmlformats.org/officeDocument/2006/relationships/hyperlink" Target="https://fbref.com/en/players/5c0da4a4/matchlogs/2025-2026/summary/Marcus-Tavernier-Match-Logs" TargetMode="External"/><Relationship Id="rId1945" Type="http://schemas.openxmlformats.org/officeDocument/2006/relationships/hyperlink" Target="https://fbref.com/en/players/a3c8b4d3/Loum-Tchaouna" TargetMode="External"/><Relationship Id="rId1946" Type="http://schemas.openxmlformats.org/officeDocument/2006/relationships/hyperlink" Target="https://fbref.com/en/country/FRA/France-Football" TargetMode="External"/><Relationship Id="rId1947" Type="http://schemas.openxmlformats.org/officeDocument/2006/relationships/hyperlink" Target="https://fbref.com/en/squads/943e8050/Burnley-Stats" TargetMode="External"/><Relationship Id="rId1948" Type="http://schemas.openxmlformats.org/officeDocument/2006/relationships/hyperlink" Target="https://fbref.com/en/players/a3c8b4d3/matchlogs/2025-2026/summary/Loum-Tchaouna-Match-Logs" TargetMode="External"/><Relationship Id="rId1949" Type="http://schemas.openxmlformats.org/officeDocument/2006/relationships/hyperlink" Target="https://fbref.com/en/players/aeca7743/Jackson-Tchatchoua" TargetMode="External"/><Relationship Id="rId1576" Type="http://schemas.openxmlformats.org/officeDocument/2006/relationships/hyperlink" Target="https://fbref.com/en/players/c1242d4e/matchlogs/2025-2026/summary/Stefan-Ortega-Match-Logs" TargetMode="External"/><Relationship Id="rId1577" Type="http://schemas.openxmlformats.org/officeDocument/2006/relationships/hyperlink" Target="https://fbref.com/en/players/7b355808/William-Osula" TargetMode="External"/><Relationship Id="rId1578" Type="http://schemas.openxmlformats.org/officeDocument/2006/relationships/hyperlink" Target="https://fbref.com/en/country/DEN/Denmark-Football" TargetMode="External"/><Relationship Id="rId1579" Type="http://schemas.openxmlformats.org/officeDocument/2006/relationships/hyperlink" Target="https://fbref.com/en/squads/b2b47a98/Newcastle-United-Stats" TargetMode="External"/><Relationship Id="rId509" Type="http://schemas.openxmlformats.org/officeDocument/2006/relationships/hyperlink" Target="https://fbref.com/en/players/bd5eb2e5/El-Hadji-Malick-Diouf" TargetMode="External"/><Relationship Id="rId508" Type="http://schemas.openxmlformats.org/officeDocument/2006/relationships/hyperlink" Target="https://fbref.com/en/players/a712ca2b/matchlogs/2025-2026/summary/Issa-Diop-Match-Logs" TargetMode="External"/><Relationship Id="rId503" Type="http://schemas.openxmlformats.org/officeDocument/2006/relationships/hyperlink" Target="https://fbref.com/en/squads/8602292d/Aston-Villa-Stats" TargetMode="External"/><Relationship Id="rId987" Type="http://schemas.openxmlformats.org/officeDocument/2006/relationships/hyperlink" Target="https://fbref.com/en/squads/18bb7c10/Arsenal-Stats" TargetMode="External"/><Relationship Id="rId502" Type="http://schemas.openxmlformats.org/officeDocument/2006/relationships/hyperlink" Target="https://fbref.com/en/country/FRA/France-Football" TargetMode="External"/><Relationship Id="rId986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1b84dbe1/Lucas-Digne" TargetMode="External"/><Relationship Id="rId985" Type="http://schemas.openxmlformats.org/officeDocument/2006/relationships/hyperlink" Target="https://fbref.com/en/players/b66315ae/Gabriel-Jesus" TargetMode="External"/><Relationship Id="rId500" Type="http://schemas.openxmlformats.org/officeDocument/2006/relationships/hyperlink" Target="https://fbref.com/en/players/bdcc89ae/matchlogs/2025-2026/summary/Tyler-Dibling-Match-Logs" TargetMode="External"/><Relationship Id="rId984" Type="http://schemas.openxmlformats.org/officeDocument/2006/relationships/hyperlink" Target="https://fbref.com/en/players/0f134faf/matchlogs/2025-2026/summary/Mathias-Jensen-Match-Logs" TargetMode="External"/><Relationship Id="rId507" Type="http://schemas.openxmlformats.org/officeDocument/2006/relationships/hyperlink" Target="https://fbref.com/en/squads/fd962109/Fulham-Stats" TargetMode="External"/><Relationship Id="rId506" Type="http://schemas.openxmlformats.org/officeDocument/2006/relationships/hyperlink" Target="https://fbref.com/en/country/MAR/Morocco-Football" TargetMode="External"/><Relationship Id="rId505" Type="http://schemas.openxmlformats.org/officeDocument/2006/relationships/hyperlink" Target="https://fbref.com/en/players/a712ca2b/Issa-Diop" TargetMode="External"/><Relationship Id="rId989" Type="http://schemas.openxmlformats.org/officeDocument/2006/relationships/hyperlink" Target="https://fbref.com/en/players/dbe24cce/Igor-Jesus" TargetMode="External"/><Relationship Id="rId504" Type="http://schemas.openxmlformats.org/officeDocument/2006/relationships/hyperlink" Target="https://fbref.com/en/players/1b84dbe1/matchlogs/2025-2026/summary/Lucas-Digne-Match-Logs" TargetMode="External"/><Relationship Id="rId988" Type="http://schemas.openxmlformats.org/officeDocument/2006/relationships/hyperlink" Target="https://fbref.com/en/players/b66315ae/matchlogs/2025-2026/summary/Gabriel-Jesus-Match-Logs" TargetMode="External"/><Relationship Id="rId1570" Type="http://schemas.openxmlformats.org/officeDocument/2006/relationships/hyperlink" Target="https://fbref.com/en/country/ENG/England-Football" TargetMode="External"/><Relationship Id="rId1571" Type="http://schemas.openxmlformats.org/officeDocument/2006/relationships/hyperlink" Target="https://fbref.com/en/squads/d07537b9/Brighton-and-Hove-Albion-Stats" TargetMode="External"/><Relationship Id="rId983" Type="http://schemas.openxmlformats.org/officeDocument/2006/relationships/hyperlink" Target="https://fbref.com/en/squads/cd051869/Brentford-Stats" TargetMode="External"/><Relationship Id="rId1572" Type="http://schemas.openxmlformats.org/officeDocument/2006/relationships/hyperlink" Target="https://fbref.com/en/players/febb2831/matchlogs/2025-2026/summary/Nehemiah-Oriola-Match-Logs" TargetMode="External"/><Relationship Id="rId982" Type="http://schemas.openxmlformats.org/officeDocument/2006/relationships/hyperlink" Target="https://fbref.com/en/country/DEN/Denmark-Football" TargetMode="External"/><Relationship Id="rId1573" Type="http://schemas.openxmlformats.org/officeDocument/2006/relationships/hyperlink" Target="https://fbref.com/en/players/c1242d4e/Stefan-Ortega" TargetMode="External"/><Relationship Id="rId981" Type="http://schemas.openxmlformats.org/officeDocument/2006/relationships/hyperlink" Target="https://fbref.com/en/players/0f134faf/Mathias-Jensen" TargetMode="External"/><Relationship Id="rId1574" Type="http://schemas.openxmlformats.org/officeDocument/2006/relationships/hyperlink" Target="https://fbref.com/en/country/GER/Germany-Football" TargetMode="External"/><Relationship Id="rId980" Type="http://schemas.openxmlformats.org/officeDocument/2006/relationships/hyperlink" Target="https://fbref.com/en/players/8449d35e/matchlogs/2025-2026/summary/Vitaly-Janelt-Match-Logs" TargetMode="External"/><Relationship Id="rId1575" Type="http://schemas.openxmlformats.org/officeDocument/2006/relationships/hyperlink" Target="https://fbref.com/en/squads/e4a775cb/Nottingham-Forest-Stats" TargetMode="External"/><Relationship Id="rId1565" Type="http://schemas.openxmlformats.org/officeDocument/2006/relationships/hyperlink" Target="https://fbref.com/en/players/2944f86f/Frank-Onyeka" TargetMode="External"/><Relationship Id="rId1566" Type="http://schemas.openxmlformats.org/officeDocument/2006/relationships/hyperlink" Target="https://fbref.com/en/country/NGA/Nigeria-Football" TargetMode="External"/><Relationship Id="rId1567" Type="http://schemas.openxmlformats.org/officeDocument/2006/relationships/hyperlink" Target="https://fbref.com/en/squads/cd051869/Brentford-Stats" TargetMode="External"/><Relationship Id="rId1568" Type="http://schemas.openxmlformats.org/officeDocument/2006/relationships/hyperlink" Target="https://fbref.com/en/players/2944f86f/matchlogs/2025-2026/summary/Frank-Onyeka-Match-Logs" TargetMode="External"/><Relationship Id="rId1569" Type="http://schemas.openxmlformats.org/officeDocument/2006/relationships/hyperlink" Target="https://fbref.com/en/players/febb2831/Nehemiah-Oriola" TargetMode="External"/><Relationship Id="rId976" Type="http://schemas.openxmlformats.org/officeDocument/2006/relationships/hyperlink" Target="https://fbref.com/en/players/1265a93a/matchlogs/2025-2026/summary/Reece-James-Match-Logs" TargetMode="External"/><Relationship Id="rId975" Type="http://schemas.openxmlformats.org/officeDocument/2006/relationships/hyperlink" Target="https://fbref.com/en/squads/cff3d9bb/Chelsea-Stats" TargetMode="External"/><Relationship Id="rId974" Type="http://schemas.openxmlformats.org/officeDocument/2006/relationships/hyperlink" Target="https://fbref.com/en/country/ENG/England-Football" TargetMode="External"/><Relationship Id="rId973" Type="http://schemas.openxmlformats.org/officeDocument/2006/relationships/hyperlink" Target="https://fbref.com/en/players/1265a93a/Reece-James" TargetMode="External"/><Relationship Id="rId979" Type="http://schemas.openxmlformats.org/officeDocument/2006/relationships/hyperlink" Target="https://fbref.com/en/squads/cd051869/Brentford-Stats" TargetMode="External"/><Relationship Id="rId978" Type="http://schemas.openxmlformats.org/officeDocument/2006/relationships/hyperlink" Target="https://fbref.com/en/country/GER/Germany-Football" TargetMode="External"/><Relationship Id="rId977" Type="http://schemas.openxmlformats.org/officeDocument/2006/relationships/hyperlink" Target="https://fbref.com/en/players/8449d35e/Vitaly-Janelt" TargetMode="External"/><Relationship Id="rId1560" Type="http://schemas.openxmlformats.org/officeDocument/2006/relationships/hyperlink" Target="https://fbref.com/en/players/d6455444/matchlogs/2025-2026/summary/Callum-Olusesi-Match-Logs" TargetMode="External"/><Relationship Id="rId972" Type="http://schemas.openxmlformats.org/officeDocument/2006/relationships/hyperlink" Target="https://fbref.com/en/players/c931d9f9/matchlogs/2025-2026/summary/Daniel-James-Match-Logs" TargetMode="External"/><Relationship Id="rId1561" Type="http://schemas.openxmlformats.org/officeDocument/2006/relationships/hyperlink" Target="https://fbref.com/en/players/828657ff/Amadou-Onana" TargetMode="External"/><Relationship Id="rId971" Type="http://schemas.openxmlformats.org/officeDocument/2006/relationships/hyperlink" Target="https://fbref.com/en/squads/5bfb9659/Leeds-United-Stats" TargetMode="External"/><Relationship Id="rId1562" Type="http://schemas.openxmlformats.org/officeDocument/2006/relationships/hyperlink" Target="https://fbref.com/en/country/BEL/Belgium-Football" TargetMode="External"/><Relationship Id="rId970" Type="http://schemas.openxmlformats.org/officeDocument/2006/relationships/hyperlink" Target="https://fbref.com/en/country/WAL/Wales-Football" TargetMode="External"/><Relationship Id="rId1563" Type="http://schemas.openxmlformats.org/officeDocument/2006/relationships/hyperlink" Target="https://fbref.com/en/squads/8602292d/Aston-Villa-Stats" TargetMode="External"/><Relationship Id="rId1564" Type="http://schemas.openxmlformats.org/officeDocument/2006/relationships/hyperlink" Target="https://fbref.com/en/players/828657ff/matchlogs/2025-2026/summary/Amadou-Onana-Match-Logs" TargetMode="External"/><Relationship Id="rId1114" Type="http://schemas.openxmlformats.org/officeDocument/2006/relationships/hyperlink" Target="https://fbref.com/en/country/ENG/England-Football" TargetMode="External"/><Relationship Id="rId1598" Type="http://schemas.openxmlformats.org/officeDocument/2006/relationships/hyperlink" Target="https://fbref.com/en/country/ENG/England-Football" TargetMode="External"/><Relationship Id="rId1115" Type="http://schemas.openxmlformats.org/officeDocument/2006/relationships/hyperlink" Target="https://fbref.com/en/squads/d07537b9/Brighton-and-Hove-Albion-Stats" TargetMode="External"/><Relationship Id="rId1599" Type="http://schemas.openxmlformats.org/officeDocument/2006/relationships/hyperlink" Target="https://fbref.com/en/squads/cff3d9bb/Chelsea-Stats" TargetMode="External"/><Relationship Id="rId1116" Type="http://schemas.openxmlformats.org/officeDocument/2006/relationships/hyperlink" Target="https://fbref.com/en/players/16168a0f/matchlogs/2025-2026/summary/Joe-Knight-Match-Logs" TargetMode="External"/><Relationship Id="rId1117" Type="http://schemas.openxmlformats.org/officeDocument/2006/relationships/hyperlink" Target="https://fbref.com/en/players/c0b3669f/Randal-Kolo-Muani" TargetMode="External"/><Relationship Id="rId1118" Type="http://schemas.openxmlformats.org/officeDocument/2006/relationships/hyperlink" Target="https://fbref.com/en/country/FRA/France-Football" TargetMode="External"/><Relationship Id="rId1119" Type="http://schemas.openxmlformats.org/officeDocument/2006/relationships/hyperlink" Target="https://fbref.com/en/squads/361ca564/Tottenham-Hotspur-Stats" TargetMode="External"/><Relationship Id="rId525" Type="http://schemas.openxmlformats.org/officeDocument/2006/relationships/hyperlink" Target="https://fbref.com/en/players/20b3a502/Nicolas-Dominguez" TargetMode="External"/><Relationship Id="rId524" Type="http://schemas.openxmlformats.org/officeDocument/2006/relationships/hyperlink" Target="https://fbref.com/en/players/fffea3e5/matchlogs/2025-2026/summary/Jeremy-Doku-Match-Logs" TargetMode="External"/><Relationship Id="rId523" Type="http://schemas.openxmlformats.org/officeDocument/2006/relationships/hyperlink" Target="https://fbref.com/en/squads/b8fd03ef/Manchester-City-Stats" TargetMode="External"/><Relationship Id="rId522" Type="http://schemas.openxmlformats.org/officeDocument/2006/relationships/hyperlink" Target="https://fbref.com/en/country/BEL/Belgium-Football" TargetMode="External"/><Relationship Id="rId529" Type="http://schemas.openxmlformats.org/officeDocument/2006/relationships/hyperlink" Target="https://fbref.com/en/players/08f5afaa/Gianluigi-Donnarumma" TargetMode="External"/><Relationship Id="rId528" Type="http://schemas.openxmlformats.org/officeDocument/2006/relationships/hyperlink" Target="https://fbref.com/en/players/20b3a502/matchlogs/2025-2026/summary/Nicolas-Dominguez-Match-Logs" TargetMode="External"/><Relationship Id="rId527" Type="http://schemas.openxmlformats.org/officeDocument/2006/relationships/hyperlink" Target="https://fbref.com/en/squads/e4a775cb/Nottingham-Forest-Stats" TargetMode="External"/><Relationship Id="rId526" Type="http://schemas.openxmlformats.org/officeDocument/2006/relationships/hyperlink" Target="https://fbref.com/en/country/ARG/Argentina-Football" TargetMode="External"/><Relationship Id="rId1590" Type="http://schemas.openxmlformats.org/officeDocument/2006/relationships/hyperlink" Target="https://fbref.com/en/country/BRA/Brazil-Football" TargetMode="External"/><Relationship Id="rId1591" Type="http://schemas.openxmlformats.org/officeDocument/2006/relationships/hyperlink" Target="https://fbref.com/en/squads/7c21e445/West-Ham-United-Stats" TargetMode="External"/><Relationship Id="rId1592" Type="http://schemas.openxmlformats.org/officeDocument/2006/relationships/hyperlink" Target="https://fbref.com/en/players/866ba412/matchlogs/2025-2026/summary/Pablo-Match-Logs" TargetMode="External"/><Relationship Id="rId1593" Type="http://schemas.openxmlformats.org/officeDocument/2006/relationships/hyperlink" Target="https://fbref.com/en/players/a78ff07f/Joao-Palhinha" TargetMode="External"/><Relationship Id="rId521" Type="http://schemas.openxmlformats.org/officeDocument/2006/relationships/hyperlink" Target="https://fbref.com/en/players/fffea3e5/Jeremy-Doku" TargetMode="External"/><Relationship Id="rId1110" Type="http://schemas.openxmlformats.org/officeDocument/2006/relationships/hyperlink" Target="https://fbref.com/en/country/NED/Netherlands-Football" TargetMode="External"/><Relationship Id="rId1594" Type="http://schemas.openxmlformats.org/officeDocument/2006/relationships/hyperlink" Target="https://fbref.com/en/country/POR/Portugal-Football" TargetMode="External"/><Relationship Id="rId520" Type="http://schemas.openxmlformats.org/officeDocument/2006/relationships/hyperlink" Target="https://fbref.com/en/players/d557d734/matchlogs/2025-2026/summary/Matt-Doherty-Match-Logs" TargetMode="External"/><Relationship Id="rId1111" Type="http://schemas.openxmlformats.org/officeDocument/2006/relationships/hyperlink" Target="https://fbref.com/en/squads/4ba7cbea/Bournemouth-Stats" TargetMode="External"/><Relationship Id="rId1595" Type="http://schemas.openxmlformats.org/officeDocument/2006/relationships/hyperlink" Target="https://fbref.com/en/squads/361ca564/Tottenham-Hotspur-Stats" TargetMode="External"/><Relationship Id="rId1112" Type="http://schemas.openxmlformats.org/officeDocument/2006/relationships/hyperlink" Target="https://fbref.com/en/players/4c3a6744/matchlogs/2025-2026/summary/Justin-Kluivert-Match-Logs" TargetMode="External"/><Relationship Id="rId1596" Type="http://schemas.openxmlformats.org/officeDocument/2006/relationships/hyperlink" Target="https://fbref.com/en/players/a78ff07f/matchlogs/2025-2026/summary/Joao-Palhinha-Match-Logs" TargetMode="External"/><Relationship Id="rId1113" Type="http://schemas.openxmlformats.org/officeDocument/2006/relationships/hyperlink" Target="https://fbref.com/en/players/16168a0f/Joe-Knight" TargetMode="External"/><Relationship Id="rId1597" Type="http://schemas.openxmlformats.org/officeDocument/2006/relationships/hyperlink" Target="https://fbref.com/en/players/dc7f8a28/Cole-Palmer" TargetMode="External"/><Relationship Id="rId1103" Type="http://schemas.openxmlformats.org/officeDocument/2006/relationships/hyperlink" Target="https://fbref.com/en/squads/fd962109/Fulham-Stats" TargetMode="External"/><Relationship Id="rId1587" Type="http://schemas.openxmlformats.org/officeDocument/2006/relationships/hyperlink" Target="https://fbref.com/en/squads/b8fd03ef/Manchester-City-Stats" TargetMode="External"/><Relationship Id="rId1104" Type="http://schemas.openxmlformats.org/officeDocument/2006/relationships/hyperlink" Target="https://fbref.com/en/players/86109b3b/matchlogs/2025-2026/summary/Joshua-King-Match-Logs" TargetMode="External"/><Relationship Id="rId1588" Type="http://schemas.openxmlformats.org/officeDocument/2006/relationships/hyperlink" Target="https://fbref.com/en/players/91ca4a16/matchlogs/2025-2026/summary/Nico-OReilly-Match-Logs" TargetMode="External"/><Relationship Id="rId1105" Type="http://schemas.openxmlformats.org/officeDocument/2006/relationships/hyperlink" Target="https://fbref.com/en/players/b38ac6a4/Antonin-Kinsky" TargetMode="External"/><Relationship Id="rId1589" Type="http://schemas.openxmlformats.org/officeDocument/2006/relationships/hyperlink" Target="https://fbref.com/en/players/866ba412/Pablo" TargetMode="External"/><Relationship Id="rId1106" Type="http://schemas.openxmlformats.org/officeDocument/2006/relationships/hyperlink" Target="https://fbref.com/en/country/CZE/Czech-Republic-Football" TargetMode="External"/><Relationship Id="rId1107" Type="http://schemas.openxmlformats.org/officeDocument/2006/relationships/hyperlink" Target="https://fbref.com/en/squads/361ca564/Tottenham-Hotspur-Stats" TargetMode="External"/><Relationship Id="rId1108" Type="http://schemas.openxmlformats.org/officeDocument/2006/relationships/hyperlink" Target="https://fbref.com/en/players/b38ac6a4/matchlogs/2025-2026/summary/Antonin-Kinsky-Match-Logs" TargetMode="External"/><Relationship Id="rId1109" Type="http://schemas.openxmlformats.org/officeDocument/2006/relationships/hyperlink" Target="https://fbref.com/en/players/4c3a6744/Justin-Kluivert" TargetMode="External"/><Relationship Id="rId519" Type="http://schemas.openxmlformats.org/officeDocument/2006/relationships/hyperlink" Target="https://fbref.com/en/squads/8cec06e1/Wolverhampton-Wanderers-Stats" TargetMode="External"/><Relationship Id="rId514" Type="http://schemas.openxmlformats.org/officeDocument/2006/relationships/hyperlink" Target="https://fbref.com/en/country/FRA/France-Football" TargetMode="External"/><Relationship Id="rId998" Type="http://schemas.openxmlformats.org/officeDocument/2006/relationships/hyperlink" Target="https://fbref.com/en/country/MEX/Mexico-Football" TargetMode="External"/><Relationship Id="rId513" Type="http://schemas.openxmlformats.org/officeDocument/2006/relationships/hyperlink" Target="https://fbref.com/en/players/ad82197c/Axel-Disasi" TargetMode="External"/><Relationship Id="rId997" Type="http://schemas.openxmlformats.org/officeDocument/2006/relationships/hyperlink" Target="https://fbref.com/en/players/b561db50/Raul-Jimenez" TargetMode="External"/><Relationship Id="rId512" Type="http://schemas.openxmlformats.org/officeDocument/2006/relationships/hyperlink" Target="https://fbref.com/en/players/bd5eb2e5/matchlogs/2025-2026/summary/El-Hadji-Malick-Diouf-Match-Logs" TargetMode="External"/><Relationship Id="rId996" Type="http://schemas.openxmlformats.org/officeDocument/2006/relationships/hyperlink" Target="https://fbref.com/en/players/faa13947/matchlogs/2025-2026/summary/Alex-Jimenez-Match-Logs" TargetMode="External"/><Relationship Id="rId511" Type="http://schemas.openxmlformats.org/officeDocument/2006/relationships/hyperlink" Target="https://fbref.com/en/squads/7c21e445/West-Ham-United-Stats" TargetMode="External"/><Relationship Id="rId995" Type="http://schemas.openxmlformats.org/officeDocument/2006/relationships/hyperlink" Target="https://fbref.com/en/squads/4ba7cbea/Bournemouth-Stats" TargetMode="External"/><Relationship Id="rId518" Type="http://schemas.openxmlformats.org/officeDocument/2006/relationships/hyperlink" Target="https://fbref.com/en/country/IRL/Republic-of-Ireland-Football" TargetMode="External"/><Relationship Id="rId517" Type="http://schemas.openxmlformats.org/officeDocument/2006/relationships/hyperlink" Target="https://fbref.com/en/players/d557d734/Matt-Doherty" TargetMode="External"/><Relationship Id="rId516" Type="http://schemas.openxmlformats.org/officeDocument/2006/relationships/hyperlink" Target="https://fbref.com/en/players/ad82197c/matchlogs/2025-2026/summary/Axel-Disasi-Match-Logs" TargetMode="External"/><Relationship Id="rId515" Type="http://schemas.openxmlformats.org/officeDocument/2006/relationships/hyperlink" Target="https://fbref.com/en/squads/7c21e445/West-Ham-United-Stats" TargetMode="External"/><Relationship Id="rId999" Type="http://schemas.openxmlformats.org/officeDocument/2006/relationships/hyperlink" Target="https://fbref.com/en/squads/fd962109/Fulham-Stats" TargetMode="External"/><Relationship Id="rId990" Type="http://schemas.openxmlformats.org/officeDocument/2006/relationships/hyperlink" Target="https://fbref.com/en/country/BRA/Brazil-Football" TargetMode="External"/><Relationship Id="rId1580" Type="http://schemas.openxmlformats.org/officeDocument/2006/relationships/hyperlink" Target="https://fbref.com/en/players/7b355808/matchlogs/2025-2026/summary/William-Osula-Match-Logs" TargetMode="External"/><Relationship Id="rId1581" Type="http://schemas.openxmlformats.org/officeDocument/2006/relationships/hyperlink" Target="https://fbref.com/en/players/2f9e4435/Dango-Ouattara" TargetMode="External"/><Relationship Id="rId1582" Type="http://schemas.openxmlformats.org/officeDocument/2006/relationships/hyperlink" Target="https://fbref.com/en/country/BFA/Burkina-Faso-Football" TargetMode="External"/><Relationship Id="rId510" Type="http://schemas.openxmlformats.org/officeDocument/2006/relationships/hyperlink" Target="https://fbref.com/en/country/SEN/Senegal-Football" TargetMode="External"/><Relationship Id="rId994" Type="http://schemas.openxmlformats.org/officeDocument/2006/relationships/hyperlink" Target="https://fbref.com/en/country/ESP/Spain-Football" TargetMode="External"/><Relationship Id="rId1583" Type="http://schemas.openxmlformats.org/officeDocument/2006/relationships/hyperlink" Target="https://fbref.com/en/squads/cd051869/Brentford-Stats" TargetMode="External"/><Relationship Id="rId993" Type="http://schemas.openxmlformats.org/officeDocument/2006/relationships/hyperlink" Target="https://fbref.com/en/players/faa13947/Alex-Jimenez" TargetMode="External"/><Relationship Id="rId1100" Type="http://schemas.openxmlformats.org/officeDocument/2006/relationships/hyperlink" Target="https://fbref.com/en/players/d0f72bf1/matchlogs/2025-2026/summary/Max-Kilman-Match-Logs" TargetMode="External"/><Relationship Id="rId1584" Type="http://schemas.openxmlformats.org/officeDocument/2006/relationships/hyperlink" Target="https://fbref.com/en/players/2f9e4435/matchlogs/2025-2026/summary/Dango-Ouattara-Match-Logs" TargetMode="External"/><Relationship Id="rId992" Type="http://schemas.openxmlformats.org/officeDocument/2006/relationships/hyperlink" Target="https://fbref.com/en/players/dbe24cce/matchlogs/2025-2026/summary/Igor-Jesus-Match-Logs" TargetMode="External"/><Relationship Id="rId1101" Type="http://schemas.openxmlformats.org/officeDocument/2006/relationships/hyperlink" Target="https://fbref.com/en/players/86109b3b/Joshua-King" TargetMode="External"/><Relationship Id="rId1585" Type="http://schemas.openxmlformats.org/officeDocument/2006/relationships/hyperlink" Target="https://fbref.com/en/players/91ca4a16/Nico-OReilly" TargetMode="External"/><Relationship Id="rId991" Type="http://schemas.openxmlformats.org/officeDocument/2006/relationships/hyperlink" Target="https://fbref.com/en/squads/e4a775cb/Nottingham-Forest-Stats" TargetMode="External"/><Relationship Id="rId1102" Type="http://schemas.openxmlformats.org/officeDocument/2006/relationships/hyperlink" Target="https://fbref.com/en/country/ENG/England-Football" TargetMode="External"/><Relationship Id="rId1586" Type="http://schemas.openxmlformats.org/officeDocument/2006/relationships/hyperlink" Target="https://fbref.com/en/country/ENG/England-Football" TargetMode="External"/><Relationship Id="rId1532" Type="http://schemas.openxmlformats.org/officeDocument/2006/relationships/hyperlink" Target="https://fbref.com/en/players/1d3b3d77/matchlogs/2025-2026/summary/Trey-Nyoni-Match-Logs" TargetMode="External"/><Relationship Id="rId1533" Type="http://schemas.openxmlformats.org/officeDocument/2006/relationships/hyperlink" Target="https://fbref.com/en/players/df0a4c90/Christian-Norgaard" TargetMode="External"/><Relationship Id="rId1534" Type="http://schemas.openxmlformats.org/officeDocument/2006/relationships/hyperlink" Target="https://fbref.com/en/country/DEN/Denmark-Football" TargetMode="External"/><Relationship Id="rId1535" Type="http://schemas.openxmlformats.org/officeDocument/2006/relationships/hyperlink" Target="https://fbref.com/en/squads/18bb7c10/Arsenal-Stats" TargetMode="External"/><Relationship Id="rId1536" Type="http://schemas.openxmlformats.org/officeDocument/2006/relationships/hyperlink" Target="https://fbref.com/en/players/df0a4c90/matchlogs/2025-2026/summary/Christian-Norgaard-Match-Logs" TargetMode="External"/><Relationship Id="rId1537" Type="http://schemas.openxmlformats.org/officeDocument/2006/relationships/hyperlink" Target="https://fbref.com/en/players/25f2ef01/Jake-OBrien" TargetMode="External"/><Relationship Id="rId1538" Type="http://schemas.openxmlformats.org/officeDocument/2006/relationships/hyperlink" Target="https://fbref.com/en/country/IRL/Republic-of-Ireland-Football" TargetMode="External"/><Relationship Id="rId1539" Type="http://schemas.openxmlformats.org/officeDocument/2006/relationships/hyperlink" Target="https://fbref.com/en/squads/d3fd31cc/Everton-Stats" TargetMode="External"/><Relationship Id="rId949" Type="http://schemas.openxmlformats.org/officeDocument/2006/relationships/hyperlink" Target="https://fbref.com/en/players/84c5ceea/Tim-Iroegbunam" TargetMode="External"/><Relationship Id="rId948" Type="http://schemas.openxmlformats.org/officeDocument/2006/relationships/hyperlink" Target="https://fbref.com/en/players/a4e85758/matchlogs/2025-2026/summary/Igor-Match-Logs" TargetMode="External"/><Relationship Id="rId943" Type="http://schemas.openxmlformats.org/officeDocument/2006/relationships/hyperlink" Target="https://fbref.com/en/squads/e4a775cb/Nottingham-Forest-Stats" TargetMode="External"/><Relationship Id="rId942" Type="http://schemas.openxmlformats.org/officeDocument/2006/relationships/hyperlink" Target="https://fbref.com/en/country/ENG/England-Football" TargetMode="External"/><Relationship Id="rId941" Type="http://schemas.openxmlformats.org/officeDocument/2006/relationships/hyperlink" Target="https://fbref.com/en/players/bd9553e6/Omari-Hutchinson" TargetMode="External"/><Relationship Id="rId940" Type="http://schemas.openxmlformats.org/officeDocument/2006/relationships/hyperlink" Target="https://fbref.com/en/players/d2b32e91/matchlogs/2025-2026/summary/Bashir-Humphreys-Match-Logs" TargetMode="External"/><Relationship Id="rId947" Type="http://schemas.openxmlformats.org/officeDocument/2006/relationships/hyperlink" Target="https://fbref.com/en/squads/7c21e445/West-Ham-United-Stats" TargetMode="External"/><Relationship Id="rId946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a4e85758/Igor" TargetMode="External"/><Relationship Id="rId944" Type="http://schemas.openxmlformats.org/officeDocument/2006/relationships/hyperlink" Target="https://fbref.com/en/players/bd9553e6/matchlogs/2025-2026/summary/Omari-Hutchinson-Match-Logs" TargetMode="External"/><Relationship Id="rId1530" Type="http://schemas.openxmlformats.org/officeDocument/2006/relationships/hyperlink" Target="https://fbref.com/en/country/ENG/England-Football" TargetMode="External"/><Relationship Id="rId1531" Type="http://schemas.openxmlformats.org/officeDocument/2006/relationships/hyperlink" Target="https://fbref.com/en/squads/822bd0ba/Liverpool-Stats" TargetMode="External"/><Relationship Id="rId1521" Type="http://schemas.openxmlformats.org/officeDocument/2006/relationships/hyperlink" Target="https://fbref.com/en/players/e6af02e0/Matheus-Nunes" TargetMode="External"/><Relationship Id="rId1522" Type="http://schemas.openxmlformats.org/officeDocument/2006/relationships/hyperlink" Target="https://fbref.com/en/country/POR/Portugal-Football" TargetMode="External"/><Relationship Id="rId1523" Type="http://schemas.openxmlformats.org/officeDocument/2006/relationships/hyperlink" Target="https://fbref.com/en/squads/b8fd03ef/Manchester-City-Stats" TargetMode="External"/><Relationship Id="rId1524" Type="http://schemas.openxmlformats.org/officeDocument/2006/relationships/hyperlink" Target="https://fbref.com/en/players/e6af02e0/matchlogs/2025-2026/summary/Matheus-Nunes-Match-Logs" TargetMode="External"/><Relationship Id="rId1525" Type="http://schemas.openxmlformats.org/officeDocument/2006/relationships/hyperlink" Target="https://fbref.com/en/players/7f94982c/Ethan-Nwaneri" TargetMode="External"/><Relationship Id="rId1526" Type="http://schemas.openxmlformats.org/officeDocument/2006/relationships/hyperlink" Target="https://fbref.com/en/country/ENG/England-Football" TargetMode="External"/><Relationship Id="rId1527" Type="http://schemas.openxmlformats.org/officeDocument/2006/relationships/hyperlink" Target="https://fbref.com/en/squads/18bb7c10/Arsenal-Stats" TargetMode="External"/><Relationship Id="rId1528" Type="http://schemas.openxmlformats.org/officeDocument/2006/relationships/hyperlink" Target="https://fbref.com/en/players/7f94982c/matchlogs/2025-2026/summary/Ethan-Nwaneri-Match-Logs" TargetMode="External"/><Relationship Id="rId1529" Type="http://schemas.openxmlformats.org/officeDocument/2006/relationships/hyperlink" Target="https://fbref.com/en/players/1d3b3d77/Trey-Nyoni" TargetMode="External"/><Relationship Id="rId939" Type="http://schemas.openxmlformats.org/officeDocument/2006/relationships/hyperlink" Target="https://fbref.com/en/squads/943e8050/Burnley-Stats" TargetMode="External"/><Relationship Id="rId938" Type="http://schemas.openxmlformats.org/officeDocument/2006/relationships/hyperlink" Target="https://fbref.com/en/country/ENG/England-Football" TargetMode="External"/><Relationship Id="rId937" Type="http://schemas.openxmlformats.org/officeDocument/2006/relationships/hyperlink" Target="https://fbref.com/en/players/d2b32e91/Bashir-Humphreys" TargetMode="External"/><Relationship Id="rId932" Type="http://schemas.openxmlformats.org/officeDocument/2006/relationships/hyperlink" Target="https://fbref.com/en/players/a0666d3e/matchlogs/2025-2026/summary/Will-Hughes-Match-Logs" TargetMode="External"/><Relationship Id="rId931" Type="http://schemas.openxmlformats.org/officeDocument/2006/relationships/hyperlink" Target="https://fbref.com/en/squads/47c64c55/Crystal-Palace-Stats" TargetMode="External"/><Relationship Id="rId930" Type="http://schemas.openxmlformats.org/officeDocument/2006/relationships/hyperlink" Target="https://fbref.com/en/country/ENG/England-Football" TargetMode="External"/><Relationship Id="rId936" Type="http://schemas.openxmlformats.org/officeDocument/2006/relationships/hyperlink" Target="https://fbref.com/en/players/4fa3a3a4/matchlogs/2025-2026/summary/Trai-Hume-Match-Logs" TargetMode="External"/><Relationship Id="rId935" Type="http://schemas.openxmlformats.org/officeDocument/2006/relationships/hyperlink" Target="https://fbref.com/en/squads/8ef52968/Sunderland-Stats" TargetMode="External"/><Relationship Id="rId934" Type="http://schemas.openxmlformats.org/officeDocument/2006/relationships/hyperlink" Target="https://fbref.com/en/country/NIR/Northern-Ireland-Football" TargetMode="External"/><Relationship Id="rId933" Type="http://schemas.openxmlformats.org/officeDocument/2006/relationships/hyperlink" Target="https://fbref.com/en/players/4fa3a3a4/Trai-Hume" TargetMode="External"/><Relationship Id="rId1520" Type="http://schemas.openxmlformats.org/officeDocument/2006/relationships/hyperlink" Target="https://fbref.com/en/players/0cc5f4a5/matchlogs/2025-2026/summary/Lukas-Nmecha-Match-Logs" TargetMode="External"/><Relationship Id="rId1554" Type="http://schemas.openxmlformats.org/officeDocument/2006/relationships/hyperlink" Target="https://fbref.com/en/country/SUI/Switzerland-Football" TargetMode="External"/><Relationship Id="rId1555" Type="http://schemas.openxmlformats.org/officeDocument/2006/relationships/hyperlink" Target="https://fbref.com/en/squads/5bfb9659/Leeds-United-Stats" TargetMode="External"/><Relationship Id="rId1556" Type="http://schemas.openxmlformats.org/officeDocument/2006/relationships/hyperlink" Target="https://fbref.com/en/players/ca607d59/matchlogs/2025-2026/summary/Noah-Okafor-Match-Logs" TargetMode="External"/><Relationship Id="rId1557" Type="http://schemas.openxmlformats.org/officeDocument/2006/relationships/hyperlink" Target="https://fbref.com/en/players/d6455444/Callum-Olusesi" TargetMode="External"/><Relationship Id="rId1558" Type="http://schemas.openxmlformats.org/officeDocument/2006/relationships/hyperlink" Target="https://fbref.com/en/country/ENG/England-Football" TargetMode="External"/><Relationship Id="rId1559" Type="http://schemas.openxmlformats.org/officeDocument/2006/relationships/hyperlink" Target="https://fbref.com/en/squads/361ca564/Tottenham-Hotspur-Stats" TargetMode="External"/><Relationship Id="rId965" Type="http://schemas.openxmlformats.org/officeDocument/2006/relationships/hyperlink" Target="https://fbref.com/en/players/6ca5ec4b/Alex-Iwobi" TargetMode="External"/><Relationship Id="rId964" Type="http://schemas.openxmlformats.org/officeDocument/2006/relationships/hyperlink" Target="https://fbref.com/en/players/a671316d/matchlogs/2025-2026/summary/Wilson-Isidor-Match-Logs" TargetMode="External"/><Relationship Id="rId963" Type="http://schemas.openxmlformats.org/officeDocument/2006/relationships/hyperlink" Target="https://fbref.com/en/squads/8ef52968/Sunderland-Stats" TargetMode="External"/><Relationship Id="rId962" Type="http://schemas.openxmlformats.org/officeDocument/2006/relationships/hyperlink" Target="https://fbref.com/en/country/HAI/Haiti-Football" TargetMode="External"/><Relationship Id="rId969" Type="http://schemas.openxmlformats.org/officeDocument/2006/relationships/hyperlink" Target="https://fbref.com/en/players/c931d9f9/Daniel-James" TargetMode="External"/><Relationship Id="rId968" Type="http://schemas.openxmlformats.org/officeDocument/2006/relationships/hyperlink" Target="https://fbref.com/en/players/6ca5ec4b/matchlogs/2025-2026/summary/Alex-Iwobi-Match-Logs" TargetMode="External"/><Relationship Id="rId967" Type="http://schemas.openxmlformats.org/officeDocument/2006/relationships/hyperlink" Target="https://fbref.com/en/squads/fd962109/Fulham-Stats" TargetMode="External"/><Relationship Id="rId966" Type="http://schemas.openxmlformats.org/officeDocument/2006/relationships/hyperlink" Target="https://fbref.com/en/country/NGA/Nigeria-Football" TargetMode="External"/><Relationship Id="rId961" Type="http://schemas.openxmlformats.org/officeDocument/2006/relationships/hyperlink" Target="https://fbref.com/en/players/a671316d/Wilson-Isidor" TargetMode="External"/><Relationship Id="rId1550" Type="http://schemas.openxmlformats.org/officeDocument/2006/relationships/hyperlink" Target="https://fbref.com/en/country/FRA/France-Football" TargetMode="External"/><Relationship Id="rId960" Type="http://schemas.openxmlformats.org/officeDocument/2006/relationships/hyperlink" Target="https://fbref.com/en/players/8e92be30/matchlogs/2025-2026/summary/Alexander-Isak-Match-Logs" TargetMode="External"/><Relationship Id="rId1551" Type="http://schemas.openxmlformats.org/officeDocument/2006/relationships/hyperlink" Target="https://fbref.com/en/squads/361ca564/Tottenham-Hotspur-Stats" TargetMode="External"/><Relationship Id="rId1552" Type="http://schemas.openxmlformats.org/officeDocument/2006/relationships/hyperlink" Target="https://fbref.com/en/players/35516eac/matchlogs/2025-2026/summary/Wilson-Odobert-Match-Logs" TargetMode="External"/><Relationship Id="rId1553" Type="http://schemas.openxmlformats.org/officeDocument/2006/relationships/hyperlink" Target="https://fbref.com/en/players/ca607d59/Noah-Okafor" TargetMode="External"/><Relationship Id="rId1543" Type="http://schemas.openxmlformats.org/officeDocument/2006/relationships/hyperlink" Target="https://fbref.com/en/squads/8ef52968/Sunderland-Stats" TargetMode="External"/><Relationship Id="rId1544" Type="http://schemas.openxmlformats.org/officeDocument/2006/relationships/hyperlink" Target="https://fbref.com/en/players/8092d497/matchlogs/2025-2026/summary/Luke-ONien-Match-Logs" TargetMode="External"/><Relationship Id="rId1545" Type="http://schemas.openxmlformats.org/officeDocument/2006/relationships/hyperlink" Target="https://fbref.com/en/players/fb495bb8/Matt-ORiley" TargetMode="External"/><Relationship Id="rId1546" Type="http://schemas.openxmlformats.org/officeDocument/2006/relationships/hyperlink" Target="https://fbref.com/en/country/DEN/Denmark-Football" TargetMode="External"/><Relationship Id="rId1547" Type="http://schemas.openxmlformats.org/officeDocument/2006/relationships/hyperlink" Target="https://fbref.com/en/squads/d07537b9/Brighton-and-Hove-Albion-Stats" TargetMode="External"/><Relationship Id="rId1548" Type="http://schemas.openxmlformats.org/officeDocument/2006/relationships/hyperlink" Target="https://fbref.com/en/players/fb495bb8/matchlogs/2025-2026/summary/Matt-ORiley-Match-Logs" TargetMode="External"/><Relationship Id="rId1549" Type="http://schemas.openxmlformats.org/officeDocument/2006/relationships/hyperlink" Target="https://fbref.com/en/players/35516eac/Wilson-Odobert" TargetMode="External"/><Relationship Id="rId959" Type="http://schemas.openxmlformats.org/officeDocument/2006/relationships/hyperlink" Target="https://fbref.com/en/squads/822bd0ba/Liverpool-Stats" TargetMode="External"/><Relationship Id="rId954" Type="http://schemas.openxmlformats.org/officeDocument/2006/relationships/hyperlink" Target="https://fbref.com/en/country/SCO/Scotland-Football" TargetMode="External"/><Relationship Id="rId953" Type="http://schemas.openxmlformats.org/officeDocument/2006/relationships/hyperlink" Target="https://fbref.com/en/players/b1be9fc0/Andy-Irving" TargetMode="External"/><Relationship Id="rId952" Type="http://schemas.openxmlformats.org/officeDocument/2006/relationships/hyperlink" Target="https://fbref.com/en/players/84c5ceea/matchlogs/2025-2026/summary/Tim-Iroegbunam-Match-Logs" TargetMode="External"/><Relationship Id="rId951" Type="http://schemas.openxmlformats.org/officeDocument/2006/relationships/hyperlink" Target="https://fbref.com/en/squads/d3fd31cc/Everton-Stats" TargetMode="External"/><Relationship Id="rId958" Type="http://schemas.openxmlformats.org/officeDocument/2006/relationships/hyperlink" Target="https://fbref.com/en/country/SWE/Sweden-Football" TargetMode="External"/><Relationship Id="rId957" Type="http://schemas.openxmlformats.org/officeDocument/2006/relationships/hyperlink" Target="https://fbref.com/en/players/8e92be30/Alexander-Isak" TargetMode="External"/><Relationship Id="rId956" Type="http://schemas.openxmlformats.org/officeDocument/2006/relationships/hyperlink" Target="https://fbref.com/en/players/b1be9fc0/matchlogs/2025-2026/summary/Andy-Irving-Match-Logs" TargetMode="External"/><Relationship Id="rId955" Type="http://schemas.openxmlformats.org/officeDocument/2006/relationships/hyperlink" Target="https://fbref.com/en/squads/7c21e445/West-Ham-United-Stats" TargetMode="External"/><Relationship Id="rId950" Type="http://schemas.openxmlformats.org/officeDocument/2006/relationships/hyperlink" Target="https://fbref.com/en/country/ENG/England-Football" TargetMode="External"/><Relationship Id="rId1540" Type="http://schemas.openxmlformats.org/officeDocument/2006/relationships/hyperlink" Target="https://fbref.com/en/players/25f2ef01/matchlogs/2025-2026/summary/Jake-OBrien-Match-Logs" TargetMode="External"/><Relationship Id="rId1541" Type="http://schemas.openxmlformats.org/officeDocument/2006/relationships/hyperlink" Target="https://fbref.com/en/players/8092d497/Luke-ONien" TargetMode="External"/><Relationship Id="rId1542" Type="http://schemas.openxmlformats.org/officeDocument/2006/relationships/hyperlink" Target="https://fbref.com/en/country/ENG/England-Football" TargetMode="External"/><Relationship Id="rId2027" Type="http://schemas.openxmlformats.org/officeDocument/2006/relationships/hyperlink" Target="https://fbref.com/en/squads/943e8050/Burnley-Stats" TargetMode="External"/><Relationship Id="rId2028" Type="http://schemas.openxmlformats.org/officeDocument/2006/relationships/hyperlink" Target="https://fbref.com/en/players/2baec6ce/matchlogs/2025-2026/summary/Axel-Tuanzebe-Match-Logs" TargetMode="External"/><Relationship Id="rId2029" Type="http://schemas.openxmlformats.org/officeDocument/2006/relationships/hyperlink" Target="https://fbref.com/en/players/a497130f/Stefanos-Tzimas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squads/943e8050/Burnley-Stats" TargetMode="External"/><Relationship Id="rId106" Type="http://schemas.openxmlformats.org/officeDocument/2006/relationships/hyperlink" Target="https://fbref.com/en/country/ENG/England-Football" TargetMode="External"/><Relationship Id="rId105" Type="http://schemas.openxmlformats.org/officeDocument/2006/relationships/hyperlink" Target="https://fbref.com/en/players/e4238fb1/Jaidon-Anthony" TargetMode="External"/><Relationship Id="rId589" Type="http://schemas.openxmlformats.org/officeDocument/2006/relationships/hyperlink" Target="https://fbref.com/en/players/2fba6108/Anthony-Elanga" TargetMode="External"/><Relationship Id="rId104" Type="http://schemas.openxmlformats.org/officeDocument/2006/relationships/hyperlink" Target="https://fbref.com/en/players/a9b9d89c/matchlogs/2025-2026/summary/Nilson-Angulo-Match-Logs" TargetMode="External"/><Relationship Id="rId588" Type="http://schemas.openxmlformats.org/officeDocument/2006/relationships/hyperlink" Target="https://fbref.com/en/players/5b92d896/matchlogs/2025-2026/summary/Hugo-Ekitike-Match-Logs" TargetMode="External"/><Relationship Id="rId109" Type="http://schemas.openxmlformats.org/officeDocument/2006/relationships/hyperlink" Target="https://fbref.com/en/players/2f965a72/Alphonse-Areola" TargetMode="External"/><Relationship Id="rId1170" Type="http://schemas.openxmlformats.org/officeDocument/2006/relationships/hyperlink" Target="https://fbref.com/en/country/ENG/England-Football" TargetMode="External"/><Relationship Id="rId108" Type="http://schemas.openxmlformats.org/officeDocument/2006/relationships/hyperlink" Target="https://fbref.com/en/players/e4238fb1/matchlogs/2025-2026/summary/Jaidon-Anthony-Match-Logs" TargetMode="External"/><Relationship Id="rId1171" Type="http://schemas.openxmlformats.org/officeDocument/2006/relationships/hyperlink" Target="https://fbref.com/en/squads/943e8050/Burnley-Stats" TargetMode="External"/><Relationship Id="rId583" Type="http://schemas.openxmlformats.org/officeDocument/2006/relationships/hyperlink" Target="https://fbref.com/en/squads/943e8050/Burnley-Stats" TargetMode="External"/><Relationship Id="rId1172" Type="http://schemas.openxmlformats.org/officeDocument/2006/relationships/hyperlink" Target="https://fbref.com/en/players/f0068e0f/matchlogs/2025-2026/summary/Josh-Laurent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ecad9aa5/Romeo-Lavia" TargetMode="External"/><Relationship Id="rId2020" Type="http://schemas.openxmlformats.org/officeDocument/2006/relationships/hyperlink" Target="https://fbref.com/en/players/38ceb24a/matchlogs/2025-2026/summary/Leandro-Trossard-Match-Logs" TargetMode="External"/><Relationship Id="rId581" Type="http://schemas.openxmlformats.org/officeDocument/2006/relationships/hyperlink" Target="https://fbref.com/en/players/3d554589/Hjalmar-Ekdal" TargetMode="External"/><Relationship Id="rId1174" Type="http://schemas.openxmlformats.org/officeDocument/2006/relationships/hyperlink" Target="https://fbref.com/en/country/BEL/Belgium-Football" TargetMode="External"/><Relationship Id="rId2021" Type="http://schemas.openxmlformats.org/officeDocument/2006/relationships/hyperlink" Target="https://fbref.com/en/players/5d0e0a1f/Adrien-Truffert" TargetMode="External"/><Relationship Id="rId580" Type="http://schemas.openxmlformats.org/officeDocument/2006/relationships/hyperlink" Target="https://fbref.com/en/players/57760e66/matchlogs/2025-2026/summary/Marcus-Edwards-Match-Logs" TargetMode="External"/><Relationship Id="rId1175" Type="http://schemas.openxmlformats.org/officeDocument/2006/relationships/hyperlink" Target="https://fbref.com/en/squads/cff3d9bb/Chelsea-Stats" TargetMode="External"/><Relationship Id="rId2022" Type="http://schemas.openxmlformats.org/officeDocument/2006/relationships/hyperlink" Target="https://fbref.com/en/country/FRA/France-Football" TargetMode="External"/><Relationship Id="rId103" Type="http://schemas.openxmlformats.org/officeDocument/2006/relationships/hyperlink" Target="https://fbref.com/en/squads/8ef52968/Sunderland-Stats" TargetMode="External"/><Relationship Id="rId587" Type="http://schemas.openxmlformats.org/officeDocument/2006/relationships/hyperlink" Target="https://fbref.com/en/squads/822bd0ba/Liverpool-Stats" TargetMode="External"/><Relationship Id="rId1176" Type="http://schemas.openxmlformats.org/officeDocument/2006/relationships/hyperlink" Target="https://fbref.com/en/players/ecad9aa5/matchlogs/2025-2026/summary/Romeo-Lavia-Match-Logs" TargetMode="External"/><Relationship Id="rId2023" Type="http://schemas.openxmlformats.org/officeDocument/2006/relationships/hyperlink" Target="https://fbref.com/en/squads/4ba7cbea/Bournemouth-Stats" TargetMode="External"/><Relationship Id="rId102" Type="http://schemas.openxmlformats.org/officeDocument/2006/relationships/hyperlink" Target="https://fbref.com/en/country/ECU/Ecuador-Football" TargetMode="External"/><Relationship Id="rId586" Type="http://schemas.openxmlformats.org/officeDocument/2006/relationships/hyperlink" Target="https://fbref.com/en/country/FRA/France-Football" TargetMode="External"/><Relationship Id="rId1177" Type="http://schemas.openxmlformats.org/officeDocument/2006/relationships/hyperlink" Target="https://fbref.com/en/players/6f806d99/Enzo-Le-Fee" TargetMode="External"/><Relationship Id="rId2024" Type="http://schemas.openxmlformats.org/officeDocument/2006/relationships/hyperlink" Target="https://fbref.com/en/players/5d0e0a1f/matchlogs/2025-2026/summary/Adrien-Truffert-Match-Logs" TargetMode="External"/><Relationship Id="rId101" Type="http://schemas.openxmlformats.org/officeDocument/2006/relationships/hyperlink" Target="https://fbref.com/en/players/a9b9d89c/Nilson-Angulo" TargetMode="External"/><Relationship Id="rId585" Type="http://schemas.openxmlformats.org/officeDocument/2006/relationships/hyperlink" Target="https://fbref.com/en/players/5b92d896/Hugo-Ekitike" TargetMode="External"/><Relationship Id="rId1178" Type="http://schemas.openxmlformats.org/officeDocument/2006/relationships/hyperlink" Target="https://fbref.com/en/country/FRA/France-Football" TargetMode="External"/><Relationship Id="rId2025" Type="http://schemas.openxmlformats.org/officeDocument/2006/relationships/hyperlink" Target="https://fbref.com/en/players/2baec6ce/Axel-Tuanzebe" TargetMode="External"/><Relationship Id="rId100" Type="http://schemas.openxmlformats.org/officeDocument/2006/relationships/hyperlink" Target="https://fbref.com/en/players/ec604e2c/matchlogs/2025-2026/summary/Andre-Match-Logs" TargetMode="External"/><Relationship Id="rId584" Type="http://schemas.openxmlformats.org/officeDocument/2006/relationships/hyperlink" Target="https://fbref.com/en/players/3d554589/matchlogs/2025-2026/summary/Hjalmar-Ekdal-Match-Logs" TargetMode="External"/><Relationship Id="rId1179" Type="http://schemas.openxmlformats.org/officeDocument/2006/relationships/hyperlink" Target="https://fbref.com/en/squads/8ef52968/Sunderland-Stats" TargetMode="External"/><Relationship Id="rId2026" Type="http://schemas.openxmlformats.org/officeDocument/2006/relationships/hyperlink" Target="https://fbref.com/en/country/COD/Congo-DR-Football" TargetMode="External"/><Relationship Id="rId1169" Type="http://schemas.openxmlformats.org/officeDocument/2006/relationships/hyperlink" Target="https://fbref.com/en/players/f0068e0f/Josh-Laurent" TargetMode="External"/><Relationship Id="rId2016" Type="http://schemas.openxmlformats.org/officeDocument/2006/relationships/hyperlink" Target="https://fbref.com/en/players/21512407/matchlogs/2025-2026/summary/Kieran-Trippier-Match-Logs" TargetMode="External"/><Relationship Id="rId2017" Type="http://schemas.openxmlformats.org/officeDocument/2006/relationships/hyperlink" Target="https://fbref.com/en/players/38ceb24a/Leandro-Trossard" TargetMode="External"/><Relationship Id="rId2018" Type="http://schemas.openxmlformats.org/officeDocument/2006/relationships/hyperlink" Target="https://fbref.com/en/country/BEL/Belgium-Football" TargetMode="External"/><Relationship Id="rId2019" Type="http://schemas.openxmlformats.org/officeDocument/2006/relationships/hyperlink" Target="https://fbref.com/en/squads/18bb7c10/Arsenal-Stats" TargetMode="External"/><Relationship Id="rId579" Type="http://schemas.openxmlformats.org/officeDocument/2006/relationships/hyperlink" Target="https://fbref.com/en/squads/943e8050/Burnley-Stats" TargetMode="External"/><Relationship Id="rId578" Type="http://schemas.openxmlformats.org/officeDocument/2006/relationships/hyperlink" Target="https://fbref.com/en/country/ENG/England-Football" TargetMode="External"/><Relationship Id="rId577" Type="http://schemas.openxmlformats.org/officeDocument/2006/relationships/hyperlink" Target="https://fbref.com/en/players/57760e66/Marcus-Edwards" TargetMode="External"/><Relationship Id="rId1160" Type="http://schemas.openxmlformats.org/officeDocument/2006/relationships/hyperlink" Target="https://fbref.com/en/players/277c49ed/matchlogs/2025-2026/summary/Maxence-Lacroix-Match-Logs" TargetMode="External"/><Relationship Id="rId572" Type="http://schemas.openxmlformats.org/officeDocument/2006/relationships/hyperlink" Target="https://fbref.com/en/players/3354ea94/matchlogs/2025-2026/summary/Tom-Edozie-Match-Logs" TargetMode="External"/><Relationship Id="rId1161" Type="http://schemas.openxmlformats.org/officeDocument/2006/relationships/hyperlink" Target="https://fbref.com/en/players/8e6d2fcd/Senne-Lammens" TargetMode="External"/><Relationship Id="rId571" Type="http://schemas.openxmlformats.org/officeDocument/2006/relationships/hyperlink" Target="https://fbref.com/en/squads/8cec06e1/Wolverhampton-Wanderers-Stats" TargetMode="External"/><Relationship Id="rId1162" Type="http://schemas.openxmlformats.org/officeDocument/2006/relationships/hyperlink" Target="https://fbref.com/en/country/BEL/Belgium-Football" TargetMode="External"/><Relationship Id="rId570" Type="http://schemas.openxmlformats.org/officeDocument/2006/relationships/hyperlink" Target="https://fbref.com/en/country/ENG/England-Football" TargetMode="External"/><Relationship Id="rId1163" Type="http://schemas.openxmlformats.org/officeDocument/2006/relationships/hyperlink" Target="https://fbref.com/en/squads/19538871/Manchester-United-Stats" TargetMode="External"/><Relationship Id="rId2010" Type="http://schemas.openxmlformats.org/officeDocument/2006/relationships/hyperlink" Target="https://fbref.com/en/country/BEL/Belgium-Football" TargetMode="External"/><Relationship Id="rId1164" Type="http://schemas.openxmlformats.org/officeDocument/2006/relationships/hyperlink" Target="https://fbref.com/en/players/8e6d2fcd/matchlogs/2025-2026/summary/Senne-Lammens-Match-Logs" TargetMode="External"/><Relationship Id="rId2011" Type="http://schemas.openxmlformats.org/officeDocument/2006/relationships/hyperlink" Target="https://fbref.com/en/squads/943e8050/Burnley-Stats" TargetMode="External"/><Relationship Id="rId576" Type="http://schemas.openxmlformats.org/officeDocument/2006/relationships/hyperlink" Target="https://fbref.com/en/players/99b63a82/matchlogs/2025-2026/summary/Alysson-Edward-Match-Logs" TargetMode="External"/><Relationship Id="rId1165" Type="http://schemas.openxmlformats.org/officeDocument/2006/relationships/hyperlink" Target="https://fbref.com/en/players/450ab6fc/Jamaal-Lascelles" TargetMode="External"/><Relationship Id="rId2012" Type="http://schemas.openxmlformats.org/officeDocument/2006/relationships/hyperlink" Target="https://fbref.com/en/players/b2a81fc6/matchlogs/2025-2026/summary/Mike-Tresor-Match-Logs" TargetMode="External"/><Relationship Id="rId575" Type="http://schemas.openxmlformats.org/officeDocument/2006/relationships/hyperlink" Target="https://fbref.com/en/squads/8602292d/Aston-Villa-Stats" TargetMode="External"/><Relationship Id="rId1166" Type="http://schemas.openxmlformats.org/officeDocument/2006/relationships/hyperlink" Target="https://fbref.com/en/country/ENG/England-Football" TargetMode="External"/><Relationship Id="rId2013" Type="http://schemas.openxmlformats.org/officeDocument/2006/relationships/hyperlink" Target="https://fbref.com/en/players/21512407/Kieran-Trippier" TargetMode="External"/><Relationship Id="rId574" Type="http://schemas.openxmlformats.org/officeDocument/2006/relationships/hyperlink" Target="https://fbref.com/en/country/BRA/Brazil-Football" TargetMode="External"/><Relationship Id="rId1167" Type="http://schemas.openxmlformats.org/officeDocument/2006/relationships/hyperlink" Target="https://fbref.com/en/squads/b2b47a98/Newcastle-United-Stats" TargetMode="External"/><Relationship Id="rId2014" Type="http://schemas.openxmlformats.org/officeDocument/2006/relationships/hyperlink" Target="https://fbref.com/en/country/ENG/England-Football" TargetMode="External"/><Relationship Id="rId573" Type="http://schemas.openxmlformats.org/officeDocument/2006/relationships/hyperlink" Target="https://fbref.com/en/players/99b63a82/Alysson-Edward" TargetMode="External"/><Relationship Id="rId1168" Type="http://schemas.openxmlformats.org/officeDocument/2006/relationships/hyperlink" Target="https://fbref.com/en/players/450ab6fc/matchlogs/2025-2026/summary/Jamaal-Lascelles-Match-Logs" TargetMode="External"/><Relationship Id="rId2015" Type="http://schemas.openxmlformats.org/officeDocument/2006/relationships/hyperlink" Target="https://fbref.com/en/squads/b2b47a98/Newcastle-United-Stats" TargetMode="External"/><Relationship Id="rId2049" Type="http://schemas.openxmlformats.org/officeDocument/2006/relationships/hyperlink" Target="https://fbref.com/en/players/f8eca1b6/Enes-Unal" TargetMode="External"/><Relationship Id="rId129" Type="http://schemas.openxmlformats.org/officeDocument/2006/relationships/hyperlink" Target="https://fbref.com/en/players/28d596a0/Kepa-Arrizabalaga" TargetMode="External"/><Relationship Id="rId128" Type="http://schemas.openxmlformats.org/officeDocument/2006/relationships/hyperlink" Target="https://fbref.com/en/players/a42760bc/matchlogs/2025-2026/summary/Tolu-Arokodare-Match-Logs" TargetMode="External"/><Relationship Id="rId127" Type="http://schemas.openxmlformats.org/officeDocument/2006/relationships/hyperlink" Target="https://fbref.com/en/squads/8cec06e1/Wolverhampton-Wanderers-Stats" TargetMode="External"/><Relationship Id="rId126" Type="http://schemas.openxmlformats.org/officeDocument/2006/relationships/hyperlink" Target="https://fbref.com/en/country/NGA/Nigeria-Football" TargetMode="External"/><Relationship Id="rId1190" Type="http://schemas.openxmlformats.org/officeDocument/2006/relationships/hyperlink" Target="https://fbref.com/en/country/ENG/England-Football" TargetMode="External"/><Relationship Id="rId1191" Type="http://schemas.openxmlformats.org/officeDocument/2006/relationships/hyperlink" Target="https://fbref.com/en/squads/b8fd03ef/Manchester-City-Stats" TargetMode="External"/><Relationship Id="rId1192" Type="http://schemas.openxmlformats.org/officeDocument/2006/relationships/hyperlink" Target="https://fbref.com/en/players/b57e066e/matchlogs/2025-2026/summary/Rico-Lewis-Match-Logs" TargetMode="External"/><Relationship Id="rId1193" Type="http://schemas.openxmlformats.org/officeDocument/2006/relationships/hyperlink" Target="https://fbref.com/en/players/41f08ac8/Keane-Lewis-Potter" TargetMode="External"/><Relationship Id="rId2040" Type="http://schemas.openxmlformats.org/officeDocument/2006/relationships/hyperlink" Target="https://fbref.com/en/players/7cd520e8/matchlogs/2025-2026/summary/Destiny-Udogie-Match-Logs" TargetMode="External"/><Relationship Id="rId121" Type="http://schemas.openxmlformats.org/officeDocument/2006/relationships/hyperlink" Target="https://fbref.com/en/players/de59e609/Harrison-Armstrong" TargetMode="External"/><Relationship Id="rId1194" Type="http://schemas.openxmlformats.org/officeDocument/2006/relationships/hyperlink" Target="https://fbref.com/en/country/ENG/England-Football" TargetMode="External"/><Relationship Id="rId2041" Type="http://schemas.openxmlformats.org/officeDocument/2006/relationships/hyperlink" Target="https://fbref.com/en/players/c9817014/Manuel-Ugarte" TargetMode="External"/><Relationship Id="rId120" Type="http://schemas.openxmlformats.org/officeDocument/2006/relationships/hyperlink" Target="https://fbref.com/en/players/68c720b5/matchlogs/2025-2026/summary/Adam-Armstrong-Match-Logs" TargetMode="External"/><Relationship Id="rId1195" Type="http://schemas.openxmlformats.org/officeDocument/2006/relationships/hyperlink" Target="https://fbref.com/en/squads/cd051869/Brentford-Stats" TargetMode="External"/><Relationship Id="rId2042" Type="http://schemas.openxmlformats.org/officeDocument/2006/relationships/hyperlink" Target="https://fbref.com/en/country/URU/Uruguay-Football" TargetMode="External"/><Relationship Id="rId1196" Type="http://schemas.openxmlformats.org/officeDocument/2006/relationships/hyperlink" Target="https://fbref.com/en/players/41f08ac8/matchlogs/2025-2026/summary/Keane-Lewis-Potter-Match-Logs" TargetMode="External"/><Relationship Id="rId2043" Type="http://schemas.openxmlformats.org/officeDocument/2006/relationships/hyperlink" Target="https://fbref.com/en/squads/19538871/Manchester-United-Stats" TargetMode="External"/><Relationship Id="rId1197" Type="http://schemas.openxmlformats.org/officeDocument/2006/relationships/hyperlink" Target="https://fbref.com/en/players/5dff6c28/Myles-Lewis-Skelly" TargetMode="External"/><Relationship Id="rId2044" Type="http://schemas.openxmlformats.org/officeDocument/2006/relationships/hyperlink" Target="https://fbref.com/en/players/c9817014/matchlogs/2025-2026/summary/Manuel-Ugarte-Match-Logs" TargetMode="External"/><Relationship Id="rId125" Type="http://schemas.openxmlformats.org/officeDocument/2006/relationships/hyperlink" Target="https://fbref.com/en/players/a42760bc/Tolu-Arokodare" TargetMode="External"/><Relationship Id="rId1198" Type="http://schemas.openxmlformats.org/officeDocument/2006/relationships/hyperlink" Target="https://fbref.com/en/country/ENG/England-Football" TargetMode="External"/><Relationship Id="rId2045" Type="http://schemas.openxmlformats.org/officeDocument/2006/relationships/hyperlink" Target="https://fbref.com/en/players/1df4a109/Lesley-Ugochukwu" TargetMode="External"/><Relationship Id="rId124" Type="http://schemas.openxmlformats.org/officeDocument/2006/relationships/hyperlink" Target="https://fbref.com/en/players/de59e609/matchlogs/2025-2026/summary/Harrison-Armstrong-Match-Logs" TargetMode="External"/><Relationship Id="rId1199" Type="http://schemas.openxmlformats.org/officeDocument/2006/relationships/hyperlink" Target="https://fbref.com/en/squads/18bb7c10/Arsenal-Stats" TargetMode="External"/><Relationship Id="rId2046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d3fd31cc/Everton-Stats" TargetMode="External"/><Relationship Id="rId2047" Type="http://schemas.openxmlformats.org/officeDocument/2006/relationships/hyperlink" Target="https://fbref.com/en/squads/943e8050/Burnley-Stats" TargetMode="External"/><Relationship Id="rId122" Type="http://schemas.openxmlformats.org/officeDocument/2006/relationships/hyperlink" Target="https://fbref.com/en/country/ENG/England-Football" TargetMode="External"/><Relationship Id="rId2048" Type="http://schemas.openxmlformats.org/officeDocument/2006/relationships/hyperlink" Target="https://fbref.com/en/players/1df4a109/matchlogs/2025-2026/summary/Lesley-Ugochukwu-Match-Logs" TargetMode="External"/><Relationship Id="rId2038" Type="http://schemas.openxmlformats.org/officeDocument/2006/relationships/hyperlink" Target="https://fbref.com/en/country/ITA/Italy-Football" TargetMode="External"/><Relationship Id="rId2039" Type="http://schemas.openxmlformats.org/officeDocument/2006/relationships/hyperlink" Target="https://fbref.com/en/squads/361ca564/Tottenham-Hotspur-Stats" TargetMode="External"/><Relationship Id="rId118" Type="http://schemas.openxmlformats.org/officeDocument/2006/relationships/hyperlink" Target="https://fbref.com/en/country/ENG/England-Football" TargetMode="External"/><Relationship Id="rId117" Type="http://schemas.openxmlformats.org/officeDocument/2006/relationships/hyperlink" Target="https://fbref.com/en/players/68c720b5/Adam-Armstrong" TargetMode="External"/><Relationship Id="rId116" Type="http://schemas.openxmlformats.org/officeDocument/2006/relationships/hyperlink" Target="https://fbref.com/en/players/86d96066/matchlogs/2025-2026/summary/Jhon-Arias-Match-Logs" TargetMode="External"/><Relationship Id="rId115" Type="http://schemas.openxmlformats.org/officeDocument/2006/relationships/hyperlink" Target="https://fbref.com/en/squads/8cec06e1/Wolverhampton-Wanderers-Stats" TargetMode="External"/><Relationship Id="rId599" Type="http://schemas.openxmlformats.org/officeDocument/2006/relationships/hyperlink" Target="https://fbref.com/en/squads/822bd0ba/Liverpool-Stats" TargetMode="External"/><Relationship Id="rId1180" Type="http://schemas.openxmlformats.org/officeDocument/2006/relationships/hyperlink" Target="https://fbref.com/en/players/6f806d99/matchlogs/2025-2026/summary/Enzo-Le-Fee-Match-Logs" TargetMode="External"/><Relationship Id="rId1181" Type="http://schemas.openxmlformats.org/officeDocument/2006/relationships/hyperlink" Target="https://fbref.com/en/players/2628fd2b/Bernd-Leno" TargetMode="External"/><Relationship Id="rId119" Type="http://schemas.openxmlformats.org/officeDocument/2006/relationships/hyperlink" Target="https://fbref.com/en/squads/8cec06e1/Wolverhampton-Wanderers-Stats" TargetMode="External"/><Relationship Id="rId1182" Type="http://schemas.openxmlformats.org/officeDocument/2006/relationships/hyperlink" Target="https://fbref.com/en/country/GER/Germany-Football" TargetMode="External"/><Relationship Id="rId110" Type="http://schemas.openxmlformats.org/officeDocument/2006/relationships/hyperlink" Target="https://fbref.com/en/country/FRA/France-Football" TargetMode="External"/><Relationship Id="rId594" Type="http://schemas.openxmlformats.org/officeDocument/2006/relationships/hyperlink" Target="https://fbref.com/en/country/SWE/Sweden-Football" TargetMode="External"/><Relationship Id="rId1183" Type="http://schemas.openxmlformats.org/officeDocument/2006/relationships/hyperlink" Target="https://fbref.com/en/squads/fd962109/Fulham-Stats" TargetMode="External"/><Relationship Id="rId2030" Type="http://schemas.openxmlformats.org/officeDocument/2006/relationships/hyperlink" Target="https://fbref.com/en/country/GRE/Greece-Football" TargetMode="External"/><Relationship Id="rId593" Type="http://schemas.openxmlformats.org/officeDocument/2006/relationships/hyperlink" Target="https://fbref.com/en/players/013d348e/Melker-Ellborg" TargetMode="External"/><Relationship Id="rId1184" Type="http://schemas.openxmlformats.org/officeDocument/2006/relationships/hyperlink" Target="https://fbref.com/en/players/2628fd2b/matchlogs/2025-2026/summary/Bernd-Leno-Match-Logs" TargetMode="External"/><Relationship Id="rId2031" Type="http://schemas.openxmlformats.org/officeDocument/2006/relationships/hyperlink" Target="https://fbref.com/en/squads/d07537b9/Brighton-and-Hove-Albion-Stats" TargetMode="External"/><Relationship Id="rId592" Type="http://schemas.openxmlformats.org/officeDocument/2006/relationships/hyperlink" Target="https://fbref.com/en/players/2fba6108/matchlogs/2025-2026/summary/Anthony-Elanga-Match-Logs" TargetMode="External"/><Relationship Id="rId1185" Type="http://schemas.openxmlformats.org/officeDocument/2006/relationships/hyperlink" Target="https://fbref.com/en/players/9b5ce51a/Jefferson-Lerma" TargetMode="External"/><Relationship Id="rId2032" Type="http://schemas.openxmlformats.org/officeDocument/2006/relationships/hyperlink" Target="https://fbref.com/en/players/a497130f/matchlogs/2025-2026/summary/Stefanos-Tzimas-Match-Logs" TargetMode="External"/><Relationship Id="rId591" Type="http://schemas.openxmlformats.org/officeDocument/2006/relationships/hyperlink" Target="https://fbref.com/en/squads/b2b47a98/Newcastle-United-Stats" TargetMode="External"/><Relationship Id="rId1186" Type="http://schemas.openxmlformats.org/officeDocument/2006/relationships/hyperlink" Target="https://fbref.com/en/country/COL/Colombia-Football" TargetMode="External"/><Relationship Id="rId2033" Type="http://schemas.openxmlformats.org/officeDocument/2006/relationships/hyperlink" Target="https://fbref.com/en/players/87941696/Christantus-Uche" TargetMode="External"/><Relationship Id="rId114" Type="http://schemas.openxmlformats.org/officeDocument/2006/relationships/hyperlink" Target="https://fbref.com/en/country/COL/Colombia-Football" TargetMode="External"/><Relationship Id="rId598" Type="http://schemas.openxmlformats.org/officeDocument/2006/relationships/hyperlink" Target="https://fbref.com/en/country/ENG/England-Football" TargetMode="External"/><Relationship Id="rId1187" Type="http://schemas.openxmlformats.org/officeDocument/2006/relationships/hyperlink" Target="https://fbref.com/en/squads/47c64c55/Crystal-Palace-Stats" TargetMode="External"/><Relationship Id="rId2034" Type="http://schemas.openxmlformats.org/officeDocument/2006/relationships/hyperlink" Target="https://fbref.com/en/country/NGA/Nigeria-Football" TargetMode="External"/><Relationship Id="rId113" Type="http://schemas.openxmlformats.org/officeDocument/2006/relationships/hyperlink" Target="https://fbref.com/en/players/86d96066/Jhon-Arias" TargetMode="External"/><Relationship Id="rId597" Type="http://schemas.openxmlformats.org/officeDocument/2006/relationships/hyperlink" Target="https://fbref.com/en/players/b9e1436c/Harvey-Elliott" TargetMode="External"/><Relationship Id="rId1188" Type="http://schemas.openxmlformats.org/officeDocument/2006/relationships/hyperlink" Target="https://fbref.com/en/players/9b5ce51a/matchlogs/2025-2026/summary/Jefferson-Lerma-Match-Logs" TargetMode="External"/><Relationship Id="rId2035" Type="http://schemas.openxmlformats.org/officeDocument/2006/relationships/hyperlink" Target="https://fbref.com/en/squads/47c64c55/Crystal-Palace-Stats" TargetMode="External"/><Relationship Id="rId112" Type="http://schemas.openxmlformats.org/officeDocument/2006/relationships/hyperlink" Target="https://fbref.com/en/players/2f965a72/matchlogs/2025-2026/summary/Alphonse-Areola-Match-Logs" TargetMode="External"/><Relationship Id="rId596" Type="http://schemas.openxmlformats.org/officeDocument/2006/relationships/hyperlink" Target="https://fbref.com/en/players/013d348e/matchlogs/2025-2026/summary/Melker-Ellborg-Match-Logs" TargetMode="External"/><Relationship Id="rId1189" Type="http://schemas.openxmlformats.org/officeDocument/2006/relationships/hyperlink" Target="https://fbref.com/en/players/b57e066e/Rico-Lewis" TargetMode="External"/><Relationship Id="rId2036" Type="http://schemas.openxmlformats.org/officeDocument/2006/relationships/hyperlink" Target="https://fbref.com/en/players/87941696/matchlogs/2025-2026/summary/Christantus-Uche-Match-Logs" TargetMode="External"/><Relationship Id="rId111" Type="http://schemas.openxmlformats.org/officeDocument/2006/relationships/hyperlink" Target="https://fbref.com/en/squads/7c21e445/West-Ham-United-Stats" TargetMode="External"/><Relationship Id="rId595" Type="http://schemas.openxmlformats.org/officeDocument/2006/relationships/hyperlink" Target="https://fbref.com/en/squads/8ef52968/Sunderland-Stats" TargetMode="External"/><Relationship Id="rId2037" Type="http://schemas.openxmlformats.org/officeDocument/2006/relationships/hyperlink" Target="https://fbref.com/en/players/7cd520e8/Destiny-Udogie" TargetMode="External"/><Relationship Id="rId1136" Type="http://schemas.openxmlformats.org/officeDocument/2006/relationships/hyperlink" Target="https://fbref.com/en/players/79c0821a/matchlogs/2025-2026/summary/Mateo-Kovacic-Match-Logs" TargetMode="External"/><Relationship Id="rId1137" Type="http://schemas.openxmlformats.org/officeDocument/2006/relationships/hyperlink" Target="https://fbref.com/en/players/77cf6852/Emil-Krafth" TargetMode="External"/><Relationship Id="rId1138" Type="http://schemas.openxmlformats.org/officeDocument/2006/relationships/hyperlink" Target="https://fbref.com/en/country/SWE/Sweden-Football" TargetMode="External"/><Relationship Id="rId1139" Type="http://schemas.openxmlformats.org/officeDocument/2006/relationships/hyperlink" Target="https://fbref.com/en/squads/b2b47a98/Newcastle-United-Stats" TargetMode="External"/><Relationship Id="rId547" Type="http://schemas.openxmlformats.org/officeDocument/2006/relationships/hyperlink" Target="https://fbref.com/en/squads/361ca564/Tottenham-Hotspur-Stats" TargetMode="External"/><Relationship Id="rId546" Type="http://schemas.openxmlformats.org/officeDocument/2006/relationships/hyperlink" Target="https://fbref.com/en/country/ROU/Romania-Football" TargetMode="External"/><Relationship Id="rId545" Type="http://schemas.openxmlformats.org/officeDocument/2006/relationships/hyperlink" Target="https://fbref.com/en/players/620922ed/Radu-Dragusin" TargetMode="External"/><Relationship Id="rId544" Type="http://schemas.openxmlformats.org/officeDocument/2006/relationships/hyperlink" Target="https://fbref.com/en/players/9008bb70/matchlogs/2025-2026/summary/Max-Dowman-Match-Logs" TargetMode="External"/><Relationship Id="rId549" Type="http://schemas.openxmlformats.org/officeDocument/2006/relationships/hyperlink" Target="https://fbref.com/en/players/1bd530e8/Joel-Drakes-Thomas" TargetMode="External"/><Relationship Id="rId548" Type="http://schemas.openxmlformats.org/officeDocument/2006/relationships/hyperlink" Target="https://fbref.com/en/players/620922ed/matchlogs/2025-2026/summary/Radu-Dragusin-Match-Logs" TargetMode="External"/><Relationship Id="rId1130" Type="http://schemas.openxmlformats.org/officeDocument/2006/relationships/hyperlink" Target="https://fbref.com/en/country/GRE/Greece-Football" TargetMode="External"/><Relationship Id="rId1131" Type="http://schemas.openxmlformats.org/officeDocument/2006/relationships/hyperlink" Target="https://fbref.com/en/squads/d07537b9/Brighton-and-Hove-Albion-Stats" TargetMode="External"/><Relationship Id="rId543" Type="http://schemas.openxmlformats.org/officeDocument/2006/relationships/hyperlink" Target="https://fbref.com/en/squads/18bb7c10/Arsenal-Stats" TargetMode="External"/><Relationship Id="rId1132" Type="http://schemas.openxmlformats.org/officeDocument/2006/relationships/hyperlink" Target="https://fbref.com/en/players/816010c4/matchlogs/2025-2026/summary/Charalampos-Kostoulas-Match-Logs" TargetMode="External"/><Relationship Id="rId542" Type="http://schemas.openxmlformats.org/officeDocument/2006/relationships/hyperlink" Target="https://fbref.com/en/country/ENG/England-Football" TargetMode="External"/><Relationship Id="rId1133" Type="http://schemas.openxmlformats.org/officeDocument/2006/relationships/hyperlink" Target="https://fbref.com/en/players/79c0821a/Mateo-Kovacic" TargetMode="External"/><Relationship Id="rId541" Type="http://schemas.openxmlformats.org/officeDocument/2006/relationships/hyperlink" Target="https://fbref.com/en/players/9008bb70/Max-Dowman" TargetMode="External"/><Relationship Id="rId1134" Type="http://schemas.openxmlformats.org/officeDocument/2006/relationships/hyperlink" Target="https://fbref.com/en/country/CRO/Croatia-Football" TargetMode="External"/><Relationship Id="rId540" Type="http://schemas.openxmlformats.org/officeDocument/2006/relationships/hyperlink" Target="https://fbref.com/en/players/e6536124/matchlogs/2025-2026/summary/Patrick-Dorgu-Match-Logs" TargetMode="External"/><Relationship Id="rId1135" Type="http://schemas.openxmlformats.org/officeDocument/2006/relationships/hyperlink" Target="https://fbref.com/en/squads/b8fd03ef/Manchester-City-Stats" TargetMode="External"/><Relationship Id="rId1125" Type="http://schemas.openxmlformats.org/officeDocument/2006/relationships/hyperlink" Target="https://fbref.com/en/players/0313a347/Ezri-Konsa" TargetMode="External"/><Relationship Id="rId1126" Type="http://schemas.openxmlformats.org/officeDocument/2006/relationships/hyperlink" Target="https://fbref.com/en/country/ENG/England-Football" TargetMode="External"/><Relationship Id="rId1127" Type="http://schemas.openxmlformats.org/officeDocument/2006/relationships/hyperlink" Target="https://fbref.com/en/squads/8602292d/Aston-Villa-Stats" TargetMode="External"/><Relationship Id="rId1128" Type="http://schemas.openxmlformats.org/officeDocument/2006/relationships/hyperlink" Target="https://fbref.com/en/players/0313a347/matchlogs/2025-2026/summary/Ezri-Konsa-Match-Logs" TargetMode="External"/><Relationship Id="rId1129" Type="http://schemas.openxmlformats.org/officeDocument/2006/relationships/hyperlink" Target="https://fbref.com/en/players/816010c4/Charalampos-Kostoulas" TargetMode="External"/><Relationship Id="rId536" Type="http://schemas.openxmlformats.org/officeDocument/2006/relationships/hyperlink" Target="https://fbref.com/en/players/519db366/matchlogs/2025-2026/summary/Romelle-Donovan-Match-Logs" TargetMode="External"/><Relationship Id="rId535" Type="http://schemas.openxmlformats.org/officeDocument/2006/relationships/hyperlink" Target="https://fbref.com/en/squads/cd051869/Brentford-Stats" TargetMode="External"/><Relationship Id="rId534" Type="http://schemas.openxmlformats.org/officeDocument/2006/relationships/hyperlink" Target="https://fbref.com/en/country/ENG/England-Football" TargetMode="External"/><Relationship Id="rId533" Type="http://schemas.openxmlformats.org/officeDocument/2006/relationships/hyperlink" Target="https://fbref.com/en/players/519db366/Romelle-Donovan" TargetMode="External"/><Relationship Id="rId539" Type="http://schemas.openxmlformats.org/officeDocument/2006/relationships/hyperlink" Target="https://fbref.com/en/squads/19538871/Manchester-United-Stats" TargetMode="External"/><Relationship Id="rId538" Type="http://schemas.openxmlformats.org/officeDocument/2006/relationships/hyperlink" Target="https://fbref.com/en/country/DEN/Denmark-Football" TargetMode="External"/><Relationship Id="rId537" Type="http://schemas.openxmlformats.org/officeDocument/2006/relationships/hyperlink" Target="https://fbref.com/en/players/e6536124/Patrick-Dorgu" TargetMode="External"/><Relationship Id="rId1120" Type="http://schemas.openxmlformats.org/officeDocument/2006/relationships/hyperlink" Target="https://fbref.com/en/players/c0b3669f/matchlogs/2025-2026/summary/Randal-Kolo-Muani-Match-Logs" TargetMode="External"/><Relationship Id="rId532" Type="http://schemas.openxmlformats.org/officeDocument/2006/relationships/hyperlink" Target="https://fbref.com/en/players/08f5afaa/matchlogs/2025-2026/summary/Gianluigi-Donnarumma-Match-Logs" TargetMode="External"/><Relationship Id="rId1121" Type="http://schemas.openxmlformats.org/officeDocument/2006/relationships/hyperlink" Target="https://fbref.com/en/players/5ed9b537/Ibrahima-Konate" TargetMode="External"/><Relationship Id="rId531" Type="http://schemas.openxmlformats.org/officeDocument/2006/relationships/hyperlink" Target="https://fbref.com/en/squads/b8fd03ef/Manchester-City-Stats" TargetMode="External"/><Relationship Id="rId1122" Type="http://schemas.openxmlformats.org/officeDocument/2006/relationships/hyperlink" Target="https://fbref.com/en/country/FRA/France-Football" TargetMode="External"/><Relationship Id="rId530" Type="http://schemas.openxmlformats.org/officeDocument/2006/relationships/hyperlink" Target="https://fbref.com/en/country/ITA/Italy-Football" TargetMode="External"/><Relationship Id="rId1123" Type="http://schemas.openxmlformats.org/officeDocument/2006/relationships/hyperlink" Target="https://fbref.com/en/squads/822bd0ba/Liverpool-Stats" TargetMode="External"/><Relationship Id="rId1124" Type="http://schemas.openxmlformats.org/officeDocument/2006/relationships/hyperlink" Target="https://fbref.com/en/players/5ed9b537/matchlogs/2025-2026/summary/Ibrahima-Konate-Match-Logs" TargetMode="External"/><Relationship Id="rId1158" Type="http://schemas.openxmlformats.org/officeDocument/2006/relationships/hyperlink" Target="https://fbref.com/en/country/FRA/France-Football" TargetMode="External"/><Relationship Id="rId2005" Type="http://schemas.openxmlformats.org/officeDocument/2006/relationships/hyperlink" Target="https://fbref.com/en/players/c47541e0/Bertrand-Traore" TargetMode="External"/><Relationship Id="rId1159" Type="http://schemas.openxmlformats.org/officeDocument/2006/relationships/hyperlink" Target="https://fbref.com/en/squads/47c64c55/Crystal-Palace-Stats" TargetMode="External"/><Relationship Id="rId2006" Type="http://schemas.openxmlformats.org/officeDocument/2006/relationships/hyperlink" Target="https://fbref.com/en/country/BFA/Burkina-Faso-Football" TargetMode="External"/><Relationship Id="rId2007" Type="http://schemas.openxmlformats.org/officeDocument/2006/relationships/hyperlink" Target="https://fbref.com/en/squads/8ef52968/Sunderland-Stats" TargetMode="External"/><Relationship Id="rId2008" Type="http://schemas.openxmlformats.org/officeDocument/2006/relationships/hyperlink" Target="https://fbref.com/en/players/c47541e0/matchlogs/2025-2026/summary/Bertrand-Traore-Match-Logs" TargetMode="External"/><Relationship Id="rId2009" Type="http://schemas.openxmlformats.org/officeDocument/2006/relationships/hyperlink" Target="https://fbref.com/en/players/b2a81fc6/Mike-Tresor" TargetMode="External"/><Relationship Id="rId569" Type="http://schemas.openxmlformats.org/officeDocument/2006/relationships/hyperlink" Target="https://fbref.com/en/players/3354ea94/Tom-Edozie" TargetMode="External"/><Relationship Id="rId568" Type="http://schemas.openxmlformats.org/officeDocument/2006/relationships/hyperlink" Target="https://fbref.com/en/players/0562b7f1/matchlogs/2025-2026/summary/Odsonne-Edouard-Match-Logs" TargetMode="External"/><Relationship Id="rId567" Type="http://schemas.openxmlformats.org/officeDocument/2006/relationships/hyperlink" Target="https://fbref.com/en/squads/47c64c55/Crystal-Palace-Stats" TargetMode="External"/><Relationship Id="rId566" Type="http://schemas.openxmlformats.org/officeDocument/2006/relationships/hyperlink" Target="https://fbref.com/en/country/FRA/France-Football" TargetMode="External"/><Relationship Id="rId561" Type="http://schemas.openxmlformats.org/officeDocument/2006/relationships/hyperlink" Target="https://fbref.com/en/players/123d2733/George-Earthy" TargetMode="External"/><Relationship Id="rId1150" Type="http://schemas.openxmlformats.org/officeDocument/2006/relationships/hyperlink" Target="https://fbref.com/en/country/SWE/Sweden-Football" TargetMode="External"/><Relationship Id="rId560" Type="http://schemas.openxmlformats.org/officeDocument/2006/relationships/hyperlink" Target="https://fbref.com/en/players/282f75f3/matchlogs/2025-2026/summary/Lewis-Dunk-Match-Logs" TargetMode="External"/><Relationship Id="rId1151" Type="http://schemas.openxmlformats.org/officeDocument/2006/relationships/hyperlink" Target="https://fbref.com/en/squads/fd962109/Fulham-Stats" TargetMode="External"/><Relationship Id="rId1152" Type="http://schemas.openxmlformats.org/officeDocument/2006/relationships/hyperlink" Target="https://fbref.com/en/players/c7c26e61/matchlogs/2025-2026/summary/Jonah-Kusi-Asare-Match-Logs" TargetMode="External"/><Relationship Id="rId1153" Type="http://schemas.openxmlformats.org/officeDocument/2006/relationships/hyperlink" Target="https://fbref.com/en/players/3160e952/Shea-Lacey" TargetMode="External"/><Relationship Id="rId2000" Type="http://schemas.openxmlformats.org/officeDocument/2006/relationships/hyperlink" Target="https://fbref.com/en/players/9a28eba4/matchlogs/2025-2026/summary/Adama-Traore-Match-Logs" TargetMode="External"/><Relationship Id="rId565" Type="http://schemas.openxmlformats.org/officeDocument/2006/relationships/hyperlink" Target="https://fbref.com/en/players/0562b7f1/Odsonne-Edouard" TargetMode="External"/><Relationship Id="rId1154" Type="http://schemas.openxmlformats.org/officeDocument/2006/relationships/hyperlink" Target="https://fbref.com/en/country/ENG/England-Football" TargetMode="External"/><Relationship Id="rId2001" Type="http://schemas.openxmlformats.org/officeDocument/2006/relationships/hyperlink" Target="https://fbref.com/en/players/9a28eba4/Adama-Traore" TargetMode="External"/><Relationship Id="rId564" Type="http://schemas.openxmlformats.org/officeDocument/2006/relationships/hyperlink" Target="https://fbref.com/en/players/123d2733/matchlogs/2025-2026/summary/George-Earthy-Match-Logs" TargetMode="External"/><Relationship Id="rId1155" Type="http://schemas.openxmlformats.org/officeDocument/2006/relationships/hyperlink" Target="https://fbref.com/en/squads/19538871/Manchester-United-Stats" TargetMode="External"/><Relationship Id="rId2002" Type="http://schemas.openxmlformats.org/officeDocument/2006/relationships/hyperlink" Target="https://fbref.com/en/country/ESP/Spain-Football" TargetMode="External"/><Relationship Id="rId563" Type="http://schemas.openxmlformats.org/officeDocument/2006/relationships/hyperlink" Target="https://fbref.com/en/squads/7c21e445/West-Ham-United-Stats" TargetMode="External"/><Relationship Id="rId1156" Type="http://schemas.openxmlformats.org/officeDocument/2006/relationships/hyperlink" Target="https://fbref.com/en/players/3160e952/matchlogs/2025-2026/summary/Shea-Lacey-Match-Logs" TargetMode="External"/><Relationship Id="rId2003" Type="http://schemas.openxmlformats.org/officeDocument/2006/relationships/hyperlink" Target="https://fbref.com/en/squads/7c21e445/West-Ham-United-Stats" TargetMode="External"/><Relationship Id="rId562" Type="http://schemas.openxmlformats.org/officeDocument/2006/relationships/hyperlink" Target="https://fbref.com/en/country/ENG/England-Football" TargetMode="External"/><Relationship Id="rId1157" Type="http://schemas.openxmlformats.org/officeDocument/2006/relationships/hyperlink" Target="https://fbref.com/en/players/277c49ed/Maxence-Lacroix" TargetMode="External"/><Relationship Id="rId2004" Type="http://schemas.openxmlformats.org/officeDocument/2006/relationships/hyperlink" Target="https://fbref.com/en/players/9a28eba4/matchlogs/2025-2026/summary/Adama-Traore-Match-Logs" TargetMode="External"/><Relationship Id="rId1147" Type="http://schemas.openxmlformats.org/officeDocument/2006/relationships/hyperlink" Target="https://fbref.com/en/squads/361ca564/Tottenham-Hotspur-Stats" TargetMode="External"/><Relationship Id="rId1148" Type="http://schemas.openxmlformats.org/officeDocument/2006/relationships/hyperlink" Target="https://fbref.com/en/players/b62878a5/matchlogs/2025-2026/summary/Mohammed-Kudus-Match-Logs" TargetMode="External"/><Relationship Id="rId1149" Type="http://schemas.openxmlformats.org/officeDocument/2006/relationships/hyperlink" Target="https://fbref.com/en/players/c7c26e61/Jonah-Kusi-Asare" TargetMode="External"/><Relationship Id="rId558" Type="http://schemas.openxmlformats.org/officeDocument/2006/relationships/hyperlink" Target="https://fbref.com/en/country/ENG/England-Football" TargetMode="External"/><Relationship Id="rId557" Type="http://schemas.openxmlformats.org/officeDocument/2006/relationships/hyperlink" Target="https://fbref.com/en/players/282f75f3/Lewis-Dunk" TargetMode="External"/><Relationship Id="rId556" Type="http://schemas.openxmlformats.org/officeDocument/2006/relationships/hyperlink" Target="https://fbref.com/en/players/3a949a25/matchlogs/2025-2026/summary/Martin-Dubravka-Match-Logs" TargetMode="External"/><Relationship Id="rId555" Type="http://schemas.openxmlformats.org/officeDocument/2006/relationships/hyperlink" Target="https://fbref.com/en/squads/943e8050/Burnley-Stats" TargetMode="External"/><Relationship Id="rId559" Type="http://schemas.openxmlformats.org/officeDocument/2006/relationships/hyperlink" Target="https://fbref.com/en/squads/d07537b9/Brighton-and-Hove-Albion-Stats" TargetMode="External"/><Relationship Id="rId550" Type="http://schemas.openxmlformats.org/officeDocument/2006/relationships/hyperlink" Target="https://fbref.com/en/country/ENG/England-Football" TargetMode="External"/><Relationship Id="rId1140" Type="http://schemas.openxmlformats.org/officeDocument/2006/relationships/hyperlink" Target="https://fbref.com/en/players/77cf6852/matchlogs/2025-2026/summary/Emil-Krafth-Match-Logs" TargetMode="External"/><Relationship Id="rId1141" Type="http://schemas.openxmlformats.org/officeDocument/2006/relationships/hyperlink" Target="https://fbref.com/en/players/5b5c2228/Ladislav-Krejci" TargetMode="External"/><Relationship Id="rId1142" Type="http://schemas.openxmlformats.org/officeDocument/2006/relationships/hyperlink" Target="https://fbref.com/en/country/CZE/Czech-Republic-Football" TargetMode="External"/><Relationship Id="rId554" Type="http://schemas.openxmlformats.org/officeDocument/2006/relationships/hyperlink" Target="https://fbref.com/en/country/SVK/Slovakia-Football" TargetMode="External"/><Relationship Id="rId1143" Type="http://schemas.openxmlformats.org/officeDocument/2006/relationships/hyperlink" Target="https://fbref.com/en/squads/8cec06e1/Wolverhampton-Wanderers-Stats" TargetMode="External"/><Relationship Id="rId553" Type="http://schemas.openxmlformats.org/officeDocument/2006/relationships/hyperlink" Target="https://fbref.com/en/players/3a949a25/Martin-Dubravka" TargetMode="External"/><Relationship Id="rId1144" Type="http://schemas.openxmlformats.org/officeDocument/2006/relationships/hyperlink" Target="https://fbref.com/en/players/5b5c2228/matchlogs/2025-2026/summary/Ladislav-Krejci-Match-Logs" TargetMode="External"/><Relationship Id="rId552" Type="http://schemas.openxmlformats.org/officeDocument/2006/relationships/hyperlink" Target="https://fbref.com/en/players/1bd530e8/matchlogs/2025-2026/summary/Joel-Drakes-Thomas-Match-Logs" TargetMode="External"/><Relationship Id="rId1145" Type="http://schemas.openxmlformats.org/officeDocument/2006/relationships/hyperlink" Target="https://fbref.com/en/players/b62878a5/Mohammed-Kudus" TargetMode="External"/><Relationship Id="rId551" Type="http://schemas.openxmlformats.org/officeDocument/2006/relationships/hyperlink" Target="https://fbref.com/en/squads/47c64c55/Crystal-Palace-Stats" TargetMode="External"/><Relationship Id="rId1146" Type="http://schemas.openxmlformats.org/officeDocument/2006/relationships/hyperlink" Target="https://fbref.com/en/country/GHA/Ghana-Football" TargetMode="External"/><Relationship Id="rId2090" Type="http://schemas.openxmlformats.org/officeDocument/2006/relationships/hyperlink" Target="https://fbref.com/en/country/ENG/England-Football" TargetMode="External"/><Relationship Id="rId2091" Type="http://schemas.openxmlformats.org/officeDocument/2006/relationships/hyperlink" Target="https://fbref.com/en/squads/7c21e445/West-Ham-United-Stats" TargetMode="External"/><Relationship Id="rId2092" Type="http://schemas.openxmlformats.org/officeDocument/2006/relationships/hyperlink" Target="https://fbref.com/en/players/3515d404/matchlogs/2025-2026/summary/James-Ward-Prowse-Match-Logs" TargetMode="External"/><Relationship Id="rId2093" Type="http://schemas.openxmlformats.org/officeDocument/2006/relationships/hyperlink" Target="https://fbref.com/en/players/3515d404/James-Ward-Prowse" TargetMode="External"/><Relationship Id="rId2094" Type="http://schemas.openxmlformats.org/officeDocument/2006/relationships/hyperlink" Target="https://fbref.com/en/country/ENG/England-Football" TargetMode="External"/><Relationship Id="rId2095" Type="http://schemas.openxmlformats.org/officeDocument/2006/relationships/hyperlink" Target="https://fbref.com/en/squads/943e8050/Burnley-Stats" TargetMode="External"/><Relationship Id="rId2096" Type="http://schemas.openxmlformats.org/officeDocument/2006/relationships/hyperlink" Target="https://fbref.com/en/players/3515d404/matchlogs/2025-2026/summary/James-Ward-Prowse-Match-Logs" TargetMode="External"/><Relationship Id="rId2097" Type="http://schemas.openxmlformats.org/officeDocument/2006/relationships/hyperlink" Target="https://fbref.com/en/players/aed3a70f/Ollie-Watkins" TargetMode="External"/><Relationship Id="rId2098" Type="http://schemas.openxmlformats.org/officeDocument/2006/relationships/hyperlink" Target="https://fbref.com/en/country/ENG/England-Football" TargetMode="External"/><Relationship Id="rId2099" Type="http://schemas.openxmlformats.org/officeDocument/2006/relationships/hyperlink" Target="https://fbref.com/en/squads/8602292d/Aston-Villa-Stats" TargetMode="External"/><Relationship Id="rId2060" Type="http://schemas.openxmlformats.org/officeDocument/2006/relationships/hyperlink" Target="https://fbref.com/en/players/e06683ca/matchlogs/2025-2026/summary/Virgil-van-Dijk-Match-Logs" TargetMode="External"/><Relationship Id="rId2061" Type="http://schemas.openxmlformats.org/officeDocument/2006/relationships/hyperlink" Target="https://fbref.com/en/players/dad4b285/Joel-Veltman" TargetMode="External"/><Relationship Id="rId2062" Type="http://schemas.openxmlformats.org/officeDocument/2006/relationships/hyperlink" Target="https://fbref.com/en/country/NED/Netherlands-Football" TargetMode="External"/><Relationship Id="rId2063" Type="http://schemas.openxmlformats.org/officeDocument/2006/relationships/hyperlink" Target="https://fbref.com/en/squads/d07537b9/Brighton-and-Hove-Albion-Stats" TargetMode="External"/><Relationship Id="rId2064" Type="http://schemas.openxmlformats.org/officeDocument/2006/relationships/hyperlink" Target="https://fbref.com/en/players/dad4b285/matchlogs/2025-2026/summary/Joel-Veltman-Match-Logs" TargetMode="External"/><Relationship Id="rId2065" Type="http://schemas.openxmlformats.org/officeDocument/2006/relationships/hyperlink" Target="https://fbref.com/en/players/8fe2a392/Micky-van-de-Ven" TargetMode="External"/><Relationship Id="rId2066" Type="http://schemas.openxmlformats.org/officeDocument/2006/relationships/hyperlink" Target="https://fbref.com/en/country/NED/Netherlands-Football" TargetMode="External"/><Relationship Id="rId2067" Type="http://schemas.openxmlformats.org/officeDocument/2006/relationships/hyperlink" Target="https://fbref.com/en/squads/361ca564/Tottenham-Hotspur-Stats" TargetMode="External"/><Relationship Id="rId2068" Type="http://schemas.openxmlformats.org/officeDocument/2006/relationships/hyperlink" Target="https://fbref.com/en/players/8fe2a392/matchlogs/2025-2026/summary/Micky-van-de-Ven-Match-Logs" TargetMode="External"/><Relationship Id="rId2069" Type="http://schemas.openxmlformats.org/officeDocument/2006/relationships/hyperlink" Target="https://fbref.com/en/players/cf134113/Bart-Verbruggen" TargetMode="External"/><Relationship Id="rId2050" Type="http://schemas.openxmlformats.org/officeDocument/2006/relationships/hyperlink" Target="https://fbref.com/en/country/TUR/Turkey-Football" TargetMode="External"/><Relationship Id="rId2051" Type="http://schemas.openxmlformats.org/officeDocument/2006/relationships/hyperlink" Target="https://fbref.com/en/squads/4ba7cbea/Bournemouth-Stats" TargetMode="External"/><Relationship Id="rId495" Type="http://schemas.openxmlformats.org/officeDocument/2006/relationships/hyperlink" Target="https://fbref.com/en/squads/b8fd03ef/Manchester-City-Stats" TargetMode="External"/><Relationship Id="rId2052" Type="http://schemas.openxmlformats.org/officeDocument/2006/relationships/hyperlink" Target="https://fbref.com/en/players/f8eca1b6/matchlogs/2025-2026/summary/Enes-Unal-Match-Logs" TargetMode="External"/><Relationship Id="rId494" Type="http://schemas.openxmlformats.org/officeDocument/2006/relationships/hyperlink" Target="https://fbref.com/en/country/POR/Portugal-Football" TargetMode="External"/><Relationship Id="rId2053" Type="http://schemas.openxmlformats.org/officeDocument/2006/relationships/hyperlink" Target="https://fbref.com/en/players/57a34cf4/Hakon-Valdimarsson" TargetMode="External"/><Relationship Id="rId493" Type="http://schemas.openxmlformats.org/officeDocument/2006/relationships/hyperlink" Target="https://fbref.com/en/players/31c69ef1/Ruben-Dias" TargetMode="External"/><Relationship Id="rId2054" Type="http://schemas.openxmlformats.org/officeDocument/2006/relationships/hyperlink" Target="https://fbref.com/en/country/ISL/Iceland-Football" TargetMode="External"/><Relationship Id="rId492" Type="http://schemas.openxmlformats.org/officeDocument/2006/relationships/hyperlink" Target="https://fbref.com/en/players/6d0fe035/matchlogs/2025-2026/summary/Habib-Diarra-Match-Logs" TargetMode="External"/><Relationship Id="rId2055" Type="http://schemas.openxmlformats.org/officeDocument/2006/relationships/hyperlink" Target="https://fbref.com/en/squads/cd051869/Brentford-Stats" TargetMode="External"/><Relationship Id="rId499" Type="http://schemas.openxmlformats.org/officeDocument/2006/relationships/hyperlink" Target="https://fbref.com/en/squads/d3fd31cc/Everton-Stats" TargetMode="External"/><Relationship Id="rId2056" Type="http://schemas.openxmlformats.org/officeDocument/2006/relationships/hyperlink" Target="https://fbref.com/en/players/57a34cf4/matchlogs/2025-2026/summary/Hakon-Valdimarsson-Match-Logs" TargetMode="External"/><Relationship Id="rId498" Type="http://schemas.openxmlformats.org/officeDocument/2006/relationships/hyperlink" Target="https://fbref.com/en/country/ENG/England-Football" TargetMode="External"/><Relationship Id="rId2057" Type="http://schemas.openxmlformats.org/officeDocument/2006/relationships/hyperlink" Target="https://fbref.com/en/players/e06683ca/Virgil-van-Dijk" TargetMode="External"/><Relationship Id="rId497" Type="http://schemas.openxmlformats.org/officeDocument/2006/relationships/hyperlink" Target="https://fbref.com/en/players/bdcc89ae/Tyler-Dibling" TargetMode="External"/><Relationship Id="rId2058" Type="http://schemas.openxmlformats.org/officeDocument/2006/relationships/hyperlink" Target="https://fbref.com/en/country/NED/Netherlands-Football" TargetMode="External"/><Relationship Id="rId496" Type="http://schemas.openxmlformats.org/officeDocument/2006/relationships/hyperlink" Target="https://fbref.com/en/players/31c69ef1/matchlogs/2025-2026/summary/Ruben-Dias-Match-Logs" TargetMode="External"/><Relationship Id="rId2059" Type="http://schemas.openxmlformats.org/officeDocument/2006/relationships/hyperlink" Target="https://fbref.com/en/squads/822bd0ba/Liverpool-Stats" TargetMode="External"/><Relationship Id="rId2080" Type="http://schemas.openxmlformats.org/officeDocument/2006/relationships/hyperlink" Target="https://fbref.com/en/players/86dd77d1/matchlogs/2025-2026/summary/Kyle-Walker-Match-Logs" TargetMode="External"/><Relationship Id="rId2081" Type="http://schemas.openxmlformats.org/officeDocument/2006/relationships/hyperlink" Target="https://fbref.com/en/players/984a5a64/Kyle-Walker-Peters" TargetMode="External"/><Relationship Id="rId2082" Type="http://schemas.openxmlformats.org/officeDocument/2006/relationships/hyperlink" Target="https://fbref.com/en/country/ENG/England-Football" TargetMode="External"/><Relationship Id="rId2083" Type="http://schemas.openxmlformats.org/officeDocument/2006/relationships/hyperlink" Target="https://fbref.com/en/squads/7c21e445/West-Ham-United-Stats" TargetMode="External"/><Relationship Id="rId2084" Type="http://schemas.openxmlformats.org/officeDocument/2006/relationships/hyperlink" Target="https://fbref.com/en/players/984a5a64/matchlogs/2025-2026/summary/Kyle-Walker-Peters-Match-Logs" TargetMode="External"/><Relationship Id="rId2085" Type="http://schemas.openxmlformats.org/officeDocument/2006/relationships/hyperlink" Target="https://fbref.com/en/players/9e525177/Aaron-Wan-Bissaka" TargetMode="External"/><Relationship Id="rId2086" Type="http://schemas.openxmlformats.org/officeDocument/2006/relationships/hyperlink" Target="https://fbref.com/en/country/COD/Congo-DR-Football" TargetMode="External"/><Relationship Id="rId2087" Type="http://schemas.openxmlformats.org/officeDocument/2006/relationships/hyperlink" Target="https://fbref.com/en/squads/7c21e445/West-Ham-United-Stats" TargetMode="External"/><Relationship Id="rId2088" Type="http://schemas.openxmlformats.org/officeDocument/2006/relationships/hyperlink" Target="https://fbref.com/en/players/9e525177/matchlogs/2025-2026/summary/Aaron-Wan-Bissaka-Match-Logs" TargetMode="External"/><Relationship Id="rId2089" Type="http://schemas.openxmlformats.org/officeDocument/2006/relationships/hyperlink" Target="https://fbref.com/en/players/3515d404/James-Ward-Prowse" TargetMode="External"/><Relationship Id="rId2070" Type="http://schemas.openxmlformats.org/officeDocument/2006/relationships/hyperlink" Target="https://fbref.com/en/country/NED/Netherlands-Football" TargetMode="External"/><Relationship Id="rId2071" Type="http://schemas.openxmlformats.org/officeDocument/2006/relationships/hyperlink" Target="https://fbref.com/en/squads/d07537b9/Brighton-and-Hove-Albion-Stats" TargetMode="External"/><Relationship Id="rId2072" Type="http://schemas.openxmlformats.org/officeDocument/2006/relationships/hyperlink" Target="https://fbref.com/en/players/cf134113/matchlogs/2025-2026/summary/Bart-Verbruggen-Match-Logs" TargetMode="External"/><Relationship Id="rId2073" Type="http://schemas.openxmlformats.org/officeDocument/2006/relationships/hyperlink" Target="https://fbref.com/en/players/77d6fd4d/Guglielmo-Vicario" TargetMode="External"/><Relationship Id="rId2074" Type="http://schemas.openxmlformats.org/officeDocument/2006/relationships/hyperlink" Target="https://fbref.com/en/country/ITA/Italy-Football" TargetMode="External"/><Relationship Id="rId2075" Type="http://schemas.openxmlformats.org/officeDocument/2006/relationships/hyperlink" Target="https://fbref.com/en/squads/361ca564/Tottenham-Hotspur-Stats" TargetMode="External"/><Relationship Id="rId2076" Type="http://schemas.openxmlformats.org/officeDocument/2006/relationships/hyperlink" Target="https://fbref.com/en/players/77d6fd4d/matchlogs/2025-2026/summary/Guglielmo-Vicario-Match-Logs" TargetMode="External"/><Relationship Id="rId2077" Type="http://schemas.openxmlformats.org/officeDocument/2006/relationships/hyperlink" Target="https://fbref.com/en/players/86dd77d1/Kyle-Walker" TargetMode="External"/><Relationship Id="rId2078" Type="http://schemas.openxmlformats.org/officeDocument/2006/relationships/hyperlink" Target="https://fbref.com/en/country/ENG/England-Football" TargetMode="External"/><Relationship Id="rId2079" Type="http://schemas.openxmlformats.org/officeDocument/2006/relationships/hyperlink" Target="https://fbref.com/en/squads/943e8050/Burnley-Stats" TargetMode="External"/><Relationship Id="rId1610" Type="http://schemas.openxmlformats.org/officeDocument/2006/relationships/hyperlink" Target="https://fbref.com/en/country/ENG/England-Football" TargetMode="External"/><Relationship Id="rId1611" Type="http://schemas.openxmlformats.org/officeDocument/2006/relationships/hyperlink" Target="https://fbref.com/en/squads/cd051869/Brentford-Stats" TargetMode="External"/><Relationship Id="rId1612" Type="http://schemas.openxmlformats.org/officeDocument/2006/relationships/hyperlink" Target="https://fbref.com/en/players/ea1a5662/matchlogs/2025-2026/summary/Myles-Peart-Harris-Match-Logs" TargetMode="External"/><Relationship Id="rId1613" Type="http://schemas.openxmlformats.org/officeDocument/2006/relationships/hyperlink" Target="https://fbref.com/en/players/5dbd461a/Lucas-Perri" TargetMode="External"/><Relationship Id="rId1614" Type="http://schemas.openxmlformats.org/officeDocument/2006/relationships/hyperlink" Target="https://fbref.com/en/country/BRA/Brazil-Football" TargetMode="External"/><Relationship Id="rId1615" Type="http://schemas.openxmlformats.org/officeDocument/2006/relationships/hyperlink" Target="https://fbref.com/en/squads/5bfb9659/Leeds-United-Stats" TargetMode="External"/><Relationship Id="rId1616" Type="http://schemas.openxmlformats.org/officeDocument/2006/relationships/hyperlink" Target="https://fbref.com/en/players/5dbd461a/matchlogs/2025-2026/summary/Lucas-Perri-Match-Logs" TargetMode="External"/><Relationship Id="rId907" Type="http://schemas.openxmlformats.org/officeDocument/2006/relationships/hyperlink" Target="https://fbref.com/en/squads/4ba7cbea/Bournemouth-Stats" TargetMode="External"/><Relationship Id="rId1617" Type="http://schemas.openxmlformats.org/officeDocument/2006/relationships/hyperlink" Target="https://fbref.com/en/players/0cf321c8/Djordje-Petrovic" TargetMode="External"/><Relationship Id="rId906" Type="http://schemas.openxmlformats.org/officeDocument/2006/relationships/hyperlink" Target="https://fbref.com/en/country/ENG/England-Football" TargetMode="External"/><Relationship Id="rId1618" Type="http://schemas.openxmlformats.org/officeDocument/2006/relationships/hyperlink" Target="https://fbref.com/en/country/SRB/Serbia-Football" TargetMode="External"/><Relationship Id="rId905" Type="http://schemas.openxmlformats.org/officeDocument/2006/relationships/hyperlink" Target="https://fbref.com/en/players/69942fb3/James-Hill" TargetMode="External"/><Relationship Id="rId1619" Type="http://schemas.openxmlformats.org/officeDocument/2006/relationships/hyperlink" Target="https://fbref.com/en/squads/4ba7cbea/Bournemouth-Stats" TargetMode="External"/><Relationship Id="rId904" Type="http://schemas.openxmlformats.org/officeDocument/2006/relationships/hyperlink" Target="https://fbref.com/en/players/1780bb4a/matchlogs/2025-2026/summary/Aaron-Hickey-Match-Logs" TargetMode="External"/><Relationship Id="rId909" Type="http://schemas.openxmlformats.org/officeDocument/2006/relationships/hyperlink" Target="https://fbref.com/en/players/0c7a48f8/Piero-Hincapie" TargetMode="External"/><Relationship Id="rId908" Type="http://schemas.openxmlformats.org/officeDocument/2006/relationships/hyperlink" Target="https://fbref.com/en/players/69942fb3/matchlogs/2025-2026/summary/James-Hill-Match-Logs" TargetMode="External"/><Relationship Id="rId903" Type="http://schemas.openxmlformats.org/officeDocument/2006/relationships/hyperlink" Target="https://fbref.com/en/squads/cd051869/Brentford-Stats" TargetMode="External"/><Relationship Id="rId902" Type="http://schemas.openxmlformats.org/officeDocument/2006/relationships/hyperlink" Target="https://fbref.com/en/country/SCO/Scotland-Football" TargetMode="External"/><Relationship Id="rId901" Type="http://schemas.openxmlformats.org/officeDocument/2006/relationships/hyperlink" Target="https://fbref.com/en/players/1780bb4a/Aaron-Hickey" TargetMode="External"/><Relationship Id="rId900" Type="http://schemas.openxmlformats.org/officeDocument/2006/relationships/hyperlink" Target="https://fbref.com/en/players/c924b17d/matchlogs/2025-2026/summary/Mads-Hermansen-Match-Logs" TargetMode="External"/><Relationship Id="rId1600" Type="http://schemas.openxmlformats.org/officeDocument/2006/relationships/hyperlink" Target="https://fbref.com/en/players/dc7f8a28/matchlogs/2025-2026/summary/Cole-Palmer-Match-Logs" TargetMode="External"/><Relationship Id="rId1601" Type="http://schemas.openxmlformats.org/officeDocument/2006/relationships/hyperlink" Target="https://fbref.com/en/players/9b6f7fd5/Lucas-Paqueta" TargetMode="External"/><Relationship Id="rId1602" Type="http://schemas.openxmlformats.org/officeDocument/2006/relationships/hyperlink" Target="https://fbref.com/en/country/BRA/Brazil-Football" TargetMode="External"/><Relationship Id="rId1603" Type="http://schemas.openxmlformats.org/officeDocument/2006/relationships/hyperlink" Target="https://fbref.com/en/squads/7c21e445/West-Ham-United-Stats" TargetMode="External"/><Relationship Id="rId1604" Type="http://schemas.openxmlformats.org/officeDocument/2006/relationships/hyperlink" Target="https://fbref.com/en/players/9b6f7fd5/matchlogs/2025-2026/summary/Lucas-Paqueta-Match-Logs" TargetMode="External"/><Relationship Id="rId1605" Type="http://schemas.openxmlformats.org/officeDocument/2006/relationships/hyperlink" Target="https://fbref.com/en/players/230f0471/Nathan-Patterson" TargetMode="External"/><Relationship Id="rId1606" Type="http://schemas.openxmlformats.org/officeDocument/2006/relationships/hyperlink" Target="https://fbref.com/en/country/SCO/Scotland-Football" TargetMode="External"/><Relationship Id="rId1607" Type="http://schemas.openxmlformats.org/officeDocument/2006/relationships/hyperlink" Target="https://fbref.com/en/squads/d3fd31cc/Everton-Stats" TargetMode="External"/><Relationship Id="rId1608" Type="http://schemas.openxmlformats.org/officeDocument/2006/relationships/hyperlink" Target="https://fbref.com/en/players/230f0471/matchlogs/2025-2026/summary/Nathan-Patterson-Match-Logs" TargetMode="External"/><Relationship Id="rId1609" Type="http://schemas.openxmlformats.org/officeDocument/2006/relationships/hyperlink" Target="https://fbref.com/en/players/ea1a5662/Myles-Peart-Harris" TargetMode="External"/><Relationship Id="rId1631" Type="http://schemas.openxmlformats.org/officeDocument/2006/relationships/hyperlink" Target="https://fbref.com/en/squads/47c64c55/Crystal-Palace-Stats" TargetMode="External"/><Relationship Id="rId1632" Type="http://schemas.openxmlformats.org/officeDocument/2006/relationships/hyperlink" Target="https://fbref.com/en/players/540ec57b/matchlogs/2025-2026/summary/Yeremi-Pino-Match-Logs" TargetMode="External"/><Relationship Id="rId1633" Type="http://schemas.openxmlformats.org/officeDocument/2006/relationships/hyperlink" Target="https://fbref.com/en/players/1f0072a6/Joel-Piroe" TargetMode="External"/><Relationship Id="rId1634" Type="http://schemas.openxmlformats.org/officeDocument/2006/relationships/hyperlink" Target="https://fbref.com/en/country/SUR/Suriname-Football" TargetMode="External"/><Relationship Id="rId1635" Type="http://schemas.openxmlformats.org/officeDocument/2006/relationships/hyperlink" Target="https://fbref.com/en/squads/5bfb9659/Leeds-United-Stats" TargetMode="External"/><Relationship Id="rId1636" Type="http://schemas.openxmlformats.org/officeDocument/2006/relationships/hyperlink" Target="https://fbref.com/en/players/1f0072a6/matchlogs/2025-2026/summary/Joel-Piroe-Match-Logs" TargetMode="External"/><Relationship Id="rId1637" Type="http://schemas.openxmlformats.org/officeDocument/2006/relationships/hyperlink" Target="https://fbref.com/en/players/4b40d9ca/Nick-Pope" TargetMode="External"/><Relationship Id="rId1638" Type="http://schemas.openxmlformats.org/officeDocument/2006/relationships/hyperlink" Target="https://fbref.com/en/country/ENG/England-Football" TargetMode="External"/><Relationship Id="rId929" Type="http://schemas.openxmlformats.org/officeDocument/2006/relationships/hyperlink" Target="https://fbref.com/en/players/a0666d3e/Will-Hughes" TargetMode="External"/><Relationship Id="rId1639" Type="http://schemas.openxmlformats.org/officeDocument/2006/relationships/hyperlink" Target="https://fbref.com/en/squads/b2b47a98/Newcastle-United-Stats" TargetMode="External"/><Relationship Id="rId928" Type="http://schemas.openxmlformats.org/officeDocument/2006/relationships/hyperlink" Target="https://fbref.com/en/players/15f3ec41/matchlogs/2025-2026/summary/Callum-Hudson-Odoi-Match-Logs" TargetMode="External"/><Relationship Id="rId927" Type="http://schemas.openxmlformats.org/officeDocument/2006/relationships/hyperlink" Target="https://fbref.com/en/squads/e4a775cb/Nottingham-Forest-Stats" TargetMode="External"/><Relationship Id="rId926" Type="http://schemas.openxmlformats.org/officeDocument/2006/relationships/hyperlink" Target="https://fbref.com/en/country/ENG/England-Football" TargetMode="External"/><Relationship Id="rId921" Type="http://schemas.openxmlformats.org/officeDocument/2006/relationships/hyperlink" Target="https://fbref.com/en/players/d8a7e52c/Harry-Howell" TargetMode="External"/><Relationship Id="rId920" Type="http://schemas.openxmlformats.org/officeDocument/2006/relationships/hyperlink" Target="https://fbref.com/en/players/9a71e978/matchlogs/2025-2026/summary/Ki-Jana-Hoever-Match-Logs" TargetMode="External"/><Relationship Id="rId925" Type="http://schemas.openxmlformats.org/officeDocument/2006/relationships/hyperlink" Target="https://fbref.com/en/players/15f3ec41/Callum-Hudson-Odoi" TargetMode="External"/><Relationship Id="rId924" Type="http://schemas.openxmlformats.org/officeDocument/2006/relationships/hyperlink" Target="https://fbref.com/en/players/d8a7e52c/matchlogs/2025-2026/summary/Harry-Howell-Match-Logs" TargetMode="External"/><Relationship Id="rId923" Type="http://schemas.openxmlformats.org/officeDocument/2006/relationships/hyperlink" Target="https://fbref.com/en/squads/d07537b9/Brighton-and-Hove-Albion-Stats" TargetMode="External"/><Relationship Id="rId922" Type="http://schemas.openxmlformats.org/officeDocument/2006/relationships/hyperlink" Target="https://fbref.com/en/country/ENG/England-Football" TargetMode="External"/><Relationship Id="rId1630" Type="http://schemas.openxmlformats.org/officeDocument/2006/relationships/hyperlink" Target="https://fbref.com/en/country/ESP/Spain-Football" TargetMode="External"/><Relationship Id="rId1620" Type="http://schemas.openxmlformats.org/officeDocument/2006/relationships/hyperlink" Target="https://fbref.com/en/players/0cf321c8/matchlogs/2025-2026/summary/Djordje-Petrovic-Match-Logs" TargetMode="External"/><Relationship Id="rId1621" Type="http://schemas.openxmlformats.org/officeDocument/2006/relationships/hyperlink" Target="https://fbref.com/en/players/4806ec67/Jordan-Pickford" TargetMode="External"/><Relationship Id="rId1622" Type="http://schemas.openxmlformats.org/officeDocument/2006/relationships/hyperlink" Target="https://fbref.com/en/country/ENG/England-Football" TargetMode="External"/><Relationship Id="rId1623" Type="http://schemas.openxmlformats.org/officeDocument/2006/relationships/hyperlink" Target="https://fbref.com/en/squads/d3fd31cc/Everton-Stats" TargetMode="External"/><Relationship Id="rId1624" Type="http://schemas.openxmlformats.org/officeDocument/2006/relationships/hyperlink" Target="https://fbref.com/en/players/4806ec67/matchlogs/2025-2026/summary/Jordan-Pickford-Match-Logs" TargetMode="External"/><Relationship Id="rId1625" Type="http://schemas.openxmlformats.org/officeDocument/2006/relationships/hyperlink" Target="https://fbref.com/en/players/e541326e/Ethan-Pinnock" TargetMode="External"/><Relationship Id="rId1626" Type="http://schemas.openxmlformats.org/officeDocument/2006/relationships/hyperlink" Target="https://fbref.com/en/country/JAM/Jamaica-Football" TargetMode="External"/><Relationship Id="rId1627" Type="http://schemas.openxmlformats.org/officeDocument/2006/relationships/hyperlink" Target="https://fbref.com/en/squads/cd051869/Brentford-Stats" TargetMode="External"/><Relationship Id="rId918" Type="http://schemas.openxmlformats.org/officeDocument/2006/relationships/hyperlink" Target="https://fbref.com/en/country/NED/Netherlands-Football" TargetMode="External"/><Relationship Id="rId1628" Type="http://schemas.openxmlformats.org/officeDocument/2006/relationships/hyperlink" Target="https://fbref.com/en/players/e541326e/matchlogs/2025-2026/summary/Ethan-Pinnock-Match-Logs" TargetMode="External"/><Relationship Id="rId917" Type="http://schemas.openxmlformats.org/officeDocument/2006/relationships/hyperlink" Target="https://fbref.com/en/players/9a71e978/Ki-Jana-Hoever" TargetMode="External"/><Relationship Id="rId1629" Type="http://schemas.openxmlformats.org/officeDocument/2006/relationships/hyperlink" Target="https://fbref.com/en/players/540ec57b/Yeremi-Pino" TargetMode="External"/><Relationship Id="rId916" Type="http://schemas.openxmlformats.org/officeDocument/2006/relationships/hyperlink" Target="https://fbref.com/en/players/e98211e7/matchlogs/2025-2026/summary/Jack-Hinshelwood-Match-Logs" TargetMode="External"/><Relationship Id="rId915" Type="http://schemas.openxmlformats.org/officeDocument/2006/relationships/hyperlink" Target="https://fbref.com/en/squads/d07537b9/Brighton-and-Hove-Albion-Stats" TargetMode="External"/><Relationship Id="rId919" Type="http://schemas.openxmlformats.org/officeDocument/2006/relationships/hyperlink" Target="https://fbref.com/en/squads/8cec06e1/Wolverhampton-Wanderers-Stats" TargetMode="External"/><Relationship Id="rId910" Type="http://schemas.openxmlformats.org/officeDocument/2006/relationships/hyperlink" Target="https://fbref.com/en/country/ECU/Ecuador-Football" TargetMode="External"/><Relationship Id="rId914" Type="http://schemas.openxmlformats.org/officeDocument/2006/relationships/hyperlink" Target="https://fbref.com/en/country/ENG/England-Football" TargetMode="External"/><Relationship Id="rId913" Type="http://schemas.openxmlformats.org/officeDocument/2006/relationships/hyperlink" Target="https://fbref.com/en/players/e98211e7/Jack-Hinshelwood" TargetMode="External"/><Relationship Id="rId912" Type="http://schemas.openxmlformats.org/officeDocument/2006/relationships/hyperlink" Target="https://fbref.com/en/players/0c7a48f8/matchlogs/2025-2026/summary/Piero-Hincapie-Match-Logs" TargetMode="External"/><Relationship Id="rId911" Type="http://schemas.openxmlformats.org/officeDocument/2006/relationships/hyperlink" Target="https://fbref.com/en/squads/18bb7c10/Arsenal-Stats" TargetMode="External"/><Relationship Id="rId1213" Type="http://schemas.openxmlformats.org/officeDocument/2006/relationships/hyperlink" Target="https://fbref.com/en/players/afed6722/Tino-Livramento" TargetMode="External"/><Relationship Id="rId1697" Type="http://schemas.openxmlformats.org/officeDocument/2006/relationships/hyperlink" Target="https://fbref.com/en/players/2e4f5f03/Andrew-Robertson" TargetMode="External"/><Relationship Id="rId1214" Type="http://schemas.openxmlformats.org/officeDocument/2006/relationships/hyperlink" Target="https://fbref.com/en/country/ENG/England-Football" TargetMode="External"/><Relationship Id="rId1698" Type="http://schemas.openxmlformats.org/officeDocument/2006/relationships/hyperlink" Target="https://fbref.com/en/country/SCO/Scotland-Football" TargetMode="External"/><Relationship Id="rId1215" Type="http://schemas.openxmlformats.org/officeDocument/2006/relationships/hyperlink" Target="https://fbref.com/en/squads/b2b47a98/Newcastle-United-Stats" TargetMode="External"/><Relationship Id="rId1699" Type="http://schemas.openxmlformats.org/officeDocument/2006/relationships/hyperlink" Target="https://fbref.com/en/squads/822bd0ba/Liverpool-Stats" TargetMode="External"/><Relationship Id="rId1216" Type="http://schemas.openxmlformats.org/officeDocument/2006/relationships/hyperlink" Target="https://fbref.com/en/players/afed6722/matchlogs/2025-2026/summary/Tino-Livramento-Match-Logs" TargetMode="External"/><Relationship Id="rId1217" Type="http://schemas.openxmlformats.org/officeDocument/2006/relationships/hyperlink" Target="https://fbref.com/en/players/a2b105e0/Sean-Longstaff" TargetMode="External"/><Relationship Id="rId1218" Type="http://schemas.openxmlformats.org/officeDocument/2006/relationships/hyperlink" Target="https://fbref.com/en/country/ENG/England-Football" TargetMode="External"/><Relationship Id="rId1219" Type="http://schemas.openxmlformats.org/officeDocument/2006/relationships/hyperlink" Target="https://fbref.com/en/squads/5bfb9659/Leeds-United-Stats" TargetMode="External"/><Relationship Id="rId866" Type="http://schemas.openxmlformats.org/officeDocument/2006/relationships/hyperlink" Target="https://fbref.com/en/country/GER/Germany-Football" TargetMode="External"/><Relationship Id="rId865" Type="http://schemas.openxmlformats.org/officeDocument/2006/relationships/hyperlink" Target="https://fbref.com/en/players/fed7cb61/Kai-Havertz" TargetMode="External"/><Relationship Id="rId864" Type="http://schemas.openxmlformats.org/officeDocument/2006/relationships/hyperlink" Target="https://fbref.com/en/players/bde35051/matchlogs/2025-2026/summary/Jorrel-Hato-Match-Logs" TargetMode="External"/><Relationship Id="rId863" Type="http://schemas.openxmlformats.org/officeDocument/2006/relationships/hyperlink" Target="https://fbref.com/en/squads/cff3d9bb/Chelsea-Stats" TargetMode="External"/><Relationship Id="rId869" Type="http://schemas.openxmlformats.org/officeDocument/2006/relationships/hyperlink" Target="https://fbref.com/en/players/64e17fab/Ayden-Heaven" TargetMode="External"/><Relationship Id="rId868" Type="http://schemas.openxmlformats.org/officeDocument/2006/relationships/hyperlink" Target="https://fbref.com/en/players/fed7cb61/matchlogs/2025-2026/summary/Kai-Havertz-Match-Logs" TargetMode="External"/><Relationship Id="rId867" Type="http://schemas.openxmlformats.org/officeDocument/2006/relationships/hyperlink" Target="https://fbref.com/en/squads/18bb7c10/Arsenal-Stats" TargetMode="External"/><Relationship Id="rId1690" Type="http://schemas.openxmlformats.org/officeDocument/2006/relationships/hyperlink" Target="https://fbref.com/en/country/ENG/England-Football" TargetMode="External"/><Relationship Id="rId1691" Type="http://schemas.openxmlformats.org/officeDocument/2006/relationships/hyperlink" Target="https://fbref.com/en/squads/8ef52968/Sunderland-Stats" TargetMode="External"/><Relationship Id="rId1692" Type="http://schemas.openxmlformats.org/officeDocument/2006/relationships/hyperlink" Target="https://fbref.com/en/players/35741fe2/matchlogs/2025-2026/summary/Chris-Rigg-Match-Logs" TargetMode="External"/><Relationship Id="rId862" Type="http://schemas.openxmlformats.org/officeDocument/2006/relationships/hyperlink" Target="https://fbref.com/en/country/NED/Netherlands-Football" TargetMode="External"/><Relationship Id="rId1693" Type="http://schemas.openxmlformats.org/officeDocument/2006/relationships/hyperlink" Target="https://fbref.com/en/players/59d93937/Patrick-Roberts" TargetMode="External"/><Relationship Id="rId861" Type="http://schemas.openxmlformats.org/officeDocument/2006/relationships/hyperlink" Target="https://fbref.com/en/players/bde35051/Jorrel-Hato" TargetMode="External"/><Relationship Id="rId1210" Type="http://schemas.openxmlformats.org/officeDocument/2006/relationships/hyperlink" Target="https://fbref.com/en/country/SWE/Sweden-Football" TargetMode="External"/><Relationship Id="rId1694" Type="http://schemas.openxmlformats.org/officeDocument/2006/relationships/hyperlink" Target="https://fbref.com/en/country/ENG/England-Football" TargetMode="External"/><Relationship Id="rId860" Type="http://schemas.openxmlformats.org/officeDocument/2006/relationships/hyperlink" Target="https://fbref.com/en/players/39e1138f/matchlogs/2025-2026/summary/Quilindschy-Hartman-Match-Logs" TargetMode="External"/><Relationship Id="rId1211" Type="http://schemas.openxmlformats.org/officeDocument/2006/relationships/hyperlink" Target="https://fbref.com/en/squads/8602292d/Aston-Villa-Stats" TargetMode="External"/><Relationship Id="rId1695" Type="http://schemas.openxmlformats.org/officeDocument/2006/relationships/hyperlink" Target="https://fbref.com/en/squads/8ef52968/Sunderland-Stats" TargetMode="External"/><Relationship Id="rId1212" Type="http://schemas.openxmlformats.org/officeDocument/2006/relationships/hyperlink" Target="https://fbref.com/en/players/f5deef4c/matchlogs/2025-2026/summary/Victor-Lindelof-Match-Logs" TargetMode="External"/><Relationship Id="rId1696" Type="http://schemas.openxmlformats.org/officeDocument/2006/relationships/hyperlink" Target="https://fbref.com/en/players/59d93937/matchlogs/2025-2026/summary/Patrick-Roberts-Match-Logs" TargetMode="External"/><Relationship Id="rId1202" Type="http://schemas.openxmlformats.org/officeDocument/2006/relationships/hyperlink" Target="https://fbref.com/en/country/NED/Netherlands-Football" TargetMode="External"/><Relationship Id="rId1686" Type="http://schemas.openxmlformats.org/officeDocument/2006/relationships/hyperlink" Target="https://fbref.com/en/country/BRA/Brazil-Football" TargetMode="External"/><Relationship Id="rId1203" Type="http://schemas.openxmlformats.org/officeDocument/2006/relationships/hyperlink" Target="https://fbref.com/en/squads/19538871/Manchester-United-Stats" TargetMode="External"/><Relationship Id="rId1687" Type="http://schemas.openxmlformats.org/officeDocument/2006/relationships/hyperlink" Target="https://fbref.com/en/squads/361ca564/Tottenham-Hotspur-Stats" TargetMode="External"/><Relationship Id="rId1204" Type="http://schemas.openxmlformats.org/officeDocument/2006/relationships/hyperlink" Target="https://fbref.com/en/players/d6e53a3a/matchlogs/2025-2026/summary/Matthijs-de-Ligt-Match-Logs" TargetMode="External"/><Relationship Id="rId1688" Type="http://schemas.openxmlformats.org/officeDocument/2006/relationships/hyperlink" Target="https://fbref.com/en/players/fa031b34/matchlogs/2025-2026/summary/Richarlison-Match-Logs" TargetMode="External"/><Relationship Id="rId1205" Type="http://schemas.openxmlformats.org/officeDocument/2006/relationships/hyperlink" Target="https://fbref.com/en/players/b2f4cad5/Pedro-Lima" TargetMode="External"/><Relationship Id="rId1689" Type="http://schemas.openxmlformats.org/officeDocument/2006/relationships/hyperlink" Target="https://fbref.com/en/players/35741fe2/Chris-Rigg" TargetMode="External"/><Relationship Id="rId1206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squads/8cec06e1/Wolverhampton-Wanderers-Stats" TargetMode="External"/><Relationship Id="rId1208" Type="http://schemas.openxmlformats.org/officeDocument/2006/relationships/hyperlink" Target="https://fbref.com/en/players/b2f4cad5/matchlogs/2025-2026/summary/Pedro-Lima-Match-Logs" TargetMode="External"/><Relationship Id="rId1209" Type="http://schemas.openxmlformats.org/officeDocument/2006/relationships/hyperlink" Target="https://fbref.com/en/players/f5deef4c/Victor-Lindelof" TargetMode="External"/><Relationship Id="rId855" Type="http://schemas.openxmlformats.org/officeDocument/2006/relationships/hyperlink" Target="https://fbref.com/en/squads/5bfb9659/Leeds-United-Stats" TargetMode="External"/><Relationship Id="rId854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players/aa849a12/Jack-Harrison" TargetMode="External"/><Relationship Id="rId852" Type="http://schemas.openxmlformats.org/officeDocument/2006/relationships/hyperlink" Target="https://fbref.com/en/players/da011f18/matchlogs/2025-2026/summary/Lewis-Hall-Match-Logs" TargetMode="External"/><Relationship Id="rId859" Type="http://schemas.openxmlformats.org/officeDocument/2006/relationships/hyperlink" Target="https://fbref.com/en/squads/943e8050/Burnley-Stats" TargetMode="External"/><Relationship Id="rId858" Type="http://schemas.openxmlformats.org/officeDocument/2006/relationships/hyperlink" Target="https://fbref.com/en/country/NED/Netherlands-Football" TargetMode="External"/><Relationship Id="rId857" Type="http://schemas.openxmlformats.org/officeDocument/2006/relationships/hyperlink" Target="https://fbref.com/en/players/39e1138f/Quilindschy-Hartman" TargetMode="External"/><Relationship Id="rId856" Type="http://schemas.openxmlformats.org/officeDocument/2006/relationships/hyperlink" Target="https://fbref.com/en/players/aa849a12/matchlogs/2025-2026/summary/Jack-Harrison-Match-Logs" TargetMode="External"/><Relationship Id="rId1680" Type="http://schemas.openxmlformats.org/officeDocument/2006/relationships/hyperlink" Target="https://fbref.com/en/players/1c7012b8/matchlogs/2025-2026/summary/Declan-Rice-Match-Logs" TargetMode="External"/><Relationship Id="rId1681" Type="http://schemas.openxmlformats.org/officeDocument/2006/relationships/hyperlink" Target="https://fbref.com/en/players/0a3d6d2b/Chris-Richards" TargetMode="External"/><Relationship Id="rId851" Type="http://schemas.openxmlformats.org/officeDocument/2006/relationships/hyperlink" Target="https://fbref.com/en/squads/b2b47a98/Newcastle-United-Stats" TargetMode="External"/><Relationship Id="rId1682" Type="http://schemas.openxmlformats.org/officeDocument/2006/relationships/hyperlink" Target="https://fbref.com/en/country/USA/United-States-Football" TargetMode="External"/><Relationship Id="rId850" Type="http://schemas.openxmlformats.org/officeDocument/2006/relationships/hyperlink" Target="https://fbref.com/en/country/ENG/England-Football" TargetMode="External"/><Relationship Id="rId1683" Type="http://schemas.openxmlformats.org/officeDocument/2006/relationships/hyperlink" Target="https://fbref.com/en/squads/47c64c55/Crystal-Palace-Stats" TargetMode="External"/><Relationship Id="rId1200" Type="http://schemas.openxmlformats.org/officeDocument/2006/relationships/hyperlink" Target="https://fbref.com/en/players/5dff6c28/matchlogs/2025-2026/summary/Myles-Lewis-Skelly-Match-Logs" TargetMode="External"/><Relationship Id="rId1684" Type="http://schemas.openxmlformats.org/officeDocument/2006/relationships/hyperlink" Target="https://fbref.com/en/players/0a3d6d2b/matchlogs/2025-2026/summary/Chris-Richards-Match-Logs" TargetMode="External"/><Relationship Id="rId1201" Type="http://schemas.openxmlformats.org/officeDocument/2006/relationships/hyperlink" Target="https://fbref.com/en/players/d6e53a3a/Matthijs-de-Ligt" TargetMode="External"/><Relationship Id="rId1685" Type="http://schemas.openxmlformats.org/officeDocument/2006/relationships/hyperlink" Target="https://fbref.com/en/players/fa031b34/Richarlison" TargetMode="External"/><Relationship Id="rId1235" Type="http://schemas.openxmlformats.org/officeDocument/2006/relationships/hyperlink" Target="https://fbref.com/en/squads/943e8050/Burnley-Stats" TargetMode="External"/><Relationship Id="rId1236" Type="http://schemas.openxmlformats.org/officeDocument/2006/relationships/hyperlink" Target="https://fbref.com/en/players/881cd6be/matchlogs/2025-2026/summary/Florentino-Luis-Match-Logs" TargetMode="External"/><Relationship Id="rId1237" Type="http://schemas.openxmlformats.org/officeDocument/2006/relationships/hyperlink" Target="https://fbref.com/en/players/6f7d826d/Douglas-Luiz" TargetMode="External"/><Relationship Id="rId1238" Type="http://schemas.openxmlformats.org/officeDocument/2006/relationships/hyperlink" Target="https://fbref.com/en/country/BRA/Brazil-Football" TargetMode="External"/><Relationship Id="rId1239" Type="http://schemas.openxmlformats.org/officeDocument/2006/relationships/hyperlink" Target="https://fbref.com/en/squads/8602292d/Aston-Villa-Stats" TargetMode="External"/><Relationship Id="rId409" Type="http://schemas.openxmlformats.org/officeDocument/2006/relationships/hyperlink" Target="https://fbref.com/en/players/22ae86f9/Diego-Coppola" TargetMode="External"/><Relationship Id="rId404" Type="http://schemas.openxmlformats.org/officeDocument/2006/relationships/hyperlink" Target="https://fbref.com/en/players/700783e7/matchlogs/2025-2026/summary/Levi-Colwill-Match-Logs" TargetMode="External"/><Relationship Id="rId888" Type="http://schemas.openxmlformats.org/officeDocument/2006/relationships/hyperlink" Target="https://fbref.com/en/players/e5a76dfe/matchlogs/2025-2026/summary/Dean-Henderson-Match-Logs" TargetMode="External"/><Relationship Id="rId403" Type="http://schemas.openxmlformats.org/officeDocument/2006/relationships/hyperlink" Target="https://fbref.com/en/squads/cff3d9bb/Chelsea-Stats" TargetMode="External"/><Relationship Id="rId887" Type="http://schemas.openxmlformats.org/officeDocument/2006/relationships/hyperlink" Target="https://fbref.com/en/squads/47c64c55/Crystal-Palace-Stats" TargetMode="External"/><Relationship Id="rId402" Type="http://schemas.openxmlformats.org/officeDocument/2006/relationships/hyperlink" Target="https://fbref.com/en/country/ENG/England-Football" TargetMode="External"/><Relationship Id="rId886" Type="http://schemas.openxmlformats.org/officeDocument/2006/relationships/hyperlink" Target="https://fbref.com/en/country/ENG/England-Football" TargetMode="External"/><Relationship Id="rId401" Type="http://schemas.openxmlformats.org/officeDocument/2006/relationships/hyperlink" Target="https://fbref.com/en/players/700783e7/Levi-Colwill" TargetMode="External"/><Relationship Id="rId885" Type="http://schemas.openxmlformats.org/officeDocument/2006/relationships/hyperlink" Target="https://fbref.com/en/players/e5a76dfe/Dean-Henderson" TargetMode="External"/><Relationship Id="rId408" Type="http://schemas.openxmlformats.org/officeDocument/2006/relationships/hyperlink" Target="https://fbref.com/en/players/2afc7272/matchlogs/2025-2026/summary/Lewis-Cook-Match-Logs" TargetMode="External"/><Relationship Id="rId407" Type="http://schemas.openxmlformats.org/officeDocument/2006/relationships/hyperlink" Target="https://fbref.com/en/squads/4ba7cbea/Bournemouth-Stats" TargetMode="External"/><Relationship Id="rId406" Type="http://schemas.openxmlformats.org/officeDocument/2006/relationships/hyperlink" Target="https://fbref.com/en/country/ENG/England-Football" TargetMode="External"/><Relationship Id="rId405" Type="http://schemas.openxmlformats.org/officeDocument/2006/relationships/hyperlink" Target="https://fbref.com/en/players/2afc7272/Lewis-Cook" TargetMode="External"/><Relationship Id="rId889" Type="http://schemas.openxmlformats.org/officeDocument/2006/relationships/hyperlink" Target="https://fbref.com/en/players/935e6b8f/Jordan-Henderson" TargetMode="External"/><Relationship Id="rId880" Type="http://schemas.openxmlformats.org/officeDocument/2006/relationships/hyperlink" Target="https://fbref.com/en/players/169fd162/matchlogs/2025-2026/summary/Hwang-Hee-chan-Match-Logs" TargetMode="External"/><Relationship Id="rId1230" Type="http://schemas.openxmlformats.org/officeDocument/2006/relationships/hyperlink" Target="https://fbref.com/en/country/ITA/Italy-Football" TargetMode="External"/><Relationship Id="rId400" Type="http://schemas.openxmlformats.org/officeDocument/2006/relationships/hyperlink" Target="https://fbref.com/en/players/a8c19eb8/matchlogs/2025-2026/summary/Nathan-Collins-Match-Logs" TargetMode="External"/><Relationship Id="rId884" Type="http://schemas.openxmlformats.org/officeDocument/2006/relationships/hyperlink" Target="https://fbref.com/en/players/28795530/matchlogs/2025-2026/summary/George-Hemmings-Match-Logs" TargetMode="External"/><Relationship Id="rId1231" Type="http://schemas.openxmlformats.org/officeDocument/2006/relationships/hyperlink" Target="https://fbref.com/en/squads/e4a775cb/Nottingham-Forest-Stats" TargetMode="External"/><Relationship Id="rId883" Type="http://schemas.openxmlformats.org/officeDocument/2006/relationships/hyperlink" Target="https://fbref.com/en/squads/8602292d/Aston-Villa-Stats" TargetMode="External"/><Relationship Id="rId1232" Type="http://schemas.openxmlformats.org/officeDocument/2006/relationships/hyperlink" Target="https://fbref.com/en/players/83c06f3a/matchlogs/2025-2026/summary/Lorenzo-Lucca-Match-Logs" TargetMode="External"/><Relationship Id="rId882" Type="http://schemas.openxmlformats.org/officeDocument/2006/relationships/hyperlink" Target="https://fbref.com/en/country/ENG/England-Football" TargetMode="External"/><Relationship Id="rId1233" Type="http://schemas.openxmlformats.org/officeDocument/2006/relationships/hyperlink" Target="https://fbref.com/en/players/881cd6be/Florentino-Luis" TargetMode="External"/><Relationship Id="rId881" Type="http://schemas.openxmlformats.org/officeDocument/2006/relationships/hyperlink" Target="https://fbref.com/en/players/28795530/George-Hemmings" TargetMode="External"/><Relationship Id="rId1234" Type="http://schemas.openxmlformats.org/officeDocument/2006/relationships/hyperlink" Target="https://fbref.com/en/country/POR/Portugal-Football" TargetMode="External"/><Relationship Id="rId1224" Type="http://schemas.openxmlformats.org/officeDocument/2006/relationships/hyperlink" Target="https://fbref.com/en/players/675cacff/matchlogs/2025-2026/summary/Fer-Lopez-Match-Logs" TargetMode="External"/><Relationship Id="rId1225" Type="http://schemas.openxmlformats.org/officeDocument/2006/relationships/hyperlink" Target="https://fbref.com/en/players/5d68f5b2/Lucas" TargetMode="External"/><Relationship Id="rId1226" Type="http://schemas.openxmlformats.org/officeDocument/2006/relationships/hyperlink" Target="https://fbref.com/en/country/BRA/Brazil-Football" TargetMode="External"/><Relationship Id="rId1227" Type="http://schemas.openxmlformats.org/officeDocument/2006/relationships/hyperlink" Target="https://fbref.com/en/squads/943e8050/Burnley-Stats" TargetMode="External"/><Relationship Id="rId1228" Type="http://schemas.openxmlformats.org/officeDocument/2006/relationships/hyperlink" Target="https://fbref.com/en/players/5d68f5b2/matchlogs/2025-2026/summary/Lucas-Match-Logs" TargetMode="External"/><Relationship Id="rId1229" Type="http://schemas.openxmlformats.org/officeDocument/2006/relationships/hyperlink" Target="https://fbref.com/en/players/83c06f3a/Lorenzo-Lucca" TargetMode="External"/><Relationship Id="rId877" Type="http://schemas.openxmlformats.org/officeDocument/2006/relationships/hyperlink" Target="https://fbref.com/en/players/169fd162/Hwang-Hee-chan" TargetMode="External"/><Relationship Id="rId876" Type="http://schemas.openxmlformats.org/officeDocument/2006/relationships/hyperlink" Target="https://fbref.com/en/players/4fd08daa/matchlogs/2025-2026/summary/Jan-Paul-van-Hecke-Match-Logs" TargetMode="External"/><Relationship Id="rId875" Type="http://schemas.openxmlformats.org/officeDocument/2006/relationships/hyperlink" Target="https://fbref.com/en/squads/d07537b9/Brighton-and-Hove-Albion-Stats" TargetMode="External"/><Relationship Id="rId874" Type="http://schemas.openxmlformats.org/officeDocument/2006/relationships/hyperlink" Target="https://fbref.com/en/country/NED/Netherlands-Football" TargetMode="External"/><Relationship Id="rId879" Type="http://schemas.openxmlformats.org/officeDocument/2006/relationships/hyperlink" Target="https://fbref.com/en/squads/8cec06e1/Wolverhampton-Wanderers-Stats" TargetMode="External"/><Relationship Id="rId878" Type="http://schemas.openxmlformats.org/officeDocument/2006/relationships/hyperlink" Target="https://fbref.com/en/country/KOR/Korea-Republic-Football" TargetMode="External"/><Relationship Id="rId873" Type="http://schemas.openxmlformats.org/officeDocument/2006/relationships/hyperlink" Target="https://fbref.com/en/players/4fd08daa/Jan-Paul-van-Hecke" TargetMode="External"/><Relationship Id="rId1220" Type="http://schemas.openxmlformats.org/officeDocument/2006/relationships/hyperlink" Target="https://fbref.com/en/players/a2b105e0/matchlogs/2025-2026/summary/Sean-Longstaff-Match-Logs" TargetMode="External"/><Relationship Id="rId872" Type="http://schemas.openxmlformats.org/officeDocument/2006/relationships/hyperlink" Target="https://fbref.com/en/players/64e17fab/matchlogs/2025-2026/summary/Ayden-Heaven-Match-Logs" TargetMode="External"/><Relationship Id="rId1221" Type="http://schemas.openxmlformats.org/officeDocument/2006/relationships/hyperlink" Target="https://fbref.com/en/players/675cacff/Fer-Lopez" TargetMode="External"/><Relationship Id="rId871" Type="http://schemas.openxmlformats.org/officeDocument/2006/relationships/hyperlink" Target="https://fbref.com/en/squads/19538871/Manchester-United-Stats" TargetMode="External"/><Relationship Id="rId1222" Type="http://schemas.openxmlformats.org/officeDocument/2006/relationships/hyperlink" Target="https://fbref.com/en/country/ESP/Spain-Football" TargetMode="External"/><Relationship Id="rId870" Type="http://schemas.openxmlformats.org/officeDocument/2006/relationships/hyperlink" Target="https://fbref.com/en/country/ENG/England-Football" TargetMode="External"/><Relationship Id="rId1223" Type="http://schemas.openxmlformats.org/officeDocument/2006/relationships/hyperlink" Target="https://fbref.com/en/squads/8cec06e1/Wolverhampton-Wanderers-Stats" TargetMode="External"/><Relationship Id="rId1653" Type="http://schemas.openxmlformats.org/officeDocument/2006/relationships/hyperlink" Target="https://fbref.com/en/players/1544f145/Jacob-Ramsey" TargetMode="External"/><Relationship Id="rId1654" Type="http://schemas.openxmlformats.org/officeDocument/2006/relationships/hyperlink" Target="https://fbref.com/en/country/ENG/England-Football" TargetMode="External"/><Relationship Id="rId1655" Type="http://schemas.openxmlformats.org/officeDocument/2006/relationships/hyperlink" Target="https://fbref.com/en/squads/b2b47a98/Newcastle-United-Stats" TargetMode="External"/><Relationship Id="rId1656" Type="http://schemas.openxmlformats.org/officeDocument/2006/relationships/hyperlink" Target="https://fbref.com/en/players/1544f145/matchlogs/2025-2026/summary/Jacob-Ramsey-Match-Logs" TargetMode="External"/><Relationship Id="rId1657" Type="http://schemas.openxmlformats.org/officeDocument/2006/relationships/hyperlink" Target="https://fbref.com/en/players/98ea5115/David-Raya" TargetMode="External"/><Relationship Id="rId1658" Type="http://schemas.openxmlformats.org/officeDocument/2006/relationships/hyperlink" Target="https://fbref.com/en/country/ESP/Spain-Football" TargetMode="External"/><Relationship Id="rId1659" Type="http://schemas.openxmlformats.org/officeDocument/2006/relationships/hyperlink" Target="https://fbref.com/en/squads/18bb7c10/Arsenal-Stats" TargetMode="External"/><Relationship Id="rId829" Type="http://schemas.openxmlformats.org/officeDocument/2006/relationships/hyperlink" Target="https://fbref.com/en/players/e082af5b/Angus-Gunn" TargetMode="External"/><Relationship Id="rId828" Type="http://schemas.openxmlformats.org/officeDocument/2006/relationships/hyperlink" Target="https://fbref.com/en/players/d3d774cc/matchlogs/2025-2026/summary/Marc-Guiu-Match-Logs" TargetMode="External"/><Relationship Id="rId827" Type="http://schemas.openxmlformats.org/officeDocument/2006/relationships/hyperlink" Target="https://fbref.com/en/squads/cff3d9bb/Chelsea-Stats" TargetMode="External"/><Relationship Id="rId822" Type="http://schemas.openxmlformats.org/officeDocument/2006/relationships/hyperlink" Target="https://fbref.com/en/country/ESP/Spain-Football" TargetMode="External"/><Relationship Id="rId821" Type="http://schemas.openxmlformats.org/officeDocument/2006/relationships/hyperlink" Target="https://fbref.com/en/players/d3d774cc/Marc-Guiu" TargetMode="External"/><Relationship Id="rId820" Type="http://schemas.openxmlformats.org/officeDocument/2006/relationships/hyperlink" Target="https://fbref.com/en/players/82518f62/matchlogs/2025-2026/summary/Bruno-Guimaraes-Match-Logs" TargetMode="External"/><Relationship Id="rId826" Type="http://schemas.openxmlformats.org/officeDocument/2006/relationships/hyperlink" Target="https://fbref.com/en/country/ESP/Spain-Football" TargetMode="External"/><Relationship Id="rId825" Type="http://schemas.openxmlformats.org/officeDocument/2006/relationships/hyperlink" Target="https://fbref.com/en/players/d3d774cc/Marc-Guiu" TargetMode="External"/><Relationship Id="rId824" Type="http://schemas.openxmlformats.org/officeDocument/2006/relationships/hyperlink" Target="https://fbref.com/en/players/d3d774cc/matchlogs/2025-2026/summary/Marc-Guiu-Match-Logs" TargetMode="External"/><Relationship Id="rId823" Type="http://schemas.openxmlformats.org/officeDocument/2006/relationships/hyperlink" Target="https://fbref.com/en/squads/8ef52968/Sunderland-Stats" TargetMode="External"/><Relationship Id="rId1650" Type="http://schemas.openxmlformats.org/officeDocument/2006/relationships/hyperlink" Target="https://fbref.com/en/country/ENG/England-Football" TargetMode="External"/><Relationship Id="rId1651" Type="http://schemas.openxmlformats.org/officeDocument/2006/relationships/hyperlink" Target="https://fbref.com/en/squads/b2b47a98/Newcastle-United-Stats" TargetMode="External"/><Relationship Id="rId1652" Type="http://schemas.openxmlformats.org/officeDocument/2006/relationships/hyperlink" Target="https://fbref.com/en/players/466fb2c5/matchlogs/2025-2026/summary/Aaron-Ramsdale-Match-Logs" TargetMode="External"/><Relationship Id="rId1642" Type="http://schemas.openxmlformats.org/officeDocument/2006/relationships/hyperlink" Target="https://fbref.com/en/country/ESP/Spain-Football" TargetMode="External"/><Relationship Id="rId1643" Type="http://schemas.openxmlformats.org/officeDocument/2006/relationships/hyperlink" Target="https://fbref.com/en/squads/361ca564/Tottenham-Hotspur-Stats" TargetMode="External"/><Relationship Id="rId1644" Type="http://schemas.openxmlformats.org/officeDocument/2006/relationships/hyperlink" Target="https://fbref.com/en/players/27d0a506/matchlogs/2025-2026/summary/Pedro-Porro-Match-Logs" TargetMode="External"/><Relationship Id="rId1645" Type="http://schemas.openxmlformats.org/officeDocument/2006/relationships/hyperlink" Target="https://fbref.com/en/players/86bf27f0/Freddie-Potts" TargetMode="External"/><Relationship Id="rId1646" Type="http://schemas.openxmlformats.org/officeDocument/2006/relationships/hyperlink" Target="https://fbref.com/en/country/ENG/England-Football" TargetMode="External"/><Relationship Id="rId1647" Type="http://schemas.openxmlformats.org/officeDocument/2006/relationships/hyperlink" Target="https://fbref.com/en/squads/7c21e445/West-Ham-United-Stats" TargetMode="External"/><Relationship Id="rId1648" Type="http://schemas.openxmlformats.org/officeDocument/2006/relationships/hyperlink" Target="https://fbref.com/en/players/86bf27f0/matchlogs/2025-2026/summary/Freddie-Potts-Match-Logs" TargetMode="External"/><Relationship Id="rId1649" Type="http://schemas.openxmlformats.org/officeDocument/2006/relationships/hyperlink" Target="https://fbref.com/en/players/466fb2c5/Aaron-Ramsdale" TargetMode="External"/><Relationship Id="rId819" Type="http://schemas.openxmlformats.org/officeDocument/2006/relationships/hyperlink" Target="https://fbref.com/en/squads/b2b47a98/Newcastle-United-Stats" TargetMode="External"/><Relationship Id="rId818" Type="http://schemas.openxmlformats.org/officeDocument/2006/relationships/hyperlink" Target="https://fbref.com/en/country/BRA/Brazil-Football" TargetMode="External"/><Relationship Id="rId817" Type="http://schemas.openxmlformats.org/officeDocument/2006/relationships/hyperlink" Target="https://fbref.com/en/players/82518f62/Bruno-Guimaraes" TargetMode="External"/><Relationship Id="rId816" Type="http://schemas.openxmlformats.org/officeDocument/2006/relationships/hyperlink" Target="https://fbref.com/en/players/b7672d43/matchlogs/2025-2026/summary/Luis-Guilherme-Match-Logs" TargetMode="External"/><Relationship Id="rId811" Type="http://schemas.openxmlformats.org/officeDocument/2006/relationships/hyperlink" Target="https://fbref.com/en/squads/8602292d/Aston-Villa-Stats" TargetMode="External"/><Relationship Id="rId810" Type="http://schemas.openxmlformats.org/officeDocument/2006/relationships/hyperlink" Target="https://fbref.com/en/country/CIV/Cote-dIvoire-Football" TargetMode="External"/><Relationship Id="rId815" Type="http://schemas.openxmlformats.org/officeDocument/2006/relationships/hyperlink" Target="https://fbref.com/en/squads/7c21e445/West-Ham-United-Stats" TargetMode="External"/><Relationship Id="rId814" Type="http://schemas.openxmlformats.org/officeDocument/2006/relationships/hyperlink" Target="https://fbref.com/en/country/BRA/Brazil-Football" TargetMode="External"/><Relationship Id="rId813" Type="http://schemas.openxmlformats.org/officeDocument/2006/relationships/hyperlink" Target="https://fbref.com/en/players/b7672d43/Luis-Guilherme" TargetMode="External"/><Relationship Id="rId812" Type="http://schemas.openxmlformats.org/officeDocument/2006/relationships/hyperlink" Target="https://fbref.com/en/players/b73f17f8/matchlogs/2025-2026/summary/Evann-Guessand-Match-Logs" TargetMode="External"/><Relationship Id="rId1640" Type="http://schemas.openxmlformats.org/officeDocument/2006/relationships/hyperlink" Target="https://fbref.com/en/players/4b40d9ca/matchlogs/2025-2026/summary/Nick-Pope-Match-Logs" TargetMode="External"/><Relationship Id="rId1641" Type="http://schemas.openxmlformats.org/officeDocument/2006/relationships/hyperlink" Target="https://fbref.com/en/players/27d0a506/Pedro-Porro" TargetMode="External"/><Relationship Id="rId1675" Type="http://schemas.openxmlformats.org/officeDocument/2006/relationships/hyperlink" Target="https://fbref.com/en/squads/47c64c55/Crystal-Palace-Stats" TargetMode="External"/><Relationship Id="rId1676" Type="http://schemas.openxmlformats.org/officeDocument/2006/relationships/hyperlink" Target="https://fbref.com/en/players/b3b9b8b8/matchlogs/2025-2026/summary/Chadi-Riad-Match-Logs" TargetMode="External"/><Relationship Id="rId1677" Type="http://schemas.openxmlformats.org/officeDocument/2006/relationships/hyperlink" Target="https://fbref.com/en/players/1c7012b8/Declan-Rice" TargetMode="External"/><Relationship Id="rId1678" Type="http://schemas.openxmlformats.org/officeDocument/2006/relationships/hyperlink" Target="https://fbref.com/en/country/ENG/England-Football" TargetMode="External"/><Relationship Id="rId1679" Type="http://schemas.openxmlformats.org/officeDocument/2006/relationships/hyperlink" Target="https://fbref.com/en/squads/18bb7c10/Arsenal-Stats" TargetMode="External"/><Relationship Id="rId849" Type="http://schemas.openxmlformats.org/officeDocument/2006/relationships/hyperlink" Target="https://fbref.com/en/players/da011f18/Lewis-Hall" TargetMode="External"/><Relationship Id="rId844" Type="http://schemas.openxmlformats.org/officeDocument/2006/relationships/hyperlink" Target="https://fbref.com/en/players/4d5a9185/matchlogs/2025-2026/summary/Viktor-Gyokeres-Match-Logs" TargetMode="External"/><Relationship Id="rId843" Type="http://schemas.openxmlformats.org/officeDocument/2006/relationships/hyperlink" Target="https://fbref.com/en/squads/18bb7c10/Arsenal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4d5a9185/Viktor-Gyokeres" TargetMode="External"/><Relationship Id="rId848" Type="http://schemas.openxmlformats.org/officeDocument/2006/relationships/hyperlink" Target="https://fbref.com/en/players/1f44ac21/matchlogs/2025-2026/summary/Erling-Haaland-Match-Logs" TargetMode="External"/><Relationship Id="rId847" Type="http://schemas.openxmlformats.org/officeDocument/2006/relationships/hyperlink" Target="https://fbref.com/en/squads/b8fd03ef/Manchester-City-Stats" TargetMode="External"/><Relationship Id="rId846" Type="http://schemas.openxmlformats.org/officeDocument/2006/relationships/hyperlink" Target="https://fbref.com/en/country/NOR/Norway-Football" TargetMode="External"/><Relationship Id="rId845" Type="http://schemas.openxmlformats.org/officeDocument/2006/relationships/hyperlink" Target="https://fbref.com/en/players/1f44ac21/Erling-Haaland" TargetMode="External"/><Relationship Id="rId1670" Type="http://schemas.openxmlformats.org/officeDocument/2006/relationships/hyperlink" Target="https://fbref.com/en/country/NED/Netherlands-Football" TargetMode="External"/><Relationship Id="rId840" Type="http://schemas.openxmlformats.org/officeDocument/2006/relationships/hyperlink" Target="https://fbref.com/en/players/5ad50391/matchlogs/2025-2026/summary/Josko-Gvardiol-Match-Logs" TargetMode="External"/><Relationship Id="rId1671" Type="http://schemas.openxmlformats.org/officeDocument/2006/relationships/hyperlink" Target="https://fbref.com/en/squads/b8fd03ef/Manchester-City-Stats" TargetMode="External"/><Relationship Id="rId1672" Type="http://schemas.openxmlformats.org/officeDocument/2006/relationships/hyperlink" Target="https://fbref.com/en/players/afb61630/matchlogs/2025-2026/summary/Tijjani-Reijnders-Match-Logs" TargetMode="External"/><Relationship Id="rId1673" Type="http://schemas.openxmlformats.org/officeDocument/2006/relationships/hyperlink" Target="https://fbref.com/en/players/b3b9b8b8/Chadi-Riad" TargetMode="External"/><Relationship Id="rId1674" Type="http://schemas.openxmlformats.org/officeDocument/2006/relationships/hyperlink" Target="https://fbref.com/en/country/MAR/Morocco-Football" TargetMode="External"/><Relationship Id="rId1664" Type="http://schemas.openxmlformats.org/officeDocument/2006/relationships/hyperlink" Target="https://fbref.com/en/players/288647fc/matchlogs/2025-2026/summary/Rayan-Match-Logs" TargetMode="External"/><Relationship Id="rId1665" Type="http://schemas.openxmlformats.org/officeDocument/2006/relationships/hyperlink" Target="https://fbref.com/en/players/803ae100/Harrison-Reed" TargetMode="External"/><Relationship Id="rId1666" Type="http://schemas.openxmlformats.org/officeDocument/2006/relationships/hyperlink" Target="https://fbref.com/en/country/ENG/England-Football" TargetMode="External"/><Relationship Id="rId1667" Type="http://schemas.openxmlformats.org/officeDocument/2006/relationships/hyperlink" Target="https://fbref.com/en/squads/fd962109/Fulham-Stats" TargetMode="External"/><Relationship Id="rId1668" Type="http://schemas.openxmlformats.org/officeDocument/2006/relationships/hyperlink" Target="https://fbref.com/en/players/803ae100/matchlogs/2025-2026/summary/Harrison-Reed-Match-Logs" TargetMode="External"/><Relationship Id="rId1669" Type="http://schemas.openxmlformats.org/officeDocument/2006/relationships/hyperlink" Target="https://fbref.com/en/players/afb61630/Tijjani-Reijnders" TargetMode="External"/><Relationship Id="rId839" Type="http://schemas.openxmlformats.org/officeDocument/2006/relationships/hyperlink" Target="https://fbref.com/en/squads/b8fd03ef/Manchester-City-Stats" TargetMode="External"/><Relationship Id="rId838" Type="http://schemas.openxmlformats.org/officeDocument/2006/relationships/hyperlink" Target="https://fbref.com/en/country/CRO/Croatia-Football" TargetMode="External"/><Relationship Id="rId833" Type="http://schemas.openxmlformats.org/officeDocument/2006/relationships/hyperlink" Target="https://fbref.com/en/players/d56b9520/Malo-Gusto" TargetMode="External"/><Relationship Id="rId832" Type="http://schemas.openxmlformats.org/officeDocument/2006/relationships/hyperlink" Target="https://fbref.com/en/players/e082af5b/matchlogs/2025-2026/summary/Angus-Gunn-Match-Logs" TargetMode="External"/><Relationship Id="rId831" Type="http://schemas.openxmlformats.org/officeDocument/2006/relationships/hyperlink" Target="https://fbref.com/en/squads/e4a775cb/Nottingham-Forest-Stats" TargetMode="External"/><Relationship Id="rId830" Type="http://schemas.openxmlformats.org/officeDocument/2006/relationships/hyperlink" Target="https://fbref.com/en/country/SCO/Scotland-Football" TargetMode="External"/><Relationship Id="rId837" Type="http://schemas.openxmlformats.org/officeDocument/2006/relationships/hyperlink" Target="https://fbref.com/en/players/5ad50391/Josko-Gvardiol" TargetMode="External"/><Relationship Id="rId836" Type="http://schemas.openxmlformats.org/officeDocument/2006/relationships/hyperlink" Target="https://fbref.com/en/players/d56b9520/matchlogs/2025-2026/summary/Malo-Gusto-Match-Logs" TargetMode="External"/><Relationship Id="rId835" Type="http://schemas.openxmlformats.org/officeDocument/2006/relationships/hyperlink" Target="https://fbref.com/en/squads/cff3d9bb/Chelsea-Stats" TargetMode="External"/><Relationship Id="rId834" Type="http://schemas.openxmlformats.org/officeDocument/2006/relationships/hyperlink" Target="https://fbref.com/en/country/FRA/France-Football" TargetMode="External"/><Relationship Id="rId1660" Type="http://schemas.openxmlformats.org/officeDocument/2006/relationships/hyperlink" Target="https://fbref.com/en/players/98ea5115/matchlogs/2025-2026/summary/David-Raya-Match-Logs" TargetMode="External"/><Relationship Id="rId1661" Type="http://schemas.openxmlformats.org/officeDocument/2006/relationships/hyperlink" Target="https://fbref.com/en/players/288647fc/Rayan" TargetMode="External"/><Relationship Id="rId1662" Type="http://schemas.openxmlformats.org/officeDocument/2006/relationships/hyperlink" Target="https://fbref.com/en/country/BRA/Brazil-Football" TargetMode="External"/><Relationship Id="rId1663" Type="http://schemas.openxmlformats.org/officeDocument/2006/relationships/hyperlink" Target="https://fbref.com/en/squads/4ba7cbea/Bournemouth-Stats" TargetMode="External"/><Relationship Id="rId2148" Type="http://schemas.openxmlformats.org/officeDocument/2006/relationships/hyperlink" Target="https://fbref.com/en/players/ba31eee2/matchlogs/2025-2026/summary/Ben-Winterburn-Match-Logs" TargetMode="External"/><Relationship Id="rId2149" Type="http://schemas.openxmlformats.org/officeDocument/2006/relationships/hyperlink" Target="https://fbref.com/en/players/e7fcf289/Florian-Wirtz" TargetMode="External"/><Relationship Id="rId469" Type="http://schemas.openxmlformats.org/officeDocument/2006/relationships/hyperlink" Target="https://fbref.com/en/players/bbfe0e5d/Jesse-Derry" TargetMode="External"/><Relationship Id="rId468" Type="http://schemas.openxmlformats.org/officeDocument/2006/relationships/hyperlink" Target="https://fbref.com/en/players/7bf9400b/matchlogs/2025-2026/summary/Sepp-van-den-Berg-Match-Logs" TargetMode="External"/><Relationship Id="rId467" Type="http://schemas.openxmlformats.org/officeDocument/2006/relationships/hyperlink" Target="https://fbref.com/en/squads/cd051869/Brentford-Stats" TargetMode="External"/><Relationship Id="rId1290" Type="http://schemas.openxmlformats.org/officeDocument/2006/relationships/hyperlink" Target="https://fbref.com/en/country/GEO/Georgia-Football" TargetMode="External"/><Relationship Id="rId1291" Type="http://schemas.openxmlformats.org/officeDocument/2006/relationships/hyperlink" Target="https://fbref.com/en/squads/822bd0ba/Liverpool-Stats" TargetMode="External"/><Relationship Id="rId1292" Type="http://schemas.openxmlformats.org/officeDocument/2006/relationships/hyperlink" Target="https://fbref.com/en/players/d4b73232/matchlogs/2025-2026/summary/Giorgi-Mamardashvili-Match-Logs" TargetMode="External"/><Relationship Id="rId462" Type="http://schemas.openxmlformats.org/officeDocument/2006/relationships/hyperlink" Target="https://fbref.com/en/country/ENG/England-Football" TargetMode="External"/><Relationship Id="rId1293" Type="http://schemas.openxmlformats.org/officeDocument/2006/relationships/hyperlink" Target="https://fbref.com/en/players/c20bdcd7/Reinildo-Mandava" TargetMode="External"/><Relationship Id="rId2140" Type="http://schemas.openxmlformats.org/officeDocument/2006/relationships/hyperlink" Target="https://fbref.com/en/players/c596fcb0/matchlogs/2025-2026/summary/Callum-Wilson-Match-Logs" TargetMode="External"/><Relationship Id="rId461" Type="http://schemas.openxmlformats.org/officeDocument/2006/relationships/hyperlink" Target="https://fbref.com/en/players/dd897ee7/Liam-Delap" TargetMode="External"/><Relationship Id="rId1294" Type="http://schemas.openxmlformats.org/officeDocument/2006/relationships/hyperlink" Target="https://fbref.com/en/country/MOZ/Mozambique-Football" TargetMode="External"/><Relationship Id="rId2141" Type="http://schemas.openxmlformats.org/officeDocument/2006/relationships/hyperlink" Target="https://fbref.com/en/players/c6dc9ecd/Harry-Wilson" TargetMode="External"/><Relationship Id="rId460" Type="http://schemas.openxmlformats.org/officeDocument/2006/relationships/hyperlink" Target="https://fbref.com/en/players/d494882e/matchlogs/2025-2026/summary/Maxim-De-Cuyper-Match-Logs" TargetMode="External"/><Relationship Id="rId1295" Type="http://schemas.openxmlformats.org/officeDocument/2006/relationships/hyperlink" Target="https://fbref.com/en/squads/8ef52968/Sunderland-Stats" TargetMode="External"/><Relationship Id="rId2142" Type="http://schemas.openxmlformats.org/officeDocument/2006/relationships/hyperlink" Target="https://fbref.com/en/country/WAL/Wales-Football" TargetMode="External"/><Relationship Id="rId1296" Type="http://schemas.openxmlformats.org/officeDocument/2006/relationships/hyperlink" Target="https://fbref.com/en/players/c20bdcd7/matchlogs/2025-2026/summary/Reinildo-Mandava-Match-Logs" TargetMode="External"/><Relationship Id="rId2143" Type="http://schemas.openxmlformats.org/officeDocument/2006/relationships/hyperlink" Target="https://fbref.com/en/squads/fd962109/Fulham-Stats" TargetMode="External"/><Relationship Id="rId466" Type="http://schemas.openxmlformats.org/officeDocument/2006/relationships/hyperlink" Target="https://fbref.com/en/country/NED/Netherlands-Football" TargetMode="External"/><Relationship Id="rId1297" Type="http://schemas.openxmlformats.org/officeDocument/2006/relationships/hyperlink" Target="https://fbref.com/en/players/c15cb409/Mateus-Mane" TargetMode="External"/><Relationship Id="rId2144" Type="http://schemas.openxmlformats.org/officeDocument/2006/relationships/hyperlink" Target="https://fbref.com/en/players/c6dc9ecd/matchlogs/2025-2026/summary/Harry-Wilson-Match-Logs" TargetMode="External"/><Relationship Id="rId465" Type="http://schemas.openxmlformats.org/officeDocument/2006/relationships/hyperlink" Target="https://fbref.com/en/players/7bf9400b/Sepp-van-den-Berg" TargetMode="External"/><Relationship Id="rId1298" Type="http://schemas.openxmlformats.org/officeDocument/2006/relationships/hyperlink" Target="https://fbref.com/en/country/POR/Portugal-Football" TargetMode="External"/><Relationship Id="rId2145" Type="http://schemas.openxmlformats.org/officeDocument/2006/relationships/hyperlink" Target="https://fbref.com/en/players/ba31eee2/Ben-Winterburn" TargetMode="External"/><Relationship Id="rId464" Type="http://schemas.openxmlformats.org/officeDocument/2006/relationships/hyperlink" Target="https://fbref.com/en/players/dd897ee7/matchlogs/2025-2026/summary/Liam-Delap-Match-Logs" TargetMode="External"/><Relationship Id="rId1299" Type="http://schemas.openxmlformats.org/officeDocument/2006/relationships/hyperlink" Target="https://fbref.com/en/squads/8cec06e1/Wolverhampton-Wanderers-Stats" TargetMode="External"/><Relationship Id="rId2146" Type="http://schemas.openxmlformats.org/officeDocument/2006/relationships/hyperlink" Target="https://fbref.com/en/country/ENG/England-Football" TargetMode="External"/><Relationship Id="rId463" Type="http://schemas.openxmlformats.org/officeDocument/2006/relationships/hyperlink" Target="https://fbref.com/en/squads/cff3d9bb/Chelsea-Stats" TargetMode="External"/><Relationship Id="rId2147" Type="http://schemas.openxmlformats.org/officeDocument/2006/relationships/hyperlink" Target="https://fbref.com/en/squads/4ba7cbea/Bournemouth-Stats" TargetMode="External"/><Relationship Id="rId2137" Type="http://schemas.openxmlformats.org/officeDocument/2006/relationships/hyperlink" Target="https://fbref.com/en/players/c596fcb0/Callum-Wilson" TargetMode="External"/><Relationship Id="rId2138" Type="http://schemas.openxmlformats.org/officeDocument/2006/relationships/hyperlink" Target="https://fbref.com/en/country/ENG/England-Football" TargetMode="External"/><Relationship Id="rId2139" Type="http://schemas.openxmlformats.org/officeDocument/2006/relationships/hyperlink" Target="https://fbref.com/en/squads/7c21e445/West-Ham-United-Stats" TargetMode="External"/><Relationship Id="rId459" Type="http://schemas.openxmlformats.org/officeDocument/2006/relationships/hyperlink" Target="https://fbref.com/en/squads/d07537b9/Brighton-and-Hove-Albion-Stats" TargetMode="External"/><Relationship Id="rId458" Type="http://schemas.openxmlformats.org/officeDocument/2006/relationships/hyperlink" Target="https://fbref.com/en/country/BEL/Belgium-Football" TargetMode="External"/><Relationship Id="rId457" Type="http://schemas.openxmlformats.org/officeDocument/2006/relationships/hyperlink" Target="https://fbref.com/en/players/d494882e/Maxim-De-Cuyper" TargetMode="External"/><Relationship Id="rId456" Type="http://schemas.openxmlformats.org/officeDocument/2006/relationships/hyperlink" Target="https://fbref.com/en/players/44781702/matchlogs/2025-2026/summary/Ben-Davies-Match-Logs" TargetMode="External"/><Relationship Id="rId1280" Type="http://schemas.openxmlformats.org/officeDocument/2006/relationships/hyperlink" Target="https://fbref.com/en/players/c6220452/matchlogs/2025-2026/summary/Kobbie-Mainoo-Match-Logs" TargetMode="External"/><Relationship Id="rId1281" Type="http://schemas.openxmlformats.org/officeDocument/2006/relationships/hyperlink" Target="https://fbref.com/en/players/6b6c793c/Tyrell-Malacia" TargetMode="External"/><Relationship Id="rId451" Type="http://schemas.openxmlformats.org/officeDocument/2006/relationships/hyperlink" Target="https://fbref.com/en/squads/cd051869/Brentford-Stats" TargetMode="External"/><Relationship Id="rId1282" Type="http://schemas.openxmlformats.org/officeDocument/2006/relationships/hyperlink" Target="https://fbref.com/en/country/NED/Netherlands-Football" TargetMode="External"/><Relationship Id="rId450" Type="http://schemas.openxmlformats.org/officeDocument/2006/relationships/hyperlink" Target="https://fbref.com/en/country/ENG/England-Football" TargetMode="External"/><Relationship Id="rId1283" Type="http://schemas.openxmlformats.org/officeDocument/2006/relationships/hyperlink" Target="https://fbref.com/en/squads/19538871/Manchester-United-Stats" TargetMode="External"/><Relationship Id="rId2130" Type="http://schemas.openxmlformats.org/officeDocument/2006/relationships/hyperlink" Target="https://fbref.com/en/country/BRA/Brazil-Football" TargetMode="External"/><Relationship Id="rId1284" Type="http://schemas.openxmlformats.org/officeDocument/2006/relationships/hyperlink" Target="https://fbref.com/en/players/6b6c793c/matchlogs/2025-2026/summary/Tyrell-Malacia-Match-Logs" TargetMode="External"/><Relationship Id="rId2131" Type="http://schemas.openxmlformats.org/officeDocument/2006/relationships/hyperlink" Target="https://fbref.com/en/squads/cff3d9bb/Chelsea-Stats" TargetMode="External"/><Relationship Id="rId1285" Type="http://schemas.openxmlformats.org/officeDocument/2006/relationships/hyperlink" Target="https://fbref.com/en/players/116c35df/Donyell-Malen" TargetMode="External"/><Relationship Id="rId2132" Type="http://schemas.openxmlformats.org/officeDocument/2006/relationships/hyperlink" Target="https://fbref.com/en/players/2eda11b1/matchlogs/2025-2026/summary/Estevao-Willian-Match-Logs" TargetMode="External"/><Relationship Id="rId455" Type="http://schemas.openxmlformats.org/officeDocument/2006/relationships/hyperlink" Target="https://fbref.com/en/squads/361ca564/Tottenham-Hotspur-Stats" TargetMode="External"/><Relationship Id="rId1286" Type="http://schemas.openxmlformats.org/officeDocument/2006/relationships/hyperlink" Target="https://fbref.com/en/country/NED/Netherlands-Football" TargetMode="External"/><Relationship Id="rId2133" Type="http://schemas.openxmlformats.org/officeDocument/2006/relationships/hyperlink" Target="https://fbref.com/en/players/a3b03921/Joe-Willock" TargetMode="External"/><Relationship Id="rId454" Type="http://schemas.openxmlformats.org/officeDocument/2006/relationships/hyperlink" Target="https://fbref.com/en/country/WAL/Wales-Football" TargetMode="External"/><Relationship Id="rId1287" Type="http://schemas.openxmlformats.org/officeDocument/2006/relationships/hyperlink" Target="https://fbref.com/en/squads/8602292d/Aston-Villa-Stats" TargetMode="External"/><Relationship Id="rId2134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44781702/Ben-Davies" TargetMode="External"/><Relationship Id="rId1288" Type="http://schemas.openxmlformats.org/officeDocument/2006/relationships/hyperlink" Target="https://fbref.com/en/players/116c35df/matchlogs/2025-2026/summary/Donyell-Malen-Match-Logs" TargetMode="External"/><Relationship Id="rId2135" Type="http://schemas.openxmlformats.org/officeDocument/2006/relationships/hyperlink" Target="https://fbref.com/en/squads/b2b47a98/Newcastle-United-Stats" TargetMode="External"/><Relationship Id="rId452" Type="http://schemas.openxmlformats.org/officeDocument/2006/relationships/hyperlink" Target="https://fbref.com/en/players/60344e4f/matchlogs/2025-2026/summary/Josh-Dasilva-Match-Logs" TargetMode="External"/><Relationship Id="rId1289" Type="http://schemas.openxmlformats.org/officeDocument/2006/relationships/hyperlink" Target="https://fbref.com/en/players/d4b73232/Giorgi-Mamardashvili" TargetMode="External"/><Relationship Id="rId2136" Type="http://schemas.openxmlformats.org/officeDocument/2006/relationships/hyperlink" Target="https://fbref.com/en/players/a3b03921/matchlogs/2025-2026/summary/Joe-Willock-Match-Logs" TargetMode="External"/><Relationship Id="rId491" Type="http://schemas.openxmlformats.org/officeDocument/2006/relationships/hyperlink" Target="https://fbref.com/en/squads/8ef52968/Sunderland-Stats" TargetMode="External"/><Relationship Id="rId490" Type="http://schemas.openxmlformats.org/officeDocument/2006/relationships/hyperlink" Target="https://fbref.com/en/country/SEN/Senegal-Football" TargetMode="External"/><Relationship Id="rId489" Type="http://schemas.openxmlformats.org/officeDocument/2006/relationships/hyperlink" Target="https://fbref.com/en/players/6d0fe035/Habib-Diarra" TargetMode="External"/><Relationship Id="rId2160" Type="http://schemas.openxmlformats.org/officeDocument/2006/relationships/hyperlink" Target="https://fbref.com/en/players/7ca196eb/matchlogs/2025-2026/summary/Nick-Woltemade-Match-Logs" TargetMode="External"/><Relationship Id="rId2161" Type="http://schemas.openxmlformats.org/officeDocument/2006/relationships/hyperlink" Target="https://fbref.com/en/players/4e9a0555/Chris-Wood" TargetMode="External"/><Relationship Id="rId484" Type="http://schemas.openxmlformats.org/officeDocument/2006/relationships/hyperlink" Target="https://fbref.com/en/players/1bfb6fef/matchlogs/2025-2026/summary/Bafode-Diakite-Match-Logs" TargetMode="External"/><Relationship Id="rId2162" Type="http://schemas.openxmlformats.org/officeDocument/2006/relationships/hyperlink" Target="https://fbref.com/en/country/NZL/New-Zealand-Football" TargetMode="External"/><Relationship Id="rId483" Type="http://schemas.openxmlformats.org/officeDocument/2006/relationships/hyperlink" Target="https://fbref.com/en/squads/4ba7cbea/Bournemouth-Stats" TargetMode="External"/><Relationship Id="rId2163" Type="http://schemas.openxmlformats.org/officeDocument/2006/relationships/hyperlink" Target="https://fbref.com/en/squads/e4a775cb/Nottingham-Forest-Stats" TargetMode="External"/><Relationship Id="rId482" Type="http://schemas.openxmlformats.org/officeDocument/2006/relationships/hyperlink" Target="https://fbref.com/en/country/FRA/France-Football" TargetMode="External"/><Relationship Id="rId2164" Type="http://schemas.openxmlformats.org/officeDocument/2006/relationships/hyperlink" Target="https://fbref.com/en/players/4e9a0555/matchlogs/2025-2026/summary/Chris-Wood-Match-Logs" TargetMode="External"/><Relationship Id="rId481" Type="http://schemas.openxmlformats.org/officeDocument/2006/relationships/hyperlink" Target="https://fbref.com/en/players/1bfb6fef/Bafode-Diakite" TargetMode="External"/><Relationship Id="rId2165" Type="http://schemas.openxmlformats.org/officeDocument/2006/relationships/hyperlink" Target="https://fbref.com/en/players/19e50035/Freddie-Woodman" TargetMode="External"/><Relationship Id="rId488" Type="http://schemas.openxmlformats.org/officeDocument/2006/relationships/hyperlink" Target="https://fbref.com/en/players/9dc96f10/matchlogs/2025-2026/summary/Amad-Diallo-Match-Logs" TargetMode="External"/><Relationship Id="rId2166" Type="http://schemas.openxmlformats.org/officeDocument/2006/relationships/hyperlink" Target="https://fbref.com/en/country/ENG/England-Football" TargetMode="External"/><Relationship Id="rId487" Type="http://schemas.openxmlformats.org/officeDocument/2006/relationships/hyperlink" Target="https://fbref.com/en/squads/19538871/Manchester-United-Stats" TargetMode="External"/><Relationship Id="rId2167" Type="http://schemas.openxmlformats.org/officeDocument/2006/relationships/hyperlink" Target="https://fbref.com/en/squads/822bd0ba/Liverpool-Stats" TargetMode="External"/><Relationship Id="rId486" Type="http://schemas.openxmlformats.org/officeDocument/2006/relationships/hyperlink" Target="https://fbref.com/en/country/CIV/Cote-dIvoire-Football" TargetMode="External"/><Relationship Id="rId2168" Type="http://schemas.openxmlformats.org/officeDocument/2006/relationships/hyperlink" Target="https://fbref.com/en/players/19e50035/matchlogs/2025-2026/summary/Freddie-Woodman-Match-Logs" TargetMode="External"/><Relationship Id="rId485" Type="http://schemas.openxmlformats.org/officeDocument/2006/relationships/hyperlink" Target="https://fbref.com/en/players/9dc96f10/Amad-Diallo" TargetMode="External"/><Relationship Id="rId2169" Type="http://schemas.openxmlformats.org/officeDocument/2006/relationships/hyperlink" Target="https://fbref.com/en/players/a5212312/Joe-Worrall" TargetMode="External"/><Relationship Id="rId2159" Type="http://schemas.openxmlformats.org/officeDocument/2006/relationships/hyperlink" Target="https://fbref.com/en/squads/b2b47a98/Newcastle-United-Stats" TargetMode="External"/><Relationship Id="rId480" Type="http://schemas.openxmlformats.org/officeDocument/2006/relationships/hyperlink" Target="https://fbref.com/en/players/5c74c0f5/matchlogs/2025-2026/summary/Kiernan-Dewsbury-Hall-Match-Logs" TargetMode="External"/><Relationship Id="rId479" Type="http://schemas.openxmlformats.org/officeDocument/2006/relationships/hyperlink" Target="https://fbref.com/en/squads/d3fd31cc/Everton-Stats" TargetMode="External"/><Relationship Id="rId478" Type="http://schemas.openxmlformats.org/officeDocument/2006/relationships/hyperlink" Target="https://fbref.com/en/country/ENG/England-Football" TargetMode="External"/><Relationship Id="rId2150" Type="http://schemas.openxmlformats.org/officeDocument/2006/relationships/hyperlink" Target="https://fbref.com/en/country/GER/Germany-Football" TargetMode="External"/><Relationship Id="rId473" Type="http://schemas.openxmlformats.org/officeDocument/2006/relationships/hyperlink" Target="https://fbref.com/en/players/6c2b66fc/Justin-Devenny" TargetMode="External"/><Relationship Id="rId2151" Type="http://schemas.openxmlformats.org/officeDocument/2006/relationships/hyperlink" Target="https://fbref.com/en/squads/822bd0ba/Liverpool-Stats" TargetMode="External"/><Relationship Id="rId472" Type="http://schemas.openxmlformats.org/officeDocument/2006/relationships/hyperlink" Target="https://fbref.com/en/players/bbfe0e5d/matchlogs/2025-2026/summary/Jesse-Derry-Match-Logs" TargetMode="External"/><Relationship Id="rId2152" Type="http://schemas.openxmlformats.org/officeDocument/2006/relationships/hyperlink" Target="https://fbref.com/en/players/e7fcf289/matchlogs/2025-2026/summary/Florian-Wirtz-Match-Logs" TargetMode="External"/><Relationship Id="rId471" Type="http://schemas.openxmlformats.org/officeDocument/2006/relationships/hyperlink" Target="https://fbref.com/en/squads/cff3d9bb/Chelsea-Stats" TargetMode="External"/><Relationship Id="rId2153" Type="http://schemas.openxmlformats.org/officeDocument/2006/relationships/hyperlink" Target="https://fbref.com/en/players/2500cef9/Yoane-Wissa" TargetMode="External"/><Relationship Id="rId470" Type="http://schemas.openxmlformats.org/officeDocument/2006/relationships/hyperlink" Target="https://fbref.com/en/country/ENG/England-Football" TargetMode="External"/><Relationship Id="rId2154" Type="http://schemas.openxmlformats.org/officeDocument/2006/relationships/hyperlink" Target="https://fbref.com/en/country/COD/Congo-DR-Football" TargetMode="External"/><Relationship Id="rId477" Type="http://schemas.openxmlformats.org/officeDocument/2006/relationships/hyperlink" Target="https://fbref.com/en/players/5c74c0f5/Kiernan-Dewsbury-Hall" TargetMode="External"/><Relationship Id="rId2155" Type="http://schemas.openxmlformats.org/officeDocument/2006/relationships/hyperlink" Target="https://fbref.com/en/squads/b2b47a98/Newcastle-United-Stats" TargetMode="External"/><Relationship Id="rId476" Type="http://schemas.openxmlformats.org/officeDocument/2006/relationships/hyperlink" Target="https://fbref.com/en/players/6c2b66fc/matchlogs/2025-2026/summary/Justin-Devenny-Match-Logs" TargetMode="External"/><Relationship Id="rId2156" Type="http://schemas.openxmlformats.org/officeDocument/2006/relationships/hyperlink" Target="https://fbref.com/en/players/2500cef9/matchlogs/2025-2026/summary/Yoane-Wissa-Match-Logs" TargetMode="External"/><Relationship Id="rId475" Type="http://schemas.openxmlformats.org/officeDocument/2006/relationships/hyperlink" Target="https://fbref.com/en/squads/47c64c55/Crystal-Palace-Stats" TargetMode="External"/><Relationship Id="rId2157" Type="http://schemas.openxmlformats.org/officeDocument/2006/relationships/hyperlink" Target="https://fbref.com/en/players/7ca196eb/Nick-Woltemade" TargetMode="External"/><Relationship Id="rId474" Type="http://schemas.openxmlformats.org/officeDocument/2006/relationships/hyperlink" Target="https://fbref.com/en/country/NIR/Northern-Ireland-Football" TargetMode="External"/><Relationship Id="rId2158" Type="http://schemas.openxmlformats.org/officeDocument/2006/relationships/hyperlink" Target="https://fbref.com/en/country/GER/Germany-Football" TargetMode="External"/><Relationship Id="rId1257" Type="http://schemas.openxmlformats.org/officeDocument/2006/relationships/hyperlink" Target="https://fbref.com/en/players/ee38d9c5/James-Maddison" TargetMode="External"/><Relationship Id="rId2104" Type="http://schemas.openxmlformats.org/officeDocument/2006/relationships/hyperlink" Target="https://fbref.com/en/players/9886c32e/matchlogs/2025-2026/summary/Tom-Watson-Match-Logs" TargetMode="External"/><Relationship Id="rId1258" Type="http://schemas.openxmlformats.org/officeDocument/2006/relationships/hyperlink" Target="https://fbref.com/en/country/ENG/England-Football" TargetMode="External"/><Relationship Id="rId2105" Type="http://schemas.openxmlformats.org/officeDocument/2006/relationships/hyperlink" Target="https://fbref.com/en/players/882228c2/Max-Weiss" TargetMode="External"/><Relationship Id="rId1259" Type="http://schemas.openxmlformats.org/officeDocument/2006/relationships/hyperlink" Target="https://fbref.com/en/squads/361ca564/Tottenham-Hotspur-Stats" TargetMode="External"/><Relationship Id="rId2106" Type="http://schemas.openxmlformats.org/officeDocument/2006/relationships/hyperlink" Target="https://fbref.com/en/country/GER/Germany-Football" TargetMode="External"/><Relationship Id="rId2107" Type="http://schemas.openxmlformats.org/officeDocument/2006/relationships/hyperlink" Target="https://fbref.com/en/squads/943e8050/Burnley-Stats" TargetMode="External"/><Relationship Id="rId2108" Type="http://schemas.openxmlformats.org/officeDocument/2006/relationships/hyperlink" Target="https://fbref.com/en/players/882228c2/matchlogs/2025-2026/summary/Max-Weiss-Match-Logs" TargetMode="External"/><Relationship Id="rId2109" Type="http://schemas.openxmlformats.org/officeDocument/2006/relationships/hyperlink" Target="https://fbref.com/en/players/ce5143da/Danny-Welbeck" TargetMode="External"/><Relationship Id="rId426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ac31d35e/Jair-Cunha" TargetMode="External"/><Relationship Id="rId424" Type="http://schemas.openxmlformats.org/officeDocument/2006/relationships/hyperlink" Target="https://fbref.com/en/players/f6d7d690/matchlogs/2025-2026/summary/Josh-Cullen-Match-Logs" TargetMode="External"/><Relationship Id="rId423" Type="http://schemas.openxmlformats.org/officeDocument/2006/relationships/hyperlink" Target="https://fbref.com/en/squads/943e8050/Burnley-Stats" TargetMode="External"/><Relationship Id="rId429" Type="http://schemas.openxmlformats.org/officeDocument/2006/relationships/hyperlink" Target="https://fbref.com/en/players/dc62b55d/Matheus-Cunha" TargetMode="External"/><Relationship Id="rId428" Type="http://schemas.openxmlformats.org/officeDocument/2006/relationships/hyperlink" Target="https://fbref.com/en/players/ac31d35e/matchlogs/2025-2026/summary/Jair-Cunha-Match-Logs" TargetMode="External"/><Relationship Id="rId427" Type="http://schemas.openxmlformats.org/officeDocument/2006/relationships/hyperlink" Target="https://fbref.com/en/squads/e4a775cb/Nottingham-Forest-Stats" TargetMode="External"/><Relationship Id="rId1250" Type="http://schemas.openxmlformats.org/officeDocument/2006/relationships/hyperlink" Target="https://fbref.com/en/country/NED/Netherlands-Football" TargetMode="External"/><Relationship Id="rId1251" Type="http://schemas.openxmlformats.org/officeDocument/2006/relationships/hyperlink" Target="https://fbref.com/en/squads/8602292d/Aston-Villa-Stats" TargetMode="External"/><Relationship Id="rId1252" Type="http://schemas.openxmlformats.org/officeDocument/2006/relationships/hyperlink" Target="https://fbref.com/en/players/cab9634e/matchlogs/2025-2026/summary/Ian-Maatsen-Match-Logs" TargetMode="External"/><Relationship Id="rId422" Type="http://schemas.openxmlformats.org/officeDocument/2006/relationships/hyperlink" Target="https://fbref.com/en/country/IRL/Republic-of-Ireland-Football" TargetMode="External"/><Relationship Id="rId1253" Type="http://schemas.openxmlformats.org/officeDocument/2006/relationships/hyperlink" Target="https://fbref.com/en/players/83d074ff/Alexis-Mac-Allister" TargetMode="External"/><Relationship Id="rId2100" Type="http://schemas.openxmlformats.org/officeDocument/2006/relationships/hyperlink" Target="https://fbref.com/en/players/aed3a70f/matchlogs/2025-2026/summary/Ollie-Watkins-Match-Logs" TargetMode="External"/><Relationship Id="rId421" Type="http://schemas.openxmlformats.org/officeDocument/2006/relationships/hyperlink" Target="https://fbref.com/en/players/f6d7d690/Josh-Cullen" TargetMode="External"/><Relationship Id="rId1254" Type="http://schemas.openxmlformats.org/officeDocument/2006/relationships/hyperlink" Target="https://fbref.com/en/country/ARG/Argentina-Football" TargetMode="External"/><Relationship Id="rId2101" Type="http://schemas.openxmlformats.org/officeDocument/2006/relationships/hyperlink" Target="https://fbref.com/en/players/9886c32e/Tom-Watson" TargetMode="External"/><Relationship Id="rId420" Type="http://schemas.openxmlformats.org/officeDocument/2006/relationships/hyperlink" Target="https://fbref.com/en/players/0abc51f2/matchlogs/2025-2026/summary/Jorge-Cuenca-Match-Logs" TargetMode="External"/><Relationship Id="rId1255" Type="http://schemas.openxmlformats.org/officeDocument/2006/relationships/hyperlink" Target="https://fbref.com/en/squads/822bd0ba/Liverpool-Stats" TargetMode="External"/><Relationship Id="rId2102" Type="http://schemas.openxmlformats.org/officeDocument/2006/relationships/hyperlink" Target="https://fbref.com/en/country/ENG/England-Football" TargetMode="External"/><Relationship Id="rId1256" Type="http://schemas.openxmlformats.org/officeDocument/2006/relationships/hyperlink" Target="https://fbref.com/en/players/83d074ff/matchlogs/2025-2026/summary/Alexis-Mac-Allister-Match-Logs" TargetMode="External"/><Relationship Id="rId2103" Type="http://schemas.openxmlformats.org/officeDocument/2006/relationships/hyperlink" Target="https://fbref.com/en/squads/d07537b9/Brighton-and-Hove-Albion-Stats" TargetMode="External"/><Relationship Id="rId1246" Type="http://schemas.openxmlformats.org/officeDocument/2006/relationships/hyperlink" Target="https://fbref.com/en/country/SRB/Serbia-Football" TargetMode="External"/><Relationship Id="rId1247" Type="http://schemas.openxmlformats.org/officeDocument/2006/relationships/hyperlink" Target="https://fbref.com/en/squads/fd962109/Fulham-Stats" TargetMode="External"/><Relationship Id="rId1248" Type="http://schemas.openxmlformats.org/officeDocument/2006/relationships/hyperlink" Target="https://fbref.com/en/players/c6e8cf1f/matchlogs/2025-2026/summary/Sasa-Lukic-Match-Logs" TargetMode="External"/><Relationship Id="rId1249" Type="http://schemas.openxmlformats.org/officeDocument/2006/relationships/hyperlink" Target="https://fbref.com/en/players/cab9634e/Ian-Maatsen" TargetMode="External"/><Relationship Id="rId415" Type="http://schemas.openxmlformats.org/officeDocument/2006/relationships/hyperlink" Target="https://fbref.com/en/squads/cff3d9bb/Chelsea-Stats" TargetMode="External"/><Relationship Id="rId899" Type="http://schemas.openxmlformats.org/officeDocument/2006/relationships/hyperlink" Target="https://fbref.com/en/squads/7c21e445/West-Ham-United-Stats" TargetMode="External"/><Relationship Id="rId414" Type="http://schemas.openxmlformats.org/officeDocument/2006/relationships/hyperlink" Target="https://fbref.com/en/country/ESP/Spain-Football" TargetMode="External"/><Relationship Id="rId898" Type="http://schemas.openxmlformats.org/officeDocument/2006/relationships/hyperlink" Target="https://fbref.com/en/country/DEN/Denmark-Football" TargetMode="External"/><Relationship Id="rId413" Type="http://schemas.openxmlformats.org/officeDocument/2006/relationships/hyperlink" Target="https://fbref.com/en/players/1daec722/Marc-Cucurella" TargetMode="External"/><Relationship Id="rId897" Type="http://schemas.openxmlformats.org/officeDocument/2006/relationships/hyperlink" Target="https://fbref.com/en/players/c924b17d/Mads-Hermansen" TargetMode="External"/><Relationship Id="rId412" Type="http://schemas.openxmlformats.org/officeDocument/2006/relationships/hyperlink" Target="https://fbref.com/en/players/22ae86f9/matchlogs/2025-2026/summary/Diego-Coppola-Match-Logs" TargetMode="External"/><Relationship Id="rId896" Type="http://schemas.openxmlformats.org/officeDocument/2006/relationships/hyperlink" Target="https://fbref.com/en/players/8a3c1dc7/matchlogs/2025-2026/summary/Rico-Henry-Match-Logs" TargetMode="External"/><Relationship Id="rId419" Type="http://schemas.openxmlformats.org/officeDocument/2006/relationships/hyperlink" Target="https://fbref.com/en/squads/fd962109/Fulham-Stats" TargetMode="External"/><Relationship Id="rId418" Type="http://schemas.openxmlformats.org/officeDocument/2006/relationships/hyperlink" Target="https://fbref.com/en/country/ESP/Spain-Football" TargetMode="External"/><Relationship Id="rId417" Type="http://schemas.openxmlformats.org/officeDocument/2006/relationships/hyperlink" Target="https://fbref.com/en/players/0abc51f2/Jorge-Cuenca" TargetMode="External"/><Relationship Id="rId416" Type="http://schemas.openxmlformats.org/officeDocument/2006/relationships/hyperlink" Target="https://fbref.com/en/players/1daec722/matchlogs/2025-2026/summary/Marc-Cucurella-Match-Logs" TargetMode="External"/><Relationship Id="rId891" Type="http://schemas.openxmlformats.org/officeDocument/2006/relationships/hyperlink" Target="https://fbref.com/en/squads/cd051869/Brentford-Stats" TargetMode="External"/><Relationship Id="rId890" Type="http://schemas.openxmlformats.org/officeDocument/2006/relationships/hyperlink" Target="https://fbref.com/en/country/ENG/England-Football" TargetMode="External"/><Relationship Id="rId1240" Type="http://schemas.openxmlformats.org/officeDocument/2006/relationships/hyperlink" Target="https://fbref.com/en/players/6f7d826d/matchlogs/2025-2026/summary/Douglas-Luiz-Match-Logs" TargetMode="External"/><Relationship Id="rId1241" Type="http://schemas.openxmlformats.org/officeDocument/2006/relationships/hyperlink" Target="https://fbref.com/en/players/6f7d826d/Douglas-Luiz" TargetMode="External"/><Relationship Id="rId411" Type="http://schemas.openxmlformats.org/officeDocument/2006/relationships/hyperlink" Target="https://fbref.com/en/squads/d07537b9/Brighton-and-Hove-Albion-Stats" TargetMode="External"/><Relationship Id="rId895" Type="http://schemas.openxmlformats.org/officeDocument/2006/relationships/hyperlink" Target="https://fbref.com/en/squads/cd051869/Brentford-Stats" TargetMode="External"/><Relationship Id="rId1242" Type="http://schemas.openxmlformats.org/officeDocument/2006/relationships/hyperlink" Target="https://fbref.com/en/country/BRA/Brazil-Football" TargetMode="External"/><Relationship Id="rId410" Type="http://schemas.openxmlformats.org/officeDocument/2006/relationships/hyperlink" Target="https://fbref.com/en/country/ITA/Italy-Football" TargetMode="External"/><Relationship Id="rId894" Type="http://schemas.openxmlformats.org/officeDocument/2006/relationships/hyperlink" Target="https://fbref.com/en/country/JAM/Jamaica-Football" TargetMode="External"/><Relationship Id="rId1243" Type="http://schemas.openxmlformats.org/officeDocument/2006/relationships/hyperlink" Target="https://fbref.com/en/squads/e4a775cb/Nottingham-Forest-Stats" TargetMode="External"/><Relationship Id="rId893" Type="http://schemas.openxmlformats.org/officeDocument/2006/relationships/hyperlink" Target="https://fbref.com/en/players/8a3c1dc7/Rico-Henry" TargetMode="External"/><Relationship Id="rId1244" Type="http://schemas.openxmlformats.org/officeDocument/2006/relationships/hyperlink" Target="https://fbref.com/en/players/6f7d826d/matchlogs/2025-2026/summary/Douglas-Luiz-Match-Logs" TargetMode="External"/><Relationship Id="rId892" Type="http://schemas.openxmlformats.org/officeDocument/2006/relationships/hyperlink" Target="https://fbref.com/en/players/935e6b8f/matchlogs/2025-2026/summary/Jordan-Henderson-Match-Logs" TargetMode="External"/><Relationship Id="rId1245" Type="http://schemas.openxmlformats.org/officeDocument/2006/relationships/hyperlink" Target="https://fbref.com/en/players/c6e8cf1f/Sasa-Lukic" TargetMode="External"/><Relationship Id="rId1279" Type="http://schemas.openxmlformats.org/officeDocument/2006/relationships/hyperlink" Target="https://fbref.com/en/squads/19538871/Manchester-United-Stats" TargetMode="External"/><Relationship Id="rId2126" Type="http://schemas.openxmlformats.org/officeDocument/2006/relationships/hyperlink" Target="https://fbref.com/en/country/WAL/Wales-Football" TargetMode="External"/><Relationship Id="rId2127" Type="http://schemas.openxmlformats.org/officeDocument/2006/relationships/hyperlink" Target="https://fbref.com/en/squads/e4a775cb/Nottingham-Forest-Stats" TargetMode="External"/><Relationship Id="rId2128" Type="http://schemas.openxmlformats.org/officeDocument/2006/relationships/hyperlink" Target="https://fbref.com/en/players/dd323728/matchlogs/2025-2026/summary/Neco-Williams-Match-Logs" TargetMode="External"/><Relationship Id="rId2129" Type="http://schemas.openxmlformats.org/officeDocument/2006/relationships/hyperlink" Target="https://fbref.com/en/players/2eda11b1/Estevao-Willian" TargetMode="External"/><Relationship Id="rId448" Type="http://schemas.openxmlformats.org/officeDocument/2006/relationships/hyperlink" Target="https://fbref.com/en/players/cde3309f/matchlogs/2025-2026/summary/Karl-Darlow-Match-Logs" TargetMode="External"/><Relationship Id="rId447" Type="http://schemas.openxmlformats.org/officeDocument/2006/relationships/hyperlink" Target="https://fbref.com/en/squads/5bfb9659/Leeds-United-Stats" TargetMode="External"/><Relationship Id="rId446" Type="http://schemas.openxmlformats.org/officeDocument/2006/relationships/hyperlink" Target="https://fbref.com/en/country/WAL/Wales-Football" TargetMode="External"/><Relationship Id="rId445" Type="http://schemas.openxmlformats.org/officeDocument/2006/relationships/hyperlink" Target="https://fbref.com/en/players/cde3309f/Karl-Darlow" TargetMode="External"/><Relationship Id="rId449" Type="http://schemas.openxmlformats.org/officeDocument/2006/relationships/hyperlink" Target="https://fbref.com/en/players/60344e4f/Josh-Dasilva" TargetMode="External"/><Relationship Id="rId1270" Type="http://schemas.openxmlformats.org/officeDocument/2006/relationships/hyperlink" Target="https://fbref.com/en/country/FRA/France-Football" TargetMode="External"/><Relationship Id="rId440" Type="http://schemas.openxmlformats.org/officeDocument/2006/relationships/hyperlink" Target="https://fbref.com/en/players/215f3907/matchlogs/2025-2026/summary/Mikkel-Damsgaard-Match-Logs" TargetMode="External"/><Relationship Id="rId1271" Type="http://schemas.openxmlformats.org/officeDocument/2006/relationships/hyperlink" Target="https://fbref.com/en/squads/7c21e445/West-Ham-United-Stats" TargetMode="External"/><Relationship Id="rId1272" Type="http://schemas.openxmlformats.org/officeDocument/2006/relationships/hyperlink" Target="https://fbref.com/en/players/dfc5d4fa/matchlogs/2025-2026/summary/Soungoutou-Magassa-Match-Logs" TargetMode="External"/><Relationship Id="rId1273" Type="http://schemas.openxmlformats.org/officeDocument/2006/relationships/hyperlink" Target="https://fbref.com/en/players/d8931174/Harry-Maguire" TargetMode="External"/><Relationship Id="rId2120" Type="http://schemas.openxmlformats.org/officeDocument/2006/relationships/hyperlink" Target="https://fbref.com/en/players/35e413f1/matchlogs/2025-2026/summary/Ben-White-Match-Logs" TargetMode="External"/><Relationship Id="rId1274" Type="http://schemas.openxmlformats.org/officeDocument/2006/relationships/hyperlink" Target="https://fbref.com/en/country/ENG/England-Football" TargetMode="External"/><Relationship Id="rId2121" Type="http://schemas.openxmlformats.org/officeDocument/2006/relationships/hyperlink" Target="https://fbref.com/en/players/4876c9ab/Mats-Wieffer" TargetMode="External"/><Relationship Id="rId444" Type="http://schemas.openxmlformats.org/officeDocument/2006/relationships/hyperlink" Target="https://fbref.com/en/players/6e33125f/matchlogs/2025-2026/summary/Kevin-Danso-Match-Logs" TargetMode="External"/><Relationship Id="rId1275" Type="http://schemas.openxmlformats.org/officeDocument/2006/relationships/hyperlink" Target="https://fbref.com/en/squads/19538871/Manchester-United-Stats" TargetMode="External"/><Relationship Id="rId2122" Type="http://schemas.openxmlformats.org/officeDocument/2006/relationships/hyperlink" Target="https://fbref.com/en/country/NED/Netherlands-Football" TargetMode="External"/><Relationship Id="rId443" Type="http://schemas.openxmlformats.org/officeDocument/2006/relationships/hyperlink" Target="https://fbref.com/en/squads/361ca564/Tottenham-Hotspur-Stats" TargetMode="External"/><Relationship Id="rId1276" Type="http://schemas.openxmlformats.org/officeDocument/2006/relationships/hyperlink" Target="https://fbref.com/en/players/d8931174/matchlogs/2025-2026/summary/Harry-Maguire-Match-Logs" TargetMode="External"/><Relationship Id="rId2123" Type="http://schemas.openxmlformats.org/officeDocument/2006/relationships/hyperlink" Target="https://fbref.com/en/squads/d07537b9/Brighton-and-Hove-Albion-Stats" TargetMode="External"/><Relationship Id="rId442" Type="http://schemas.openxmlformats.org/officeDocument/2006/relationships/hyperlink" Target="https://fbref.com/en/country/AUT/Austria-Football" TargetMode="External"/><Relationship Id="rId1277" Type="http://schemas.openxmlformats.org/officeDocument/2006/relationships/hyperlink" Target="https://fbref.com/en/players/c6220452/Kobbie-Mainoo" TargetMode="External"/><Relationship Id="rId2124" Type="http://schemas.openxmlformats.org/officeDocument/2006/relationships/hyperlink" Target="https://fbref.com/en/players/4876c9ab/matchlogs/2025-2026/summary/Mats-Wieffer-Match-Logs" TargetMode="External"/><Relationship Id="rId441" Type="http://schemas.openxmlformats.org/officeDocument/2006/relationships/hyperlink" Target="https://fbref.com/en/players/6e33125f/Kevin-Danso" TargetMode="External"/><Relationship Id="rId1278" Type="http://schemas.openxmlformats.org/officeDocument/2006/relationships/hyperlink" Target="https://fbref.com/en/country/ENG/England-Football" TargetMode="External"/><Relationship Id="rId2125" Type="http://schemas.openxmlformats.org/officeDocument/2006/relationships/hyperlink" Target="https://fbref.com/en/players/dd323728/Neco-Williams" TargetMode="External"/><Relationship Id="rId1268" Type="http://schemas.openxmlformats.org/officeDocument/2006/relationships/hyperlink" Target="https://fbref.com/en/players/67ac5bb8/matchlogs/2025-2026/summary/Gabriel-Magalhaes-Match-Logs" TargetMode="External"/><Relationship Id="rId2115" Type="http://schemas.openxmlformats.org/officeDocument/2006/relationships/hyperlink" Target="https://fbref.com/en/squads/47c64c55/Crystal-Palace-Stats" TargetMode="External"/><Relationship Id="rId1269" Type="http://schemas.openxmlformats.org/officeDocument/2006/relationships/hyperlink" Target="https://fbref.com/en/players/dfc5d4fa/Soungoutou-Magassa" TargetMode="External"/><Relationship Id="rId2116" Type="http://schemas.openxmlformats.org/officeDocument/2006/relationships/hyperlink" Target="https://fbref.com/en/players/4b542852/matchlogs/2025-2026/summary/Adam-Wharton-Match-Logs" TargetMode="External"/><Relationship Id="rId2117" Type="http://schemas.openxmlformats.org/officeDocument/2006/relationships/hyperlink" Target="https://fbref.com/en/players/35e413f1/Ben-White" TargetMode="External"/><Relationship Id="rId2118" Type="http://schemas.openxmlformats.org/officeDocument/2006/relationships/hyperlink" Target="https://fbref.com/en/country/ENG/England-Football" TargetMode="External"/><Relationship Id="rId2119" Type="http://schemas.openxmlformats.org/officeDocument/2006/relationships/hyperlink" Target="https://fbref.com/en/squads/18bb7c10/Arsenal-Stats" TargetMode="External"/><Relationship Id="rId437" Type="http://schemas.openxmlformats.org/officeDocument/2006/relationships/hyperlink" Target="https://fbref.com/en/players/215f3907/Mikkel-Damsgaard" TargetMode="External"/><Relationship Id="rId436" Type="http://schemas.openxmlformats.org/officeDocument/2006/relationships/hyperlink" Target="https://fbref.com/en/players/d9565625/matchlogs/2025-2026/summary/Diogo-Dalot-Match-Logs" TargetMode="External"/><Relationship Id="rId435" Type="http://schemas.openxmlformats.org/officeDocument/2006/relationships/hyperlink" Target="https://fbref.com/en/squads/19538871/Manchester-United-Stats" TargetMode="External"/><Relationship Id="rId434" Type="http://schemas.openxmlformats.org/officeDocument/2006/relationships/hyperlink" Target="https://fbref.com/en/country/POR/Portugal-Football" TargetMode="External"/><Relationship Id="rId439" Type="http://schemas.openxmlformats.org/officeDocument/2006/relationships/hyperlink" Target="https://fbref.com/en/squads/cd051869/Brentford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ee38d9c5/matchlogs/2025-2026/summary/James-Maddison-Match-Logs" TargetMode="External"/><Relationship Id="rId1261" Type="http://schemas.openxmlformats.org/officeDocument/2006/relationships/hyperlink" Target="https://fbref.com/en/players/bf34eebd/Noni-Madueke" TargetMode="External"/><Relationship Id="rId1262" Type="http://schemas.openxmlformats.org/officeDocument/2006/relationships/hyperlink" Target="https://fbref.com/en/country/ENG/England-Football" TargetMode="External"/><Relationship Id="rId1263" Type="http://schemas.openxmlformats.org/officeDocument/2006/relationships/hyperlink" Target="https://fbref.com/en/squads/18bb7c10/Arsenal-Stats" TargetMode="External"/><Relationship Id="rId2110" Type="http://schemas.openxmlformats.org/officeDocument/2006/relationships/hyperlink" Target="https://fbref.com/en/country/ENG/England-Football" TargetMode="External"/><Relationship Id="rId433" Type="http://schemas.openxmlformats.org/officeDocument/2006/relationships/hyperlink" Target="https://fbref.com/en/players/d9565625/Diogo-Dalot" TargetMode="External"/><Relationship Id="rId1264" Type="http://schemas.openxmlformats.org/officeDocument/2006/relationships/hyperlink" Target="https://fbref.com/en/players/bf34eebd/matchlogs/2025-2026/summary/Noni-Madueke-Match-Logs" TargetMode="External"/><Relationship Id="rId2111" Type="http://schemas.openxmlformats.org/officeDocument/2006/relationships/hyperlink" Target="https://fbref.com/en/squads/d07537b9/Brighton-and-Hove-Albion-Stats" TargetMode="External"/><Relationship Id="rId432" Type="http://schemas.openxmlformats.org/officeDocument/2006/relationships/hyperlink" Target="https://fbref.com/en/players/dc62b55d/matchlogs/2025-2026/summary/Matheus-Cunha-Match-Logs" TargetMode="External"/><Relationship Id="rId1265" Type="http://schemas.openxmlformats.org/officeDocument/2006/relationships/hyperlink" Target="https://fbref.com/en/players/67ac5bb8/Gabriel-Magalhaes" TargetMode="External"/><Relationship Id="rId2112" Type="http://schemas.openxmlformats.org/officeDocument/2006/relationships/hyperlink" Target="https://fbref.com/en/players/ce5143da/matchlogs/2025-2026/summary/Danny-Welbeck-Match-Logs" TargetMode="External"/><Relationship Id="rId431" Type="http://schemas.openxmlformats.org/officeDocument/2006/relationships/hyperlink" Target="https://fbref.com/en/squads/19538871/Manchester-United-Stats" TargetMode="External"/><Relationship Id="rId1266" Type="http://schemas.openxmlformats.org/officeDocument/2006/relationships/hyperlink" Target="https://fbref.com/en/country/BRA/Brazil-Football" TargetMode="External"/><Relationship Id="rId2113" Type="http://schemas.openxmlformats.org/officeDocument/2006/relationships/hyperlink" Target="https://fbref.com/en/players/4b542852/Adam-Wharton" TargetMode="External"/><Relationship Id="rId430" Type="http://schemas.openxmlformats.org/officeDocument/2006/relationships/hyperlink" Target="https://fbref.com/en/country/BRA/Brazil-Football" TargetMode="External"/><Relationship Id="rId1267" Type="http://schemas.openxmlformats.org/officeDocument/2006/relationships/hyperlink" Target="https://fbref.com/en/squads/18bb7c10/Arsenal-Stats" TargetMode="External"/><Relationship Id="rId2114" Type="http://schemas.openxmlformats.org/officeDocument/2006/relationships/hyperlink" Target="https://fbref.com/en/country/ENG/England-Football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0442183b/matchlogs/2025-2026/misc/Nathaniel-Clyne-Match-Logs" TargetMode="External"/><Relationship Id="rId391" Type="http://schemas.openxmlformats.org/officeDocument/2006/relationships/hyperlink" Target="https://fbref.com/en/squads/47c64c55/Crystal-Palace-Stats" TargetMode="External"/><Relationship Id="rId390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players/5bc43860/Brenden-Aaronson" TargetMode="External"/><Relationship Id="rId2" Type="http://schemas.openxmlformats.org/officeDocument/2006/relationships/hyperlink" Target="https://fbref.com/en/country/USA/United-States-Football" TargetMode="External"/><Relationship Id="rId3" Type="http://schemas.openxmlformats.org/officeDocument/2006/relationships/hyperlink" Target="https://fbref.com/en/squads/5bfb9659/Leeds-United-Stats" TargetMode="External"/><Relationship Id="rId4" Type="http://schemas.openxmlformats.org/officeDocument/2006/relationships/hyperlink" Target="https://fbref.com/en/players/5bc43860/matchlogs/2025-2026/misc/Brenden-Aaronson-Match-Logs" TargetMode="External"/><Relationship Id="rId2180" Type="http://schemas.openxmlformats.org/officeDocument/2006/relationships/hyperlink" Target="https://fbref.com/en/players/907a5d7c/matchlogs/2025-2026/misc/Yehor-Yarmoliuk-Match-Logs" TargetMode="External"/><Relationship Id="rId2181" Type="http://schemas.openxmlformats.org/officeDocument/2006/relationships/hyperlink" Target="https://fbref.com/en/players/c1fe2a48/Ryan-Yates" TargetMode="External"/><Relationship Id="rId2182" Type="http://schemas.openxmlformats.org/officeDocument/2006/relationships/hyperlink" Target="https://fbref.com/en/country/ENG/England-Football" TargetMode="External"/><Relationship Id="rId2183" Type="http://schemas.openxmlformats.org/officeDocument/2006/relationships/hyperlink" Target="https://fbref.com/en/squads/e4a775cb/Nottingham-Forest-Stats" TargetMode="External"/><Relationship Id="rId9" Type="http://schemas.openxmlformats.org/officeDocument/2006/relationships/hyperlink" Target="https://fbref.com/en/players/c103921a/Zach-Abbott" TargetMode="External"/><Relationship Id="rId385" Type="http://schemas.openxmlformats.org/officeDocument/2006/relationships/hyperlink" Target="https://fbref.com/en/players/307ea3b6/Dennis-Cirkin" TargetMode="External"/><Relationship Id="rId2184" Type="http://schemas.openxmlformats.org/officeDocument/2006/relationships/hyperlink" Target="https://fbref.com/en/players/c1fe2a48/matchlogs/2025-2026/misc/Ryan-Yates-Match-Logs" TargetMode="External"/><Relationship Id="rId384" Type="http://schemas.openxmlformats.org/officeDocument/2006/relationships/hyperlink" Target="https://fbref.com/en/players/b8a642fc/matchlogs/2025-2026/misc/Samuel-Chukwueze-Match-Logs" TargetMode="External"/><Relationship Id="rId2185" Type="http://schemas.openxmlformats.org/officeDocument/2006/relationships/hyperlink" Target="https://fbref.com/en/players/6763f716/Leny-Yoro" TargetMode="External"/><Relationship Id="rId383" Type="http://schemas.openxmlformats.org/officeDocument/2006/relationships/hyperlink" Target="https://fbref.com/en/squads/fd962109/Fulham-Stats" TargetMode="External"/><Relationship Id="rId2186" Type="http://schemas.openxmlformats.org/officeDocument/2006/relationships/hyperlink" Target="https://fbref.com/en/country/FRA/France-Football" TargetMode="External"/><Relationship Id="rId382" Type="http://schemas.openxmlformats.org/officeDocument/2006/relationships/hyperlink" Target="https://fbref.com/en/country/NGA/Nigeria-Football" TargetMode="External"/><Relationship Id="rId2187" Type="http://schemas.openxmlformats.org/officeDocument/2006/relationships/hyperlink" Target="https://fbref.com/en/squads/19538871/Manchester-United-Stats" TargetMode="External"/><Relationship Id="rId5" Type="http://schemas.openxmlformats.org/officeDocument/2006/relationships/hyperlink" Target="https://fbref.com/en/players/4f504fcc/Jerome-Abbey" TargetMode="External"/><Relationship Id="rId389" Type="http://schemas.openxmlformats.org/officeDocument/2006/relationships/hyperlink" Target="https://fbref.com/en/players/0442183b/Nathaniel-Clyne" TargetMode="External"/><Relationship Id="rId2188" Type="http://schemas.openxmlformats.org/officeDocument/2006/relationships/hyperlink" Target="https://fbref.com/en/players/6763f716/matchlogs/2025-2026/misc/Leny-Yoro-Match-Logs" TargetMode="External"/><Relationship Id="rId6" Type="http://schemas.openxmlformats.org/officeDocument/2006/relationships/hyperlink" Target="https://fbref.com/en/country/ENG/England-Football" TargetMode="External"/><Relationship Id="rId388" Type="http://schemas.openxmlformats.org/officeDocument/2006/relationships/hyperlink" Target="https://fbref.com/en/players/307ea3b6/matchlogs/2025-2026/misc/Dennis-Cirkin-Match-Logs" TargetMode="External"/><Relationship Id="rId2189" Type="http://schemas.openxmlformats.org/officeDocument/2006/relationships/hyperlink" Target="https://fbref.com/en/players/51cf8561/Oleksandr-Zinchenko" TargetMode="External"/><Relationship Id="rId7" Type="http://schemas.openxmlformats.org/officeDocument/2006/relationships/hyperlink" Target="https://fbref.com/en/squads/8cec06e1/Wolverhampton-Wanderers-Stats" TargetMode="External"/><Relationship Id="rId387" Type="http://schemas.openxmlformats.org/officeDocument/2006/relationships/hyperlink" Target="https://fbref.com/en/squads/8ef52968/Sunderland-Stats" TargetMode="External"/><Relationship Id="rId8" Type="http://schemas.openxmlformats.org/officeDocument/2006/relationships/hyperlink" Target="https://fbref.com/en/players/4f504fcc/matchlogs/2025-2026/misc/Jerome-Abbey-Match-Logs" TargetMode="External"/><Relationship Id="rId386" Type="http://schemas.openxmlformats.org/officeDocument/2006/relationships/hyperlink" Target="https://fbref.com/en/country/LVA/Latvia-Football" TargetMode="External"/><Relationship Id="rId381" Type="http://schemas.openxmlformats.org/officeDocument/2006/relationships/hyperlink" Target="https://fbref.com/en/players/b8a642fc/Samuel-Chukwueze" TargetMode="External"/><Relationship Id="rId380" Type="http://schemas.openxmlformats.org/officeDocument/2006/relationships/hyperlink" Target="https://fbref.com/en/players/26ce2263/matchlogs/2025-2026/misc/Ryan-Christie-Match-Logs" TargetMode="External"/><Relationship Id="rId379" Type="http://schemas.openxmlformats.org/officeDocument/2006/relationships/hyperlink" Target="https://fbref.com/en/squads/4ba7cbea/Bournemouth-Stats" TargetMode="External"/><Relationship Id="rId2170" Type="http://schemas.openxmlformats.org/officeDocument/2006/relationships/hyperlink" Target="https://fbref.com/en/country/ENG/England-Football" TargetMode="External"/><Relationship Id="rId2171" Type="http://schemas.openxmlformats.org/officeDocument/2006/relationships/hyperlink" Target="https://fbref.com/en/squads/943e8050/Burnley-Stats" TargetMode="External"/><Relationship Id="rId2172" Type="http://schemas.openxmlformats.org/officeDocument/2006/relationships/hyperlink" Target="https://fbref.com/en/players/a5212312/matchlogs/2025-2026/misc/Joe-Worrall-Match-Logs" TargetMode="External"/><Relationship Id="rId374" Type="http://schemas.openxmlformats.org/officeDocument/2006/relationships/hyperlink" Target="https://fbref.com/en/country/ZIM/Zimbabwe-Football" TargetMode="External"/><Relationship Id="rId2173" Type="http://schemas.openxmlformats.org/officeDocument/2006/relationships/hyperlink" Target="https://fbref.com/en/players/e61b8aee/Granit-Xhaka" TargetMode="External"/><Relationship Id="rId373" Type="http://schemas.openxmlformats.org/officeDocument/2006/relationships/hyperlink" Target="https://fbref.com/en/players/34721c11/Tawanda-Chirewa" TargetMode="External"/><Relationship Id="rId2174" Type="http://schemas.openxmlformats.org/officeDocument/2006/relationships/hyperlink" Target="https://fbref.com/en/country/SUI/Switzerland-Football" TargetMode="External"/><Relationship Id="rId372" Type="http://schemas.openxmlformats.org/officeDocument/2006/relationships/hyperlink" Target="https://fbref.com/en/players/b0f7e36c/matchlogs/2025-2026/misc/Federico-Chiesa-Match-Logs" TargetMode="External"/><Relationship Id="rId2175" Type="http://schemas.openxmlformats.org/officeDocument/2006/relationships/hyperlink" Target="https://fbref.com/en/squads/8ef52968/Sunderland-Stats" TargetMode="External"/><Relationship Id="rId371" Type="http://schemas.openxmlformats.org/officeDocument/2006/relationships/hyperlink" Target="https://fbref.com/en/squads/822bd0ba/Liverpool-Stats" TargetMode="External"/><Relationship Id="rId2176" Type="http://schemas.openxmlformats.org/officeDocument/2006/relationships/hyperlink" Target="https://fbref.com/en/players/e61b8aee/matchlogs/2025-2026/misc/Granit-Xhaka-Match-Logs" TargetMode="External"/><Relationship Id="rId378" Type="http://schemas.openxmlformats.org/officeDocument/2006/relationships/hyperlink" Target="https://fbref.com/en/country/SCO/Scotland-Football" TargetMode="External"/><Relationship Id="rId2177" Type="http://schemas.openxmlformats.org/officeDocument/2006/relationships/hyperlink" Target="https://fbref.com/en/players/907a5d7c/Yehor-Yarmoliuk" TargetMode="External"/><Relationship Id="rId377" Type="http://schemas.openxmlformats.org/officeDocument/2006/relationships/hyperlink" Target="https://fbref.com/en/players/26ce2263/Ryan-Christie" TargetMode="External"/><Relationship Id="rId2178" Type="http://schemas.openxmlformats.org/officeDocument/2006/relationships/hyperlink" Target="https://fbref.com/en/country/UKR/Ukraine-Football" TargetMode="External"/><Relationship Id="rId376" Type="http://schemas.openxmlformats.org/officeDocument/2006/relationships/hyperlink" Target="https://fbref.com/en/players/34721c11/matchlogs/2025-2026/misc/Tawanda-Chirewa-Match-Logs" TargetMode="External"/><Relationship Id="rId2179" Type="http://schemas.openxmlformats.org/officeDocument/2006/relationships/hyperlink" Target="https://fbref.com/en/squads/cd051869/Brentford-Stats" TargetMode="External"/><Relationship Id="rId375" Type="http://schemas.openxmlformats.org/officeDocument/2006/relationships/hyperlink" Target="https://fbref.com/en/squads/8cec06e1/Wolverhampton-Wanderers-Stats" TargetMode="External"/><Relationship Id="rId2190" Type="http://schemas.openxmlformats.org/officeDocument/2006/relationships/hyperlink" Target="https://fbref.com/en/country/UKR/Ukraine-Football" TargetMode="External"/><Relationship Id="rId2191" Type="http://schemas.openxmlformats.org/officeDocument/2006/relationships/hyperlink" Target="https://fbref.com/en/squads/e4a775cb/Nottingham-Forest-Stats" TargetMode="External"/><Relationship Id="rId2192" Type="http://schemas.openxmlformats.org/officeDocument/2006/relationships/hyperlink" Target="https://fbref.com/en/players/51cf8561/matchlogs/2025-2026/misc/Oleksandr-Zinchenko-Match-Logs" TargetMode="External"/><Relationship Id="rId2193" Type="http://schemas.openxmlformats.org/officeDocument/2006/relationships/hyperlink" Target="https://fbref.com/en/players/028e70b9/Joshua-Zirkzee" TargetMode="External"/><Relationship Id="rId2194" Type="http://schemas.openxmlformats.org/officeDocument/2006/relationships/hyperlink" Target="https://fbref.com/en/country/NED/Netherlands-Football" TargetMode="External"/><Relationship Id="rId396" Type="http://schemas.openxmlformats.org/officeDocument/2006/relationships/hyperlink" Target="https://fbref.com/en/players/0420d84f/matchlogs/2025-2026/misc/Seamus-Coleman-Match-Logs" TargetMode="External"/><Relationship Id="rId2195" Type="http://schemas.openxmlformats.org/officeDocument/2006/relationships/hyperlink" Target="https://fbref.com/en/squads/19538871/Manchester-United-Stats" TargetMode="External"/><Relationship Id="rId395" Type="http://schemas.openxmlformats.org/officeDocument/2006/relationships/hyperlink" Target="https://fbref.com/en/squads/d3fd31cc/Everton-Stats" TargetMode="External"/><Relationship Id="rId2196" Type="http://schemas.openxmlformats.org/officeDocument/2006/relationships/hyperlink" Target="https://fbref.com/en/players/028e70b9/matchlogs/2025-2026/misc/Joshua-Zirkzee-Match-Logs" TargetMode="External"/><Relationship Id="rId394" Type="http://schemas.openxmlformats.org/officeDocument/2006/relationships/hyperlink" Target="https://fbref.com/en/country/IRL/Republic-of-Ireland-Football" TargetMode="External"/><Relationship Id="rId2197" Type="http://schemas.openxmlformats.org/officeDocument/2006/relationships/hyperlink" Target="https://fbref.com/en/players/3ee0dd59/Martin-Zubimendi" TargetMode="External"/><Relationship Id="rId393" Type="http://schemas.openxmlformats.org/officeDocument/2006/relationships/hyperlink" Target="https://fbref.com/en/players/0420d84f/Seamus-Coleman" TargetMode="External"/><Relationship Id="rId2198" Type="http://schemas.openxmlformats.org/officeDocument/2006/relationships/hyperlink" Target="https://fbref.com/en/country/ESP/Spain-Football" TargetMode="External"/><Relationship Id="rId2199" Type="http://schemas.openxmlformats.org/officeDocument/2006/relationships/hyperlink" Target="https://fbref.com/en/squads/18bb7c10/Arsenal-Stats" TargetMode="External"/><Relationship Id="rId399" Type="http://schemas.openxmlformats.org/officeDocument/2006/relationships/hyperlink" Target="https://fbref.com/en/squads/cd051869/Brentford-Stats" TargetMode="External"/><Relationship Id="rId398" Type="http://schemas.openxmlformats.org/officeDocument/2006/relationships/hyperlink" Target="https://fbref.com/en/country/IRL/Republic-of-Ireland-Football" TargetMode="External"/><Relationship Id="rId397" Type="http://schemas.openxmlformats.org/officeDocument/2006/relationships/hyperlink" Target="https://fbref.com/en/players/a8c19eb8/Nathan-Collins" TargetMode="External"/><Relationship Id="rId1730" Type="http://schemas.openxmlformats.org/officeDocument/2006/relationships/hyperlink" Target="https://fbref.com/en/country/GER/Germany-Football" TargetMode="External"/><Relationship Id="rId1731" Type="http://schemas.openxmlformats.org/officeDocument/2006/relationships/hyperlink" Target="https://fbref.com/en/squads/d3fd31cc/Everton-Stats" TargetMode="External"/><Relationship Id="rId1732" Type="http://schemas.openxmlformats.org/officeDocument/2006/relationships/hyperlink" Target="https://fbref.com/en/players/1f2c7b55/matchlogs/2025-2026/misc/Merlin-Rohl-Match-Logs" TargetMode="External"/><Relationship Id="rId1733" Type="http://schemas.openxmlformats.org/officeDocument/2006/relationships/hyperlink" Target="https://fbref.com/en/players/a3d94a58/Cristian-Romero" TargetMode="External"/><Relationship Id="rId1734" Type="http://schemas.openxmlformats.org/officeDocument/2006/relationships/hyperlink" Target="https://fbref.com/en/country/ARG/Argentina-Football" TargetMode="External"/><Relationship Id="rId1735" Type="http://schemas.openxmlformats.org/officeDocument/2006/relationships/hyperlink" Target="https://fbref.com/en/squads/361ca564/Tottenham-Hotspur-Stats" TargetMode="External"/><Relationship Id="rId1736" Type="http://schemas.openxmlformats.org/officeDocument/2006/relationships/hyperlink" Target="https://fbref.com/en/players/a3d94a58/matchlogs/2025-2026/misc/Cristian-Romero-Match-Logs" TargetMode="External"/><Relationship Id="rId1737" Type="http://schemas.openxmlformats.org/officeDocument/2006/relationships/hyperlink" Target="https://fbref.com/en/players/419147f7/James-Rowswell" TargetMode="External"/><Relationship Id="rId1738" Type="http://schemas.openxmlformats.org/officeDocument/2006/relationships/hyperlink" Target="https://fbref.com/en/country/ENG/England-Football" TargetMode="External"/><Relationship Id="rId1739" Type="http://schemas.openxmlformats.org/officeDocument/2006/relationships/hyperlink" Target="https://fbref.com/en/squads/361ca564/Tottenham-Hotspur-Stats" TargetMode="External"/><Relationship Id="rId1720" Type="http://schemas.openxmlformats.org/officeDocument/2006/relationships/hyperlink" Target="https://fbref.com/en/players/34e393f2/matchlogs/2025-2026/misc/Guido-Rodriguez-Match-Logs" TargetMode="External"/><Relationship Id="rId1721" Type="http://schemas.openxmlformats.org/officeDocument/2006/relationships/hyperlink" Target="https://fbref.com/en/players/349fa918/Robin-Roefs" TargetMode="External"/><Relationship Id="rId1722" Type="http://schemas.openxmlformats.org/officeDocument/2006/relationships/hyperlink" Target="https://fbref.com/en/country/NED/Netherlands-Football" TargetMode="External"/><Relationship Id="rId1723" Type="http://schemas.openxmlformats.org/officeDocument/2006/relationships/hyperlink" Target="https://fbref.com/en/squads/8ef52968/Sunderland-Stats" TargetMode="External"/><Relationship Id="rId1724" Type="http://schemas.openxmlformats.org/officeDocument/2006/relationships/hyperlink" Target="https://fbref.com/en/players/349fa918/matchlogs/2025-2026/misc/Robin-Roefs-Match-Logs" TargetMode="External"/><Relationship Id="rId1725" Type="http://schemas.openxmlformats.org/officeDocument/2006/relationships/hyperlink" Target="https://fbref.com/en/players/2e5915f1/Morgan-Rogers" TargetMode="External"/><Relationship Id="rId1726" Type="http://schemas.openxmlformats.org/officeDocument/2006/relationships/hyperlink" Target="https://fbref.com/en/country/ENG/England-Football" TargetMode="External"/><Relationship Id="rId1727" Type="http://schemas.openxmlformats.org/officeDocument/2006/relationships/hyperlink" Target="https://fbref.com/en/squads/8602292d/Aston-Villa-Stats" TargetMode="External"/><Relationship Id="rId1728" Type="http://schemas.openxmlformats.org/officeDocument/2006/relationships/hyperlink" Target="https://fbref.com/en/players/2e5915f1/matchlogs/2025-2026/misc/Morgan-Rogers-Match-Logs" TargetMode="External"/><Relationship Id="rId1729" Type="http://schemas.openxmlformats.org/officeDocument/2006/relationships/hyperlink" Target="https://fbref.com/en/players/1f2c7b55/Merlin-Rohl" TargetMode="External"/><Relationship Id="rId1752" Type="http://schemas.openxmlformats.org/officeDocument/2006/relationships/hyperlink" Target="https://fbref.com/en/players/645481cc/matchlogs/2025-2026/misc/Noah-Sadiki-Match-Logs" TargetMode="External"/><Relationship Id="rId1753" Type="http://schemas.openxmlformats.org/officeDocument/2006/relationships/hyperlink" Target="https://fbref.com/en/players/bc7dc64d/Bukayo-Saka" TargetMode="External"/><Relationship Id="rId1754" Type="http://schemas.openxmlformats.org/officeDocument/2006/relationships/hyperlink" Target="https://fbref.com/en/country/ENG/England-Football" TargetMode="External"/><Relationship Id="rId1755" Type="http://schemas.openxmlformats.org/officeDocument/2006/relationships/hyperlink" Target="https://fbref.com/en/squads/18bb7c10/Arsenal-Stats" TargetMode="External"/><Relationship Id="rId1756" Type="http://schemas.openxmlformats.org/officeDocument/2006/relationships/hyperlink" Target="https://fbref.com/en/players/bc7dc64d/matchlogs/2025-2026/misc/Bukayo-Saka-Match-Logs" TargetMode="External"/><Relationship Id="rId1757" Type="http://schemas.openxmlformats.org/officeDocument/2006/relationships/hyperlink" Target="https://fbref.com/en/players/e342ad68/Mohamed-Salah" TargetMode="External"/><Relationship Id="rId1758" Type="http://schemas.openxmlformats.org/officeDocument/2006/relationships/hyperlink" Target="https://fbref.com/en/country/EGY/Egypt-Football" TargetMode="External"/><Relationship Id="rId1759" Type="http://schemas.openxmlformats.org/officeDocument/2006/relationships/hyperlink" Target="https://fbref.com/en/squads/822bd0ba/Liverpool-Stats" TargetMode="External"/><Relationship Id="rId808" Type="http://schemas.openxmlformats.org/officeDocument/2006/relationships/hyperlink" Target="https://fbref.com/en/players/b73f17f8/matchlogs/2025-2026/misc/Evann-Guessand-Match-Logs" TargetMode="External"/><Relationship Id="rId807" Type="http://schemas.openxmlformats.org/officeDocument/2006/relationships/hyperlink" Target="https://fbref.com/en/squads/47c64c55/Crystal-Palace-Stats" TargetMode="External"/><Relationship Id="rId806" Type="http://schemas.openxmlformats.org/officeDocument/2006/relationships/hyperlink" Target="https://fbref.com/en/country/CIV/Cote-dIvoire-Football" TargetMode="External"/><Relationship Id="rId805" Type="http://schemas.openxmlformats.org/officeDocument/2006/relationships/hyperlink" Target="https://fbref.com/en/players/b73f17f8/Evann-Guessand" TargetMode="External"/><Relationship Id="rId809" Type="http://schemas.openxmlformats.org/officeDocument/2006/relationships/hyperlink" Target="https://fbref.com/en/players/b73f17f8/Evann-Guessand" TargetMode="External"/><Relationship Id="rId800" Type="http://schemas.openxmlformats.org/officeDocument/2006/relationships/hyperlink" Target="https://fbref.com/en/players/d0706b27/matchlogs/2025-2026/misc/Marc-Guehi-Match-Logs" TargetMode="External"/><Relationship Id="rId804" Type="http://schemas.openxmlformats.org/officeDocument/2006/relationships/hyperlink" Target="https://fbref.com/en/players/d0706b27/matchlogs/2025-2026/misc/Marc-Guehi-Match-Logs" TargetMode="External"/><Relationship Id="rId803" Type="http://schemas.openxmlformats.org/officeDocument/2006/relationships/hyperlink" Target="https://fbref.com/en/squads/b8fd03ef/Manchester-City-Stats" TargetMode="External"/><Relationship Id="rId802" Type="http://schemas.openxmlformats.org/officeDocument/2006/relationships/hyperlink" Target="https://fbref.com/en/country/ENG/England-Football" TargetMode="External"/><Relationship Id="rId801" Type="http://schemas.openxmlformats.org/officeDocument/2006/relationships/hyperlink" Target="https://fbref.com/en/players/d0706b27/Marc-Guehi" TargetMode="External"/><Relationship Id="rId1750" Type="http://schemas.openxmlformats.org/officeDocument/2006/relationships/hyperlink" Target="https://fbref.com/en/country/COD/Congo-DR-Football" TargetMode="External"/><Relationship Id="rId1751" Type="http://schemas.openxmlformats.org/officeDocument/2006/relationships/hyperlink" Target="https://fbref.com/en/squads/8ef52968/Sunderland-Stats" TargetMode="External"/><Relationship Id="rId1741" Type="http://schemas.openxmlformats.org/officeDocument/2006/relationships/hyperlink" Target="https://fbref.com/en/players/c64c01fc/Georginio-Rutter" TargetMode="External"/><Relationship Id="rId1742" Type="http://schemas.openxmlformats.org/officeDocument/2006/relationships/hyperlink" Target="https://fbref.com/en/country/FRA/France-Football" TargetMode="External"/><Relationship Id="rId1743" Type="http://schemas.openxmlformats.org/officeDocument/2006/relationships/hyperlink" Target="https://fbref.com/en/squads/d07537b9/Brighton-and-Hove-Albion-Stats" TargetMode="External"/><Relationship Id="rId1744" Type="http://schemas.openxmlformats.org/officeDocument/2006/relationships/hyperlink" Target="https://fbref.com/en/players/c64c01fc/matchlogs/2025-2026/misc/Georginio-Rutter-Match-Logs" TargetMode="External"/><Relationship Id="rId1745" Type="http://schemas.openxmlformats.org/officeDocument/2006/relationships/hyperlink" Target="https://fbref.com/en/players/903b6e8b/Jose-Sa" TargetMode="External"/><Relationship Id="rId1746" Type="http://schemas.openxmlformats.org/officeDocument/2006/relationships/hyperlink" Target="https://fbref.com/en/country/POR/Portugal-Football" TargetMode="External"/><Relationship Id="rId1747" Type="http://schemas.openxmlformats.org/officeDocument/2006/relationships/hyperlink" Target="https://fbref.com/en/squads/8cec06e1/Wolverhampton-Wanderers-Stats" TargetMode="External"/><Relationship Id="rId1748" Type="http://schemas.openxmlformats.org/officeDocument/2006/relationships/hyperlink" Target="https://fbref.com/en/players/903b6e8b/matchlogs/2025-2026/misc/Jose-Sa-Match-Logs" TargetMode="External"/><Relationship Id="rId1749" Type="http://schemas.openxmlformats.org/officeDocument/2006/relationships/hyperlink" Target="https://fbref.com/en/players/645481cc/Noah-Sadiki" TargetMode="External"/><Relationship Id="rId1740" Type="http://schemas.openxmlformats.org/officeDocument/2006/relationships/hyperlink" Target="https://fbref.com/en/players/419147f7/matchlogs/2025-2026/misc/James-Rowswell-Match-Logs" TargetMode="External"/><Relationship Id="rId1710" Type="http://schemas.openxmlformats.org/officeDocument/2006/relationships/hyperlink" Target="https://fbref.com/en/country/WAL/Wales-Football" TargetMode="External"/><Relationship Id="rId1711" Type="http://schemas.openxmlformats.org/officeDocument/2006/relationships/hyperlink" Target="https://fbref.com/en/squads/5bfb9659/Leeds-United-Stats" TargetMode="External"/><Relationship Id="rId1712" Type="http://schemas.openxmlformats.org/officeDocument/2006/relationships/hyperlink" Target="https://fbref.com/en/players/8d62d31a/matchlogs/2025-2026/misc/Joe-Rodon-Match-Logs" TargetMode="External"/><Relationship Id="rId1713" Type="http://schemas.openxmlformats.org/officeDocument/2006/relationships/hyperlink" Target="https://fbref.com/en/players/6434f10d/Rodri" TargetMode="External"/><Relationship Id="rId1714" Type="http://schemas.openxmlformats.org/officeDocument/2006/relationships/hyperlink" Target="https://fbref.com/en/country/ESP/Spain-Football" TargetMode="External"/><Relationship Id="rId1715" Type="http://schemas.openxmlformats.org/officeDocument/2006/relationships/hyperlink" Target="https://fbref.com/en/squads/b8fd03ef/Manchester-City-Stats" TargetMode="External"/><Relationship Id="rId1716" Type="http://schemas.openxmlformats.org/officeDocument/2006/relationships/hyperlink" Target="https://fbref.com/en/players/6434f10d/matchlogs/2025-2026/misc/Rodri-Match-Logs" TargetMode="External"/><Relationship Id="rId1717" Type="http://schemas.openxmlformats.org/officeDocument/2006/relationships/hyperlink" Target="https://fbref.com/en/players/34e393f2/Guido-Rodriguez" TargetMode="External"/><Relationship Id="rId1718" Type="http://schemas.openxmlformats.org/officeDocument/2006/relationships/hyperlink" Target="https://fbref.com/en/country/ARG/Argentina-Football" TargetMode="External"/><Relationship Id="rId1719" Type="http://schemas.openxmlformats.org/officeDocument/2006/relationships/hyperlink" Target="https://fbref.com/en/squads/7c21e445/West-Ham-United-Stats" TargetMode="External"/><Relationship Id="rId1700" Type="http://schemas.openxmlformats.org/officeDocument/2006/relationships/hyperlink" Target="https://fbref.com/en/players/2e4f5f03/matchlogs/2025-2026/misc/Andrew-Robertson-Match-Logs" TargetMode="External"/><Relationship Id="rId1701" Type="http://schemas.openxmlformats.org/officeDocument/2006/relationships/hyperlink" Target="https://fbref.com/en/players/289601e6/Antonee-Robinson" TargetMode="External"/><Relationship Id="rId1702" Type="http://schemas.openxmlformats.org/officeDocument/2006/relationships/hyperlink" Target="https://fbref.com/en/country/USA/United-States-Football" TargetMode="External"/><Relationship Id="rId1703" Type="http://schemas.openxmlformats.org/officeDocument/2006/relationships/hyperlink" Target="https://fbref.com/en/squads/fd962109/Fulham-Stats" TargetMode="External"/><Relationship Id="rId1704" Type="http://schemas.openxmlformats.org/officeDocument/2006/relationships/hyperlink" Target="https://fbref.com/en/players/289601e6/matchlogs/2025-2026/misc/Antonee-Robinson-Match-Logs" TargetMode="External"/><Relationship Id="rId1705" Type="http://schemas.openxmlformats.org/officeDocument/2006/relationships/hyperlink" Target="https://fbref.com/en/players/49375cdd/Kaden-Rodney" TargetMode="External"/><Relationship Id="rId1706" Type="http://schemas.openxmlformats.org/officeDocument/2006/relationships/hyperlink" Target="https://fbref.com/en/country/ENG/England-Football" TargetMode="External"/><Relationship Id="rId1707" Type="http://schemas.openxmlformats.org/officeDocument/2006/relationships/hyperlink" Target="https://fbref.com/en/squads/47c64c55/Crystal-Palace-Stats" TargetMode="External"/><Relationship Id="rId1708" Type="http://schemas.openxmlformats.org/officeDocument/2006/relationships/hyperlink" Target="https://fbref.com/en/players/49375cdd/matchlogs/2025-2026/misc/Kaden-Rodney-Match-Logs" TargetMode="External"/><Relationship Id="rId1709" Type="http://schemas.openxmlformats.org/officeDocument/2006/relationships/hyperlink" Target="https://fbref.com/en/players/8d62d31a/Joe-Rodon" TargetMode="External"/><Relationship Id="rId40" Type="http://schemas.openxmlformats.org/officeDocument/2006/relationships/hyperlink" Target="https://fbref.com/en/players/75f1ed80/matchlogs/2025-2026/misc/Emmanuel-Agbadou-Match-Logs" TargetMode="External"/><Relationship Id="rId1334" Type="http://schemas.openxmlformats.org/officeDocument/2006/relationships/hyperlink" Target="https://fbref.com/en/country/SEN/Senegal-Football" TargetMode="External"/><Relationship Id="rId1335" Type="http://schemas.openxmlformats.org/officeDocument/2006/relationships/hyperlink" Target="https://fbref.com/en/squads/361ca564/Tottenham-Hotspur-Stats" TargetMode="External"/><Relationship Id="rId42" Type="http://schemas.openxmlformats.org/officeDocument/2006/relationships/hyperlink" Target="https://fbref.com/en/country/MAR/Morocco-Football" TargetMode="External"/><Relationship Id="rId1336" Type="http://schemas.openxmlformats.org/officeDocument/2006/relationships/hyperlink" Target="https://fbref.com/en/players/feb5d972/matchlogs/2025-2026/misc/Pape-Matar-Sarr-Match-Logs" TargetMode="External"/><Relationship Id="rId41" Type="http://schemas.openxmlformats.org/officeDocument/2006/relationships/hyperlink" Target="https://fbref.com/en/players/288e1e13/Nayef-Aguerd" TargetMode="External"/><Relationship Id="rId1337" Type="http://schemas.openxmlformats.org/officeDocument/2006/relationships/hyperlink" Target="https://fbref.com/en/players/50e6dc35/Jean-Philippe-Mateta" TargetMode="External"/><Relationship Id="rId44" Type="http://schemas.openxmlformats.org/officeDocument/2006/relationships/hyperlink" Target="https://fbref.com/en/players/288e1e13/matchlogs/2025-2026/misc/Nayef-Aguerd-Match-Logs" TargetMode="External"/><Relationship Id="rId1338" Type="http://schemas.openxmlformats.org/officeDocument/2006/relationships/hyperlink" Target="https://fbref.com/en/country/FRA/France-Football" TargetMode="External"/><Relationship Id="rId43" Type="http://schemas.openxmlformats.org/officeDocument/2006/relationships/hyperlink" Target="https://fbref.com/en/squads/7c21e445/West-Ham-United-Stats" TargetMode="External"/><Relationship Id="rId1339" Type="http://schemas.openxmlformats.org/officeDocument/2006/relationships/hyperlink" Target="https://fbref.com/en/squads/47c64c55/Crystal-Palace-Stats" TargetMode="External"/><Relationship Id="rId46" Type="http://schemas.openxmlformats.org/officeDocument/2006/relationships/hyperlink" Target="https://fbref.com/en/country/NGA/Nigeria-Football" TargetMode="External"/><Relationship Id="rId45" Type="http://schemas.openxmlformats.org/officeDocument/2006/relationships/hyperlink" Target="https://fbref.com/en/players/246d153b/Ola-Aina" TargetMode="External"/><Relationship Id="rId745" Type="http://schemas.openxmlformats.org/officeDocument/2006/relationships/hyperlink" Target="https://fbref.com/en/players/8dcf77c0/Rodrigo-Gomes" TargetMode="External"/><Relationship Id="rId744" Type="http://schemas.openxmlformats.org/officeDocument/2006/relationships/hyperlink" Target="https://fbref.com/en/players/8b57ad2c/matchlogs/2025-2026/misc/Joao-Gomes-Match-Logs" TargetMode="External"/><Relationship Id="rId743" Type="http://schemas.openxmlformats.org/officeDocument/2006/relationships/hyperlink" Target="https://fbref.com/en/squads/8cec06e1/Wolverhampton-Wanderers-Stats" TargetMode="External"/><Relationship Id="rId742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players/f0caab96/Toti-Gomes" TargetMode="External"/><Relationship Id="rId748" Type="http://schemas.openxmlformats.org/officeDocument/2006/relationships/hyperlink" Target="https://fbref.com/en/players/8dcf77c0/matchlogs/2025-2026/misc/Rodrigo-Gomes-Match-Logs" TargetMode="External"/><Relationship Id="rId747" Type="http://schemas.openxmlformats.org/officeDocument/2006/relationships/hyperlink" Target="https://fbref.com/en/squads/8cec06e1/Wolverhampton-Wanderers-Stats" TargetMode="External"/><Relationship Id="rId746" Type="http://schemas.openxmlformats.org/officeDocument/2006/relationships/hyperlink" Target="https://fbref.com/en/country/POR/Portugal-Football" TargetMode="External"/><Relationship Id="rId48" Type="http://schemas.openxmlformats.org/officeDocument/2006/relationships/hyperlink" Target="https://fbref.com/en/players/246d153b/matchlogs/2025-2026/misc/Ola-Aina-Match-Logs" TargetMode="External"/><Relationship Id="rId47" Type="http://schemas.openxmlformats.org/officeDocument/2006/relationships/hyperlink" Target="https://fbref.com/en/squads/e4a775cb/Nottingham-Forest-Stats" TargetMode="External"/><Relationship Id="rId49" Type="http://schemas.openxmlformats.org/officeDocument/2006/relationships/hyperlink" Target="https://fbref.com/en/players/9b398aea/Rayan-Ait-Nouri" TargetMode="External"/><Relationship Id="rId741" Type="http://schemas.openxmlformats.org/officeDocument/2006/relationships/hyperlink" Target="https://fbref.com/en/players/8b57ad2c/Joao-Gomes" TargetMode="External"/><Relationship Id="rId1330" Type="http://schemas.openxmlformats.org/officeDocument/2006/relationships/hyperlink" Target="https://fbref.com/en/country/COD/Congo-DR-Football" TargetMode="External"/><Relationship Id="rId740" Type="http://schemas.openxmlformats.org/officeDocument/2006/relationships/hyperlink" Target="https://fbref.com/en/players/645a3363/matchlogs/2025-2026/misc/Angel-Gomes-Match-Logs" TargetMode="External"/><Relationship Id="rId1331" Type="http://schemas.openxmlformats.org/officeDocument/2006/relationships/hyperlink" Target="https://fbref.com/en/squads/8ef52968/Sunderland-Stats" TargetMode="External"/><Relationship Id="rId1332" Type="http://schemas.openxmlformats.org/officeDocument/2006/relationships/hyperlink" Target="https://fbref.com/en/players/57df7a11/matchlogs/2025-2026/misc/Arthur-Masuaku-Match-Logs" TargetMode="External"/><Relationship Id="rId1333" Type="http://schemas.openxmlformats.org/officeDocument/2006/relationships/hyperlink" Target="https://fbref.com/en/players/feb5d972/Pape-Matar-Sarr" TargetMode="External"/><Relationship Id="rId1323" Type="http://schemas.openxmlformats.org/officeDocument/2006/relationships/hyperlink" Target="https://fbref.com/en/squads/8602292d/Aston-Villa-Stats" TargetMode="External"/><Relationship Id="rId1324" Type="http://schemas.openxmlformats.org/officeDocument/2006/relationships/hyperlink" Target="https://fbref.com/en/players/7956236f/matchlogs/2025-2026/misc/Emiliano-Martinez-Match-Logs" TargetMode="External"/><Relationship Id="rId31" Type="http://schemas.openxmlformats.org/officeDocument/2006/relationships/hyperlink" Target="https://fbref.com/en/squads/8ef52968/Sunderland-Stats" TargetMode="External"/><Relationship Id="rId1325" Type="http://schemas.openxmlformats.org/officeDocument/2006/relationships/hyperlink" Target="https://fbref.com/en/players/bac46a10/Lisandro-Martinez" TargetMode="External"/><Relationship Id="rId30" Type="http://schemas.openxmlformats.org/officeDocument/2006/relationships/hyperlink" Target="https://fbref.com/en/country/CIV/Cote-dIvoire-Football" TargetMode="External"/><Relationship Id="rId1326" Type="http://schemas.openxmlformats.org/officeDocument/2006/relationships/hyperlink" Target="https://fbref.com/en/country/ARG/Argentina-Football" TargetMode="External"/><Relationship Id="rId33" Type="http://schemas.openxmlformats.org/officeDocument/2006/relationships/hyperlink" Target="https://fbref.com/en/players/dcfb17f4/Amine-Adli" TargetMode="External"/><Relationship Id="rId1327" Type="http://schemas.openxmlformats.org/officeDocument/2006/relationships/hyperlink" Target="https://fbref.com/en/squads/19538871/Manchester-United-Stats" TargetMode="External"/><Relationship Id="rId32" Type="http://schemas.openxmlformats.org/officeDocument/2006/relationships/hyperlink" Target="https://fbref.com/en/players/4dcec659/matchlogs/2025-2026/misc/Simon-Adingra-Match-Logs" TargetMode="External"/><Relationship Id="rId1328" Type="http://schemas.openxmlformats.org/officeDocument/2006/relationships/hyperlink" Target="https://fbref.com/en/players/bac46a10/matchlogs/2025-2026/misc/Lisandro-Martinez-Match-Logs" TargetMode="External"/><Relationship Id="rId35" Type="http://schemas.openxmlformats.org/officeDocument/2006/relationships/hyperlink" Target="https://fbref.com/en/squads/4ba7cbea/Bournemouth-Stats" TargetMode="External"/><Relationship Id="rId1329" Type="http://schemas.openxmlformats.org/officeDocument/2006/relationships/hyperlink" Target="https://fbref.com/en/players/57df7a11/Arthur-Masuaku" TargetMode="External"/><Relationship Id="rId34" Type="http://schemas.openxmlformats.org/officeDocument/2006/relationships/hyperlink" Target="https://fbref.com/en/country/MAR/Morocco-Football" TargetMode="External"/><Relationship Id="rId739" Type="http://schemas.openxmlformats.org/officeDocument/2006/relationships/hyperlink" Target="https://fbref.com/en/squads/8cec06e1/Wolverhampton-Wanderers-Stats" TargetMode="External"/><Relationship Id="rId734" Type="http://schemas.openxmlformats.org/officeDocument/2006/relationships/hyperlink" Target="https://fbref.com/en/country/ITA/Italy-Football" TargetMode="External"/><Relationship Id="rId733" Type="http://schemas.openxmlformats.org/officeDocument/2006/relationships/hyperlink" Target="https://fbref.com/en/players/75fdd638/Wilfried-Gnonto" TargetMode="External"/><Relationship Id="rId732" Type="http://schemas.openxmlformats.org/officeDocument/2006/relationships/hyperlink" Target="https://fbref.com/en/players/10745192/matchlogs/2025-2026/misc/Jamie-Gittens-Match-Logs" TargetMode="External"/><Relationship Id="rId731" Type="http://schemas.openxmlformats.org/officeDocument/2006/relationships/hyperlink" Target="https://fbref.com/en/squads/cff3d9bb/Chelsea-Stats" TargetMode="External"/><Relationship Id="rId738" Type="http://schemas.openxmlformats.org/officeDocument/2006/relationships/hyperlink" Target="https://fbref.com/en/country/ENG/England-Football" TargetMode="External"/><Relationship Id="rId737" Type="http://schemas.openxmlformats.org/officeDocument/2006/relationships/hyperlink" Target="https://fbref.com/en/players/645a3363/Angel-Gomes" TargetMode="External"/><Relationship Id="rId736" Type="http://schemas.openxmlformats.org/officeDocument/2006/relationships/hyperlink" Target="https://fbref.com/en/players/75fdd638/matchlogs/2025-2026/misc/Wilfried-Gnonto-Match-Logs" TargetMode="External"/><Relationship Id="rId735" Type="http://schemas.openxmlformats.org/officeDocument/2006/relationships/hyperlink" Target="https://fbref.com/en/squads/5bfb9659/Leeds-United-Stats" TargetMode="External"/><Relationship Id="rId37" Type="http://schemas.openxmlformats.org/officeDocument/2006/relationships/hyperlink" Target="https://fbref.com/en/players/75f1ed80/Emmanuel-Agbadou" TargetMode="External"/><Relationship Id="rId36" Type="http://schemas.openxmlformats.org/officeDocument/2006/relationships/hyperlink" Target="https://fbref.com/en/players/dcfb17f4/matchlogs/2025-2026/misc/Amine-Adli-Match-Logs" TargetMode="External"/><Relationship Id="rId39" Type="http://schemas.openxmlformats.org/officeDocument/2006/relationships/hyperlink" Target="https://fbref.com/en/squads/8cec06e1/Wolverhampton-Wanderers-Stats" TargetMode="External"/><Relationship Id="rId38" Type="http://schemas.openxmlformats.org/officeDocument/2006/relationships/hyperlink" Target="https://fbref.com/en/country/CIV/Cote-dIvoire-Football" TargetMode="External"/><Relationship Id="rId730" Type="http://schemas.openxmlformats.org/officeDocument/2006/relationships/hyperlink" Target="https://fbref.com/en/country/ENG/England-Football" TargetMode="External"/><Relationship Id="rId1320" Type="http://schemas.openxmlformats.org/officeDocument/2006/relationships/hyperlink" Target="https://fbref.com/en/players/48a5a5d6/matchlogs/2025-2026/misc/Gabriel-Martinelli-Match-Logs" TargetMode="External"/><Relationship Id="rId1321" Type="http://schemas.openxmlformats.org/officeDocument/2006/relationships/hyperlink" Target="https://fbref.com/en/players/7956236f/Emiliano-Martinez" TargetMode="External"/><Relationship Id="rId1322" Type="http://schemas.openxmlformats.org/officeDocument/2006/relationships/hyperlink" Target="https://fbref.com/en/country/ARG/Argentina-Football" TargetMode="External"/><Relationship Id="rId1356" Type="http://schemas.openxmlformats.org/officeDocument/2006/relationships/hyperlink" Target="https://fbref.com/en/players/b74277a0/matchlogs/2025-2026/misc/Noussair-Mazraoui-Match-Logs" TargetMode="External"/><Relationship Id="rId2203" Type="http://schemas.openxmlformats.org/officeDocument/2006/relationships/hyperlink" Target="https://fbref.com/en/squads/18bb7c10/Arsenal-Stats" TargetMode="External"/><Relationship Id="rId1357" Type="http://schemas.openxmlformats.org/officeDocument/2006/relationships/hyperlink" Target="https://fbref.com/en/players/6afaebf2/Bryan-Mbeumo" TargetMode="External"/><Relationship Id="rId2204" Type="http://schemas.openxmlformats.org/officeDocument/2006/relationships/hyperlink" Target="https://fbref.com/en/players/79300479/matchlogs/2025-2026/misc/Martin-Odegaard-Match-Logs" TargetMode="External"/><Relationship Id="rId20" Type="http://schemas.openxmlformats.org/officeDocument/2006/relationships/hyperlink" Target="https://fbref.com/en/players/b7e62e1d/matchlogs/2025-2026/misc/Joshua-Acheampong-Match-Logs" TargetMode="External"/><Relationship Id="rId1358" Type="http://schemas.openxmlformats.org/officeDocument/2006/relationships/hyperlink" Target="https://fbref.com/en/country/CMR/Cameroon-Football" TargetMode="External"/><Relationship Id="rId2205" Type="http://schemas.openxmlformats.org/officeDocument/2006/relationships/drawing" Target="../drawings/drawing4.xml"/><Relationship Id="rId1359" Type="http://schemas.openxmlformats.org/officeDocument/2006/relationships/hyperlink" Target="https://fbref.com/en/squads/19538871/Manchester-United-Stats" TargetMode="External"/><Relationship Id="rId22" Type="http://schemas.openxmlformats.org/officeDocument/2006/relationships/hyperlink" Target="https://fbref.com/en/country/USA/United-States-Football" TargetMode="External"/><Relationship Id="rId21" Type="http://schemas.openxmlformats.org/officeDocument/2006/relationships/hyperlink" Target="https://fbref.com/en/players/2b09d998/Tyler-Adams" TargetMode="External"/><Relationship Id="rId24" Type="http://schemas.openxmlformats.org/officeDocument/2006/relationships/hyperlink" Target="https://fbref.com/en/players/2b09d998/matchlogs/2025-2026/misc/Tyler-Adams-Match-Logs" TargetMode="External"/><Relationship Id="rId23" Type="http://schemas.openxmlformats.org/officeDocument/2006/relationships/hyperlink" Target="https://fbref.com/en/squads/4ba7cbea/Bournemouth-Stats" TargetMode="External"/><Relationship Id="rId767" Type="http://schemas.openxmlformats.org/officeDocument/2006/relationships/hyperlink" Target="https://fbref.com/en/squads/b2b47a98/Newcastle-United-Stats" TargetMode="External"/><Relationship Id="rId766" Type="http://schemas.openxmlformats.org/officeDocument/2006/relationships/hyperlink" Target="https://fbref.com/en/country/ENG/England-Football" TargetMode="External"/><Relationship Id="rId765" Type="http://schemas.openxmlformats.org/officeDocument/2006/relationships/hyperlink" Target="https://fbref.com/en/players/2bd83368/Anthony-Gordon" TargetMode="External"/><Relationship Id="rId764" Type="http://schemas.openxmlformats.org/officeDocument/2006/relationships/hyperlink" Target="https://fbref.com/en/players/2c56a792/matchlogs/2025-2026/misc/Nicolas-Gonzalez-Match-Logs" TargetMode="External"/><Relationship Id="rId769" Type="http://schemas.openxmlformats.org/officeDocument/2006/relationships/hyperlink" Target="https://fbref.com/en/players/b8e740fb/Ryan-Gravenberch" TargetMode="External"/><Relationship Id="rId768" Type="http://schemas.openxmlformats.org/officeDocument/2006/relationships/hyperlink" Target="https://fbref.com/en/players/2bd83368/matchlogs/2025-2026/misc/Anthony-Gordon-Match-Logs" TargetMode="External"/><Relationship Id="rId26" Type="http://schemas.openxmlformats.org/officeDocument/2006/relationships/hyperlink" Target="https://fbref.com/en/country/ENG/England-Football" TargetMode="External"/><Relationship Id="rId25" Type="http://schemas.openxmlformats.org/officeDocument/2006/relationships/hyperlink" Target="https://fbref.com/en/players/c81d773d/Tosin-Adarabioyo" TargetMode="External"/><Relationship Id="rId28" Type="http://schemas.openxmlformats.org/officeDocument/2006/relationships/hyperlink" Target="https://fbref.com/en/players/c81d773d/matchlogs/2025-2026/misc/Tosin-Adarabioyo-Match-Logs" TargetMode="External"/><Relationship Id="rId1350" Type="http://schemas.openxmlformats.org/officeDocument/2006/relationships/hyperlink" Target="https://fbref.com/en/country/BRB/Barbados-Football" TargetMode="External"/><Relationship Id="rId27" Type="http://schemas.openxmlformats.org/officeDocument/2006/relationships/hyperlink" Target="https://fbref.com/en/squads/cff3d9bb/Chelsea-Stats" TargetMode="External"/><Relationship Id="rId1351" Type="http://schemas.openxmlformats.org/officeDocument/2006/relationships/hyperlink" Target="https://fbref.com/en/squads/7c21e445/West-Ham-United-Stats" TargetMode="External"/><Relationship Id="rId763" Type="http://schemas.openxmlformats.org/officeDocument/2006/relationships/hyperlink" Target="https://fbref.com/en/squads/b8fd03ef/Manchester-City-Stats" TargetMode="External"/><Relationship Id="rId1352" Type="http://schemas.openxmlformats.org/officeDocument/2006/relationships/hyperlink" Target="https://fbref.com/en/players/9a85a651/matchlogs/2025-2026/misc/Ezra-Mayers-Match-Logs" TargetMode="External"/><Relationship Id="rId29" Type="http://schemas.openxmlformats.org/officeDocument/2006/relationships/hyperlink" Target="https://fbref.com/en/players/4dcec659/Simon-Adingra" TargetMode="External"/><Relationship Id="rId762" Type="http://schemas.openxmlformats.org/officeDocument/2006/relationships/hyperlink" Target="https://fbref.com/en/country/ESP/Spain-Football" TargetMode="External"/><Relationship Id="rId1353" Type="http://schemas.openxmlformats.org/officeDocument/2006/relationships/hyperlink" Target="https://fbref.com/en/players/b74277a0/Noussair-Mazraoui" TargetMode="External"/><Relationship Id="rId2200" Type="http://schemas.openxmlformats.org/officeDocument/2006/relationships/hyperlink" Target="https://fbref.com/en/players/3ee0dd59/matchlogs/2025-2026/misc/Martin-Zubimendi-Match-Logs" TargetMode="External"/><Relationship Id="rId761" Type="http://schemas.openxmlformats.org/officeDocument/2006/relationships/hyperlink" Target="https://fbref.com/en/players/2c56a792/Nicolas-Gonzalez" TargetMode="External"/><Relationship Id="rId1354" Type="http://schemas.openxmlformats.org/officeDocument/2006/relationships/hyperlink" Target="https://fbref.com/en/country/MAR/Morocco-Football" TargetMode="External"/><Relationship Id="rId2201" Type="http://schemas.openxmlformats.org/officeDocument/2006/relationships/hyperlink" Target="https://fbref.com/en/players/79300479/Martin-Odegaard" TargetMode="External"/><Relationship Id="rId760" Type="http://schemas.openxmlformats.org/officeDocument/2006/relationships/hyperlink" Target="https://fbref.com/en/players/7a11550b/matchlogs/2025-2026/misc/Joe-Gomez-Match-Logs" TargetMode="External"/><Relationship Id="rId1355" Type="http://schemas.openxmlformats.org/officeDocument/2006/relationships/hyperlink" Target="https://fbref.com/en/squads/19538871/Manchester-United-Stats" TargetMode="External"/><Relationship Id="rId2202" Type="http://schemas.openxmlformats.org/officeDocument/2006/relationships/hyperlink" Target="https://fbref.com/en/country/NOR/Norway-Football" TargetMode="External"/><Relationship Id="rId1345" Type="http://schemas.openxmlformats.org/officeDocument/2006/relationships/hyperlink" Target="https://fbref.com/en/players/6a021e43/Eliezer-Mayenda" TargetMode="External"/><Relationship Id="rId1346" Type="http://schemas.openxmlformats.org/officeDocument/2006/relationships/hyperlink" Target="https://fbref.com/en/country/ESP/Spain-Football" TargetMode="External"/><Relationship Id="rId1347" Type="http://schemas.openxmlformats.org/officeDocument/2006/relationships/hyperlink" Target="https://fbref.com/en/squads/8ef52968/Sunderland-Stats" TargetMode="External"/><Relationship Id="rId1348" Type="http://schemas.openxmlformats.org/officeDocument/2006/relationships/hyperlink" Target="https://fbref.com/en/players/6a021e43/matchlogs/2025-2026/misc/Eliezer-Mayenda-Match-Logs" TargetMode="External"/><Relationship Id="rId11" Type="http://schemas.openxmlformats.org/officeDocument/2006/relationships/hyperlink" Target="https://fbref.com/en/squads/e4a775cb/Nottingham-Forest-Stats" TargetMode="External"/><Relationship Id="rId1349" Type="http://schemas.openxmlformats.org/officeDocument/2006/relationships/hyperlink" Target="https://fbref.com/en/players/9a85a651/Ezra-Mayers" TargetMode="External"/><Relationship Id="rId10" Type="http://schemas.openxmlformats.org/officeDocument/2006/relationships/hyperlink" Target="https://fbref.com/en/country/ENG/England-Football" TargetMode="External"/><Relationship Id="rId13" Type="http://schemas.openxmlformats.org/officeDocument/2006/relationships/hyperlink" Target="https://fbref.com/en/players/f586779e/Tammy-Abraham" TargetMode="External"/><Relationship Id="rId12" Type="http://schemas.openxmlformats.org/officeDocument/2006/relationships/hyperlink" Target="https://fbref.com/en/players/c103921a/matchlogs/2025-2026/misc/Zach-Abbott-Match-Logs" TargetMode="External"/><Relationship Id="rId756" Type="http://schemas.openxmlformats.org/officeDocument/2006/relationships/hyperlink" Target="https://fbref.com/en/players/916728da/matchlogs/2025-2026/misc/Diego-Gomez-Match-Logs" TargetMode="External"/><Relationship Id="rId755" Type="http://schemas.openxmlformats.org/officeDocument/2006/relationships/hyperlink" Target="https://fbref.com/en/squads/d07537b9/Brighton-and-Hove-Albion-Stats" TargetMode="External"/><Relationship Id="rId754" Type="http://schemas.openxmlformats.org/officeDocument/2006/relationships/hyperlink" Target="https://fbref.com/en/country/PAR/Paraguay-Football" TargetMode="External"/><Relationship Id="rId753" Type="http://schemas.openxmlformats.org/officeDocument/2006/relationships/hyperlink" Target="https://fbref.com/en/players/916728da/Diego-Gomez" TargetMode="External"/><Relationship Id="rId759" Type="http://schemas.openxmlformats.org/officeDocument/2006/relationships/hyperlink" Target="https://fbref.com/en/squads/822bd0ba/Liverpool-Stats" TargetMode="External"/><Relationship Id="rId758" Type="http://schemas.openxmlformats.org/officeDocument/2006/relationships/hyperlink" Target="https://fbref.com/en/country/ENG/England-Football" TargetMode="External"/><Relationship Id="rId757" Type="http://schemas.openxmlformats.org/officeDocument/2006/relationships/hyperlink" Target="https://fbref.com/en/players/7a11550b/Joe-Gomez" TargetMode="External"/><Relationship Id="rId15" Type="http://schemas.openxmlformats.org/officeDocument/2006/relationships/hyperlink" Target="https://fbref.com/en/squads/8602292d/Aston-Villa-Stats" TargetMode="External"/><Relationship Id="rId14" Type="http://schemas.openxmlformats.org/officeDocument/2006/relationships/hyperlink" Target="https://fbref.com/en/country/ENG/England-Football" TargetMode="External"/><Relationship Id="rId17" Type="http://schemas.openxmlformats.org/officeDocument/2006/relationships/hyperlink" Target="https://fbref.com/en/players/b7e62e1d/Joshua-Acheampong" TargetMode="External"/><Relationship Id="rId16" Type="http://schemas.openxmlformats.org/officeDocument/2006/relationships/hyperlink" Target="https://fbref.com/en/players/f586779e/matchlogs/2025-2026/misc/Tammy-Abraham-Match-Logs" TargetMode="External"/><Relationship Id="rId1340" Type="http://schemas.openxmlformats.org/officeDocument/2006/relationships/hyperlink" Target="https://fbref.com/en/players/50e6dc35/matchlogs/2025-2026/misc/Jean-Philippe-Mateta-Match-Logs" TargetMode="External"/><Relationship Id="rId19" Type="http://schemas.openxmlformats.org/officeDocument/2006/relationships/hyperlink" Target="https://fbref.com/en/squads/cff3d9bb/Chelsea-Stats" TargetMode="External"/><Relationship Id="rId752" Type="http://schemas.openxmlformats.org/officeDocument/2006/relationships/hyperlink" Target="https://fbref.com/en/players/f0caab96/matchlogs/2025-2026/misc/Toti-Gomes-Match-Logs" TargetMode="External"/><Relationship Id="rId1341" Type="http://schemas.openxmlformats.org/officeDocument/2006/relationships/hyperlink" Target="https://fbref.com/en/players/00963611/Konstantinos-Mavropanos" TargetMode="External"/><Relationship Id="rId18" Type="http://schemas.openxmlformats.org/officeDocument/2006/relationships/hyperlink" Target="https://fbref.com/en/country/ENG/England-Football" TargetMode="External"/><Relationship Id="rId751" Type="http://schemas.openxmlformats.org/officeDocument/2006/relationships/hyperlink" Target="https://fbref.com/en/squads/8cec06e1/Wolverhampton-Wanderers-Stats" TargetMode="External"/><Relationship Id="rId1342" Type="http://schemas.openxmlformats.org/officeDocument/2006/relationships/hyperlink" Target="https://fbref.com/en/country/GRE/Greece-Football" TargetMode="External"/><Relationship Id="rId750" Type="http://schemas.openxmlformats.org/officeDocument/2006/relationships/hyperlink" Target="https://fbref.com/en/country/POR/Portugal-Football" TargetMode="External"/><Relationship Id="rId1343" Type="http://schemas.openxmlformats.org/officeDocument/2006/relationships/hyperlink" Target="https://fbref.com/en/squads/7c21e445/West-Ham-United-Stats" TargetMode="External"/><Relationship Id="rId1344" Type="http://schemas.openxmlformats.org/officeDocument/2006/relationships/hyperlink" Target="https://fbref.com/en/players/00963611/matchlogs/2025-2026/misc/Konstantinos-Mavropanos-Match-Logs" TargetMode="External"/><Relationship Id="rId84" Type="http://schemas.openxmlformats.org/officeDocument/2006/relationships/hyperlink" Target="https://fbref.com/en/players/2ee5b0c9/matchlogs/2025-2026/misc/Zeki-Amdouni-Match-Logs" TargetMode="External"/><Relationship Id="rId1774" Type="http://schemas.openxmlformats.org/officeDocument/2006/relationships/hyperlink" Target="https://fbref.com/en/country/CIV/Cote-dIvoire-Football" TargetMode="External"/><Relationship Id="rId83" Type="http://schemas.openxmlformats.org/officeDocument/2006/relationships/hyperlink" Target="https://fbref.com/en/squads/943e8050/Burnley-Stats" TargetMode="External"/><Relationship Id="rId1775" Type="http://schemas.openxmlformats.org/officeDocument/2006/relationships/hyperlink" Target="https://fbref.com/en/squads/e4a775cb/Nottingham-Forest-Stats" TargetMode="External"/><Relationship Id="rId86" Type="http://schemas.openxmlformats.org/officeDocument/2006/relationships/hyperlink" Target="https://fbref.com/en/country/WAL/Wales-Football" TargetMode="External"/><Relationship Id="rId1776" Type="http://schemas.openxmlformats.org/officeDocument/2006/relationships/hyperlink" Target="https://fbref.com/en/players/bced0375/matchlogs/2025-2026/misc/Ibrahim-Sangare-Match-Logs" TargetMode="External"/><Relationship Id="rId85" Type="http://schemas.openxmlformats.org/officeDocument/2006/relationships/hyperlink" Target="https://fbref.com/en/players/10b9fa99/Ethan-Ampadu" TargetMode="External"/><Relationship Id="rId1777" Type="http://schemas.openxmlformats.org/officeDocument/2006/relationships/hyperlink" Target="https://fbref.com/en/players/dd745366/Andrey-Santos" TargetMode="External"/><Relationship Id="rId88" Type="http://schemas.openxmlformats.org/officeDocument/2006/relationships/hyperlink" Target="https://fbref.com/en/players/10b9fa99/matchlogs/2025-2026/misc/Ethan-Ampadu-Match-Logs" TargetMode="External"/><Relationship Id="rId1778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5bfb9659/Leeds-United-Stats" TargetMode="External"/><Relationship Id="rId1779" Type="http://schemas.openxmlformats.org/officeDocument/2006/relationships/hyperlink" Target="https://fbref.com/en/squads/cff3d9bb/Chelsea-Stats" TargetMode="External"/><Relationship Id="rId89" Type="http://schemas.openxmlformats.org/officeDocument/2006/relationships/hyperlink" Target="https://fbref.com/en/players/e34fc66d/Joachim-Andersen" TargetMode="External"/><Relationship Id="rId709" Type="http://schemas.openxmlformats.org/officeDocument/2006/relationships/hyperlink" Target="https://fbref.com/en/players/4e015693/James-Garner" TargetMode="External"/><Relationship Id="rId708" Type="http://schemas.openxmlformats.org/officeDocument/2006/relationships/hyperlink" Target="https://fbref.com/en/players/7aa8adfe/matchlogs/2025-2026/misc/Alejandro-Garnacho-Match-Logs" TargetMode="External"/><Relationship Id="rId707" Type="http://schemas.openxmlformats.org/officeDocument/2006/relationships/hyperlink" Target="https://fbref.com/en/squads/cff3d9bb/Chelsea-Stats" TargetMode="External"/><Relationship Id="rId706" Type="http://schemas.openxmlformats.org/officeDocument/2006/relationships/hyperlink" Target="https://fbref.com/en/country/ARG/Argentina-Football" TargetMode="External"/><Relationship Id="rId80" Type="http://schemas.openxmlformats.org/officeDocument/2006/relationships/hyperlink" Target="https://fbref.com/en/players/98e0d76c/matchlogs/2025-2026/misc/Jaydon-Amauri-Banel-Match-Logs" TargetMode="External"/><Relationship Id="rId82" Type="http://schemas.openxmlformats.org/officeDocument/2006/relationships/hyperlink" Target="https://fbref.com/en/country/SUI/Switzerland-Football" TargetMode="External"/><Relationship Id="rId81" Type="http://schemas.openxmlformats.org/officeDocument/2006/relationships/hyperlink" Target="https://fbref.com/en/players/2ee5b0c9/Zeki-Amdouni" TargetMode="External"/><Relationship Id="rId701" Type="http://schemas.openxmlformats.org/officeDocument/2006/relationships/hyperlink" Target="https://fbref.com/en/players/40498af1/Andres-Garcia" TargetMode="External"/><Relationship Id="rId700" Type="http://schemas.openxmlformats.org/officeDocument/2006/relationships/hyperlink" Target="https://fbref.com/en/players/733f1a7d/matchlogs/2025-2026/misc/Ben-Gannon-Doak-Match-Logs" TargetMode="External"/><Relationship Id="rId705" Type="http://schemas.openxmlformats.org/officeDocument/2006/relationships/hyperlink" Target="https://fbref.com/en/players/7aa8adfe/Alejandro-Garnacho" TargetMode="External"/><Relationship Id="rId704" Type="http://schemas.openxmlformats.org/officeDocument/2006/relationships/hyperlink" Target="https://fbref.com/en/players/40498af1/matchlogs/2025-2026/misc/Andres-Garcia-Match-Logs" TargetMode="External"/><Relationship Id="rId703" Type="http://schemas.openxmlformats.org/officeDocument/2006/relationships/hyperlink" Target="https://fbref.com/en/squads/8602292d/Aston-Villa-Stats" TargetMode="External"/><Relationship Id="rId702" Type="http://schemas.openxmlformats.org/officeDocument/2006/relationships/hyperlink" Target="https://fbref.com/en/country/ESP/Spain-Football" TargetMode="External"/><Relationship Id="rId1770" Type="http://schemas.openxmlformats.org/officeDocument/2006/relationships/hyperlink" Target="https://fbref.com/en/country/ENG/England-Football" TargetMode="External"/><Relationship Id="rId1771" Type="http://schemas.openxmlformats.org/officeDocument/2006/relationships/hyperlink" Target="https://fbref.com/en/squads/8602292d/Aston-Villa-Stats" TargetMode="External"/><Relationship Id="rId1772" Type="http://schemas.openxmlformats.org/officeDocument/2006/relationships/hyperlink" Target="https://fbref.com/en/players/dbf053da/matchlogs/2025-2026/misc/Jadon-Sancho-Match-Logs" TargetMode="External"/><Relationship Id="rId1773" Type="http://schemas.openxmlformats.org/officeDocument/2006/relationships/hyperlink" Target="https://fbref.com/en/players/bced0375/Ibrahim-Sangare" TargetMode="External"/><Relationship Id="rId73" Type="http://schemas.openxmlformats.org/officeDocument/2006/relationships/hyperlink" Target="https://fbref.com/en/players/defcfd32/Max-Alleyne" TargetMode="External"/><Relationship Id="rId1763" Type="http://schemas.openxmlformats.org/officeDocument/2006/relationships/hyperlink" Target="https://fbref.com/en/squads/18bb7c10/Arsenal-Stats" TargetMode="External"/><Relationship Id="rId72" Type="http://schemas.openxmlformats.org/officeDocument/2006/relationships/hyperlink" Target="https://fbref.com/en/players/7a2e46a8/matchlogs/2025-2026/misc/Alisson-Match-Logs" TargetMode="External"/><Relationship Id="rId1764" Type="http://schemas.openxmlformats.org/officeDocument/2006/relationships/hyperlink" Target="https://fbref.com/en/players/972aeb2a/matchlogs/2025-2026/misc/William-Saliba-Match-Logs" TargetMode="External"/><Relationship Id="rId75" Type="http://schemas.openxmlformats.org/officeDocument/2006/relationships/hyperlink" Target="https://fbref.com/en/squads/b8fd03ef/Manchester-City-Stats" TargetMode="External"/><Relationship Id="rId1765" Type="http://schemas.openxmlformats.org/officeDocument/2006/relationships/hyperlink" Target="https://fbref.com/en/players/6a713852/Robert-Sanchez" TargetMode="External"/><Relationship Id="rId74" Type="http://schemas.openxmlformats.org/officeDocument/2006/relationships/hyperlink" Target="https://fbref.com/en/country/ENG/England-Football" TargetMode="External"/><Relationship Id="rId1766" Type="http://schemas.openxmlformats.org/officeDocument/2006/relationships/hyperlink" Target="https://fbref.com/en/country/ESP/Spain-Football" TargetMode="External"/><Relationship Id="rId77" Type="http://schemas.openxmlformats.org/officeDocument/2006/relationships/hyperlink" Target="https://fbref.com/en/players/98e0d76c/Jaydon-Amauri-Banel" TargetMode="External"/><Relationship Id="rId1767" Type="http://schemas.openxmlformats.org/officeDocument/2006/relationships/hyperlink" Target="https://fbref.com/en/squads/cff3d9bb/Chelsea-Stats" TargetMode="External"/><Relationship Id="rId76" Type="http://schemas.openxmlformats.org/officeDocument/2006/relationships/hyperlink" Target="https://fbref.com/en/players/defcfd32/matchlogs/2025-2026/misc/Max-Alleyne-Match-Logs" TargetMode="External"/><Relationship Id="rId1768" Type="http://schemas.openxmlformats.org/officeDocument/2006/relationships/hyperlink" Target="https://fbref.com/en/players/6a713852/matchlogs/2025-2026/misc/Robert-Sanchez-Match-Logs" TargetMode="External"/><Relationship Id="rId79" Type="http://schemas.openxmlformats.org/officeDocument/2006/relationships/hyperlink" Target="https://fbref.com/en/squads/943e8050/Burnley-Stats" TargetMode="External"/><Relationship Id="rId1769" Type="http://schemas.openxmlformats.org/officeDocument/2006/relationships/hyperlink" Target="https://fbref.com/en/players/dbf053da/Jadon-Sancho" TargetMode="External"/><Relationship Id="rId78" Type="http://schemas.openxmlformats.org/officeDocument/2006/relationships/hyperlink" Target="https://fbref.com/en/country/NED/Netherlands-Football" TargetMode="External"/><Relationship Id="rId71" Type="http://schemas.openxmlformats.org/officeDocument/2006/relationships/hyperlink" Target="https://fbref.com/en/squads/822bd0ba/Liverpool-Stats" TargetMode="External"/><Relationship Id="rId70" Type="http://schemas.openxmlformats.org/officeDocument/2006/relationships/hyperlink" Target="https://fbref.com/en/country/BRA/Brazil-Football" TargetMode="External"/><Relationship Id="rId1760" Type="http://schemas.openxmlformats.org/officeDocument/2006/relationships/hyperlink" Target="https://fbref.com/en/players/e342ad68/matchlogs/2025-2026/misc/Mohamed-Salah-Match-Logs" TargetMode="External"/><Relationship Id="rId1761" Type="http://schemas.openxmlformats.org/officeDocument/2006/relationships/hyperlink" Target="https://fbref.com/en/players/972aeb2a/William-Saliba" TargetMode="External"/><Relationship Id="rId1762" Type="http://schemas.openxmlformats.org/officeDocument/2006/relationships/hyperlink" Target="https://fbref.com/en/country/FRA/France-Football" TargetMode="External"/><Relationship Id="rId62" Type="http://schemas.openxmlformats.org/officeDocument/2006/relationships/hyperlink" Target="https://fbref.com/en/country/ARG/Argentina-Football" TargetMode="External"/><Relationship Id="rId1312" Type="http://schemas.openxmlformats.org/officeDocument/2006/relationships/hyperlink" Target="https://fbref.com/en/players/0e0102eb/matchlogs/2025-2026/misc/Omar-Marmoush-Match-Logs" TargetMode="External"/><Relationship Id="rId1796" Type="http://schemas.openxmlformats.org/officeDocument/2006/relationships/hyperlink" Target="https://fbref.com/en/players/e041497d/matchlogs/2025-2026/misc/Nicolo-Savona-Match-Logs" TargetMode="External"/><Relationship Id="rId61" Type="http://schemas.openxmlformats.org/officeDocument/2006/relationships/hyperlink" Target="https://fbref.com/en/players/4abac767/Carlos-Alcaraz" TargetMode="External"/><Relationship Id="rId1313" Type="http://schemas.openxmlformats.org/officeDocument/2006/relationships/hyperlink" Target="https://fbref.com/en/players/3a27f1bf/Callum-Marshall" TargetMode="External"/><Relationship Id="rId1797" Type="http://schemas.openxmlformats.org/officeDocument/2006/relationships/hyperlink" Target="https://fbref.com/en/players/242e5e6d/Oliver-Scarles" TargetMode="External"/><Relationship Id="rId64" Type="http://schemas.openxmlformats.org/officeDocument/2006/relationships/hyperlink" Target="https://fbref.com/en/players/4abac767/matchlogs/2025-2026/misc/Carlos-Alcaraz-Match-Logs" TargetMode="External"/><Relationship Id="rId1314" Type="http://schemas.openxmlformats.org/officeDocument/2006/relationships/hyperlink" Target="https://fbref.com/en/country/NIR/Northern-Ireland-Football" TargetMode="External"/><Relationship Id="rId1798" Type="http://schemas.openxmlformats.org/officeDocument/2006/relationships/hyperlink" Target="https://fbref.com/en/country/ENG/England-Football" TargetMode="External"/><Relationship Id="rId63" Type="http://schemas.openxmlformats.org/officeDocument/2006/relationships/hyperlink" Target="https://fbref.com/en/squads/d3fd31cc/Everton-Stats" TargetMode="External"/><Relationship Id="rId1315" Type="http://schemas.openxmlformats.org/officeDocument/2006/relationships/hyperlink" Target="https://fbref.com/en/squads/7c21e445/West-Ham-United-Stats" TargetMode="External"/><Relationship Id="rId1799" Type="http://schemas.openxmlformats.org/officeDocument/2006/relationships/hyperlink" Target="https://fbref.com/en/squads/7c21e445/West-Ham-United-Stats" TargetMode="External"/><Relationship Id="rId66" Type="http://schemas.openxmlformats.org/officeDocument/2006/relationships/hyperlink" Target="https://fbref.com/en/country/PAR/Paraguay-Football" TargetMode="External"/><Relationship Id="rId1316" Type="http://schemas.openxmlformats.org/officeDocument/2006/relationships/hyperlink" Target="https://fbref.com/en/players/3a27f1bf/matchlogs/2025-2026/misc/Callum-Marshall-Match-Logs" TargetMode="External"/><Relationship Id="rId65" Type="http://schemas.openxmlformats.org/officeDocument/2006/relationships/hyperlink" Target="https://fbref.com/en/players/bb08bce9/Omar-Alderete" TargetMode="External"/><Relationship Id="rId1317" Type="http://schemas.openxmlformats.org/officeDocument/2006/relationships/hyperlink" Target="https://fbref.com/en/players/48a5a5d6/Gabriel-Martinelli" TargetMode="External"/><Relationship Id="rId68" Type="http://schemas.openxmlformats.org/officeDocument/2006/relationships/hyperlink" Target="https://fbref.com/en/players/bb08bce9/matchlogs/2025-2026/misc/Omar-Alderete-Match-Logs" TargetMode="External"/><Relationship Id="rId1318" Type="http://schemas.openxmlformats.org/officeDocument/2006/relationships/hyperlink" Target="https://fbref.com/en/country/BRA/Brazil-Football" TargetMode="External"/><Relationship Id="rId67" Type="http://schemas.openxmlformats.org/officeDocument/2006/relationships/hyperlink" Target="https://fbref.com/en/squads/8ef52968/Sunderland-Stats" TargetMode="External"/><Relationship Id="rId1319" Type="http://schemas.openxmlformats.org/officeDocument/2006/relationships/hyperlink" Target="https://fbref.com/en/squads/18bb7c10/Arsenal-Stats" TargetMode="External"/><Relationship Id="rId729" Type="http://schemas.openxmlformats.org/officeDocument/2006/relationships/hyperlink" Target="https://fbref.com/en/players/10745192/Jamie-Gittens" TargetMode="External"/><Relationship Id="rId728" Type="http://schemas.openxmlformats.org/officeDocument/2006/relationships/hyperlink" Target="https://fbref.com/en/players/32f60ed8/matchlogs/2025-2026/misc/Morgan-Gibbs-White-Match-Logs" TargetMode="External"/><Relationship Id="rId60" Type="http://schemas.openxmlformats.org/officeDocument/2006/relationships/hyperlink" Target="https://fbref.com/en/players/eaeca114/matchlogs/2025-2026/misc/Nathan-Ake-Match-Logs" TargetMode="External"/><Relationship Id="rId723" Type="http://schemas.openxmlformats.org/officeDocument/2006/relationships/hyperlink" Target="https://fbref.com/en/squads/d3fd31cc/Everton-Stats" TargetMode="External"/><Relationship Id="rId722" Type="http://schemas.openxmlformats.org/officeDocument/2006/relationships/hyperlink" Target="https://fbref.com/en/country/ENG/England-Football" TargetMode="External"/><Relationship Id="rId721" Type="http://schemas.openxmlformats.org/officeDocument/2006/relationships/hyperlink" Target="https://fbref.com/en/players/e6f7797e/Tyrique-George" TargetMode="External"/><Relationship Id="rId720" Type="http://schemas.openxmlformats.org/officeDocument/2006/relationships/hyperlink" Target="https://fbref.com/en/players/e6f7797e/matchlogs/2025-2026/misc/Tyrique-George-Match-Logs" TargetMode="External"/><Relationship Id="rId727" Type="http://schemas.openxmlformats.org/officeDocument/2006/relationships/hyperlink" Target="https://fbref.com/en/squads/e4a775cb/Nottingham-Forest-Stats" TargetMode="External"/><Relationship Id="rId726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players/32f60ed8/Morgan-Gibbs-White" TargetMode="External"/><Relationship Id="rId724" Type="http://schemas.openxmlformats.org/officeDocument/2006/relationships/hyperlink" Target="https://fbref.com/en/players/e6f7797e/matchlogs/2025-2026/misc/Tyrique-George-Match-Logs" TargetMode="External"/><Relationship Id="rId69" Type="http://schemas.openxmlformats.org/officeDocument/2006/relationships/hyperlink" Target="https://fbref.com/en/players/7a2e46a8/Alisson" TargetMode="External"/><Relationship Id="rId1790" Type="http://schemas.openxmlformats.org/officeDocument/2006/relationships/hyperlink" Target="https://fbref.com/en/country/BRA/Brazil-Football" TargetMode="External"/><Relationship Id="rId1791" Type="http://schemas.openxmlformats.org/officeDocument/2006/relationships/hyperlink" Target="https://fbref.com/en/squads/b8fd03ef/Manchester-City-Stats" TargetMode="External"/><Relationship Id="rId1792" Type="http://schemas.openxmlformats.org/officeDocument/2006/relationships/hyperlink" Target="https://fbref.com/en/players/fe6e7156/matchlogs/2025-2026/misc/Savio-Match-Logs" TargetMode="External"/><Relationship Id="rId1793" Type="http://schemas.openxmlformats.org/officeDocument/2006/relationships/hyperlink" Target="https://fbref.com/en/players/e041497d/Nicolo-Savona" TargetMode="External"/><Relationship Id="rId1310" Type="http://schemas.openxmlformats.org/officeDocument/2006/relationships/hyperlink" Target="https://fbref.com/en/country/EGY/Egypt-Football" TargetMode="External"/><Relationship Id="rId1794" Type="http://schemas.openxmlformats.org/officeDocument/2006/relationships/hyperlink" Target="https://fbref.com/en/country/ITA/Italy-Football" TargetMode="External"/><Relationship Id="rId1311" Type="http://schemas.openxmlformats.org/officeDocument/2006/relationships/hyperlink" Target="https://fbref.com/en/squads/b8fd03ef/Manchester-City-Stats" TargetMode="External"/><Relationship Id="rId1795" Type="http://schemas.openxmlformats.org/officeDocument/2006/relationships/hyperlink" Target="https://fbref.com/en/squads/e4a775cb/Nottingham-Forest-Stats" TargetMode="External"/><Relationship Id="rId51" Type="http://schemas.openxmlformats.org/officeDocument/2006/relationships/hyperlink" Target="https://fbref.com/en/squads/b8fd03ef/Manchester-City-Stats" TargetMode="External"/><Relationship Id="rId1301" Type="http://schemas.openxmlformats.org/officeDocument/2006/relationships/hyperlink" Target="https://fbref.com/en/players/e8a55b80/Bendito-Mantato" TargetMode="External"/><Relationship Id="rId1785" Type="http://schemas.openxmlformats.org/officeDocument/2006/relationships/hyperlink" Target="https://fbref.com/en/players/61f80c89/Mamadou-Sarr" TargetMode="External"/><Relationship Id="rId50" Type="http://schemas.openxmlformats.org/officeDocument/2006/relationships/hyperlink" Target="https://fbref.com/en/country/ALG/Algeria-Football" TargetMode="External"/><Relationship Id="rId1302" Type="http://schemas.openxmlformats.org/officeDocument/2006/relationships/hyperlink" Target="https://fbref.com/en/country/ENG/England-Football" TargetMode="External"/><Relationship Id="rId1786" Type="http://schemas.openxmlformats.org/officeDocument/2006/relationships/hyperlink" Target="https://fbref.com/en/country/SEN/Senegal-Football" TargetMode="External"/><Relationship Id="rId53" Type="http://schemas.openxmlformats.org/officeDocument/2006/relationships/hyperlink" Target="https://fbref.com/en/players/a8c0acb7/Kristoffer-Ajer" TargetMode="External"/><Relationship Id="rId1303" Type="http://schemas.openxmlformats.org/officeDocument/2006/relationships/hyperlink" Target="https://fbref.com/en/squads/19538871/Manchester-United-Stats" TargetMode="External"/><Relationship Id="rId1787" Type="http://schemas.openxmlformats.org/officeDocument/2006/relationships/hyperlink" Target="https://fbref.com/en/squads/cff3d9bb/Chelsea-Stats" TargetMode="External"/><Relationship Id="rId52" Type="http://schemas.openxmlformats.org/officeDocument/2006/relationships/hyperlink" Target="https://fbref.com/en/players/9b398aea/matchlogs/2025-2026/misc/Rayan-Ait-Nouri-Match-Logs" TargetMode="External"/><Relationship Id="rId1304" Type="http://schemas.openxmlformats.org/officeDocument/2006/relationships/hyperlink" Target="https://fbref.com/en/players/e8a55b80/matchlogs/2025-2026/misc/Bendito-Mantato-Match-Logs" TargetMode="External"/><Relationship Id="rId1788" Type="http://schemas.openxmlformats.org/officeDocument/2006/relationships/hyperlink" Target="https://fbref.com/en/players/61f80c89/matchlogs/2025-2026/misc/Mamadou-Sarr-Match-Logs" TargetMode="External"/><Relationship Id="rId55" Type="http://schemas.openxmlformats.org/officeDocument/2006/relationships/hyperlink" Target="https://fbref.com/en/squads/cd051869/Brentford-Stats" TargetMode="External"/><Relationship Id="rId1305" Type="http://schemas.openxmlformats.org/officeDocument/2006/relationships/hyperlink" Target="https://fbref.com/en/players/bb5fbd2b/Solly-March" TargetMode="External"/><Relationship Id="rId1789" Type="http://schemas.openxmlformats.org/officeDocument/2006/relationships/hyperlink" Target="https://fbref.com/en/players/fe6e7156/Savio" TargetMode="External"/><Relationship Id="rId54" Type="http://schemas.openxmlformats.org/officeDocument/2006/relationships/hyperlink" Target="https://fbref.com/en/country/NOR/Norway-Football" TargetMode="External"/><Relationship Id="rId1306" Type="http://schemas.openxmlformats.org/officeDocument/2006/relationships/hyperlink" Target="https://fbref.com/en/country/ENG/England-Football" TargetMode="External"/><Relationship Id="rId57" Type="http://schemas.openxmlformats.org/officeDocument/2006/relationships/hyperlink" Target="https://fbref.com/en/players/eaeca114/Nathan-Ake" TargetMode="External"/><Relationship Id="rId1307" Type="http://schemas.openxmlformats.org/officeDocument/2006/relationships/hyperlink" Target="https://fbref.com/en/squads/d07537b9/Brighton-and-Hove-Albion-Stats" TargetMode="External"/><Relationship Id="rId56" Type="http://schemas.openxmlformats.org/officeDocument/2006/relationships/hyperlink" Target="https://fbref.com/en/players/a8c0acb7/matchlogs/2025-2026/misc/Kristoffer-Ajer-Match-Logs" TargetMode="External"/><Relationship Id="rId1308" Type="http://schemas.openxmlformats.org/officeDocument/2006/relationships/hyperlink" Target="https://fbref.com/en/players/bb5fbd2b/matchlogs/2025-2026/misc/Solly-March-Match-Logs" TargetMode="External"/><Relationship Id="rId1309" Type="http://schemas.openxmlformats.org/officeDocument/2006/relationships/hyperlink" Target="https://fbref.com/en/players/0e0102eb/Omar-Marmoush" TargetMode="External"/><Relationship Id="rId719" Type="http://schemas.openxmlformats.org/officeDocument/2006/relationships/hyperlink" Target="https://fbref.com/en/squads/cff3d9bb/Chelsea-Stats" TargetMode="External"/><Relationship Id="rId718" Type="http://schemas.openxmlformats.org/officeDocument/2006/relationships/hyperlink" Target="https://fbref.com/en/country/ENG/England-Football" TargetMode="External"/><Relationship Id="rId717" Type="http://schemas.openxmlformats.org/officeDocument/2006/relationships/hyperlink" Target="https://fbref.com/en/players/e6f7797e/Tyrique-George" TargetMode="External"/><Relationship Id="rId712" Type="http://schemas.openxmlformats.org/officeDocument/2006/relationships/hyperlink" Target="https://fbref.com/en/players/4e015693/matchlogs/2025-2026/misc/James-Garner-Match-Logs" TargetMode="External"/><Relationship Id="rId711" Type="http://schemas.openxmlformats.org/officeDocument/2006/relationships/hyperlink" Target="https://fbref.com/en/squads/d3fd31cc/Everton-Stats" TargetMode="External"/><Relationship Id="rId710" Type="http://schemas.openxmlformats.org/officeDocument/2006/relationships/hyperlink" Target="https://fbref.com/en/country/ENG/England-Football" TargetMode="External"/><Relationship Id="rId716" Type="http://schemas.openxmlformats.org/officeDocument/2006/relationships/hyperlink" Target="https://fbref.com/en/players/242e1043/matchlogs/2025-2026/misc/Lutsharel-Geertruida-Match-Logs" TargetMode="External"/><Relationship Id="rId715" Type="http://schemas.openxmlformats.org/officeDocument/2006/relationships/hyperlink" Target="https://fbref.com/en/squads/8ef52968/Sunderland-Stats" TargetMode="External"/><Relationship Id="rId714" Type="http://schemas.openxmlformats.org/officeDocument/2006/relationships/hyperlink" Target="https://fbref.com/en/country/NED/Netherlands-Football" TargetMode="External"/><Relationship Id="rId713" Type="http://schemas.openxmlformats.org/officeDocument/2006/relationships/hyperlink" Target="https://fbref.com/en/players/242e1043/Lutsharel-Geertruida" TargetMode="External"/><Relationship Id="rId59" Type="http://schemas.openxmlformats.org/officeDocument/2006/relationships/hyperlink" Target="https://fbref.com/en/squads/b8fd03ef/Manchester-City-Stats" TargetMode="External"/><Relationship Id="rId58" Type="http://schemas.openxmlformats.org/officeDocument/2006/relationships/hyperlink" Target="https://fbref.com/en/country/NED/Netherlands-Football" TargetMode="External"/><Relationship Id="rId1780" Type="http://schemas.openxmlformats.org/officeDocument/2006/relationships/hyperlink" Target="https://fbref.com/en/players/dd745366/matchlogs/2025-2026/misc/Andrey-Santos-Match-Logs" TargetMode="External"/><Relationship Id="rId1781" Type="http://schemas.openxmlformats.org/officeDocument/2006/relationships/hyperlink" Target="https://fbref.com/en/players/bfdb33aa/Ismaila-Sarr" TargetMode="External"/><Relationship Id="rId1782" Type="http://schemas.openxmlformats.org/officeDocument/2006/relationships/hyperlink" Target="https://fbref.com/en/country/SEN/Senegal-Football" TargetMode="External"/><Relationship Id="rId1783" Type="http://schemas.openxmlformats.org/officeDocument/2006/relationships/hyperlink" Target="https://fbref.com/en/squads/47c64c55/Crystal-Palace-Stats" TargetMode="External"/><Relationship Id="rId1300" Type="http://schemas.openxmlformats.org/officeDocument/2006/relationships/hyperlink" Target="https://fbref.com/en/players/c15cb409/matchlogs/2025-2026/misc/Mateus-Mane-Match-Logs" TargetMode="External"/><Relationship Id="rId1784" Type="http://schemas.openxmlformats.org/officeDocument/2006/relationships/hyperlink" Target="https://fbref.com/en/players/bfdb33aa/matchlogs/2025-2026/misc/Ismaila-Sarr-Match-Logs" TargetMode="External"/><Relationship Id="rId349" Type="http://schemas.openxmlformats.org/officeDocument/2006/relationships/hyperlink" Target="https://fbref.com/en/players/2389cdc2/Matty-Cash" TargetMode="External"/><Relationship Id="rId348" Type="http://schemas.openxmlformats.org/officeDocument/2006/relationships/hyperlink" Target="https://fbref.com/en/players/4d224fe8/matchlogs/2025-2026/misc/Casemiro-Match-Logs" TargetMode="External"/><Relationship Id="rId347" Type="http://schemas.openxmlformats.org/officeDocument/2006/relationships/hyperlink" Target="https://fbref.com/en/squads/19538871/Manchester-United-Stats" TargetMode="External"/><Relationship Id="rId346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966e28d0/Fabio-Carvalho" TargetMode="External"/><Relationship Id="rId340" Type="http://schemas.openxmlformats.org/officeDocument/2006/relationships/hyperlink" Target="https://fbref.com/en/players/702812fe/matchlogs/2025-2026/misc/Rio-Cardines-Match-Logs" TargetMode="External"/><Relationship Id="rId345" Type="http://schemas.openxmlformats.org/officeDocument/2006/relationships/hyperlink" Target="https://fbref.com/en/players/4d224fe8/Casemiro" TargetMode="External"/><Relationship Id="rId344" Type="http://schemas.openxmlformats.org/officeDocument/2006/relationships/hyperlink" Target="https://fbref.com/en/players/966e28d0/matchlogs/2025-2026/misc/Fabio-Carvalho-Match-Logs" TargetMode="External"/><Relationship Id="rId343" Type="http://schemas.openxmlformats.org/officeDocument/2006/relationships/hyperlink" Target="https://fbref.com/en/squads/cd051869/Brentford-Stats" TargetMode="External"/><Relationship Id="rId342" Type="http://schemas.openxmlformats.org/officeDocument/2006/relationships/hyperlink" Target="https://fbref.com/en/country/POR/Portugal-Football" TargetMode="External"/><Relationship Id="rId338" Type="http://schemas.openxmlformats.org/officeDocument/2006/relationships/hyperlink" Target="https://fbref.com/en/country/TRI/Trinidad-and-Tobago-Football" TargetMode="External"/><Relationship Id="rId337" Type="http://schemas.openxmlformats.org/officeDocument/2006/relationships/hyperlink" Target="https://fbref.com/en/players/702812fe/Rio-Cardines" TargetMode="External"/><Relationship Id="rId336" Type="http://schemas.openxmlformats.org/officeDocument/2006/relationships/hyperlink" Target="https://fbref.com/en/players/3684108d/matchlogs/2025-2026/misc/Jaydee-Canvot-Match-Logs" TargetMode="External"/><Relationship Id="rId335" Type="http://schemas.openxmlformats.org/officeDocument/2006/relationships/hyperlink" Target="https://fbref.com/en/squads/47c64c55/Crystal-Palace-Stats" TargetMode="External"/><Relationship Id="rId339" Type="http://schemas.openxmlformats.org/officeDocument/2006/relationships/hyperlink" Target="https://fbref.com/en/squads/47c64c55/Crystal-Palace-Stats" TargetMode="External"/><Relationship Id="rId330" Type="http://schemas.openxmlformats.org/officeDocument/2006/relationships/hyperlink" Target="https://fbref.com/en/country/ENG/England-Football" TargetMode="External"/><Relationship Id="rId334" Type="http://schemas.openxmlformats.org/officeDocument/2006/relationships/hyperlink" Target="https://fbref.com/en/country/FRA/France-Football" TargetMode="External"/><Relationship Id="rId333" Type="http://schemas.openxmlformats.org/officeDocument/2006/relationships/hyperlink" Target="https://fbref.com/en/players/3684108d/Jaydee-Canvot" TargetMode="External"/><Relationship Id="rId332" Type="http://schemas.openxmlformats.org/officeDocument/2006/relationships/hyperlink" Target="https://fbref.com/en/players/59e6e5bf/matchlogs/2025-2026/misc/Dominic-Calvert-Lewin-Match-Logs" TargetMode="External"/><Relationship Id="rId331" Type="http://schemas.openxmlformats.org/officeDocument/2006/relationships/hyperlink" Target="https://fbref.com/en/squads/5bfb9659/Leeds-United-Stats" TargetMode="External"/><Relationship Id="rId370" Type="http://schemas.openxmlformats.org/officeDocument/2006/relationships/hyperlink" Target="https://fbref.com/en/country/ITA/Italy-Football" TargetMode="External"/><Relationship Id="rId369" Type="http://schemas.openxmlformats.org/officeDocument/2006/relationships/hyperlink" Target="https://fbref.com/en/players/b0f7e36c/Federico-Chiesa" TargetMode="External"/><Relationship Id="rId368" Type="http://schemas.openxmlformats.org/officeDocument/2006/relationships/hyperlink" Target="https://fbref.com/en/players/b34c63a5/matchlogs/2025-2026/misc/Rayan-Cherki-Match-Logs" TargetMode="External"/><Relationship Id="rId363" Type="http://schemas.openxmlformats.org/officeDocument/2006/relationships/hyperlink" Target="https://fbref.com/en/squads/cff3d9bb/Chelsea-Stats" TargetMode="External"/><Relationship Id="rId362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5515376c/Trevoh-Chalobah" TargetMode="External"/><Relationship Id="rId360" Type="http://schemas.openxmlformats.org/officeDocument/2006/relationships/hyperlink" Target="https://fbref.com/en/players/da76bab4/matchlogs/2025-2026/misc/Valentin-Castellanos-Match-Logs" TargetMode="External"/><Relationship Id="rId367" Type="http://schemas.openxmlformats.org/officeDocument/2006/relationships/hyperlink" Target="https://fbref.com/en/squads/b8fd03ef/Manchester-City-Stats" TargetMode="External"/><Relationship Id="rId366" Type="http://schemas.openxmlformats.org/officeDocument/2006/relationships/hyperlink" Target="https://fbref.com/en/country/FRA/France-Football" TargetMode="External"/><Relationship Id="rId365" Type="http://schemas.openxmlformats.org/officeDocument/2006/relationships/hyperlink" Target="https://fbref.com/en/players/b34c63a5/Rayan-Cherki" TargetMode="External"/><Relationship Id="rId364" Type="http://schemas.openxmlformats.org/officeDocument/2006/relationships/hyperlink" Target="https://fbref.com/en/players/5515376c/matchlogs/2025-2026/misc/Trevoh-Chalobah-Match-Logs" TargetMode="External"/><Relationship Id="rId95" Type="http://schemas.openxmlformats.org/officeDocument/2006/relationships/hyperlink" Target="https://fbref.com/en/squads/e4a775cb/Nottingham-Forest-Stats" TargetMode="External"/><Relationship Id="rId94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ec604e2c/Andre" TargetMode="External"/><Relationship Id="rId96" Type="http://schemas.openxmlformats.org/officeDocument/2006/relationships/hyperlink" Target="https://fbref.com/en/players/de31038e/matchlogs/2025-2026/misc/Elliot-Anderson-Match-Logs" TargetMode="External"/><Relationship Id="rId99" Type="http://schemas.openxmlformats.org/officeDocument/2006/relationships/hyperlink" Target="https://fbref.com/en/squads/8cec06e1/Wolverhampton-Wanderers-Stats" TargetMode="External"/><Relationship Id="rId98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fd962109/Fulham-Stats" TargetMode="External"/><Relationship Id="rId90" Type="http://schemas.openxmlformats.org/officeDocument/2006/relationships/hyperlink" Target="https://fbref.com/en/country/DEN/Denmark-Football" TargetMode="External"/><Relationship Id="rId93" Type="http://schemas.openxmlformats.org/officeDocument/2006/relationships/hyperlink" Target="https://fbref.com/en/players/de31038e/Elliot-Anderson" TargetMode="External"/><Relationship Id="rId92" Type="http://schemas.openxmlformats.org/officeDocument/2006/relationships/hyperlink" Target="https://fbref.com/en/players/e34fc66d/matchlogs/2025-2026/misc/Joachim-Andersen-Match-Logs" TargetMode="External"/><Relationship Id="rId359" Type="http://schemas.openxmlformats.org/officeDocument/2006/relationships/hyperlink" Target="https://fbref.com/en/squads/7c21e445/West-Ham-United-Stats" TargetMode="External"/><Relationship Id="rId358" Type="http://schemas.openxmlformats.org/officeDocument/2006/relationships/hyperlink" Target="https://fbref.com/en/country/ARG/Argentina-Football" TargetMode="External"/><Relationship Id="rId357" Type="http://schemas.openxmlformats.org/officeDocument/2006/relationships/hyperlink" Target="https://fbref.com/en/players/da76bab4/Valentin-Castellanos" TargetMode="External"/><Relationship Id="rId352" Type="http://schemas.openxmlformats.org/officeDocument/2006/relationships/hyperlink" Target="https://fbref.com/en/players/2389cdc2/matchlogs/2025-2026/misc/Matty-Cash-Match-Logs" TargetMode="External"/><Relationship Id="rId351" Type="http://schemas.openxmlformats.org/officeDocument/2006/relationships/hyperlink" Target="https://fbref.com/en/squads/8602292d/Aston-Villa-Stats" TargetMode="External"/><Relationship Id="rId350" Type="http://schemas.openxmlformats.org/officeDocument/2006/relationships/hyperlink" Target="https://fbref.com/en/country/POL/Poland-Football" TargetMode="External"/><Relationship Id="rId356" Type="http://schemas.openxmlformats.org/officeDocument/2006/relationships/hyperlink" Target="https://fbref.com/en/players/197640fd/matchlogs/2025-2026/misc/Timothy-Castagne-Match-Logs" TargetMode="External"/><Relationship Id="rId355" Type="http://schemas.openxmlformats.org/officeDocument/2006/relationships/hyperlink" Target="https://fbref.com/en/squads/fd962109/Fulham-Stats" TargetMode="External"/><Relationship Id="rId354" Type="http://schemas.openxmlformats.org/officeDocument/2006/relationships/hyperlink" Target="https://fbref.com/en/country/BEL/Belgium-Football" TargetMode="External"/><Relationship Id="rId353" Type="http://schemas.openxmlformats.org/officeDocument/2006/relationships/hyperlink" Target="https://fbref.com/en/players/197640fd/Timothy-Castagne" TargetMode="External"/><Relationship Id="rId1378" Type="http://schemas.openxmlformats.org/officeDocument/2006/relationships/hyperlink" Target="https://fbref.com/en/country/ESP/Spain-Football" TargetMode="External"/><Relationship Id="rId1379" Type="http://schemas.openxmlformats.org/officeDocument/2006/relationships/hyperlink" Target="https://fbref.com/en/squads/18bb7c10/Arsenal-Stats" TargetMode="External"/><Relationship Id="rId305" Type="http://schemas.openxmlformats.org/officeDocument/2006/relationships/hyperlink" Target="https://fbref.com/en/players/802ee5ca/Bradley-Burrowes" TargetMode="External"/><Relationship Id="rId789" Type="http://schemas.openxmlformats.org/officeDocument/2006/relationships/hyperlink" Target="https://fbref.com/en/players/1fc4f3d1/Ilia-Gruev" TargetMode="External"/><Relationship Id="rId304" Type="http://schemas.openxmlformats.org/officeDocument/2006/relationships/hyperlink" Target="https://fbref.com/en/players/b2d31e83/matchlogs/2025-2026/misc/Dan-Burn-Match-Logs" TargetMode="External"/><Relationship Id="rId788" Type="http://schemas.openxmlformats.org/officeDocument/2006/relationships/hyperlink" Target="https://fbref.com/en/players/ae9b998d/matchlogs/2025-2026/misc/Brajan-Gruda-Match-Logs" TargetMode="External"/><Relationship Id="rId303" Type="http://schemas.openxmlformats.org/officeDocument/2006/relationships/hyperlink" Target="https://fbref.com/en/squads/b2b47a98/Newcastle-United-Stats" TargetMode="External"/><Relationship Id="rId787" Type="http://schemas.openxmlformats.org/officeDocument/2006/relationships/hyperlink" Target="https://fbref.com/en/squads/d07537b9/Brighton-and-Hove-Albion-Stats" TargetMode="External"/><Relationship Id="rId302" Type="http://schemas.openxmlformats.org/officeDocument/2006/relationships/hyperlink" Target="https://fbref.com/en/country/ENG/England-Football" TargetMode="External"/><Relationship Id="rId786" Type="http://schemas.openxmlformats.org/officeDocument/2006/relationships/hyperlink" Target="https://fbref.com/en/country/GER/Germany-Football" TargetMode="External"/><Relationship Id="rId309" Type="http://schemas.openxmlformats.org/officeDocument/2006/relationships/hyperlink" Target="https://fbref.com/en/players/0312881b/Junai-Byfield" TargetMode="External"/><Relationship Id="rId308" Type="http://schemas.openxmlformats.org/officeDocument/2006/relationships/hyperlink" Target="https://fbref.com/en/players/802ee5ca/matchlogs/2025-2026/misc/Bradley-Burrowes-Match-Logs" TargetMode="External"/><Relationship Id="rId307" Type="http://schemas.openxmlformats.org/officeDocument/2006/relationships/hyperlink" Target="https://fbref.com/en/squads/8602292d/Aston-Villa-Stats" TargetMode="External"/><Relationship Id="rId306" Type="http://schemas.openxmlformats.org/officeDocument/2006/relationships/hyperlink" Target="https://fbref.com/en/country/ENG/England-Football" TargetMode="External"/><Relationship Id="rId781" Type="http://schemas.openxmlformats.org/officeDocument/2006/relationships/hyperlink" Target="https://fbref.com/en/players/8aec0537/Pascal-Gross" TargetMode="External"/><Relationship Id="rId1370" Type="http://schemas.openxmlformats.org/officeDocument/2006/relationships/hyperlink" Target="https://fbref.com/en/country/ENG/England-Football" TargetMode="External"/><Relationship Id="rId780" Type="http://schemas.openxmlformats.org/officeDocument/2006/relationships/hyperlink" Target="https://fbref.com/en/players/b0b4fd3e/matchlogs/2025-2026/misc/Jack-Grealish-Match-Logs" TargetMode="External"/><Relationship Id="rId1371" Type="http://schemas.openxmlformats.org/officeDocument/2006/relationships/hyperlink" Target="https://fbref.com/en/squads/d3fd31cc/Everton-Stats" TargetMode="External"/><Relationship Id="rId1372" Type="http://schemas.openxmlformats.org/officeDocument/2006/relationships/hyperlink" Target="https://fbref.com/en/players/fc15fb84/matchlogs/2025-2026/misc/Dwight-McNeil-Match-Logs" TargetMode="External"/><Relationship Id="rId1373" Type="http://schemas.openxmlformats.org/officeDocument/2006/relationships/hyperlink" Target="https://fbref.com/en/players/ca22ccb0/Hannibal-Mejbri" TargetMode="External"/><Relationship Id="rId301" Type="http://schemas.openxmlformats.org/officeDocument/2006/relationships/hyperlink" Target="https://fbref.com/en/players/b2d31e83/Dan-Burn" TargetMode="External"/><Relationship Id="rId785" Type="http://schemas.openxmlformats.org/officeDocument/2006/relationships/hyperlink" Target="https://fbref.com/en/players/ae9b998d/Brajan-Gruda" TargetMode="External"/><Relationship Id="rId1374" Type="http://schemas.openxmlformats.org/officeDocument/2006/relationships/hyperlink" Target="https://fbref.com/en/country/TUN/Tunisia-Football" TargetMode="External"/><Relationship Id="rId300" Type="http://schemas.openxmlformats.org/officeDocument/2006/relationships/hyperlink" Target="https://fbref.com/en/players/468a7a91/matchlogs/2025-2026/misc/Facundo-Buonanotte-Match-Logs" TargetMode="External"/><Relationship Id="rId784" Type="http://schemas.openxmlformats.org/officeDocument/2006/relationships/hyperlink" Target="https://fbref.com/en/players/8aec0537/matchlogs/2025-2026/misc/Pascal-Gross-Match-Logs" TargetMode="External"/><Relationship Id="rId1375" Type="http://schemas.openxmlformats.org/officeDocument/2006/relationships/hyperlink" Target="https://fbref.com/en/squads/943e8050/Burnley-Stats" TargetMode="External"/><Relationship Id="rId783" Type="http://schemas.openxmlformats.org/officeDocument/2006/relationships/hyperlink" Target="https://fbref.com/en/squads/d07537b9/Brighton-and-Hove-Albion-Stats" TargetMode="External"/><Relationship Id="rId1376" Type="http://schemas.openxmlformats.org/officeDocument/2006/relationships/hyperlink" Target="https://fbref.com/en/players/ca22ccb0/matchlogs/2025-2026/misc/Hannibal-Mejbri-Match-Logs" TargetMode="External"/><Relationship Id="rId782" Type="http://schemas.openxmlformats.org/officeDocument/2006/relationships/hyperlink" Target="https://fbref.com/en/country/GER/Germany-Football" TargetMode="External"/><Relationship Id="rId1377" Type="http://schemas.openxmlformats.org/officeDocument/2006/relationships/hyperlink" Target="https://fbref.com/en/players/d080ed5e/Mikel-Merino" TargetMode="External"/><Relationship Id="rId1367" Type="http://schemas.openxmlformats.org/officeDocument/2006/relationships/hyperlink" Target="https://fbref.com/en/squads/8602292d/Aston-Villa-Stats" TargetMode="External"/><Relationship Id="rId1368" Type="http://schemas.openxmlformats.org/officeDocument/2006/relationships/hyperlink" Target="https://fbref.com/en/players/90f91999/matchlogs/2025-2026/misc/John-McGinn-Match-Logs" TargetMode="External"/><Relationship Id="rId1369" Type="http://schemas.openxmlformats.org/officeDocument/2006/relationships/hyperlink" Target="https://fbref.com/en/players/fc15fb84/Dwight-McNeil" TargetMode="External"/><Relationship Id="rId778" Type="http://schemas.openxmlformats.org/officeDocument/2006/relationships/hyperlink" Target="https://fbref.com/en/country/ENG/England-Football" TargetMode="External"/><Relationship Id="rId777" Type="http://schemas.openxmlformats.org/officeDocument/2006/relationships/hyperlink" Target="https://fbref.com/en/players/b0b4fd3e/Jack-Grealish" TargetMode="External"/><Relationship Id="rId776" Type="http://schemas.openxmlformats.org/officeDocument/2006/relationships/hyperlink" Target="https://fbref.com/en/players/f58515f5/matchlogs/2025-2026/misc/Archie-Gray-Match-Logs" TargetMode="External"/><Relationship Id="rId775" Type="http://schemas.openxmlformats.org/officeDocument/2006/relationships/hyperlink" Target="https://fbref.com/en/squads/361ca564/Tottenham-Hotspur-Stats" TargetMode="External"/><Relationship Id="rId779" Type="http://schemas.openxmlformats.org/officeDocument/2006/relationships/hyperlink" Target="https://fbref.com/en/squads/d3fd31cc/Everton-Stats" TargetMode="External"/><Relationship Id="rId770" Type="http://schemas.openxmlformats.org/officeDocument/2006/relationships/hyperlink" Target="https://fbref.com/en/country/NED/Netherlands-Football" TargetMode="External"/><Relationship Id="rId1360" Type="http://schemas.openxmlformats.org/officeDocument/2006/relationships/hyperlink" Target="https://fbref.com/en/players/6afaebf2/matchlogs/2025-2026/misc/Bryan-Mbeumo-Match-Logs" TargetMode="External"/><Relationship Id="rId1361" Type="http://schemas.openxmlformats.org/officeDocument/2006/relationships/hyperlink" Target="https://fbref.com/en/players/96593e89/James-Mcatee" TargetMode="External"/><Relationship Id="rId1362" Type="http://schemas.openxmlformats.org/officeDocument/2006/relationships/hyperlink" Target="https://fbref.com/en/country/ENG/England-Football" TargetMode="External"/><Relationship Id="rId774" Type="http://schemas.openxmlformats.org/officeDocument/2006/relationships/hyperlink" Target="https://fbref.com/en/country/ENG/England-Football" TargetMode="External"/><Relationship Id="rId1363" Type="http://schemas.openxmlformats.org/officeDocument/2006/relationships/hyperlink" Target="https://fbref.com/en/squads/e4a775cb/Nottingham-Forest-Stats" TargetMode="External"/><Relationship Id="rId773" Type="http://schemas.openxmlformats.org/officeDocument/2006/relationships/hyperlink" Target="https://fbref.com/en/players/f58515f5/Archie-Gray" TargetMode="External"/><Relationship Id="rId1364" Type="http://schemas.openxmlformats.org/officeDocument/2006/relationships/hyperlink" Target="https://fbref.com/en/players/96593e89/matchlogs/2025-2026/misc/James-Mcatee-Match-Logs" TargetMode="External"/><Relationship Id="rId772" Type="http://schemas.openxmlformats.org/officeDocument/2006/relationships/hyperlink" Target="https://fbref.com/en/players/b8e740fb/matchlogs/2025-2026/misc/Ryan-Gravenberch-Match-Logs" TargetMode="External"/><Relationship Id="rId1365" Type="http://schemas.openxmlformats.org/officeDocument/2006/relationships/hyperlink" Target="https://fbref.com/en/players/90f91999/John-McGinn" TargetMode="External"/><Relationship Id="rId771" Type="http://schemas.openxmlformats.org/officeDocument/2006/relationships/hyperlink" Target="https://fbref.com/en/squads/822bd0ba/Liverpool-Stats" TargetMode="External"/><Relationship Id="rId1366" Type="http://schemas.openxmlformats.org/officeDocument/2006/relationships/hyperlink" Target="https://fbref.com/en/country/SCO/Scotland-Football" TargetMode="External"/><Relationship Id="rId327" Type="http://schemas.openxmlformats.org/officeDocument/2006/relationships/hyperlink" Target="https://fbref.com/en/squads/18bb7c10/Arsenal-Stats" TargetMode="External"/><Relationship Id="rId326" Type="http://schemas.openxmlformats.org/officeDocument/2006/relationships/hyperlink" Target="https://fbref.com/en/country/ITA/Italy-Football" TargetMode="External"/><Relationship Id="rId325" Type="http://schemas.openxmlformats.org/officeDocument/2006/relationships/hyperlink" Target="https://fbref.com/en/players/aded8e6f/Riccardo-Calafiori" TargetMode="External"/><Relationship Id="rId324" Type="http://schemas.openxmlformats.org/officeDocument/2006/relationships/hyperlink" Target="https://fbref.com/en/players/a8748947/matchlogs/2025-2026/misc/Tom-Cairney-Match-Logs" TargetMode="External"/><Relationship Id="rId329" Type="http://schemas.openxmlformats.org/officeDocument/2006/relationships/hyperlink" Target="https://fbref.com/en/players/59e6e5bf/Dominic-Calvert-Lewin" TargetMode="External"/><Relationship Id="rId1390" Type="http://schemas.openxmlformats.org/officeDocument/2006/relationships/hyperlink" Target="https://fbref.com/en/country/SRB/Serbia-Football" TargetMode="External"/><Relationship Id="rId328" Type="http://schemas.openxmlformats.org/officeDocument/2006/relationships/hyperlink" Target="https://fbref.com/en/players/aded8e6f/matchlogs/2025-2026/misc/Riccardo-Calafiori-Match-Logs" TargetMode="External"/><Relationship Id="rId1391" Type="http://schemas.openxmlformats.org/officeDocument/2006/relationships/hyperlink" Target="https://fbref.com/en/squads/e4a775cb/Nottingham-Forest-Stats" TargetMode="External"/><Relationship Id="rId1392" Type="http://schemas.openxmlformats.org/officeDocument/2006/relationships/hyperlink" Target="https://fbref.com/en/players/bee704fc/matchlogs/2025-2026/misc/Nikola-Milenkovic-Match-Logs" TargetMode="External"/><Relationship Id="rId1393" Type="http://schemas.openxmlformats.org/officeDocument/2006/relationships/hyperlink" Target="https://fbref.com/en/players/2c6835e5/Lewis-Miley" TargetMode="External"/><Relationship Id="rId1394" Type="http://schemas.openxmlformats.org/officeDocument/2006/relationships/hyperlink" Target="https://fbref.com/en/country/ENG/England-Football" TargetMode="External"/><Relationship Id="rId1395" Type="http://schemas.openxmlformats.org/officeDocument/2006/relationships/hyperlink" Target="https://fbref.com/en/squads/b2b47a98/Newcastle-United-Stats" TargetMode="External"/><Relationship Id="rId323" Type="http://schemas.openxmlformats.org/officeDocument/2006/relationships/hyperlink" Target="https://fbref.com/en/squads/fd962109/Fulham-Stats" TargetMode="External"/><Relationship Id="rId1396" Type="http://schemas.openxmlformats.org/officeDocument/2006/relationships/hyperlink" Target="https://fbref.com/en/players/2c6835e5/matchlogs/2025-2026/misc/Lewis-Miley-Match-Logs" TargetMode="External"/><Relationship Id="rId322" Type="http://schemas.openxmlformats.org/officeDocument/2006/relationships/hyperlink" Target="https://fbref.com/en/country/SCO/Scotland-Football" TargetMode="External"/><Relationship Id="rId1397" Type="http://schemas.openxmlformats.org/officeDocument/2006/relationships/hyperlink" Target="https://fbref.com/en/players/2f90f6b8/James-Milner" TargetMode="External"/><Relationship Id="rId321" Type="http://schemas.openxmlformats.org/officeDocument/2006/relationships/hyperlink" Target="https://fbref.com/en/players/a8748947/Tom-Cairney" TargetMode="External"/><Relationship Id="rId1398" Type="http://schemas.openxmlformats.org/officeDocument/2006/relationships/hyperlink" Target="https://fbref.com/en/country/ENG/England-Football" TargetMode="External"/><Relationship Id="rId320" Type="http://schemas.openxmlformats.org/officeDocument/2006/relationships/hyperlink" Target="https://fbref.com/en/players/16264a81/matchlogs/2025-2026/misc/Moises-Caicedo-Match-Logs" TargetMode="External"/><Relationship Id="rId1399" Type="http://schemas.openxmlformats.org/officeDocument/2006/relationships/hyperlink" Target="https://fbref.com/en/squads/d07537b9/Brighton-and-Hove-Albion-Stats" TargetMode="External"/><Relationship Id="rId1389" Type="http://schemas.openxmlformats.org/officeDocument/2006/relationships/hyperlink" Target="https://fbref.com/en/players/bee704fc/Nikola-Milenkovic" TargetMode="External"/><Relationship Id="rId316" Type="http://schemas.openxmlformats.org/officeDocument/2006/relationships/hyperlink" Target="https://fbref.com/en/players/1bf811d4/matchlogs/2025-2026/misc/Sam-Byram-Match-Logs" TargetMode="External"/><Relationship Id="rId315" Type="http://schemas.openxmlformats.org/officeDocument/2006/relationships/hyperlink" Target="https://fbref.com/en/squads/5bfb9659/Leeds-United-Stats" TargetMode="External"/><Relationship Id="rId799" Type="http://schemas.openxmlformats.org/officeDocument/2006/relationships/hyperlink" Target="https://fbref.com/en/squads/47c64c55/Crystal-Palace-Stats" TargetMode="External"/><Relationship Id="rId314" Type="http://schemas.openxmlformats.org/officeDocument/2006/relationships/hyperlink" Target="https://fbref.com/en/country/ENG/England-Football" TargetMode="External"/><Relationship Id="rId798" Type="http://schemas.openxmlformats.org/officeDocument/2006/relationships/hyperlink" Target="https://fbref.com/en/country/ENG/England-Football" TargetMode="External"/><Relationship Id="rId313" Type="http://schemas.openxmlformats.org/officeDocument/2006/relationships/hyperlink" Target="https://fbref.com/en/players/1bf811d4/Sam-Byram" TargetMode="External"/><Relationship Id="rId797" Type="http://schemas.openxmlformats.org/officeDocument/2006/relationships/hyperlink" Target="https://fbref.com/en/players/d0706b27/Marc-Guehi" TargetMode="External"/><Relationship Id="rId319" Type="http://schemas.openxmlformats.org/officeDocument/2006/relationships/hyperlink" Target="https://fbref.com/en/squads/cff3d9bb/Chelsea-Stats" TargetMode="External"/><Relationship Id="rId318" Type="http://schemas.openxmlformats.org/officeDocument/2006/relationships/hyperlink" Target="https://fbref.com/en/country/ECU/Ecuador-Football" TargetMode="External"/><Relationship Id="rId317" Type="http://schemas.openxmlformats.org/officeDocument/2006/relationships/hyperlink" Target="https://fbref.com/en/players/16264a81/Moises-Caicedo" TargetMode="External"/><Relationship Id="rId1380" Type="http://schemas.openxmlformats.org/officeDocument/2006/relationships/hyperlink" Target="https://fbref.com/en/players/d080ed5e/matchlogs/2025-2026/misc/Mikel-Merino-Match-Logs" TargetMode="External"/><Relationship Id="rId792" Type="http://schemas.openxmlformats.org/officeDocument/2006/relationships/hyperlink" Target="https://fbref.com/en/players/1fc4f3d1/matchlogs/2025-2026/misc/Ilia-Gruev-Match-Logs" TargetMode="External"/><Relationship Id="rId1381" Type="http://schemas.openxmlformats.org/officeDocument/2006/relationships/hyperlink" Target="https://fbref.com/en/players/43d0b694/Shumaira-Mheuka" TargetMode="External"/><Relationship Id="rId791" Type="http://schemas.openxmlformats.org/officeDocument/2006/relationships/hyperlink" Target="https://fbref.com/en/squads/5bfb9659/Leeds-United-Stats" TargetMode="External"/><Relationship Id="rId1382" Type="http://schemas.openxmlformats.org/officeDocument/2006/relationships/hyperlink" Target="https://fbref.com/en/country/ENG/England-Football" TargetMode="External"/><Relationship Id="rId790" Type="http://schemas.openxmlformats.org/officeDocument/2006/relationships/hyperlink" Target="https://fbref.com/en/country/BUL/Bulgaria-Football" TargetMode="External"/><Relationship Id="rId1383" Type="http://schemas.openxmlformats.org/officeDocument/2006/relationships/hyperlink" Target="https://fbref.com/en/squads/cff3d9bb/Chelsea-Stats" TargetMode="External"/><Relationship Id="rId1384" Type="http://schemas.openxmlformats.org/officeDocument/2006/relationships/hyperlink" Target="https://fbref.com/en/players/43d0b694/matchlogs/2025-2026/misc/Shumaira-Mheuka-Match-Logs" TargetMode="External"/><Relationship Id="rId312" Type="http://schemas.openxmlformats.org/officeDocument/2006/relationships/hyperlink" Target="https://fbref.com/en/players/0312881b/matchlogs/2025-2026/misc/Junai-Byfield-Match-Logs" TargetMode="External"/><Relationship Id="rId796" Type="http://schemas.openxmlformats.org/officeDocument/2006/relationships/hyperlink" Target="https://fbref.com/en/players/d5d22a58/matchlogs/2025-2026/misc/Gabriel-Gudmundsson-Match-Logs" TargetMode="External"/><Relationship Id="rId1385" Type="http://schemas.openxmlformats.org/officeDocument/2006/relationships/hyperlink" Target="https://fbref.com/en/players/b05f4787/Antoni-Milambo" TargetMode="External"/><Relationship Id="rId311" Type="http://schemas.openxmlformats.org/officeDocument/2006/relationships/hyperlink" Target="https://fbref.com/en/squads/361ca564/Tottenham-Hotspur-Stats" TargetMode="External"/><Relationship Id="rId795" Type="http://schemas.openxmlformats.org/officeDocument/2006/relationships/hyperlink" Target="https://fbref.com/en/squads/5bfb9659/Leeds-United-Stats" TargetMode="External"/><Relationship Id="rId1386" Type="http://schemas.openxmlformats.org/officeDocument/2006/relationships/hyperlink" Target="https://fbref.com/en/country/NED/Netherlands-Football" TargetMode="External"/><Relationship Id="rId310" Type="http://schemas.openxmlformats.org/officeDocument/2006/relationships/hyperlink" Target="https://fbref.com/en/country/ENG/England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squads/cd051869/Brentford-Stats" TargetMode="External"/><Relationship Id="rId793" Type="http://schemas.openxmlformats.org/officeDocument/2006/relationships/hyperlink" Target="https://fbref.com/en/players/d5d22a58/Gabriel-Gudmundsson" TargetMode="External"/><Relationship Id="rId1388" Type="http://schemas.openxmlformats.org/officeDocument/2006/relationships/hyperlink" Target="https://fbref.com/en/players/b05f4787/matchlogs/2025-2026/misc/Antoni-Milambo-Match-Logs" TargetMode="External"/><Relationship Id="rId297" Type="http://schemas.openxmlformats.org/officeDocument/2006/relationships/hyperlink" Target="https://fbref.com/en/players/468a7a91/Facundo-Buonanotte" TargetMode="External"/><Relationship Id="rId296" Type="http://schemas.openxmlformats.org/officeDocument/2006/relationships/hyperlink" Target="https://fbref.com/en/players/468a7a91/matchlogs/2025-2026/misc/Facundo-Buonanotte-Match-Logs" TargetMode="External"/><Relationship Id="rId295" Type="http://schemas.openxmlformats.org/officeDocument/2006/relationships/hyperlink" Target="https://fbref.com/en/squads/cff3d9bb/Chelsea-Stats" TargetMode="External"/><Relationship Id="rId294" Type="http://schemas.openxmlformats.org/officeDocument/2006/relationships/hyperlink" Target="https://fbref.com/en/country/ARG/Argentina-Football" TargetMode="External"/><Relationship Id="rId299" Type="http://schemas.openxmlformats.org/officeDocument/2006/relationships/hyperlink" Target="https://fbref.com/en/squads/5bfb9659/Leeds-United-Stats" TargetMode="External"/><Relationship Id="rId298" Type="http://schemas.openxmlformats.org/officeDocument/2006/relationships/hyperlink" Target="https://fbref.com/en/country/ARG/Argentina-Football" TargetMode="External"/><Relationship Id="rId271" Type="http://schemas.openxmlformats.org/officeDocument/2006/relationships/hyperlink" Target="https://fbref.com/en/squads/943e8050/Burnley-Stats" TargetMode="External"/><Relationship Id="rId270" Type="http://schemas.openxmlformats.org/officeDocument/2006/relationships/hyperlink" Target="https://fbref.com/en/country/ALB/Albania-Football" TargetMode="External"/><Relationship Id="rId269" Type="http://schemas.openxmlformats.org/officeDocument/2006/relationships/hyperlink" Target="https://fbref.com/en/players/97220da2/Armando-Broja" TargetMode="External"/><Relationship Id="rId264" Type="http://schemas.openxmlformats.org/officeDocument/2006/relationships/hyperlink" Target="https://fbref.com/en/players/c1949191/matchlogs/2025-2026/misc/Jarrad-Branthwaite-Match-Logs" TargetMode="External"/><Relationship Id="rId263" Type="http://schemas.openxmlformats.org/officeDocument/2006/relationships/hyperlink" Target="https://fbref.com/en/squads/d3fd31cc/Everton-Stats" TargetMode="External"/><Relationship Id="rId262" Type="http://schemas.openxmlformats.org/officeDocument/2006/relationships/hyperlink" Target="https://fbref.com/en/country/ENG/England-Football" TargetMode="External"/><Relationship Id="rId261" Type="http://schemas.openxmlformats.org/officeDocument/2006/relationships/hyperlink" Target="https://fbref.com/en/players/c1949191/Jarrad-Branthwaite" TargetMode="External"/><Relationship Id="rId268" Type="http://schemas.openxmlformats.org/officeDocument/2006/relationships/hyperlink" Target="https://fbref.com/en/players/4c184730/matchlogs/2025-2026/misc/Brian-Brobbey-Match-Logs" TargetMode="External"/><Relationship Id="rId267" Type="http://schemas.openxmlformats.org/officeDocument/2006/relationships/hyperlink" Target="https://fbref.com/en/squads/8ef52968/Sunderland-Stats" TargetMode="External"/><Relationship Id="rId266" Type="http://schemas.openxmlformats.org/officeDocument/2006/relationships/hyperlink" Target="https://fbref.com/en/country/NED/Netherlands-Football" TargetMode="External"/><Relationship Id="rId265" Type="http://schemas.openxmlformats.org/officeDocument/2006/relationships/hyperlink" Target="https://fbref.com/en/players/4c184730/Brian-Brobbey" TargetMode="External"/><Relationship Id="rId260" Type="http://schemas.openxmlformats.org/officeDocument/2006/relationships/hyperlink" Target="https://fbref.com/en/players/bbd67769/matchlogs/2025-2026/misc/Conor-Bradley-Match-Logs" TargetMode="External"/><Relationship Id="rId259" Type="http://schemas.openxmlformats.org/officeDocument/2006/relationships/hyperlink" Target="https://fbref.com/en/squads/822bd0ba/Liverpool-Stats" TargetMode="External"/><Relationship Id="rId258" Type="http://schemas.openxmlformats.org/officeDocument/2006/relationships/hyperlink" Target="https://fbref.com/en/country/NIR/Northern-Ireland-Football" TargetMode="External"/><Relationship Id="rId253" Type="http://schemas.openxmlformats.org/officeDocument/2006/relationships/hyperlink" Target="https://fbref.com/en/players/79c84d1c/Jarrod-Bowen" TargetMode="External"/><Relationship Id="rId252" Type="http://schemas.openxmlformats.org/officeDocument/2006/relationships/hyperlink" Target="https://fbref.com/en/players/ccce7025/matchlogs/2025-2026/misc/Sven-Botman-Match-Logs" TargetMode="External"/><Relationship Id="rId251" Type="http://schemas.openxmlformats.org/officeDocument/2006/relationships/hyperlink" Target="https://fbref.com/en/squads/b2b47a98/Newcastle-United-Stats" TargetMode="External"/><Relationship Id="rId250" Type="http://schemas.openxmlformats.org/officeDocument/2006/relationships/hyperlink" Target="https://fbref.com/en/country/NED/Netherlands-Football" TargetMode="External"/><Relationship Id="rId257" Type="http://schemas.openxmlformats.org/officeDocument/2006/relationships/hyperlink" Target="https://fbref.com/en/players/bbd67769/Conor-Bradley" TargetMode="External"/><Relationship Id="rId256" Type="http://schemas.openxmlformats.org/officeDocument/2006/relationships/hyperlink" Target="https://fbref.com/en/players/79c84d1c/matchlogs/2025-2026/misc/Jarrod-Bowen-Match-Logs" TargetMode="External"/><Relationship Id="rId255" Type="http://schemas.openxmlformats.org/officeDocument/2006/relationships/hyperlink" Target="https://fbref.com/en/squads/7c21e445/West-Ham-United-Stats" TargetMode="External"/><Relationship Id="rId254" Type="http://schemas.openxmlformats.org/officeDocument/2006/relationships/hyperlink" Target="https://fbref.com/en/country/ENG/England-Football" TargetMode="External"/><Relationship Id="rId293" Type="http://schemas.openxmlformats.org/officeDocument/2006/relationships/hyperlink" Target="https://fbref.com/en/players/468a7a91/Facundo-Buonanotte" TargetMode="External"/><Relationship Id="rId292" Type="http://schemas.openxmlformats.org/officeDocument/2006/relationships/hyperlink" Target="https://fbref.com/en/players/edc98fac/matchlogs/2025-2026/misc/Santiago-Bueno-Match-Logs" TargetMode="External"/><Relationship Id="rId291" Type="http://schemas.openxmlformats.org/officeDocument/2006/relationships/hyperlink" Target="https://fbref.com/en/squads/8cec06e1/Wolverhampton-Wanderers-Stats" TargetMode="External"/><Relationship Id="rId290" Type="http://schemas.openxmlformats.org/officeDocument/2006/relationships/hyperlink" Target="https://fbref.com/en/country/URU/Uruguay-Football" TargetMode="External"/><Relationship Id="rId286" Type="http://schemas.openxmlformats.org/officeDocument/2006/relationships/hyperlink" Target="https://fbref.com/en/country/ESP/Spain-Football" TargetMode="External"/><Relationship Id="rId285" Type="http://schemas.openxmlformats.org/officeDocument/2006/relationships/hyperlink" Target="https://fbref.com/en/players/bfc3b3a0/Hugo-Bueno" TargetMode="External"/><Relationship Id="rId284" Type="http://schemas.openxmlformats.org/officeDocument/2006/relationships/hyperlink" Target="https://fbref.com/en/players/66b76d44/matchlogs/2025-2026/misc/Emi-Buendia-Match-Logs" TargetMode="External"/><Relationship Id="rId283" Type="http://schemas.openxmlformats.org/officeDocument/2006/relationships/hyperlink" Target="https://fbref.com/en/squads/8602292d/Aston-Villa-Stats" TargetMode="External"/><Relationship Id="rId289" Type="http://schemas.openxmlformats.org/officeDocument/2006/relationships/hyperlink" Target="https://fbref.com/en/players/edc98fac/Santiago-Bueno" TargetMode="External"/><Relationship Id="rId288" Type="http://schemas.openxmlformats.org/officeDocument/2006/relationships/hyperlink" Target="https://fbref.com/en/players/bfc3b3a0/matchlogs/2025-2026/misc/Hugo-Bueno-Match-Logs" TargetMode="External"/><Relationship Id="rId287" Type="http://schemas.openxmlformats.org/officeDocument/2006/relationships/hyperlink" Target="https://fbref.com/en/squads/8cec06e1/Wolverhampton-Wanderers-Stats" TargetMode="External"/><Relationship Id="rId282" Type="http://schemas.openxmlformats.org/officeDocument/2006/relationships/hyperlink" Target="https://fbref.com/en/country/ARG/Argentina-Football" TargetMode="External"/><Relationship Id="rId281" Type="http://schemas.openxmlformats.org/officeDocument/2006/relationships/hyperlink" Target="https://fbref.com/en/players/66b76d44/Emi-Buendia" TargetMode="External"/><Relationship Id="rId280" Type="http://schemas.openxmlformats.org/officeDocument/2006/relationships/hyperlink" Target="https://fbref.com/en/players/4e204552/matchlogs/2025-2026/misc/Jacob-Bruun-Larsen-Match-Logs" TargetMode="External"/><Relationship Id="rId275" Type="http://schemas.openxmlformats.org/officeDocument/2006/relationships/hyperlink" Target="https://fbref.com/en/squads/4ba7cbea/Bournemouth-Stats" TargetMode="External"/><Relationship Id="rId274" Type="http://schemas.openxmlformats.org/officeDocument/2006/relationships/hyperlink" Target="https://fbref.com/en/country/WAL/Wales-Football" TargetMode="External"/><Relationship Id="rId273" Type="http://schemas.openxmlformats.org/officeDocument/2006/relationships/hyperlink" Target="https://fbref.com/en/players/dc4cae05/David-Brooks" TargetMode="External"/><Relationship Id="rId272" Type="http://schemas.openxmlformats.org/officeDocument/2006/relationships/hyperlink" Target="https://fbref.com/en/players/97220da2/matchlogs/2025-2026/misc/Armando-Broja-Match-Logs" TargetMode="External"/><Relationship Id="rId279" Type="http://schemas.openxmlformats.org/officeDocument/2006/relationships/hyperlink" Target="https://fbref.com/en/squads/943e8050/Burnley-Stats" TargetMode="External"/><Relationship Id="rId278" Type="http://schemas.openxmlformats.org/officeDocument/2006/relationships/hyperlink" Target="https://fbref.com/en/country/DEN/Denmark-Football" TargetMode="External"/><Relationship Id="rId277" Type="http://schemas.openxmlformats.org/officeDocument/2006/relationships/hyperlink" Target="https://fbref.com/en/players/4e204552/Jacob-Bruun-Larsen" TargetMode="External"/><Relationship Id="rId276" Type="http://schemas.openxmlformats.org/officeDocument/2006/relationships/hyperlink" Target="https://fbref.com/en/players/dc4cae05/matchlogs/2025-2026/misc/David-Brooks-Match-Logs" TargetMode="External"/><Relationship Id="rId1851" Type="http://schemas.openxmlformats.org/officeDocument/2006/relationships/hyperlink" Target="https://fbref.com/en/squads/b8fd03ef/Manchester-City-Stats" TargetMode="External"/><Relationship Id="rId1852" Type="http://schemas.openxmlformats.org/officeDocument/2006/relationships/hyperlink" Target="https://fbref.com/en/players/3eb22ec9/matchlogs/2025-2026/misc/Bernardo-Silva-Match-Logs" TargetMode="External"/><Relationship Id="rId1853" Type="http://schemas.openxmlformats.org/officeDocument/2006/relationships/hyperlink" Target="https://fbref.com/en/players/4d77e622/Jota-Silva" TargetMode="External"/><Relationship Id="rId1854" Type="http://schemas.openxmlformats.org/officeDocument/2006/relationships/hyperlink" Target="https://fbref.com/en/country/POR/Portugal-Football" TargetMode="External"/><Relationship Id="rId1855" Type="http://schemas.openxmlformats.org/officeDocument/2006/relationships/hyperlink" Target="https://fbref.com/en/squads/e4a775cb/Nottingham-Forest-Stats" TargetMode="External"/><Relationship Id="rId1856" Type="http://schemas.openxmlformats.org/officeDocument/2006/relationships/hyperlink" Target="https://fbref.com/en/players/4d77e622/matchlogs/2025-2026/misc/Jota-Silva-Match-Logs" TargetMode="External"/><Relationship Id="rId1857" Type="http://schemas.openxmlformats.org/officeDocument/2006/relationships/hyperlink" Target="https://fbref.com/en/players/da4d670f/Xavi-Simons" TargetMode="External"/><Relationship Id="rId1858" Type="http://schemas.openxmlformats.org/officeDocument/2006/relationships/hyperlink" Target="https://fbref.com/en/country/NED/Netherlands-Football" TargetMode="External"/><Relationship Id="rId1859" Type="http://schemas.openxmlformats.org/officeDocument/2006/relationships/hyperlink" Target="https://fbref.com/en/squads/361ca564/Tottenham-Hotspur-Stats" TargetMode="External"/><Relationship Id="rId1850" Type="http://schemas.openxmlformats.org/officeDocument/2006/relationships/hyperlink" Target="https://fbref.com/en/country/POR/Portugal-Football" TargetMode="External"/><Relationship Id="rId1840" Type="http://schemas.openxmlformats.org/officeDocument/2006/relationships/hyperlink" Target="https://fbref.com/en/players/3260690c/matchlogs/2025-2026/misc/Benjamin-Sesko-Match-Logs" TargetMode="External"/><Relationship Id="rId1841" Type="http://schemas.openxmlformats.org/officeDocument/2006/relationships/hyperlink" Target="https://fbref.com/en/players/6aa3e78b/Ryan-Sessegnon" TargetMode="External"/><Relationship Id="rId1842" Type="http://schemas.openxmlformats.org/officeDocument/2006/relationships/hyperlink" Target="https://fbref.com/en/country/ENG/England-Football" TargetMode="External"/><Relationship Id="rId1843" Type="http://schemas.openxmlformats.org/officeDocument/2006/relationships/hyperlink" Target="https://fbref.com/en/squads/fd962109/Fulham-Stats" TargetMode="External"/><Relationship Id="rId1844" Type="http://schemas.openxmlformats.org/officeDocument/2006/relationships/hyperlink" Target="https://fbref.com/en/players/6aa3e78b/matchlogs/2025-2026/misc/Ryan-Sessegnon-Match-Logs" TargetMode="External"/><Relationship Id="rId1845" Type="http://schemas.openxmlformats.org/officeDocument/2006/relationships/hyperlink" Target="https://fbref.com/en/players/9c94165b/Luke-Shaw" TargetMode="External"/><Relationship Id="rId1846" Type="http://schemas.openxmlformats.org/officeDocument/2006/relationships/hyperlink" Target="https://fbref.com/en/country/ENG/England-Football" TargetMode="External"/><Relationship Id="rId1847" Type="http://schemas.openxmlformats.org/officeDocument/2006/relationships/hyperlink" Target="https://fbref.com/en/squads/19538871/Manchester-United-Stats" TargetMode="External"/><Relationship Id="rId1848" Type="http://schemas.openxmlformats.org/officeDocument/2006/relationships/hyperlink" Target="https://fbref.com/en/players/9c94165b/matchlogs/2025-2026/misc/Luke-Shaw-Match-Logs" TargetMode="External"/><Relationship Id="rId1849" Type="http://schemas.openxmlformats.org/officeDocument/2006/relationships/hyperlink" Target="https://fbref.com/en/players/3eb22ec9/Bernardo-Silva" TargetMode="External"/><Relationship Id="rId1873" Type="http://schemas.openxmlformats.org/officeDocument/2006/relationships/hyperlink" Target="https://fbref.com/en/players/98c8559a/Julio-Soler" TargetMode="External"/><Relationship Id="rId1874" Type="http://schemas.openxmlformats.org/officeDocument/2006/relationships/hyperlink" Target="https://fbref.com/en/country/ARG/Argentina-Football" TargetMode="External"/><Relationship Id="rId1875" Type="http://schemas.openxmlformats.org/officeDocument/2006/relationships/hyperlink" Target="https://fbref.com/en/squads/4ba7cbea/Bournemouth-Stats" TargetMode="External"/><Relationship Id="rId1876" Type="http://schemas.openxmlformats.org/officeDocument/2006/relationships/hyperlink" Target="https://fbref.com/en/players/98c8559a/matchlogs/2025-2026/misc/Julio-Soler-Match-Logs" TargetMode="External"/><Relationship Id="rId1877" Type="http://schemas.openxmlformats.org/officeDocument/2006/relationships/hyperlink" Target="https://fbref.com/en/players/b66b8d5e/Oliver-Sonne" TargetMode="External"/><Relationship Id="rId1878" Type="http://schemas.openxmlformats.org/officeDocument/2006/relationships/hyperlink" Target="https://fbref.com/en/country/PER/Peru-Football" TargetMode="External"/><Relationship Id="rId1879" Type="http://schemas.openxmlformats.org/officeDocument/2006/relationships/hyperlink" Target="https://fbref.com/en/squads/943e8050/Burnley-Stats" TargetMode="External"/><Relationship Id="rId1870" Type="http://schemas.openxmlformats.org/officeDocument/2006/relationships/hyperlink" Target="https://fbref.com/en/country/ENG/England-Football" TargetMode="External"/><Relationship Id="rId1871" Type="http://schemas.openxmlformats.org/officeDocument/2006/relationships/hyperlink" Target="https://fbref.com/en/squads/361ca564/Tottenham-Hotspur-Stats" TargetMode="External"/><Relationship Id="rId1872" Type="http://schemas.openxmlformats.org/officeDocument/2006/relationships/hyperlink" Target="https://fbref.com/en/players/e77dc3b2/matchlogs/2025-2026/misc/Dominic-Solanke-Match-Logs" TargetMode="External"/><Relationship Id="rId1862" Type="http://schemas.openxmlformats.org/officeDocument/2006/relationships/hyperlink" Target="https://fbref.com/en/country/ENG/England-Football" TargetMode="External"/><Relationship Id="rId1863" Type="http://schemas.openxmlformats.org/officeDocument/2006/relationships/hyperlink" Target="https://fbref.com/en/squads/4ba7cbea/Bournemouth-Stats" TargetMode="External"/><Relationship Id="rId1864" Type="http://schemas.openxmlformats.org/officeDocument/2006/relationships/hyperlink" Target="https://fbref.com/en/players/20b104bc/matchlogs/2025-2026/misc/Adam-Smith-Match-Logs" TargetMode="External"/><Relationship Id="rId1865" Type="http://schemas.openxmlformats.org/officeDocument/2006/relationships/hyperlink" Target="https://fbref.com/en/players/17695062/Emile-Smith-Rowe" TargetMode="External"/><Relationship Id="rId1866" Type="http://schemas.openxmlformats.org/officeDocument/2006/relationships/hyperlink" Target="https://fbref.com/en/country/ENG/England-Football" TargetMode="External"/><Relationship Id="rId1867" Type="http://schemas.openxmlformats.org/officeDocument/2006/relationships/hyperlink" Target="https://fbref.com/en/squads/fd962109/Fulham-Stats" TargetMode="External"/><Relationship Id="rId1868" Type="http://schemas.openxmlformats.org/officeDocument/2006/relationships/hyperlink" Target="https://fbref.com/en/players/17695062/matchlogs/2025-2026/misc/Emile-Smith-Rowe-Match-Logs" TargetMode="External"/><Relationship Id="rId1869" Type="http://schemas.openxmlformats.org/officeDocument/2006/relationships/hyperlink" Target="https://fbref.com/en/players/e77dc3b2/Dominic-Solanke" TargetMode="External"/><Relationship Id="rId1860" Type="http://schemas.openxmlformats.org/officeDocument/2006/relationships/hyperlink" Target="https://fbref.com/en/players/da4d670f/matchlogs/2025-2026/misc/Xavi-Simons-Match-Logs" TargetMode="External"/><Relationship Id="rId1861" Type="http://schemas.openxmlformats.org/officeDocument/2006/relationships/hyperlink" Target="https://fbref.com/en/players/20b104bc/Adam-Smith" TargetMode="External"/><Relationship Id="rId1810" Type="http://schemas.openxmlformats.org/officeDocument/2006/relationships/hyperlink" Target="https://fbref.com/en/country/SUI/Switzerland-Football" TargetMode="External"/><Relationship Id="rId1811" Type="http://schemas.openxmlformats.org/officeDocument/2006/relationships/hyperlink" Target="https://fbref.com/en/squads/b2b47a98/Newcastle-United-Stats" TargetMode="External"/><Relationship Id="rId1812" Type="http://schemas.openxmlformats.org/officeDocument/2006/relationships/hyperlink" Target="https://fbref.com/en/players/c8aa95da/matchlogs/2025-2026/misc/Fabian-Schar-Match-Logs" TargetMode="External"/><Relationship Id="rId1813" Type="http://schemas.openxmlformats.org/officeDocument/2006/relationships/hyperlink" Target="https://fbref.com/en/players/104d0bb8/Alex-Scott" TargetMode="External"/><Relationship Id="rId1814" Type="http://schemas.openxmlformats.org/officeDocument/2006/relationships/hyperlink" Target="https://fbref.com/en/country/ENG/England-Football" TargetMode="External"/><Relationship Id="rId1815" Type="http://schemas.openxmlformats.org/officeDocument/2006/relationships/hyperlink" Target="https://fbref.com/en/squads/4ba7cbea/Bournemouth-Stats" TargetMode="External"/><Relationship Id="rId1816" Type="http://schemas.openxmlformats.org/officeDocument/2006/relationships/hyperlink" Target="https://fbref.com/en/players/104d0bb8/matchlogs/2025-2026/misc/Alex-Scott-Match-Logs" TargetMode="External"/><Relationship Id="rId1817" Type="http://schemas.openxmlformats.org/officeDocument/2006/relationships/hyperlink" Target="https://fbref.com/en/players/ec75ee25/Jenson-Seelt" TargetMode="External"/><Relationship Id="rId1818" Type="http://schemas.openxmlformats.org/officeDocument/2006/relationships/hyperlink" Target="https://fbref.com/en/country/NED/Netherlands-Football" TargetMode="External"/><Relationship Id="rId1819" Type="http://schemas.openxmlformats.org/officeDocument/2006/relationships/hyperlink" Target="https://fbref.com/en/squads/8ef52968/Sunderland-Stats" TargetMode="External"/><Relationship Id="rId1800" Type="http://schemas.openxmlformats.org/officeDocument/2006/relationships/hyperlink" Target="https://fbref.com/en/players/242e5e6d/matchlogs/2025-2026/misc/Oliver-Scarles-Match-Logs" TargetMode="External"/><Relationship Id="rId1801" Type="http://schemas.openxmlformats.org/officeDocument/2006/relationships/hyperlink" Target="https://fbref.com/en/players/21945a9e/Dane-Scarlett" TargetMode="External"/><Relationship Id="rId1802" Type="http://schemas.openxmlformats.org/officeDocument/2006/relationships/hyperlink" Target="https://fbref.com/en/country/ENG/England-Football" TargetMode="External"/><Relationship Id="rId1803" Type="http://schemas.openxmlformats.org/officeDocument/2006/relationships/hyperlink" Target="https://fbref.com/en/squads/361ca564/Tottenham-Hotspur-Stats" TargetMode="External"/><Relationship Id="rId1804" Type="http://schemas.openxmlformats.org/officeDocument/2006/relationships/hyperlink" Target="https://fbref.com/en/players/21945a9e/matchlogs/2025-2026/misc/Dane-Scarlett-Match-Logs" TargetMode="External"/><Relationship Id="rId1805" Type="http://schemas.openxmlformats.org/officeDocument/2006/relationships/hyperlink" Target="https://fbref.com/en/players/52afb588/Kevin-Schade" TargetMode="External"/><Relationship Id="rId1806" Type="http://schemas.openxmlformats.org/officeDocument/2006/relationships/hyperlink" Target="https://fbref.com/en/country/GER/Germany-Football" TargetMode="External"/><Relationship Id="rId1807" Type="http://schemas.openxmlformats.org/officeDocument/2006/relationships/hyperlink" Target="https://fbref.com/en/squads/cd051869/Brentford-Stats" TargetMode="External"/><Relationship Id="rId1808" Type="http://schemas.openxmlformats.org/officeDocument/2006/relationships/hyperlink" Target="https://fbref.com/en/players/52afb588/matchlogs/2025-2026/misc/Kevin-Schade-Match-Logs" TargetMode="External"/><Relationship Id="rId1809" Type="http://schemas.openxmlformats.org/officeDocument/2006/relationships/hyperlink" Target="https://fbref.com/en/players/c8aa95da/Fabian-Schar" TargetMode="External"/><Relationship Id="rId1830" Type="http://schemas.openxmlformats.org/officeDocument/2006/relationships/hyperlink" Target="https://fbref.com/en/country/GHA/Ghana-Football" TargetMode="External"/><Relationship Id="rId1831" Type="http://schemas.openxmlformats.org/officeDocument/2006/relationships/hyperlink" Target="https://fbref.com/en/squads/4ba7cbea/Bournemouth-Stats" TargetMode="External"/><Relationship Id="rId1832" Type="http://schemas.openxmlformats.org/officeDocument/2006/relationships/hyperlink" Target="https://fbref.com/en/players/efd2ec23/matchlogs/2025-2026/misc/Antoine-Semenyo-Match-Logs" TargetMode="External"/><Relationship Id="rId1833" Type="http://schemas.openxmlformats.org/officeDocument/2006/relationships/hyperlink" Target="https://fbref.com/en/players/35141f4c/Marcos-Senesi" TargetMode="External"/><Relationship Id="rId1834" Type="http://schemas.openxmlformats.org/officeDocument/2006/relationships/hyperlink" Target="https://fbref.com/en/country/ARG/Argentina-Football" TargetMode="External"/><Relationship Id="rId1835" Type="http://schemas.openxmlformats.org/officeDocument/2006/relationships/hyperlink" Target="https://fbref.com/en/squads/4ba7cbea/Bournemouth-Stats" TargetMode="External"/><Relationship Id="rId1836" Type="http://schemas.openxmlformats.org/officeDocument/2006/relationships/hyperlink" Target="https://fbref.com/en/players/35141f4c/matchlogs/2025-2026/misc/Marcos-Senesi-Match-Logs" TargetMode="External"/><Relationship Id="rId1837" Type="http://schemas.openxmlformats.org/officeDocument/2006/relationships/hyperlink" Target="https://fbref.com/en/players/3260690c/Benjamin-Sesko" TargetMode="External"/><Relationship Id="rId1838" Type="http://schemas.openxmlformats.org/officeDocument/2006/relationships/hyperlink" Target="https://fbref.com/en/country/SVN/Slovenia-Football" TargetMode="External"/><Relationship Id="rId1839" Type="http://schemas.openxmlformats.org/officeDocument/2006/relationships/hyperlink" Target="https://fbref.com/en/squads/19538871/Manchester-United-Stats" TargetMode="External"/><Relationship Id="rId1820" Type="http://schemas.openxmlformats.org/officeDocument/2006/relationships/hyperlink" Target="https://fbref.com/en/players/ec75ee25/matchlogs/2025-2026/misc/Jenson-Seelt-Match-Logs" TargetMode="External"/><Relationship Id="rId1821" Type="http://schemas.openxmlformats.org/officeDocument/2006/relationships/hyperlink" Target="https://fbref.com/en/players/834b5c4c/Matz-Sels" TargetMode="External"/><Relationship Id="rId1822" Type="http://schemas.openxmlformats.org/officeDocument/2006/relationships/hyperlink" Target="https://fbref.com/en/country/BEL/Belgium-Football" TargetMode="External"/><Relationship Id="rId1823" Type="http://schemas.openxmlformats.org/officeDocument/2006/relationships/hyperlink" Target="https://fbref.com/en/squads/e4a775cb/Nottingham-Forest-Stats" TargetMode="External"/><Relationship Id="rId1824" Type="http://schemas.openxmlformats.org/officeDocument/2006/relationships/hyperlink" Target="https://fbref.com/en/players/834b5c4c/matchlogs/2025-2026/misc/Matz-Sels-Match-Logs" TargetMode="External"/><Relationship Id="rId1825" Type="http://schemas.openxmlformats.org/officeDocument/2006/relationships/hyperlink" Target="https://fbref.com/en/players/efd2ec23/Antoine-Semenyo" TargetMode="External"/><Relationship Id="rId1826" Type="http://schemas.openxmlformats.org/officeDocument/2006/relationships/hyperlink" Target="https://fbref.com/en/country/GHA/Ghana-Football" TargetMode="External"/><Relationship Id="rId1827" Type="http://schemas.openxmlformats.org/officeDocument/2006/relationships/hyperlink" Target="https://fbref.com/en/squads/b8fd03ef/Manchester-City-Stats" TargetMode="External"/><Relationship Id="rId1828" Type="http://schemas.openxmlformats.org/officeDocument/2006/relationships/hyperlink" Target="https://fbref.com/en/players/efd2ec23/matchlogs/2025-2026/misc/Antoine-Semenyo-Match-Logs" TargetMode="External"/><Relationship Id="rId1829" Type="http://schemas.openxmlformats.org/officeDocument/2006/relationships/hyperlink" Target="https://fbref.com/en/players/efd2ec23/Antoine-Semenyo" TargetMode="External"/><Relationship Id="rId1455" Type="http://schemas.openxmlformats.org/officeDocument/2006/relationships/hyperlink" Target="https://fbref.com/en/squads/fd962109/Fulham-Stats" TargetMode="External"/><Relationship Id="rId1456" Type="http://schemas.openxmlformats.org/officeDocument/2006/relationships/hyperlink" Target="https://fbref.com/en/players/a755db8c/matchlogs/2025-2026/misc/Rodrigo-Muniz-Match-Logs" TargetMode="External"/><Relationship Id="rId1457" Type="http://schemas.openxmlformats.org/officeDocument/2006/relationships/hyperlink" Target="https://fbref.com/en/players/778ef829/Daniel-Munoz" TargetMode="External"/><Relationship Id="rId1458" Type="http://schemas.openxmlformats.org/officeDocument/2006/relationships/hyperlink" Target="https://fbref.com/en/country/COL/Colombia-Football" TargetMode="External"/><Relationship Id="rId1459" Type="http://schemas.openxmlformats.org/officeDocument/2006/relationships/hyperlink" Target="https://fbref.com/en/squads/47c64c55/Crystal-Palace-Stats" TargetMode="External"/><Relationship Id="rId629" Type="http://schemas.openxmlformats.org/officeDocument/2006/relationships/hyperlink" Target="https://fbref.com/en/players/ae4fc6a4/Eberechi-Eze" TargetMode="External"/><Relationship Id="rId624" Type="http://schemas.openxmlformats.org/officeDocument/2006/relationships/hyperlink" Target="https://fbref.com/en/players/6f3cc2fe/matchlogs/2025-2026/misc/Evanilson-Match-Logs" TargetMode="External"/><Relationship Id="rId623" Type="http://schemas.openxmlformats.org/officeDocument/2006/relationships/hyperlink" Target="https://fbref.com/en/squads/4ba7cbea/Bournemouth-Stats" TargetMode="External"/><Relationship Id="rId622" Type="http://schemas.openxmlformats.org/officeDocument/2006/relationships/hyperlink" Target="https://fbref.com/en/country/BRA/Brazil-Football" TargetMode="External"/><Relationship Id="rId621" Type="http://schemas.openxmlformats.org/officeDocument/2006/relationships/hyperlink" Target="https://fbref.com/en/players/6f3cc2fe/Evanilson" TargetMode="External"/><Relationship Id="rId628" Type="http://schemas.openxmlformats.org/officeDocument/2006/relationships/hyperlink" Target="https://fbref.com/en/players/ae4fc6a4/matchlogs/2025-2026/misc/Eberechi-Eze-Match-Logs" TargetMode="External"/><Relationship Id="rId627" Type="http://schemas.openxmlformats.org/officeDocument/2006/relationships/hyperlink" Target="https://fbref.com/en/squads/47c64c55/Crystal-Palace-Stats" TargetMode="External"/><Relationship Id="rId626" Type="http://schemas.openxmlformats.org/officeDocument/2006/relationships/hyperlink" Target="https://fbref.com/en/country/ENG/England-Football" TargetMode="External"/><Relationship Id="rId625" Type="http://schemas.openxmlformats.org/officeDocument/2006/relationships/hyperlink" Target="https://fbref.com/en/players/ae4fc6a4/Eberechi-Eze" TargetMode="External"/><Relationship Id="rId1450" Type="http://schemas.openxmlformats.org/officeDocument/2006/relationships/hyperlink" Target="https://fbref.com/en/country/ZIM/Zimbabwe-Football" TargetMode="External"/><Relationship Id="rId620" Type="http://schemas.openxmlformats.org/officeDocument/2006/relationships/hyperlink" Target="https://fbref.com/en/players/1a066e69/matchlogs/2025-2026/misc/Maxime-Esteve-Match-Logs" TargetMode="External"/><Relationship Id="rId1451" Type="http://schemas.openxmlformats.org/officeDocument/2006/relationships/hyperlink" Target="https://fbref.com/en/squads/8cec06e1/Wolverhampton-Wanderers-Stats" TargetMode="External"/><Relationship Id="rId1452" Type="http://schemas.openxmlformats.org/officeDocument/2006/relationships/hyperlink" Target="https://fbref.com/en/players/2acf0cd7/matchlogs/2025-2026/misc/Marshall-Munetsi-Match-Logs" TargetMode="External"/><Relationship Id="rId1453" Type="http://schemas.openxmlformats.org/officeDocument/2006/relationships/hyperlink" Target="https://fbref.com/en/players/a755db8c/Rodrigo-Muniz" TargetMode="External"/><Relationship Id="rId1454" Type="http://schemas.openxmlformats.org/officeDocument/2006/relationships/hyperlink" Target="https://fbref.com/en/country/BRA/Brazil-Football" TargetMode="External"/><Relationship Id="rId1444" Type="http://schemas.openxmlformats.org/officeDocument/2006/relationships/hyperlink" Target="https://fbref.com/en/players/ac73ec79/matchlogs/2025-2026/misc/Nordi-Mukiele-Match-Logs" TargetMode="External"/><Relationship Id="rId1445" Type="http://schemas.openxmlformats.org/officeDocument/2006/relationships/hyperlink" Target="https://fbref.com/en/players/597610cd/Romaine-Mundle" TargetMode="External"/><Relationship Id="rId1446" Type="http://schemas.openxmlformats.org/officeDocument/2006/relationships/hyperlink" Target="https://fbref.com/en/country/ENG/England-Football" TargetMode="External"/><Relationship Id="rId1447" Type="http://schemas.openxmlformats.org/officeDocument/2006/relationships/hyperlink" Target="https://fbref.com/en/squads/8ef52968/Sunderland-Stats" TargetMode="External"/><Relationship Id="rId1448" Type="http://schemas.openxmlformats.org/officeDocument/2006/relationships/hyperlink" Target="https://fbref.com/en/players/597610cd/matchlogs/2025-2026/misc/Romaine-Mundle-Match-Logs" TargetMode="External"/><Relationship Id="rId1449" Type="http://schemas.openxmlformats.org/officeDocument/2006/relationships/hyperlink" Target="https://fbref.com/en/players/2acf0cd7/Marshall-Munetsi" TargetMode="External"/><Relationship Id="rId619" Type="http://schemas.openxmlformats.org/officeDocument/2006/relationships/hyperlink" Target="https://fbref.com/en/squads/943e8050/Burnley-Stats" TargetMode="External"/><Relationship Id="rId618" Type="http://schemas.openxmlformats.org/officeDocument/2006/relationships/hyperlink" Target="https://fbref.com/en/country/FRA/France-Football" TargetMode="External"/><Relationship Id="rId613" Type="http://schemas.openxmlformats.org/officeDocument/2006/relationships/hyperlink" Target="https://fbref.com/en/players/1e4319ac/Dario-Essugo" TargetMode="External"/><Relationship Id="rId612" Type="http://schemas.openxmlformats.org/officeDocument/2006/relationships/hyperlink" Target="https://fbref.com/en/players/87189f25/matchlogs/2025-2026/misc/Romain-Esse-Match-Logs" TargetMode="External"/><Relationship Id="rId611" Type="http://schemas.openxmlformats.org/officeDocument/2006/relationships/hyperlink" Target="https://fbref.com/en/squads/47c64c55/Crystal-Palace-Stats" TargetMode="External"/><Relationship Id="rId610" Type="http://schemas.openxmlformats.org/officeDocument/2006/relationships/hyperlink" Target="https://fbref.com/en/country/ENG/England-Football" TargetMode="External"/><Relationship Id="rId617" Type="http://schemas.openxmlformats.org/officeDocument/2006/relationships/hyperlink" Target="https://fbref.com/en/players/1a066e69/Maxime-Esteve" TargetMode="External"/><Relationship Id="rId616" Type="http://schemas.openxmlformats.org/officeDocument/2006/relationships/hyperlink" Target="https://fbref.com/en/players/1e4319ac/matchlogs/2025-2026/misc/Dario-Essugo-Match-Logs" TargetMode="External"/><Relationship Id="rId615" Type="http://schemas.openxmlformats.org/officeDocument/2006/relationships/hyperlink" Target="https://fbref.com/en/squads/cff3d9bb/Chelsea-Stats" TargetMode="External"/><Relationship Id="rId614" Type="http://schemas.openxmlformats.org/officeDocument/2006/relationships/hyperlink" Target="https://fbref.com/en/country/POR/Portugal-Football" TargetMode="External"/><Relationship Id="rId1440" Type="http://schemas.openxmlformats.org/officeDocument/2006/relationships/hyperlink" Target="https://fbref.com/en/players/ce7ae86a/matchlogs/2025-2026/misc/Divine-Mukasa-Match-Logs" TargetMode="External"/><Relationship Id="rId1441" Type="http://schemas.openxmlformats.org/officeDocument/2006/relationships/hyperlink" Target="https://fbref.com/en/players/ac73ec79/Nordi-Mukiele" TargetMode="External"/><Relationship Id="rId1442" Type="http://schemas.openxmlformats.org/officeDocument/2006/relationships/hyperlink" Target="https://fbref.com/en/country/FRA/France-Football" TargetMode="External"/><Relationship Id="rId1443" Type="http://schemas.openxmlformats.org/officeDocument/2006/relationships/hyperlink" Target="https://fbref.com/en/squads/8ef52968/Sunderland-Stats" TargetMode="External"/><Relationship Id="rId1477" Type="http://schemas.openxmlformats.org/officeDocument/2006/relationships/hyperlink" Target="https://fbref.com/en/players/9affc5f2/David-Moller-Wolfe" TargetMode="External"/><Relationship Id="rId1478" Type="http://schemas.openxmlformats.org/officeDocument/2006/relationships/hyperlink" Target="https://fbref.com/en/country/NOR/Norway-Football" TargetMode="External"/><Relationship Id="rId1479" Type="http://schemas.openxmlformats.org/officeDocument/2006/relationships/hyperlink" Target="https://fbref.com/en/squads/8cec06e1/Wolverhampton-Wanderers-Stats" TargetMode="External"/><Relationship Id="rId646" Type="http://schemas.openxmlformats.org/officeDocument/2006/relationships/hyperlink" Target="https://fbref.com/en/country/NED/Netherlands-Football" TargetMode="External"/><Relationship Id="rId645" Type="http://schemas.openxmlformats.org/officeDocument/2006/relationships/hyperlink" Target="https://fbref.com/en/players/b3f36e72/Zian-Flemming" TargetMode="External"/><Relationship Id="rId644" Type="http://schemas.openxmlformats.org/officeDocument/2006/relationships/hyperlink" Target="https://fbref.com/en/players/5ff4ab71/matchlogs/2025-2026/misc/Enzo-Fernandez-Match-Logs" TargetMode="External"/><Relationship Id="rId643" Type="http://schemas.openxmlformats.org/officeDocument/2006/relationships/hyperlink" Target="https://fbref.com/en/squads/cff3d9bb/Chelsea-Stats" TargetMode="External"/><Relationship Id="rId649" Type="http://schemas.openxmlformats.org/officeDocument/2006/relationships/hyperlink" Target="https://fbref.com/en/players/38a6c944/Jack-Fletcher" TargetMode="External"/><Relationship Id="rId648" Type="http://schemas.openxmlformats.org/officeDocument/2006/relationships/hyperlink" Target="https://fbref.com/en/players/b3f36e72/matchlogs/2025-2026/misc/Zian-Flemming-Match-Logs" TargetMode="External"/><Relationship Id="rId647" Type="http://schemas.openxmlformats.org/officeDocument/2006/relationships/hyperlink" Target="https://fbref.com/en/squads/943e8050/Burnley-Stats" TargetMode="External"/><Relationship Id="rId1470" Type="http://schemas.openxmlformats.org/officeDocument/2006/relationships/hyperlink" Target="https://fbref.com/en/country/ENG/England-Football" TargetMode="External"/><Relationship Id="rId1471" Type="http://schemas.openxmlformats.org/officeDocument/2006/relationships/hyperlink" Target="https://fbref.com/en/squads/b2b47a98/Newcastle-United-Stats" TargetMode="External"/><Relationship Id="rId1472" Type="http://schemas.openxmlformats.org/officeDocument/2006/relationships/hyperlink" Target="https://fbref.com/en/players/de112b84/matchlogs/2025-2026/misc/Jacob-Murphy-Match-Logs" TargetMode="External"/><Relationship Id="rId642" Type="http://schemas.openxmlformats.org/officeDocument/2006/relationships/hyperlink" Target="https://fbref.com/en/country/ARG/Argentina-Football" TargetMode="External"/><Relationship Id="rId1473" Type="http://schemas.openxmlformats.org/officeDocument/2006/relationships/hyperlink" Target="https://fbref.com/en/players/30d4a2e5/Vitaliy-Mykolenko" TargetMode="External"/><Relationship Id="rId641" Type="http://schemas.openxmlformats.org/officeDocument/2006/relationships/hyperlink" Target="https://fbref.com/en/players/5ff4ab71/Enzo-Fernandez" TargetMode="External"/><Relationship Id="rId1474" Type="http://schemas.openxmlformats.org/officeDocument/2006/relationships/hyperlink" Target="https://fbref.com/en/country/UKR/Ukraine-Football" TargetMode="External"/><Relationship Id="rId640" Type="http://schemas.openxmlformats.org/officeDocument/2006/relationships/hyperlink" Target="https://fbref.com/en/players/ef491564/matchlogs/2025-2026/misc/Mateus-Fernandes-Match-Logs" TargetMode="External"/><Relationship Id="rId1475" Type="http://schemas.openxmlformats.org/officeDocument/2006/relationships/hyperlink" Target="https://fbref.com/en/squads/d3fd31cc/Everton-Stats" TargetMode="External"/><Relationship Id="rId1476" Type="http://schemas.openxmlformats.org/officeDocument/2006/relationships/hyperlink" Target="https://fbref.com/en/players/30d4a2e5/matchlogs/2025-2026/misc/Vitaliy-Mykolenko-Match-Logs" TargetMode="External"/><Relationship Id="rId1466" Type="http://schemas.openxmlformats.org/officeDocument/2006/relationships/hyperlink" Target="https://fbref.com/en/country/IRL/Republic-of-Ireland-Football" TargetMode="External"/><Relationship Id="rId1467" Type="http://schemas.openxmlformats.org/officeDocument/2006/relationships/hyperlink" Target="https://fbref.com/en/squads/b2b47a98/Newcastle-United-Stats" TargetMode="External"/><Relationship Id="rId1468" Type="http://schemas.openxmlformats.org/officeDocument/2006/relationships/hyperlink" Target="https://fbref.com/en/players/f1c42eb3/matchlogs/2025-2026/misc/Alex-Murphy-Match-Logs" TargetMode="External"/><Relationship Id="rId1469" Type="http://schemas.openxmlformats.org/officeDocument/2006/relationships/hyperlink" Target="https://fbref.com/en/players/de112b84/Jacob-Murphy" TargetMode="External"/><Relationship Id="rId635" Type="http://schemas.openxmlformats.org/officeDocument/2006/relationships/hyperlink" Target="https://fbref.com/en/squads/19538871/Manchester-United-Stats" TargetMode="External"/><Relationship Id="rId634" Type="http://schemas.openxmlformats.org/officeDocument/2006/relationships/hyperlink" Target="https://fbref.com/en/country/POR/Portugal-Football" TargetMode="External"/><Relationship Id="rId633" Type="http://schemas.openxmlformats.org/officeDocument/2006/relationships/hyperlink" Target="https://fbref.com/en/players/507c7bdf/Bruno-Fernandes" TargetMode="External"/><Relationship Id="rId632" Type="http://schemas.openxmlformats.org/officeDocument/2006/relationships/hyperlink" Target="https://fbref.com/en/players/ae4fc6a4/matchlogs/2025-2026/misc/Eberechi-Eze-Match-Logs" TargetMode="External"/><Relationship Id="rId639" Type="http://schemas.openxmlformats.org/officeDocument/2006/relationships/hyperlink" Target="https://fbref.com/en/squads/7c21e445/West-Ham-United-Stats" TargetMode="External"/><Relationship Id="rId638" Type="http://schemas.openxmlformats.org/officeDocument/2006/relationships/hyperlink" Target="https://fbref.com/en/country/POR/Portugal-Football" TargetMode="External"/><Relationship Id="rId637" Type="http://schemas.openxmlformats.org/officeDocument/2006/relationships/hyperlink" Target="https://fbref.com/en/players/ef491564/Mateus-Fernandes" TargetMode="External"/><Relationship Id="rId636" Type="http://schemas.openxmlformats.org/officeDocument/2006/relationships/hyperlink" Target="https://fbref.com/en/players/507c7bdf/matchlogs/2025-2026/misc/Bruno-Fernandes-Match-Logs" TargetMode="External"/><Relationship Id="rId1460" Type="http://schemas.openxmlformats.org/officeDocument/2006/relationships/hyperlink" Target="https://fbref.com/en/players/778ef829/matchlogs/2025-2026/misc/Daniel-Munoz-Match-Logs" TargetMode="External"/><Relationship Id="rId1461" Type="http://schemas.openxmlformats.org/officeDocument/2006/relationships/hyperlink" Target="https://fbref.com/en/players/1704b0b8/Murillo" TargetMode="External"/><Relationship Id="rId631" Type="http://schemas.openxmlformats.org/officeDocument/2006/relationships/hyperlink" Target="https://fbref.com/en/squads/18bb7c10/Arsenal-Stats" TargetMode="External"/><Relationship Id="rId1462" Type="http://schemas.openxmlformats.org/officeDocument/2006/relationships/hyperlink" Target="https://fbref.com/en/country/BRA/Brazil-Football" TargetMode="External"/><Relationship Id="rId630" Type="http://schemas.openxmlformats.org/officeDocument/2006/relationships/hyperlink" Target="https://fbref.com/en/country/ENG/England-Football" TargetMode="External"/><Relationship Id="rId1463" Type="http://schemas.openxmlformats.org/officeDocument/2006/relationships/hyperlink" Target="https://fbref.com/en/squads/e4a775cb/Nottingham-Forest-Stats" TargetMode="External"/><Relationship Id="rId1464" Type="http://schemas.openxmlformats.org/officeDocument/2006/relationships/hyperlink" Target="https://fbref.com/en/players/1704b0b8/matchlogs/2025-2026/misc/Murillo-Match-Logs" TargetMode="External"/><Relationship Id="rId1465" Type="http://schemas.openxmlformats.org/officeDocument/2006/relationships/hyperlink" Target="https://fbref.com/en/players/f1c42eb3/Alex-Murphy" TargetMode="External"/><Relationship Id="rId1411" Type="http://schemas.openxmlformats.org/officeDocument/2006/relationships/hyperlink" Target="https://fbref.com/en/squads/d07537b9/Brighton-and-Hove-Albion-Stats" TargetMode="External"/><Relationship Id="rId1895" Type="http://schemas.openxmlformats.org/officeDocument/2006/relationships/hyperlink" Target="https://fbref.com/en/squads/361ca564/Tottenham-Hotspur-Stats" TargetMode="External"/><Relationship Id="rId1412" Type="http://schemas.openxmlformats.org/officeDocument/2006/relationships/hyperlink" Target="https://fbref.com/en/players/c3cf087d/matchlogs/2025-2026/misc/Yankuba-Minteh-Match-Logs" TargetMode="External"/><Relationship Id="rId1896" Type="http://schemas.openxmlformats.org/officeDocument/2006/relationships/hyperlink" Target="https://fbref.com/en/players/9bc9a519/matchlogs/2025-2026/misc/Djed-Spence-Match-Logs" TargetMode="External"/><Relationship Id="rId1413" Type="http://schemas.openxmlformats.org/officeDocument/2006/relationships/hyperlink" Target="https://fbref.com/en/players/5cbd1eb0/Tyrick-Mitchell" TargetMode="External"/><Relationship Id="rId1897" Type="http://schemas.openxmlformats.org/officeDocument/2006/relationships/hyperlink" Target="https://fbref.com/en/players/0f59a7bf/Anton-Stach" TargetMode="External"/><Relationship Id="rId1414" Type="http://schemas.openxmlformats.org/officeDocument/2006/relationships/hyperlink" Target="https://fbref.com/en/country/ENG/England-Football" TargetMode="External"/><Relationship Id="rId1898" Type="http://schemas.openxmlformats.org/officeDocument/2006/relationships/hyperlink" Target="https://fbref.com/en/country/GER/Germany-Football" TargetMode="External"/><Relationship Id="rId1415" Type="http://schemas.openxmlformats.org/officeDocument/2006/relationships/hyperlink" Target="https://fbref.com/en/squads/47c64c55/Crystal-Palace-Stats" TargetMode="External"/><Relationship Id="rId1899" Type="http://schemas.openxmlformats.org/officeDocument/2006/relationships/hyperlink" Target="https://fbref.com/en/squads/5bfb9659/Leeds-United-Stats" TargetMode="External"/><Relationship Id="rId1416" Type="http://schemas.openxmlformats.org/officeDocument/2006/relationships/hyperlink" Target="https://fbref.com/en/players/5cbd1eb0/matchlogs/2025-2026/misc/Tyrick-Mitchell-Match-Logs" TargetMode="External"/><Relationship Id="rId1417" Type="http://schemas.openxmlformats.org/officeDocument/2006/relationships/hyperlink" Target="https://fbref.com/en/players/74618572/Kaoru-Mitoma" TargetMode="External"/><Relationship Id="rId1418" Type="http://schemas.openxmlformats.org/officeDocument/2006/relationships/hyperlink" Target="https://fbref.com/en/country/JPN/Japan-Football" TargetMode="External"/><Relationship Id="rId1419" Type="http://schemas.openxmlformats.org/officeDocument/2006/relationships/hyperlink" Target="https://fbref.com/en/squads/d07537b9/Brighton-and-Hove-Albion-Stats" TargetMode="External"/><Relationship Id="rId1890" Type="http://schemas.openxmlformats.org/officeDocument/2006/relationships/hyperlink" Target="https://fbref.com/en/country/BRA/Brazil-Football" TargetMode="External"/><Relationship Id="rId1891" Type="http://schemas.openxmlformats.org/officeDocument/2006/relationships/hyperlink" Target="https://fbref.com/en/squads/361ca564/Tottenham-Hotspur-Stats" TargetMode="External"/><Relationship Id="rId1892" Type="http://schemas.openxmlformats.org/officeDocument/2006/relationships/hyperlink" Target="https://fbref.com/en/players/10b0c6f4/matchlogs/2025-2026/misc/Souza-Match-Logs" TargetMode="External"/><Relationship Id="rId1893" Type="http://schemas.openxmlformats.org/officeDocument/2006/relationships/hyperlink" Target="https://fbref.com/en/players/9bc9a519/Djed-Spence" TargetMode="External"/><Relationship Id="rId1410" Type="http://schemas.openxmlformats.org/officeDocument/2006/relationships/hyperlink" Target="https://fbref.com/en/country/GAM/Gambia-Football" TargetMode="External"/><Relationship Id="rId1894" Type="http://schemas.openxmlformats.org/officeDocument/2006/relationships/hyperlink" Target="https://fbref.com/en/country/ENG/England-Football" TargetMode="External"/><Relationship Id="rId1400" Type="http://schemas.openxmlformats.org/officeDocument/2006/relationships/hyperlink" Target="https://fbref.com/en/players/2f90f6b8/matchlogs/2025-2026/misc/James-Milner-Match-Logs" TargetMode="External"/><Relationship Id="rId1884" Type="http://schemas.openxmlformats.org/officeDocument/2006/relationships/hyperlink" Target="https://fbref.com/en/players/af0d79a9/matchlogs/2025-2026/misc/Borna-Sosa-Match-Logs" TargetMode="External"/><Relationship Id="rId1401" Type="http://schemas.openxmlformats.org/officeDocument/2006/relationships/hyperlink" Target="https://fbref.com/en/players/c478319d/Veljko-Milosavljevic" TargetMode="External"/><Relationship Id="rId1885" Type="http://schemas.openxmlformats.org/officeDocument/2006/relationships/hyperlink" Target="https://fbref.com/en/players/6613c819/Tomas-Soucek" TargetMode="External"/><Relationship Id="rId1402" Type="http://schemas.openxmlformats.org/officeDocument/2006/relationships/hyperlink" Target="https://fbref.com/en/country/SRB/Serbia-Football" TargetMode="External"/><Relationship Id="rId1886" Type="http://schemas.openxmlformats.org/officeDocument/2006/relationships/hyperlink" Target="https://fbref.com/en/country/CZE/Czech-Republic-Football" TargetMode="External"/><Relationship Id="rId1403" Type="http://schemas.openxmlformats.org/officeDocument/2006/relationships/hyperlink" Target="https://fbref.com/en/squads/4ba7cbea/Bournemouth-Stats" TargetMode="External"/><Relationship Id="rId1887" Type="http://schemas.openxmlformats.org/officeDocument/2006/relationships/hyperlink" Target="https://fbref.com/en/squads/7c21e445/West-Ham-United-Stats" TargetMode="External"/><Relationship Id="rId1404" Type="http://schemas.openxmlformats.org/officeDocument/2006/relationships/hyperlink" Target="https://fbref.com/en/players/c478319d/matchlogs/2025-2026/misc/Veljko-Milosavljevic-Match-Logs" TargetMode="External"/><Relationship Id="rId1888" Type="http://schemas.openxmlformats.org/officeDocument/2006/relationships/hyperlink" Target="https://fbref.com/en/players/6613c819/matchlogs/2025-2026/misc/Tomas-Soucek-Match-Logs" TargetMode="External"/><Relationship Id="rId1405" Type="http://schemas.openxmlformats.org/officeDocument/2006/relationships/hyperlink" Target="https://fbref.com/en/players/8397a50c/Tyrone-Mings" TargetMode="External"/><Relationship Id="rId1889" Type="http://schemas.openxmlformats.org/officeDocument/2006/relationships/hyperlink" Target="https://fbref.com/en/players/10b0c6f4/Souza" TargetMode="External"/><Relationship Id="rId1406" Type="http://schemas.openxmlformats.org/officeDocument/2006/relationships/hyperlink" Target="https://fbref.com/en/country/ENG/England-Football" TargetMode="External"/><Relationship Id="rId1407" Type="http://schemas.openxmlformats.org/officeDocument/2006/relationships/hyperlink" Target="https://fbref.com/en/squads/8602292d/Aston-Villa-Stats" TargetMode="External"/><Relationship Id="rId1408" Type="http://schemas.openxmlformats.org/officeDocument/2006/relationships/hyperlink" Target="https://fbref.com/en/players/8397a50c/matchlogs/2025-2026/misc/Tyrone-Mings-Match-Logs" TargetMode="External"/><Relationship Id="rId1409" Type="http://schemas.openxmlformats.org/officeDocument/2006/relationships/hyperlink" Target="https://fbref.com/en/players/c3cf087d/Yankuba-Minteh" TargetMode="External"/><Relationship Id="rId1880" Type="http://schemas.openxmlformats.org/officeDocument/2006/relationships/hyperlink" Target="https://fbref.com/en/players/b66b8d5e/matchlogs/2025-2026/misc/Oliver-Sonne-Match-Logs" TargetMode="External"/><Relationship Id="rId1881" Type="http://schemas.openxmlformats.org/officeDocument/2006/relationships/hyperlink" Target="https://fbref.com/en/players/af0d79a9/Borna-Sosa" TargetMode="External"/><Relationship Id="rId1882" Type="http://schemas.openxmlformats.org/officeDocument/2006/relationships/hyperlink" Target="https://fbref.com/en/country/CRO/Croatia-Football" TargetMode="External"/><Relationship Id="rId1883" Type="http://schemas.openxmlformats.org/officeDocument/2006/relationships/hyperlink" Target="https://fbref.com/en/squads/47c64c55/Crystal-Palace-Stats" TargetMode="External"/><Relationship Id="rId1433" Type="http://schemas.openxmlformats.org/officeDocument/2006/relationships/hyperlink" Target="https://fbref.com/en/players/9674002f/Mason-Mount" TargetMode="External"/><Relationship Id="rId1434" Type="http://schemas.openxmlformats.org/officeDocument/2006/relationships/hyperlink" Target="https://fbref.com/en/country/ENG/England-Football" TargetMode="External"/><Relationship Id="rId1435" Type="http://schemas.openxmlformats.org/officeDocument/2006/relationships/hyperlink" Target="https://fbref.com/en/squads/19538871/Manchester-United-Stats" TargetMode="External"/><Relationship Id="rId1436" Type="http://schemas.openxmlformats.org/officeDocument/2006/relationships/hyperlink" Target="https://fbref.com/en/players/9674002f/matchlogs/2025-2026/misc/Mason-Mount-Match-Logs" TargetMode="External"/><Relationship Id="rId1437" Type="http://schemas.openxmlformats.org/officeDocument/2006/relationships/hyperlink" Target="https://fbref.com/en/players/ce7ae86a/Divine-Mukasa" TargetMode="External"/><Relationship Id="rId1438" Type="http://schemas.openxmlformats.org/officeDocument/2006/relationships/hyperlink" Target="https://fbref.com/en/country/ENG/England-Football" TargetMode="External"/><Relationship Id="rId1439" Type="http://schemas.openxmlformats.org/officeDocument/2006/relationships/hyperlink" Target="https://fbref.com/en/squads/b8fd03ef/Manchester-City-Stats" TargetMode="External"/><Relationship Id="rId609" Type="http://schemas.openxmlformats.org/officeDocument/2006/relationships/hyperlink" Target="https://fbref.com/en/players/87189f25/Romain-Esse" TargetMode="External"/><Relationship Id="rId608" Type="http://schemas.openxmlformats.org/officeDocument/2006/relationships/hyperlink" Target="https://fbref.com/en/players/c149016b/matchlogs/2025-2026/misc/Wataru-Endo-Match-Logs" TargetMode="External"/><Relationship Id="rId607" Type="http://schemas.openxmlformats.org/officeDocument/2006/relationships/hyperlink" Target="https://fbref.com/en/squads/822bd0ba/Liverpool-Stats" TargetMode="External"/><Relationship Id="rId602" Type="http://schemas.openxmlformats.org/officeDocument/2006/relationships/hyperlink" Target="https://fbref.com/en/country/ENG/England-Football" TargetMode="External"/><Relationship Id="rId601" Type="http://schemas.openxmlformats.org/officeDocument/2006/relationships/hyperlink" Target="https://fbref.com/en/players/b9e1436c/Harvey-Elliott" TargetMode="External"/><Relationship Id="rId600" Type="http://schemas.openxmlformats.org/officeDocument/2006/relationships/hyperlink" Target="https://fbref.com/en/players/b9e1436c/matchlogs/2025-2026/misc/Harvey-Elliott-Match-Logs" TargetMode="External"/><Relationship Id="rId606" Type="http://schemas.openxmlformats.org/officeDocument/2006/relationships/hyperlink" Target="https://fbref.com/en/country/JPN/Japan-Football" TargetMode="External"/><Relationship Id="rId605" Type="http://schemas.openxmlformats.org/officeDocument/2006/relationships/hyperlink" Target="https://fbref.com/en/players/c149016b/Wataru-Endo" TargetMode="External"/><Relationship Id="rId604" Type="http://schemas.openxmlformats.org/officeDocument/2006/relationships/hyperlink" Target="https://fbref.com/en/players/b9e1436c/matchlogs/2025-2026/misc/Harvey-Elliott-Match-Logs" TargetMode="External"/><Relationship Id="rId603" Type="http://schemas.openxmlformats.org/officeDocument/2006/relationships/hyperlink" Target="https://fbref.com/en/squads/8602292d/Aston-Villa-Stats" TargetMode="External"/><Relationship Id="rId1430" Type="http://schemas.openxmlformats.org/officeDocument/2006/relationships/hyperlink" Target="https://fbref.com/en/country/COL/Colombia-Football" TargetMode="External"/><Relationship Id="rId1431" Type="http://schemas.openxmlformats.org/officeDocument/2006/relationships/hyperlink" Target="https://fbref.com/en/squads/8cec06e1/Wolverhampton-Wanderers-Stats" TargetMode="External"/><Relationship Id="rId1432" Type="http://schemas.openxmlformats.org/officeDocument/2006/relationships/hyperlink" Target="https://fbref.com/en/players/1e159d70/matchlogs/2025-2026/misc/Yerson-Mosquera-Match-Logs" TargetMode="External"/><Relationship Id="rId1422" Type="http://schemas.openxmlformats.org/officeDocument/2006/relationships/hyperlink" Target="https://fbref.com/en/country/BRA/Brazil-Football" TargetMode="External"/><Relationship Id="rId1423" Type="http://schemas.openxmlformats.org/officeDocument/2006/relationships/hyperlink" Target="https://fbref.com/en/squads/e4a775cb/Nottingham-Forest-Stats" TargetMode="External"/><Relationship Id="rId1424" Type="http://schemas.openxmlformats.org/officeDocument/2006/relationships/hyperlink" Target="https://fbref.com/en/players/0f41e2ee/matchlogs/2025-2026/misc/Morato-Match-Logs" TargetMode="External"/><Relationship Id="rId1425" Type="http://schemas.openxmlformats.org/officeDocument/2006/relationships/hyperlink" Target="https://fbref.com/en/players/dc1ce4f5/Cristhian-Mosquera" TargetMode="External"/><Relationship Id="rId1426" Type="http://schemas.openxmlformats.org/officeDocument/2006/relationships/hyperlink" Target="https://fbref.com/en/country/ESP/Spain-Football" TargetMode="External"/><Relationship Id="rId1427" Type="http://schemas.openxmlformats.org/officeDocument/2006/relationships/hyperlink" Target="https://fbref.com/en/squads/18bb7c10/Arsenal-Stats" TargetMode="External"/><Relationship Id="rId1428" Type="http://schemas.openxmlformats.org/officeDocument/2006/relationships/hyperlink" Target="https://fbref.com/en/players/dc1ce4f5/matchlogs/2025-2026/misc/Cristhian-Mosquera-Match-Logs" TargetMode="External"/><Relationship Id="rId1429" Type="http://schemas.openxmlformats.org/officeDocument/2006/relationships/hyperlink" Target="https://fbref.com/en/players/1e159d70/Yerson-Mosquera" TargetMode="External"/><Relationship Id="rId1420" Type="http://schemas.openxmlformats.org/officeDocument/2006/relationships/hyperlink" Target="https://fbref.com/en/players/74618572/matchlogs/2025-2026/misc/Kaoru-Mitoma-Match-Logs" TargetMode="External"/><Relationship Id="rId1421" Type="http://schemas.openxmlformats.org/officeDocument/2006/relationships/hyperlink" Target="https://fbref.com/en/players/0f41e2ee/Morato" TargetMode="External"/><Relationship Id="rId1059" Type="http://schemas.openxmlformats.org/officeDocument/2006/relationships/hyperlink" Target="https://fbref.com/en/squads/e4a775cb/Nottingham-Forest-Stats" TargetMode="External"/><Relationship Id="rId228" Type="http://schemas.openxmlformats.org/officeDocument/2006/relationships/hyperlink" Target="https://fbref.com/en/players/eed2427e/matchlogs/2025-2026/misc/Oscar-Bobb-Match-Logs" TargetMode="External"/><Relationship Id="rId227" Type="http://schemas.openxmlformats.org/officeDocument/2006/relationships/hyperlink" Target="https://fbref.com/en/squads/b8fd03ef/Manchester-City-Stats" TargetMode="External"/><Relationship Id="rId226" Type="http://schemas.openxmlformats.org/officeDocument/2006/relationships/hyperlink" Target="https://fbref.com/en/country/NOR/Norway-Football" TargetMode="External"/><Relationship Id="rId225" Type="http://schemas.openxmlformats.org/officeDocument/2006/relationships/hyperlink" Target="https://fbref.com/en/players/eed2427e/Oscar-Bobb" TargetMode="External"/><Relationship Id="rId229" Type="http://schemas.openxmlformats.org/officeDocument/2006/relationships/hyperlink" Target="https://fbref.com/en/players/eed2427e/Oscar-Bobb" TargetMode="External"/><Relationship Id="rId1050" Type="http://schemas.openxmlformats.org/officeDocument/2006/relationships/hyperlink" Target="https://fbref.com/en/country/TUR/Turkey-Football" TargetMode="External"/><Relationship Id="rId220" Type="http://schemas.openxmlformats.org/officeDocument/2006/relationships/hyperlink" Target="https://fbref.com/en/players/6c203af0/matchlogs/2025-2026/misc/Yves-Bissouma-Match-Logs" TargetMode="External"/><Relationship Id="rId1051" Type="http://schemas.openxmlformats.org/officeDocument/2006/relationships/hyperlink" Target="https://fbref.com/en/squads/d07537b9/Brighton-and-Hove-Albion-Stats" TargetMode="External"/><Relationship Id="rId1052" Type="http://schemas.openxmlformats.org/officeDocument/2006/relationships/hyperlink" Target="https://fbref.com/en/players/66c52a77/matchlogs/2025-2026/misc/Ferdi-Kadioglu-Match-Logs" TargetMode="External"/><Relationship Id="rId1053" Type="http://schemas.openxmlformats.org/officeDocument/2006/relationships/hyperlink" Target="https://fbref.com/en/players/15f24fe7/Sasa-Kalajdzic" TargetMode="External"/><Relationship Id="rId1054" Type="http://schemas.openxmlformats.org/officeDocument/2006/relationships/hyperlink" Target="https://fbref.com/en/country/AUT/Austria-Football" TargetMode="External"/><Relationship Id="rId224" Type="http://schemas.openxmlformats.org/officeDocument/2006/relationships/hyperlink" Target="https://fbref.com/en/players/3d214e5f/matchlogs/2025-2026/misc/Marco-Bizot-Match-Logs" TargetMode="External"/><Relationship Id="rId1055" Type="http://schemas.openxmlformats.org/officeDocument/2006/relationships/hyperlink" Target="https://fbref.com/en/squads/8cec06e1/Wolverhampton-Wanderers-Stats" TargetMode="External"/><Relationship Id="rId223" Type="http://schemas.openxmlformats.org/officeDocument/2006/relationships/hyperlink" Target="https://fbref.com/en/squads/8602292d/Aston-Villa-Stats" TargetMode="External"/><Relationship Id="rId1056" Type="http://schemas.openxmlformats.org/officeDocument/2006/relationships/hyperlink" Target="https://fbref.com/en/players/15f24fe7/matchlogs/2025-2026/misc/Sasa-Kalajdzic-Match-Logs" TargetMode="External"/><Relationship Id="rId222" Type="http://schemas.openxmlformats.org/officeDocument/2006/relationships/hyperlink" Target="https://fbref.com/en/country/NED/Netherlands-Football" TargetMode="External"/><Relationship Id="rId1057" Type="http://schemas.openxmlformats.org/officeDocument/2006/relationships/hyperlink" Target="https://fbref.com/en/players/bf4c41f9/Arnaud-Kalimuendo" TargetMode="External"/><Relationship Id="rId221" Type="http://schemas.openxmlformats.org/officeDocument/2006/relationships/hyperlink" Target="https://fbref.com/en/players/3d214e5f/Marco-Bizot" TargetMode="External"/><Relationship Id="rId1058" Type="http://schemas.openxmlformats.org/officeDocument/2006/relationships/hyperlink" Target="https://fbref.com/en/country/FRA/France-Football" TargetMode="External"/><Relationship Id="rId1048" Type="http://schemas.openxmlformats.org/officeDocument/2006/relationships/hyperlink" Target="https://fbref.com/en/players/0107757e/matchlogs/2025-2026/misc/Filip-Jorgensen-Match-Logs" TargetMode="External"/><Relationship Id="rId1049" Type="http://schemas.openxmlformats.org/officeDocument/2006/relationships/hyperlink" Target="https://fbref.com/en/players/66c52a77/Ferdi-Kadioglu" TargetMode="External"/><Relationship Id="rId217" Type="http://schemas.openxmlformats.org/officeDocument/2006/relationships/hyperlink" Target="https://fbref.com/en/players/6c203af0/Yves-Bissouma" TargetMode="External"/><Relationship Id="rId216" Type="http://schemas.openxmlformats.org/officeDocument/2006/relationships/hyperlink" Target="https://fbref.com/en/players/6fdac234/matchlogs/2025-2026/misc/Jaka-Bijol-Match-Logs" TargetMode="External"/><Relationship Id="rId215" Type="http://schemas.openxmlformats.org/officeDocument/2006/relationships/hyperlink" Target="https://fbref.com/en/squads/5bfb9659/Leeds-United-Stats" TargetMode="External"/><Relationship Id="rId699" Type="http://schemas.openxmlformats.org/officeDocument/2006/relationships/hyperlink" Target="https://fbref.com/en/squads/4ba7cbea/Bournemouth-Stats" TargetMode="External"/><Relationship Id="rId214" Type="http://schemas.openxmlformats.org/officeDocument/2006/relationships/hyperlink" Target="https://fbref.com/en/country/SVN/Slovenia-Football" TargetMode="External"/><Relationship Id="rId698" Type="http://schemas.openxmlformats.org/officeDocument/2006/relationships/hyperlink" Target="https://fbref.com/en/country/SCO/Scotland-Football" TargetMode="External"/><Relationship Id="rId219" Type="http://schemas.openxmlformats.org/officeDocument/2006/relationships/hyperlink" Target="https://fbref.com/en/squads/361ca564/Tottenham-Hotspur-Stats" TargetMode="External"/><Relationship Id="rId218" Type="http://schemas.openxmlformats.org/officeDocument/2006/relationships/hyperlink" Target="https://fbref.com/en/country/MLI/Mali-Football" TargetMode="External"/><Relationship Id="rId693" Type="http://schemas.openxmlformats.org/officeDocument/2006/relationships/hyperlink" Target="https://fbref.com/en/players/72c812f3/Idrissa-Gana-Gueye" TargetMode="External"/><Relationship Id="rId1040" Type="http://schemas.openxmlformats.org/officeDocument/2006/relationships/hyperlink" Target="https://fbref.com/en/players/570bb4b9/matchlogs/2025-2026/misc/Hamed-Junior-Traore-Match-Logs" TargetMode="External"/><Relationship Id="rId692" Type="http://schemas.openxmlformats.org/officeDocument/2006/relationships/hyperlink" Target="https://fbref.com/en/players/c2731c10/matchlogs/2025-2026/misc/Conor-Gallagher-Match-Logs" TargetMode="External"/><Relationship Id="rId1041" Type="http://schemas.openxmlformats.org/officeDocument/2006/relationships/hyperlink" Target="https://fbref.com/en/players/fb614c44/James-Justin" TargetMode="External"/><Relationship Id="rId691" Type="http://schemas.openxmlformats.org/officeDocument/2006/relationships/hyperlink" Target="https://fbref.com/en/squads/361ca564/Tottenham-Hotspur-Stats" TargetMode="External"/><Relationship Id="rId1042" Type="http://schemas.openxmlformats.org/officeDocument/2006/relationships/hyperlink" Target="https://fbref.com/en/country/ENG/England-Football" TargetMode="External"/><Relationship Id="rId690" Type="http://schemas.openxmlformats.org/officeDocument/2006/relationships/hyperlink" Target="https://fbref.com/en/country/ENG/England-Football" TargetMode="External"/><Relationship Id="rId1043" Type="http://schemas.openxmlformats.org/officeDocument/2006/relationships/hyperlink" Target="https://fbref.com/en/squads/5bfb9659/Leeds-United-Stats" TargetMode="External"/><Relationship Id="rId213" Type="http://schemas.openxmlformats.org/officeDocument/2006/relationships/hyperlink" Target="https://fbref.com/en/players/6fdac234/Jaka-Bijol" TargetMode="External"/><Relationship Id="rId697" Type="http://schemas.openxmlformats.org/officeDocument/2006/relationships/hyperlink" Target="https://fbref.com/en/players/733f1a7d/Ben-Gannon-Doak" TargetMode="External"/><Relationship Id="rId1044" Type="http://schemas.openxmlformats.org/officeDocument/2006/relationships/hyperlink" Target="https://fbref.com/en/players/fb614c44/matchlogs/2025-2026/misc/James-Justin-Match-Logs" TargetMode="External"/><Relationship Id="rId212" Type="http://schemas.openxmlformats.org/officeDocument/2006/relationships/hyperlink" Target="https://fbref.com/en/players/ed5c0319/matchlogs/2025-2026/misc/Beto-Match-Logs" TargetMode="External"/><Relationship Id="rId696" Type="http://schemas.openxmlformats.org/officeDocument/2006/relationships/hyperlink" Target="https://fbref.com/en/players/72c812f3/matchlogs/2025-2026/misc/Idrissa-Gana-Gueye-Match-Logs" TargetMode="External"/><Relationship Id="rId1045" Type="http://schemas.openxmlformats.org/officeDocument/2006/relationships/hyperlink" Target="https://fbref.com/en/players/0107757e/Filip-Jorgensen" TargetMode="External"/><Relationship Id="rId211" Type="http://schemas.openxmlformats.org/officeDocument/2006/relationships/hyperlink" Target="https://fbref.com/en/squads/d3fd31cc/Everton-Stats" TargetMode="External"/><Relationship Id="rId695" Type="http://schemas.openxmlformats.org/officeDocument/2006/relationships/hyperlink" Target="https://fbref.com/en/squads/d3fd31cc/Everton-Stats" TargetMode="External"/><Relationship Id="rId1046" Type="http://schemas.openxmlformats.org/officeDocument/2006/relationships/hyperlink" Target="https://fbref.com/en/country/DEN/Denmark-Football" TargetMode="External"/><Relationship Id="rId210" Type="http://schemas.openxmlformats.org/officeDocument/2006/relationships/hyperlink" Target="https://fbref.com/en/country/GNB/Guinea-Bissau-Football" TargetMode="External"/><Relationship Id="rId694" Type="http://schemas.openxmlformats.org/officeDocument/2006/relationships/hyperlink" Target="https://fbref.com/en/country/SEN/Senegal-Football" TargetMode="External"/><Relationship Id="rId1047" Type="http://schemas.openxmlformats.org/officeDocument/2006/relationships/hyperlink" Target="https://fbref.com/en/squads/cff3d9bb/Chelsea-Stats" TargetMode="External"/><Relationship Id="rId249" Type="http://schemas.openxmlformats.org/officeDocument/2006/relationships/hyperlink" Target="https://fbref.com/en/players/ccce7025/Sven-Botman" TargetMode="External"/><Relationship Id="rId248" Type="http://schemas.openxmlformats.org/officeDocument/2006/relationships/hyperlink" Target="https://fbref.com/en/players/403f5d20/matchlogs/2025-2026/misc/Olivier-Boscagli-Match-Logs" TargetMode="External"/><Relationship Id="rId247" Type="http://schemas.openxmlformats.org/officeDocument/2006/relationships/hyperlink" Target="https://fbref.com/en/squads/d07537b9/Brighton-and-Hove-Albion-Stats" TargetMode="External"/><Relationship Id="rId1070" Type="http://schemas.openxmlformats.org/officeDocument/2006/relationships/hyperlink" Target="https://fbref.com/en/country/FRA/France-Football" TargetMode="External"/><Relationship Id="rId1071" Type="http://schemas.openxmlformats.org/officeDocument/2006/relationships/hyperlink" Target="https://fbref.com/en/squads/7c21e445/West-Ham-United-Stats" TargetMode="External"/><Relationship Id="rId1072" Type="http://schemas.openxmlformats.org/officeDocument/2006/relationships/hyperlink" Target="https://fbref.com/en/players/0041f3e6/matchlogs/2025-2026/misc/Mohamadou-Kante-Match-Logs" TargetMode="External"/><Relationship Id="rId242" Type="http://schemas.openxmlformats.org/officeDocument/2006/relationships/hyperlink" Target="https://fbref.com/en/country/BEL/Belgium-Football" TargetMode="External"/><Relationship Id="rId1073" Type="http://schemas.openxmlformats.org/officeDocument/2006/relationships/hyperlink" Target="https://fbref.com/en/players/e19660a8/Michael-Kayode" TargetMode="External"/><Relationship Id="rId241" Type="http://schemas.openxmlformats.org/officeDocument/2006/relationships/hyperlink" Target="https://fbref.com/en/players/01834aa0/Sebastiaan-Bornauw" TargetMode="External"/><Relationship Id="rId1074" Type="http://schemas.openxmlformats.org/officeDocument/2006/relationships/hyperlink" Target="https://fbref.com/en/country/ITA/Italy-Football" TargetMode="External"/><Relationship Id="rId240" Type="http://schemas.openxmlformats.org/officeDocument/2006/relationships/hyperlink" Target="https://fbref.com/en/players/ae5019e6/matchlogs/2025-2026/misc/Jayden-Bogle-Match-Logs" TargetMode="External"/><Relationship Id="rId1075" Type="http://schemas.openxmlformats.org/officeDocument/2006/relationships/hyperlink" Target="https://fbref.com/en/squads/cd051869/Brentford-Stats" TargetMode="External"/><Relationship Id="rId1076" Type="http://schemas.openxmlformats.org/officeDocument/2006/relationships/hyperlink" Target="https://fbref.com/en/players/e19660a8/matchlogs/2025-2026/misc/Michael-Kayode-Match-Logs" TargetMode="External"/><Relationship Id="rId246" Type="http://schemas.openxmlformats.org/officeDocument/2006/relationships/hyperlink" Target="https://fbref.com/en/country/FRA/France-Football" TargetMode="External"/><Relationship Id="rId1077" Type="http://schemas.openxmlformats.org/officeDocument/2006/relationships/hyperlink" Target="https://fbref.com/en/players/c5b7c315/Michael-Keane" TargetMode="External"/><Relationship Id="rId245" Type="http://schemas.openxmlformats.org/officeDocument/2006/relationships/hyperlink" Target="https://fbref.com/en/players/403f5d20/Olivier-Boscagli" TargetMode="External"/><Relationship Id="rId1078" Type="http://schemas.openxmlformats.org/officeDocument/2006/relationships/hyperlink" Target="https://fbref.com/en/country/ENG/England-Football" TargetMode="External"/><Relationship Id="rId244" Type="http://schemas.openxmlformats.org/officeDocument/2006/relationships/hyperlink" Target="https://fbref.com/en/players/01834aa0/matchlogs/2025-2026/misc/Sebastiaan-Bornauw-Match-Logs" TargetMode="External"/><Relationship Id="rId1079" Type="http://schemas.openxmlformats.org/officeDocument/2006/relationships/hyperlink" Target="https://fbref.com/en/squads/d3fd31cc/Everton-Stats" TargetMode="External"/><Relationship Id="rId243" Type="http://schemas.openxmlformats.org/officeDocument/2006/relationships/hyperlink" Target="https://fbref.com/en/squads/5bfb9659/Leeds-United-Stats" TargetMode="External"/><Relationship Id="rId239" Type="http://schemas.openxmlformats.org/officeDocument/2006/relationships/hyperlink" Target="https://fbref.com/en/squads/5bfb9659/Leeds-United-Stats" TargetMode="External"/><Relationship Id="rId238" Type="http://schemas.openxmlformats.org/officeDocument/2006/relationships/hyperlink" Target="https://fbref.com/en/country/ENG/England-Football" TargetMode="External"/><Relationship Id="rId237" Type="http://schemas.openxmlformats.org/officeDocument/2006/relationships/hyperlink" Target="https://fbref.com/en/players/ae5019e6/Jayden-Bogle" TargetMode="External"/><Relationship Id="rId236" Type="http://schemas.openxmlformats.org/officeDocument/2006/relationships/hyperlink" Target="https://fbref.com/en/players/bca5c4a7/matchlogs/2025-2026/misc/Lamare-Bogarde-Match-Logs" TargetMode="External"/><Relationship Id="rId1060" Type="http://schemas.openxmlformats.org/officeDocument/2006/relationships/hyperlink" Target="https://fbref.com/en/players/bf4c41f9/matchlogs/2025-2026/misc/Arnaud-Kalimuendo-Match-Logs" TargetMode="External"/><Relationship Id="rId1061" Type="http://schemas.openxmlformats.org/officeDocument/2006/relationships/hyperlink" Target="https://fbref.com/en/players/15b287da/Daichi-Kamada" TargetMode="External"/><Relationship Id="rId231" Type="http://schemas.openxmlformats.org/officeDocument/2006/relationships/hyperlink" Target="https://fbref.com/en/squads/fd962109/Fulham-Stats" TargetMode="External"/><Relationship Id="rId1062" Type="http://schemas.openxmlformats.org/officeDocument/2006/relationships/hyperlink" Target="https://fbref.com/en/country/JPN/Japan-Football" TargetMode="External"/><Relationship Id="rId230" Type="http://schemas.openxmlformats.org/officeDocument/2006/relationships/hyperlink" Target="https://fbref.com/en/country/NOR/Norway-Football" TargetMode="External"/><Relationship Id="rId1063" Type="http://schemas.openxmlformats.org/officeDocument/2006/relationships/hyperlink" Target="https://fbref.com/en/squads/47c64c55/Crystal-Palace-Stats" TargetMode="External"/><Relationship Id="rId1064" Type="http://schemas.openxmlformats.org/officeDocument/2006/relationships/hyperlink" Target="https://fbref.com/en/players/15b287da/matchlogs/2025-2026/misc/Daichi-Kamada-Match-Logs" TargetMode="External"/><Relationship Id="rId1065" Type="http://schemas.openxmlformats.org/officeDocument/2006/relationships/hyperlink" Target="https://fbref.com/en/players/cc77354e/Boubacar-Kamara" TargetMode="External"/><Relationship Id="rId235" Type="http://schemas.openxmlformats.org/officeDocument/2006/relationships/hyperlink" Target="https://fbref.com/en/squads/8602292d/Aston-Villa-Stats" TargetMode="External"/><Relationship Id="rId1066" Type="http://schemas.openxmlformats.org/officeDocument/2006/relationships/hyperlink" Target="https://fbref.com/en/country/FRA/France-Football" TargetMode="External"/><Relationship Id="rId234" Type="http://schemas.openxmlformats.org/officeDocument/2006/relationships/hyperlink" Target="https://fbref.com/en/country/NED/Netherlands-Football" TargetMode="External"/><Relationship Id="rId1067" Type="http://schemas.openxmlformats.org/officeDocument/2006/relationships/hyperlink" Target="https://fbref.com/en/squads/8602292d/Aston-Villa-Stats" TargetMode="External"/><Relationship Id="rId233" Type="http://schemas.openxmlformats.org/officeDocument/2006/relationships/hyperlink" Target="https://fbref.com/en/players/bca5c4a7/Lamare-Bogarde" TargetMode="External"/><Relationship Id="rId1068" Type="http://schemas.openxmlformats.org/officeDocument/2006/relationships/hyperlink" Target="https://fbref.com/en/players/cc77354e/matchlogs/2025-2026/misc/Boubacar-Kamara-Match-Logs" TargetMode="External"/><Relationship Id="rId232" Type="http://schemas.openxmlformats.org/officeDocument/2006/relationships/hyperlink" Target="https://fbref.com/en/players/eed2427e/matchlogs/2025-2026/misc/Oscar-Bobb-Match-Logs" TargetMode="External"/><Relationship Id="rId1069" Type="http://schemas.openxmlformats.org/officeDocument/2006/relationships/hyperlink" Target="https://fbref.com/en/players/0041f3e6/Mohamadou-Kante" TargetMode="External"/><Relationship Id="rId1015" Type="http://schemas.openxmlformats.org/officeDocument/2006/relationships/hyperlink" Target="https://fbref.com/en/squads/e4a775cb/Nottingham-Forest-Stats" TargetMode="External"/><Relationship Id="rId1499" Type="http://schemas.openxmlformats.org/officeDocument/2006/relationships/hyperlink" Target="https://fbref.com/en/squads/cd051869/Brentford-Stats" TargetMode="External"/><Relationship Id="rId1016" Type="http://schemas.openxmlformats.org/officeDocument/2006/relationships/hyperlink" Target="https://fbref.com/en/players/33a235af/matchlogs/2025-2026/misc/John-Match-Logs" TargetMode="External"/><Relationship Id="rId1017" Type="http://schemas.openxmlformats.org/officeDocument/2006/relationships/hyperlink" Target="https://fbref.com/en/players/0cd31129/Brennan-Johnson" TargetMode="External"/><Relationship Id="rId1018" Type="http://schemas.openxmlformats.org/officeDocument/2006/relationships/hyperlink" Target="https://fbref.com/en/country/WAL/Wales-Football" TargetMode="External"/><Relationship Id="rId1019" Type="http://schemas.openxmlformats.org/officeDocument/2006/relationships/hyperlink" Target="https://fbref.com/en/squads/361ca564/Tottenham-Hotspur-Stats" TargetMode="External"/><Relationship Id="rId668" Type="http://schemas.openxmlformats.org/officeDocument/2006/relationships/hyperlink" Target="https://fbref.com/en/players/f84a807c/matchlogs/2025-2026/misc/Lyle-Foster-Match-Logs" TargetMode="External"/><Relationship Id="rId667" Type="http://schemas.openxmlformats.org/officeDocument/2006/relationships/hyperlink" Target="https://fbref.com/en/squads/943e8050/Burnley-Stats" TargetMode="External"/><Relationship Id="rId666" Type="http://schemas.openxmlformats.org/officeDocument/2006/relationships/hyperlink" Target="https://fbref.com/en/country/RSA/South-Africa-Football" TargetMode="External"/><Relationship Id="rId665" Type="http://schemas.openxmlformats.org/officeDocument/2006/relationships/hyperlink" Target="https://fbref.com/en/players/f84a807c/Lyle-Foster" TargetMode="External"/><Relationship Id="rId669" Type="http://schemas.openxmlformats.org/officeDocument/2006/relationships/hyperlink" Target="https://fbref.com/en/players/58630379/Tyler-Fredricson" TargetMode="External"/><Relationship Id="rId1490" Type="http://schemas.openxmlformats.org/officeDocument/2006/relationships/hyperlink" Target="https://fbref.com/en/country/ENG/England-Football" TargetMode="External"/><Relationship Id="rId660" Type="http://schemas.openxmlformats.org/officeDocument/2006/relationships/hyperlink" Target="https://fbref.com/en/players/ed1e53f3/matchlogs/2025-2026/misc/Phil-Foden-Match-Logs" TargetMode="External"/><Relationship Id="rId1491" Type="http://schemas.openxmlformats.org/officeDocument/2006/relationships/hyperlink" Target="https://fbref.com/en/squads/b2b47a98/Newcastle-United-Stats" TargetMode="External"/><Relationship Id="rId1492" Type="http://schemas.openxmlformats.org/officeDocument/2006/relationships/hyperlink" Target="https://fbref.com/en/players/ff392864/matchlogs/2025-2026/misc/Sean-Neave-Match-Logs" TargetMode="External"/><Relationship Id="rId1493" Type="http://schemas.openxmlformats.org/officeDocument/2006/relationships/hyperlink" Target="https://fbref.com/en/players/a47ad0f5/Dan-Neil" TargetMode="External"/><Relationship Id="rId1010" Type="http://schemas.openxmlformats.org/officeDocument/2006/relationships/hyperlink" Target="https://fbref.com/en/country/BRA/Brazil-Football" TargetMode="External"/><Relationship Id="rId1494" Type="http://schemas.openxmlformats.org/officeDocument/2006/relationships/hyperlink" Target="https://fbref.com/en/country/ENG/England-Football" TargetMode="External"/><Relationship Id="rId664" Type="http://schemas.openxmlformats.org/officeDocument/2006/relationships/hyperlink" Target="https://fbref.com/en/players/132a82f1/matchlogs/2025-2026/misc/Wesley-Fofana-Match-Logs" TargetMode="External"/><Relationship Id="rId1011" Type="http://schemas.openxmlformats.org/officeDocument/2006/relationships/hyperlink" Target="https://fbref.com/en/squads/b2b47a98/Newcastle-United-Stats" TargetMode="External"/><Relationship Id="rId1495" Type="http://schemas.openxmlformats.org/officeDocument/2006/relationships/hyperlink" Target="https://fbref.com/en/squads/8ef52968/Sunderland-Stats" TargetMode="External"/><Relationship Id="rId663" Type="http://schemas.openxmlformats.org/officeDocument/2006/relationships/hyperlink" Target="https://fbref.com/en/squads/cff3d9bb/Chelsea-Stats" TargetMode="External"/><Relationship Id="rId1012" Type="http://schemas.openxmlformats.org/officeDocument/2006/relationships/hyperlink" Target="https://fbref.com/en/players/c17bfb65/matchlogs/2025-2026/misc/Joelinton-Match-Logs" TargetMode="External"/><Relationship Id="rId1496" Type="http://schemas.openxmlformats.org/officeDocument/2006/relationships/hyperlink" Target="https://fbref.com/en/players/a47ad0f5/matchlogs/2025-2026/misc/Dan-Neil-Match-Logs" TargetMode="External"/><Relationship Id="rId662" Type="http://schemas.openxmlformats.org/officeDocument/2006/relationships/hyperlink" Target="https://fbref.com/en/country/FRA/France-Football" TargetMode="External"/><Relationship Id="rId1013" Type="http://schemas.openxmlformats.org/officeDocument/2006/relationships/hyperlink" Target="https://fbref.com/en/players/33a235af/John" TargetMode="External"/><Relationship Id="rId1497" Type="http://schemas.openxmlformats.org/officeDocument/2006/relationships/hyperlink" Target="https://fbref.com/en/players/c5bdb6e3/Reiss-Nelson" TargetMode="External"/><Relationship Id="rId661" Type="http://schemas.openxmlformats.org/officeDocument/2006/relationships/hyperlink" Target="https://fbref.com/en/players/132a82f1/Wesley-Fofana" TargetMode="External"/><Relationship Id="rId1014" Type="http://schemas.openxmlformats.org/officeDocument/2006/relationships/hyperlink" Target="https://fbref.com/en/country/BRA/Brazil-Football" TargetMode="External"/><Relationship Id="rId1498" Type="http://schemas.openxmlformats.org/officeDocument/2006/relationships/hyperlink" Target="https://fbref.com/en/country/ENG/England-Football" TargetMode="External"/><Relationship Id="rId1004" Type="http://schemas.openxmlformats.org/officeDocument/2006/relationships/hyperlink" Target="https://fbref.com/en/players/1e711234/matchlogs/2025-2026/misc/Jamaldeen-Jimoh-Match-Logs" TargetMode="External"/><Relationship Id="rId1488" Type="http://schemas.openxmlformats.org/officeDocument/2006/relationships/hyperlink" Target="https://fbref.com/en/players/8e697a8f/matchlogs/2025-2026/misc/Dan-Ndoye-Match-Logs" TargetMode="External"/><Relationship Id="rId1005" Type="http://schemas.openxmlformats.org/officeDocument/2006/relationships/hyperlink" Target="https://fbref.com/en/players/e8832875/Joao-Pedro" TargetMode="External"/><Relationship Id="rId1489" Type="http://schemas.openxmlformats.org/officeDocument/2006/relationships/hyperlink" Target="https://fbref.com/en/players/ff392864/Sean-Neave" TargetMode="External"/><Relationship Id="rId1006" Type="http://schemas.openxmlformats.org/officeDocument/2006/relationships/hyperlink" Target="https://fbref.com/en/country/BRA/Brazil-Football" TargetMode="External"/><Relationship Id="rId1007" Type="http://schemas.openxmlformats.org/officeDocument/2006/relationships/hyperlink" Target="https://fbref.com/en/squads/cff3d9bb/Chelsea-Stats" TargetMode="External"/><Relationship Id="rId1008" Type="http://schemas.openxmlformats.org/officeDocument/2006/relationships/hyperlink" Target="https://fbref.com/en/players/e8832875/matchlogs/2025-2026/misc/Joao-Pedro-Match-Logs" TargetMode="External"/><Relationship Id="rId1009" Type="http://schemas.openxmlformats.org/officeDocument/2006/relationships/hyperlink" Target="https://fbref.com/en/players/c17bfb65/Joelinton" TargetMode="External"/><Relationship Id="rId657" Type="http://schemas.openxmlformats.org/officeDocument/2006/relationships/hyperlink" Target="https://fbref.com/en/players/ed1e53f3/Phil-Foden" TargetMode="External"/><Relationship Id="rId656" Type="http://schemas.openxmlformats.org/officeDocument/2006/relationships/hyperlink" Target="https://fbref.com/en/players/81a92add/matchlogs/2025-2026/misc/Tyler-Fletcher-Match-Logs" TargetMode="External"/><Relationship Id="rId655" Type="http://schemas.openxmlformats.org/officeDocument/2006/relationships/hyperlink" Target="https://fbref.com/en/squads/19538871/Manchester-United-Stats" TargetMode="External"/><Relationship Id="rId654" Type="http://schemas.openxmlformats.org/officeDocument/2006/relationships/hyperlink" Target="https://fbref.com/en/country/SCO/Scotland-Football" TargetMode="External"/><Relationship Id="rId659" Type="http://schemas.openxmlformats.org/officeDocument/2006/relationships/hyperlink" Target="https://fbref.com/en/squads/b8fd03ef/Manchester-City-Stats" TargetMode="External"/><Relationship Id="rId658" Type="http://schemas.openxmlformats.org/officeDocument/2006/relationships/hyperlink" Target="https://fbref.com/en/country/ENG/England-Football" TargetMode="External"/><Relationship Id="rId1480" Type="http://schemas.openxmlformats.org/officeDocument/2006/relationships/hyperlink" Target="https://fbref.com/en/players/9affc5f2/matchlogs/2025-2026/misc/David-Moller-Wolfe-Match-Logs" TargetMode="External"/><Relationship Id="rId1481" Type="http://schemas.openxmlformats.org/officeDocument/2006/relationships/hyperlink" Target="https://fbref.com/en/players/5ed97752/Iliman-Ndiaye" TargetMode="External"/><Relationship Id="rId1482" Type="http://schemas.openxmlformats.org/officeDocument/2006/relationships/hyperlink" Target="https://fbref.com/en/country/SEN/Senegal-Football" TargetMode="External"/><Relationship Id="rId1483" Type="http://schemas.openxmlformats.org/officeDocument/2006/relationships/hyperlink" Target="https://fbref.com/en/squads/d3fd31cc/Everton-Stats" TargetMode="External"/><Relationship Id="rId653" Type="http://schemas.openxmlformats.org/officeDocument/2006/relationships/hyperlink" Target="https://fbref.com/en/players/81a92add/Tyler-Fletcher" TargetMode="External"/><Relationship Id="rId1000" Type="http://schemas.openxmlformats.org/officeDocument/2006/relationships/hyperlink" Target="https://fbref.com/en/players/b561db50/matchlogs/2025-2026/misc/Raul-Jimenez-Match-Logs" TargetMode="External"/><Relationship Id="rId1484" Type="http://schemas.openxmlformats.org/officeDocument/2006/relationships/hyperlink" Target="https://fbref.com/en/players/5ed97752/matchlogs/2025-2026/misc/Iliman-Ndiaye-Match-Logs" TargetMode="External"/><Relationship Id="rId652" Type="http://schemas.openxmlformats.org/officeDocument/2006/relationships/hyperlink" Target="https://fbref.com/en/players/38a6c944/matchlogs/2025-2026/misc/Jack-Fletcher-Match-Logs" TargetMode="External"/><Relationship Id="rId1001" Type="http://schemas.openxmlformats.org/officeDocument/2006/relationships/hyperlink" Target="https://fbref.com/en/players/1e711234/Jamaldeen-Jimoh" TargetMode="External"/><Relationship Id="rId1485" Type="http://schemas.openxmlformats.org/officeDocument/2006/relationships/hyperlink" Target="https://fbref.com/en/players/8e697a8f/Dan-Ndoye" TargetMode="External"/><Relationship Id="rId651" Type="http://schemas.openxmlformats.org/officeDocument/2006/relationships/hyperlink" Target="https://fbref.com/en/squads/19538871/Manchester-United-Stats" TargetMode="External"/><Relationship Id="rId1002" Type="http://schemas.openxmlformats.org/officeDocument/2006/relationships/hyperlink" Target="https://fbref.com/en/country/ENG/England-Football" TargetMode="External"/><Relationship Id="rId1486" Type="http://schemas.openxmlformats.org/officeDocument/2006/relationships/hyperlink" Target="https://fbref.com/en/country/SUI/Switzerland-Football" TargetMode="External"/><Relationship Id="rId650" Type="http://schemas.openxmlformats.org/officeDocument/2006/relationships/hyperlink" Target="https://fbref.com/en/country/ENG/England-Football" TargetMode="External"/><Relationship Id="rId1003" Type="http://schemas.openxmlformats.org/officeDocument/2006/relationships/hyperlink" Target="https://fbref.com/en/squads/8602292d/Aston-Villa-Stats" TargetMode="External"/><Relationship Id="rId1487" Type="http://schemas.openxmlformats.org/officeDocument/2006/relationships/hyperlink" Target="https://fbref.com/en/squads/e4a775cb/Nottingham-Forest-Stats" TargetMode="External"/><Relationship Id="rId1037" Type="http://schemas.openxmlformats.org/officeDocument/2006/relationships/hyperlink" Target="https://fbref.com/en/players/570bb4b9/Hamed-Junior-Traore" TargetMode="External"/><Relationship Id="rId1038" Type="http://schemas.openxmlformats.org/officeDocument/2006/relationships/hyperlink" Target="https://fbref.com/en/country/CIV/Cote-dIvoire-Football" TargetMode="External"/><Relationship Id="rId1039" Type="http://schemas.openxmlformats.org/officeDocument/2006/relationships/hyperlink" Target="https://fbref.com/en/squads/4ba7cbea/Bournemouth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a109e5c8/Lucas-Bergvall" TargetMode="External"/><Relationship Id="rId689" Type="http://schemas.openxmlformats.org/officeDocument/2006/relationships/hyperlink" Target="https://fbref.com/en/players/c2731c10/Conor-Gallagher" TargetMode="External"/><Relationship Id="rId204" Type="http://schemas.openxmlformats.org/officeDocument/2006/relationships/hyperlink" Target="https://fbref.com/en/players/d0b6129f/matchlogs/2025-2026/misc/Sander-Berge-Match-Logs" TargetMode="External"/><Relationship Id="rId688" Type="http://schemas.openxmlformats.org/officeDocument/2006/relationships/hyperlink" Target="https://fbref.com/en/players/1971591f/matchlogs/2025-2026/misc/Cody-Gakpo-Match-Logs" TargetMode="External"/><Relationship Id="rId203" Type="http://schemas.openxmlformats.org/officeDocument/2006/relationships/hyperlink" Target="https://fbref.com/en/squads/fd962109/Fulham-Stats" TargetMode="External"/><Relationship Id="rId687" Type="http://schemas.openxmlformats.org/officeDocument/2006/relationships/hyperlink" Target="https://fbref.com/en/squads/822bd0ba/Liverpool-Stats" TargetMode="External"/><Relationship Id="rId209" Type="http://schemas.openxmlformats.org/officeDocument/2006/relationships/hyperlink" Target="https://fbref.com/en/players/ed5c0319/Beto" TargetMode="External"/><Relationship Id="rId208" Type="http://schemas.openxmlformats.org/officeDocument/2006/relationships/hyperlink" Target="https://fbref.com/en/players/a109e5c8/matchlogs/2025-2026/misc/Lucas-Bergvall-Match-Logs" TargetMode="External"/><Relationship Id="rId207" Type="http://schemas.openxmlformats.org/officeDocument/2006/relationships/hyperlink" Target="https://fbref.com/en/squads/361ca564/Tottenham-Hotspur-Stats" TargetMode="External"/><Relationship Id="rId682" Type="http://schemas.openxmlformats.org/officeDocument/2006/relationships/hyperlink" Target="https://fbref.com/en/country/BEL/Belgium-Football" TargetMode="External"/><Relationship Id="rId681" Type="http://schemas.openxmlformats.org/officeDocument/2006/relationships/hyperlink" Target="https://fbref.com/en/players/9fea2579/Kaye-Furo" TargetMode="External"/><Relationship Id="rId1030" Type="http://schemas.openxmlformats.org/officeDocument/2006/relationships/hyperlink" Target="https://fbref.com/en/country/ENG/England-Football" TargetMode="External"/><Relationship Id="rId680" Type="http://schemas.openxmlformats.org/officeDocument/2006/relationships/hyperlink" Target="https://fbref.com/en/players/4f16405e/matchlogs/2025-2026/misc/Niclas-Fullkrug-Match-Logs" TargetMode="External"/><Relationship Id="rId1031" Type="http://schemas.openxmlformats.org/officeDocument/2006/relationships/hyperlink" Target="https://fbref.com/en/squads/822bd0ba/Liverpool-Stats" TargetMode="External"/><Relationship Id="rId1032" Type="http://schemas.openxmlformats.org/officeDocument/2006/relationships/hyperlink" Target="https://fbref.com/en/players/4fb9c88f/matchlogs/2025-2026/misc/Curtis-Jones-Match-Logs" TargetMode="External"/><Relationship Id="rId202" Type="http://schemas.openxmlformats.org/officeDocument/2006/relationships/hyperlink" Target="https://fbref.com/en/country/NOR/Norway-Football" TargetMode="External"/><Relationship Id="rId686" Type="http://schemas.openxmlformats.org/officeDocument/2006/relationships/hyperlink" Target="https://fbref.com/en/country/NED/Netherlands-Football" TargetMode="External"/><Relationship Id="rId1033" Type="http://schemas.openxmlformats.org/officeDocument/2006/relationships/hyperlink" Target="https://fbref.com/en/players/b2fe86e5/Eli-Junior-Kroupi" TargetMode="External"/><Relationship Id="rId201" Type="http://schemas.openxmlformats.org/officeDocument/2006/relationships/hyperlink" Target="https://fbref.com/en/players/d0b6129f/Sander-Berge" TargetMode="External"/><Relationship Id="rId685" Type="http://schemas.openxmlformats.org/officeDocument/2006/relationships/hyperlink" Target="https://fbref.com/en/players/1971591f/Cody-Gakpo" TargetMode="External"/><Relationship Id="rId1034" Type="http://schemas.openxmlformats.org/officeDocument/2006/relationships/hyperlink" Target="https://fbref.com/en/country/FRA/France-Football" TargetMode="External"/><Relationship Id="rId200" Type="http://schemas.openxmlformats.org/officeDocument/2006/relationships/hyperlink" Target="https://fbref.com/en/players/68db6358/matchlogs/2025-2026/misc/Daniel-Bentley-Match-Logs" TargetMode="External"/><Relationship Id="rId684" Type="http://schemas.openxmlformats.org/officeDocument/2006/relationships/hyperlink" Target="https://fbref.com/en/players/9fea2579/matchlogs/2025-2026/misc/Kaye-Furo-Match-Logs" TargetMode="External"/><Relationship Id="rId1035" Type="http://schemas.openxmlformats.org/officeDocument/2006/relationships/hyperlink" Target="https://fbref.com/en/squads/4ba7cbea/Bournemouth-Stats" TargetMode="External"/><Relationship Id="rId683" Type="http://schemas.openxmlformats.org/officeDocument/2006/relationships/hyperlink" Target="https://fbref.com/en/squads/cd051869/Brentford-Stats" TargetMode="External"/><Relationship Id="rId1036" Type="http://schemas.openxmlformats.org/officeDocument/2006/relationships/hyperlink" Target="https://fbref.com/en/players/b2fe86e5/matchlogs/2025-2026/misc/Eli-Junior-Kroupi-Match-Logs" TargetMode="External"/><Relationship Id="rId1026" Type="http://schemas.openxmlformats.org/officeDocument/2006/relationships/hyperlink" Target="https://fbref.com/en/country/ENG/England-Football" TargetMode="External"/><Relationship Id="rId1027" Type="http://schemas.openxmlformats.org/officeDocument/2006/relationships/hyperlink" Target="https://fbref.com/en/squads/8cec06e1/Wolverhampton-Wanderers-Stats" TargetMode="External"/><Relationship Id="rId1028" Type="http://schemas.openxmlformats.org/officeDocument/2006/relationships/hyperlink" Target="https://fbref.com/en/players/9e5708be/matchlogs/2025-2026/misc/Sam-Johnstone-Match-Logs" TargetMode="External"/><Relationship Id="rId1029" Type="http://schemas.openxmlformats.org/officeDocument/2006/relationships/hyperlink" Target="https://fbref.com/en/players/4fb9c88f/Curtis-Jones" TargetMode="External"/><Relationship Id="rId679" Type="http://schemas.openxmlformats.org/officeDocument/2006/relationships/hyperlink" Target="https://fbref.com/en/squads/7c21e445/West-Ham-United-Stats" TargetMode="External"/><Relationship Id="rId678" Type="http://schemas.openxmlformats.org/officeDocument/2006/relationships/hyperlink" Target="https://fbref.com/en/country/GER/Germany-Football" TargetMode="External"/><Relationship Id="rId677" Type="http://schemas.openxmlformats.org/officeDocument/2006/relationships/hyperlink" Target="https://fbref.com/en/players/4f16405e/Niclas-Fullkrug" TargetMode="External"/><Relationship Id="rId676" Type="http://schemas.openxmlformats.org/officeDocument/2006/relationships/hyperlink" Target="https://fbref.com/en/players/74f2e748/matchlogs/2025-2026/misc/Jeremie-Frimpong-Match-Logs" TargetMode="External"/><Relationship Id="rId671" Type="http://schemas.openxmlformats.org/officeDocument/2006/relationships/hyperlink" Target="https://fbref.com/en/squads/19538871/Manchester-United-Stats" TargetMode="External"/><Relationship Id="rId670" Type="http://schemas.openxmlformats.org/officeDocument/2006/relationships/hyperlink" Target="https://fbref.com/en/country/ENG/England-Football" TargetMode="External"/><Relationship Id="rId1020" Type="http://schemas.openxmlformats.org/officeDocument/2006/relationships/hyperlink" Target="https://fbref.com/en/players/0cd31129/matchlogs/2025-2026/misc/Brennan-Johnson-Match-Logs" TargetMode="External"/><Relationship Id="rId1021" Type="http://schemas.openxmlformats.org/officeDocument/2006/relationships/hyperlink" Target="https://fbref.com/en/players/0cd31129/Brennan-Johnson" TargetMode="External"/><Relationship Id="rId675" Type="http://schemas.openxmlformats.org/officeDocument/2006/relationships/hyperlink" Target="https://fbref.com/en/squads/822bd0ba/Liverpool-Stats" TargetMode="External"/><Relationship Id="rId1022" Type="http://schemas.openxmlformats.org/officeDocument/2006/relationships/hyperlink" Target="https://fbref.com/en/country/WAL/Wales-Football" TargetMode="External"/><Relationship Id="rId674" Type="http://schemas.openxmlformats.org/officeDocument/2006/relationships/hyperlink" Target="https://fbref.com/en/country/NED/Netherlands-Football" TargetMode="External"/><Relationship Id="rId1023" Type="http://schemas.openxmlformats.org/officeDocument/2006/relationships/hyperlink" Target="https://fbref.com/en/squads/47c64c55/Crystal-Palace-Stats" TargetMode="External"/><Relationship Id="rId673" Type="http://schemas.openxmlformats.org/officeDocument/2006/relationships/hyperlink" Target="https://fbref.com/en/players/74f2e748/Jeremie-Frimpong" TargetMode="External"/><Relationship Id="rId1024" Type="http://schemas.openxmlformats.org/officeDocument/2006/relationships/hyperlink" Target="https://fbref.com/en/players/0cd31129/matchlogs/2025-2026/misc/Brennan-Johnson-Match-Logs" TargetMode="External"/><Relationship Id="rId672" Type="http://schemas.openxmlformats.org/officeDocument/2006/relationships/hyperlink" Target="https://fbref.com/en/players/58630379/matchlogs/2025-2026/misc/Tyler-Fredricson-Match-Logs" TargetMode="External"/><Relationship Id="rId1025" Type="http://schemas.openxmlformats.org/officeDocument/2006/relationships/hyperlink" Target="https://fbref.com/en/players/9e5708be/Sam-Johnstone" TargetMode="External"/><Relationship Id="rId190" Type="http://schemas.openxmlformats.org/officeDocument/2006/relationships/hyperlink" Target="https://fbref.com/en/country/ARG/Argentina-Football" TargetMode="External"/><Relationship Id="rId194" Type="http://schemas.openxmlformats.org/officeDocument/2006/relationships/hyperlink" Target="https://fbref.com/en/country/URU/Uruguay-Football" TargetMode="External"/><Relationship Id="rId193" Type="http://schemas.openxmlformats.org/officeDocument/2006/relationships/hyperlink" Target="https://fbref.com/en/players/3b8674e6/Rodrigo-Bentancur" TargetMode="External"/><Relationship Id="rId192" Type="http://schemas.openxmlformats.org/officeDocument/2006/relationships/hyperlink" Target="https://fbref.com/en/players/8a2248b4/matchlogs/2025-2026/misc/Walter-Benitez-Match-Logs" TargetMode="External"/><Relationship Id="rId191" Type="http://schemas.openxmlformats.org/officeDocument/2006/relationships/hyperlink" Target="https://fbref.com/en/squads/47c64c55/Crystal-Palace-Stats" TargetMode="External"/><Relationship Id="rId187" Type="http://schemas.openxmlformats.org/officeDocument/2006/relationships/hyperlink" Target="https://fbref.com/en/squads/8cec06e1/Wolverhampton-Wanderers-Stats" TargetMode="External"/><Relationship Id="rId186" Type="http://schemas.openxmlformats.org/officeDocument/2006/relationships/hyperlink" Target="https://fbref.com/en/country/HAI/Haiti-Football" TargetMode="External"/><Relationship Id="rId185" Type="http://schemas.openxmlformats.org/officeDocument/2006/relationships/hyperlink" Target="https://fbref.com/en/players/10f0fdd3/Jean-Ricner-Bellegarde" TargetMode="External"/><Relationship Id="rId184" Type="http://schemas.openxmlformats.org/officeDocument/2006/relationships/hyperlink" Target="https://fbref.com/en/players/072e68ed/matchlogs/2025-2026/misc/Altay-Bayindir-Match-Logs" TargetMode="External"/><Relationship Id="rId189" Type="http://schemas.openxmlformats.org/officeDocument/2006/relationships/hyperlink" Target="https://fbref.com/en/players/8a2248b4/Walter-Benitez" TargetMode="External"/><Relationship Id="rId188" Type="http://schemas.openxmlformats.org/officeDocument/2006/relationships/hyperlink" Target="https://fbref.com/en/players/10f0fdd3/matchlogs/2025-2026/misc/Jean-Ricner-Bellegarde-Match-Logs" TargetMode="External"/><Relationship Id="rId183" Type="http://schemas.openxmlformats.org/officeDocument/2006/relationships/hyperlink" Target="https://fbref.com/en/squads/19538871/Manchester-United-Stats" TargetMode="External"/><Relationship Id="rId182" Type="http://schemas.openxmlformats.org/officeDocument/2006/relationships/hyperlink" Target="https://fbref.com/en/country/TUR/Turkey-Football" TargetMode="External"/><Relationship Id="rId181" Type="http://schemas.openxmlformats.org/officeDocument/2006/relationships/hyperlink" Target="https://fbref.com/en/players/072e68ed/Altay-Bayindir" TargetMode="External"/><Relationship Id="rId180" Type="http://schemas.openxmlformats.org/officeDocument/2006/relationships/hyperlink" Target="https://fbref.com/en/players/a36524bf/matchlogs/2025-2026/misc/Calvin-Bassey-Match-Logs" TargetMode="External"/><Relationship Id="rId176" Type="http://schemas.openxmlformats.org/officeDocument/2006/relationships/hyperlink" Target="https://fbref.com/en/players/52c3244b/matchlogs/2025-2026/misc/Thierno-Barry-Match-Logs" TargetMode="External"/><Relationship Id="rId175" Type="http://schemas.openxmlformats.org/officeDocument/2006/relationships/hyperlink" Target="https://fbref.com/en/squads/d3fd31cc/Everton-Stats" TargetMode="External"/><Relationship Id="rId174" Type="http://schemas.openxmlformats.org/officeDocument/2006/relationships/hyperlink" Target="https://fbref.com/en/country/FRA/France-Football" TargetMode="External"/><Relationship Id="rId173" Type="http://schemas.openxmlformats.org/officeDocument/2006/relationships/hyperlink" Target="https://fbref.com/en/players/52c3244b/Thierno-Barry" TargetMode="External"/><Relationship Id="rId179" Type="http://schemas.openxmlformats.org/officeDocument/2006/relationships/hyperlink" Target="https://fbref.com/en/squads/fd962109/Fulham-Stats" TargetMode="External"/><Relationship Id="rId178" Type="http://schemas.openxmlformats.org/officeDocument/2006/relationships/hyperlink" Target="https://fbref.com/en/country/NGA/Nigeria-Football" TargetMode="External"/><Relationship Id="rId177" Type="http://schemas.openxmlformats.org/officeDocument/2006/relationships/hyperlink" Target="https://fbref.com/en/players/a36524bf/Calvin-Bassey" TargetMode="External"/><Relationship Id="rId1910" Type="http://schemas.openxmlformats.org/officeDocument/2006/relationships/hyperlink" Target="https://fbref.com/en/country/NOR/Norway-Football" TargetMode="External"/><Relationship Id="rId1911" Type="http://schemas.openxmlformats.org/officeDocument/2006/relationships/hyperlink" Target="https://fbref.com/en/squads/47c64c55/Crystal-Palace-Stats" TargetMode="External"/><Relationship Id="rId1912" Type="http://schemas.openxmlformats.org/officeDocument/2006/relationships/hyperlink" Target="https://fbref.com/en/players/f553b2b3/matchlogs/2025-2026/misc/Jorgen-Strand-Larsen-Match-Logs" TargetMode="External"/><Relationship Id="rId1913" Type="http://schemas.openxmlformats.org/officeDocument/2006/relationships/hyperlink" Target="https://fbref.com/en/players/f4d296e4/Pascal-Struijk" TargetMode="External"/><Relationship Id="rId1914" Type="http://schemas.openxmlformats.org/officeDocument/2006/relationships/hyperlink" Target="https://fbref.com/en/country/NED/Netherlands-Football" TargetMode="External"/><Relationship Id="rId1915" Type="http://schemas.openxmlformats.org/officeDocument/2006/relationships/hyperlink" Target="https://fbref.com/en/squads/5bfb9659/Leeds-United-Stats" TargetMode="External"/><Relationship Id="rId1916" Type="http://schemas.openxmlformats.org/officeDocument/2006/relationships/hyperlink" Target="https://fbref.com/en/players/f4d296e4/matchlogs/2025-2026/misc/Pascal-Struijk-Match-Logs" TargetMode="External"/><Relationship Id="rId1917" Type="http://schemas.openxmlformats.org/officeDocument/2006/relationships/hyperlink" Target="https://fbref.com/en/players/df04eb4b/Crysencio-Summerville" TargetMode="External"/><Relationship Id="rId1918" Type="http://schemas.openxmlformats.org/officeDocument/2006/relationships/hyperlink" Target="https://fbref.com/en/country/NED/Netherlands-Football" TargetMode="External"/><Relationship Id="rId1919" Type="http://schemas.openxmlformats.org/officeDocument/2006/relationships/hyperlink" Target="https://fbref.com/en/squads/7c21e445/West-Ham-United-Stats" TargetMode="External"/><Relationship Id="rId1900" Type="http://schemas.openxmlformats.org/officeDocument/2006/relationships/hyperlink" Target="https://fbref.com/en/players/0f59a7bf/matchlogs/2025-2026/misc/Anton-Stach-Match-Logs" TargetMode="External"/><Relationship Id="rId1901" Type="http://schemas.openxmlformats.org/officeDocument/2006/relationships/hyperlink" Target="https://fbref.com/en/players/5eecec3d/John-Stones" TargetMode="External"/><Relationship Id="rId1902" Type="http://schemas.openxmlformats.org/officeDocument/2006/relationships/hyperlink" Target="https://fbref.com/en/country/ENG/England-Football" TargetMode="External"/><Relationship Id="rId1903" Type="http://schemas.openxmlformats.org/officeDocument/2006/relationships/hyperlink" Target="https://fbref.com/en/squads/b8fd03ef/Manchester-City-Stats" TargetMode="External"/><Relationship Id="rId1904" Type="http://schemas.openxmlformats.org/officeDocument/2006/relationships/hyperlink" Target="https://fbref.com/en/players/5eecec3d/matchlogs/2025-2026/misc/John-Stones-Match-Logs" TargetMode="External"/><Relationship Id="rId1905" Type="http://schemas.openxmlformats.org/officeDocument/2006/relationships/hyperlink" Target="https://fbref.com/en/players/f553b2b3/Jorgen-Strand-Larsen" TargetMode="External"/><Relationship Id="rId1906" Type="http://schemas.openxmlformats.org/officeDocument/2006/relationships/hyperlink" Target="https://fbref.com/en/country/NOR/Norway-Football" TargetMode="External"/><Relationship Id="rId1907" Type="http://schemas.openxmlformats.org/officeDocument/2006/relationships/hyperlink" Target="https://fbref.com/en/squads/8cec06e1/Wolverhampton-Wanderers-Stats" TargetMode="External"/><Relationship Id="rId1908" Type="http://schemas.openxmlformats.org/officeDocument/2006/relationships/hyperlink" Target="https://fbref.com/en/players/f553b2b3/matchlogs/2025-2026/misc/Jorgen-Strand-Larsen-Match-Logs" TargetMode="External"/><Relationship Id="rId1909" Type="http://schemas.openxmlformats.org/officeDocument/2006/relationships/hyperlink" Target="https://fbref.com/en/players/f553b2b3/Jorgen-Strand-Larsen" TargetMode="External"/><Relationship Id="rId198" Type="http://schemas.openxmlformats.org/officeDocument/2006/relationships/hyperlink" Target="https://fbref.com/en/country/ENG/England-Football" TargetMode="External"/><Relationship Id="rId197" Type="http://schemas.openxmlformats.org/officeDocument/2006/relationships/hyperlink" Target="https://fbref.com/en/players/68db6358/Daniel-Bentley" TargetMode="External"/><Relationship Id="rId196" Type="http://schemas.openxmlformats.org/officeDocument/2006/relationships/hyperlink" Target="https://fbref.com/en/players/3b8674e6/matchlogs/2025-2026/misc/Rodrigo-Bentancur-Match-Logs" TargetMode="External"/><Relationship Id="rId195" Type="http://schemas.openxmlformats.org/officeDocument/2006/relationships/hyperlink" Target="https://fbref.com/en/squads/361ca564/Tottenham-Hotspur-Stats" TargetMode="External"/><Relationship Id="rId199" Type="http://schemas.openxmlformats.org/officeDocument/2006/relationships/hyperlink" Target="https://fbref.com/en/squads/8cec06e1/Wolverhampton-Wanderers-Stats" TargetMode="External"/><Relationship Id="rId150" Type="http://schemas.openxmlformats.org/officeDocument/2006/relationships/hyperlink" Target="https://fbref.com/en/country/FRA/France-Football" TargetMode="External"/><Relationship Id="rId149" Type="http://schemas.openxmlformats.org/officeDocument/2006/relationships/hyperlink" Target="https://fbref.com/en/players/2b5a35e5/Dilane-Bakwa" TargetMode="External"/><Relationship Id="rId148" Type="http://schemas.openxmlformats.org/officeDocument/2006/relationships/hyperlink" Target="https://fbref.com/en/players/3a233281/matchlogs/2025-2026/misc/Leon-Bailey-Match-Logs" TargetMode="External"/><Relationship Id="rId1090" Type="http://schemas.openxmlformats.org/officeDocument/2006/relationships/hyperlink" Target="https://fbref.com/en/country/BRA/Brazil-Football" TargetMode="External"/><Relationship Id="rId1091" Type="http://schemas.openxmlformats.org/officeDocument/2006/relationships/hyperlink" Target="https://fbref.com/en/squads/fd962109/Fulham-Stats" TargetMode="External"/><Relationship Id="rId1092" Type="http://schemas.openxmlformats.org/officeDocument/2006/relationships/hyperlink" Target="https://fbref.com/en/players/93508980/matchlogs/2025-2026/misc/Kevin-Match-Logs" TargetMode="External"/><Relationship Id="rId1093" Type="http://schemas.openxmlformats.org/officeDocument/2006/relationships/hyperlink" Target="https://fbref.com/en/players/d17ce930/Abdukodir-Khusanov" TargetMode="External"/><Relationship Id="rId1094" Type="http://schemas.openxmlformats.org/officeDocument/2006/relationships/hyperlink" Target="https://fbref.com/en/country/UZB/Uzbekistan-Football" TargetMode="External"/><Relationship Id="rId143" Type="http://schemas.openxmlformats.org/officeDocument/2006/relationships/hyperlink" Target="https://fbref.com/en/squads/cff3d9bb/Chelsea-Stats" TargetMode="External"/><Relationship Id="rId1095" Type="http://schemas.openxmlformats.org/officeDocument/2006/relationships/hyperlink" Target="https://fbref.com/en/squads/b8fd03ef/Manchester-City-Stats" TargetMode="External"/><Relationship Id="rId142" Type="http://schemas.openxmlformats.org/officeDocument/2006/relationships/hyperlink" Target="https://fbref.com/en/country/FRA/France-Football" TargetMode="External"/><Relationship Id="rId1096" Type="http://schemas.openxmlformats.org/officeDocument/2006/relationships/hyperlink" Target="https://fbref.com/en/players/d17ce930/matchlogs/2025-2026/misc/Abdukodir-Khusanov-Match-Logs" TargetMode="External"/><Relationship Id="rId141" Type="http://schemas.openxmlformats.org/officeDocument/2006/relationships/hyperlink" Target="https://fbref.com/en/players/06df8256/Benoit-Badiashile" TargetMode="External"/><Relationship Id="rId1097" Type="http://schemas.openxmlformats.org/officeDocument/2006/relationships/hyperlink" Target="https://fbref.com/en/players/d0f72bf1/Max-Kilman" TargetMode="External"/><Relationship Id="rId140" Type="http://schemas.openxmlformats.org/officeDocument/2006/relationships/hyperlink" Target="https://fbref.com/en/players/f173303a/matchlogs/2025-2026/misc/Yasin-Ayari-Match-Logs" TargetMode="External"/><Relationship Id="rId1098" Type="http://schemas.openxmlformats.org/officeDocument/2006/relationships/hyperlink" Target="https://fbref.com/en/country/ENG/England-Football" TargetMode="External"/><Relationship Id="rId147" Type="http://schemas.openxmlformats.org/officeDocument/2006/relationships/hyperlink" Target="https://fbref.com/en/squads/8602292d/Aston-Villa-Stats" TargetMode="External"/><Relationship Id="rId1099" Type="http://schemas.openxmlformats.org/officeDocument/2006/relationships/hyperlink" Target="https://fbref.com/en/squads/7c21e445/West-Ham-United-Stats" TargetMode="External"/><Relationship Id="rId146" Type="http://schemas.openxmlformats.org/officeDocument/2006/relationships/hyperlink" Target="https://fbref.com/en/country/JAM/Jamaica-Football" TargetMode="External"/><Relationship Id="rId145" Type="http://schemas.openxmlformats.org/officeDocument/2006/relationships/hyperlink" Target="https://fbref.com/en/players/3a233281/Leon-Bailey" TargetMode="External"/><Relationship Id="rId144" Type="http://schemas.openxmlformats.org/officeDocument/2006/relationships/hyperlink" Target="https://fbref.com/en/players/06df8256/matchlogs/2025-2026/misc/Benoit-Badiashile-Match-Logs" TargetMode="External"/><Relationship Id="rId139" Type="http://schemas.openxmlformats.org/officeDocument/2006/relationships/hyperlink" Target="https://fbref.com/en/squads/d07537b9/Brighton-and-Hove-Albion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f173303a/Yasin-Ayari" TargetMode="External"/><Relationship Id="rId1080" Type="http://schemas.openxmlformats.org/officeDocument/2006/relationships/hyperlink" Target="https://fbref.com/en/players/c5b7c315/matchlogs/2025-2026/misc/Michael-Keane-Match-Logs" TargetMode="External"/><Relationship Id="rId1081" Type="http://schemas.openxmlformats.org/officeDocument/2006/relationships/hyperlink" Target="https://fbref.com/en/players/62d7ef38/Caoimhin-Kelleher" TargetMode="External"/><Relationship Id="rId1082" Type="http://schemas.openxmlformats.org/officeDocument/2006/relationships/hyperlink" Target="https://fbref.com/en/country/IRL/Republic-of-Ireland-Football" TargetMode="External"/><Relationship Id="rId1083" Type="http://schemas.openxmlformats.org/officeDocument/2006/relationships/hyperlink" Target="https://fbref.com/en/squads/cd051869/Brentford-Stats" TargetMode="External"/><Relationship Id="rId132" Type="http://schemas.openxmlformats.org/officeDocument/2006/relationships/hyperlink" Target="https://fbref.com/en/players/28d596a0/matchlogs/2025-2026/misc/Kepa-Arrizabalaga-Match-Logs" TargetMode="External"/><Relationship Id="rId1084" Type="http://schemas.openxmlformats.org/officeDocument/2006/relationships/hyperlink" Target="https://fbref.com/en/players/62d7ef38/matchlogs/2025-2026/misc/Caoimhin-Kelleher-Match-Logs" TargetMode="External"/><Relationship Id="rId131" Type="http://schemas.openxmlformats.org/officeDocument/2006/relationships/hyperlink" Target="https://fbref.com/en/squads/18bb7c10/Arsenal-Stats" TargetMode="External"/><Relationship Id="rId1085" Type="http://schemas.openxmlformats.org/officeDocument/2006/relationships/hyperlink" Target="https://fbref.com/en/players/0ad53bdc/Milos-Kerkez" TargetMode="External"/><Relationship Id="rId130" Type="http://schemas.openxmlformats.org/officeDocument/2006/relationships/hyperlink" Target="https://fbref.com/en/country/ESP/Spain-Football" TargetMode="External"/><Relationship Id="rId1086" Type="http://schemas.openxmlformats.org/officeDocument/2006/relationships/hyperlink" Target="https://fbref.com/en/country/HUN/Hungary-Football" TargetMode="External"/><Relationship Id="rId1087" Type="http://schemas.openxmlformats.org/officeDocument/2006/relationships/hyperlink" Target="https://fbref.com/en/squads/822bd0ba/Liverpool-Stats" TargetMode="External"/><Relationship Id="rId136" Type="http://schemas.openxmlformats.org/officeDocument/2006/relationships/hyperlink" Target="https://fbref.com/en/players/e5478b87/matchlogs/2025-2026/misc/Taiwo-Awoniyi-Match-Logs" TargetMode="External"/><Relationship Id="rId1088" Type="http://schemas.openxmlformats.org/officeDocument/2006/relationships/hyperlink" Target="https://fbref.com/en/players/0ad53bdc/matchlogs/2025-2026/misc/Milos-Kerkez-Match-Logs" TargetMode="External"/><Relationship Id="rId135" Type="http://schemas.openxmlformats.org/officeDocument/2006/relationships/hyperlink" Target="https://fbref.com/en/squads/e4a775cb/Nottingham-Forest-Stats" TargetMode="External"/><Relationship Id="rId1089" Type="http://schemas.openxmlformats.org/officeDocument/2006/relationships/hyperlink" Target="https://fbref.com/en/players/93508980/Kevin" TargetMode="External"/><Relationship Id="rId134" Type="http://schemas.openxmlformats.org/officeDocument/2006/relationships/hyperlink" Target="https://fbref.com/en/country/NGA/Nigeria-Football" TargetMode="External"/><Relationship Id="rId133" Type="http://schemas.openxmlformats.org/officeDocument/2006/relationships/hyperlink" Target="https://fbref.com/en/players/e5478b87/Taiwo-Awoniyi" TargetMode="External"/><Relationship Id="rId172" Type="http://schemas.openxmlformats.org/officeDocument/2006/relationships/hyperlink" Target="https://fbref.com/en/players/3ea50f67/matchlogs/2025-2026/misc/Harvey-Barnes-Match-Logs" TargetMode="External"/><Relationship Id="rId171" Type="http://schemas.openxmlformats.org/officeDocument/2006/relationships/hyperlink" Target="https://fbref.com/en/squads/b2b47a98/Newcastle-United-Stats" TargetMode="External"/><Relationship Id="rId170" Type="http://schemas.openxmlformats.org/officeDocument/2006/relationships/hyperlink" Target="https://fbref.com/en/country/ENG/England-Football" TargetMode="External"/><Relationship Id="rId165" Type="http://schemas.openxmlformats.org/officeDocument/2006/relationships/hyperlink" Target="https://fbref.com/en/players/2691c772/Ashley-Barnes" TargetMode="External"/><Relationship Id="rId164" Type="http://schemas.openxmlformats.org/officeDocument/2006/relationships/hyperlink" Target="https://fbref.com/en/players/3a24769f/matchlogs/2025-2026/misc/Ross-Barkley-Match-Logs" TargetMode="External"/><Relationship Id="rId163" Type="http://schemas.openxmlformats.org/officeDocument/2006/relationships/hyperlink" Target="https://fbref.com/en/squads/8602292d/Aston-Villa-Stats" TargetMode="External"/><Relationship Id="rId162" Type="http://schemas.openxmlformats.org/officeDocument/2006/relationships/hyperlink" Target="https://fbref.com/en/country/ENG/England-Football" TargetMode="External"/><Relationship Id="rId169" Type="http://schemas.openxmlformats.org/officeDocument/2006/relationships/hyperlink" Target="https://fbref.com/en/players/3ea50f67/Harvey-Barnes" TargetMode="External"/><Relationship Id="rId168" Type="http://schemas.openxmlformats.org/officeDocument/2006/relationships/hyperlink" Target="https://fbref.com/en/players/2691c772/matchlogs/2025-2026/misc/Ashley-Barnes-Match-Logs" TargetMode="External"/><Relationship Id="rId167" Type="http://schemas.openxmlformats.org/officeDocument/2006/relationships/hyperlink" Target="https://fbref.com/en/squads/943e8050/Burnley-Stats" TargetMode="External"/><Relationship Id="rId166" Type="http://schemas.openxmlformats.org/officeDocument/2006/relationships/hyperlink" Target="https://fbref.com/en/country/ENG/England-Football" TargetMode="External"/><Relationship Id="rId161" Type="http://schemas.openxmlformats.org/officeDocument/2006/relationships/hyperlink" Target="https://fbref.com/en/players/3a24769f/Ross-Barkley" TargetMode="External"/><Relationship Id="rId160" Type="http://schemas.openxmlformats.org/officeDocument/2006/relationships/hyperlink" Target="https://fbref.com/en/players/38f300f3/matchlogs/2025-2026/misc/Daniel-Ballard-Match-Logs" TargetMode="External"/><Relationship Id="rId159" Type="http://schemas.openxmlformats.org/officeDocument/2006/relationships/hyperlink" Target="https://fbref.com/en/squads/8ef52968/Sunderland-Stats" TargetMode="External"/><Relationship Id="rId154" Type="http://schemas.openxmlformats.org/officeDocument/2006/relationships/hyperlink" Target="https://fbref.com/en/country/CMR/Cameroon-Football" TargetMode="External"/><Relationship Id="rId153" Type="http://schemas.openxmlformats.org/officeDocument/2006/relationships/hyperlink" Target="https://fbref.com/en/players/a1390d2f/Carlos-Baleba" TargetMode="External"/><Relationship Id="rId152" Type="http://schemas.openxmlformats.org/officeDocument/2006/relationships/hyperlink" Target="https://fbref.com/en/players/2b5a35e5/matchlogs/2025-2026/misc/Dilane-Bakwa-Match-Logs" TargetMode="External"/><Relationship Id="rId151" Type="http://schemas.openxmlformats.org/officeDocument/2006/relationships/hyperlink" Target="https://fbref.com/en/squads/e4a775cb/Nottingham-Forest-Stats" TargetMode="External"/><Relationship Id="rId158" Type="http://schemas.openxmlformats.org/officeDocument/2006/relationships/hyperlink" Target="https://fbref.com/en/country/NIR/Northern-Ireland-Football" TargetMode="External"/><Relationship Id="rId157" Type="http://schemas.openxmlformats.org/officeDocument/2006/relationships/hyperlink" Target="https://fbref.com/en/players/38f300f3/Daniel-Ballard" TargetMode="External"/><Relationship Id="rId156" Type="http://schemas.openxmlformats.org/officeDocument/2006/relationships/hyperlink" Target="https://fbref.com/en/players/a1390d2f/matchlogs/2025-2026/misc/Carlos-Baleba-Match-Logs" TargetMode="External"/><Relationship Id="rId155" Type="http://schemas.openxmlformats.org/officeDocument/2006/relationships/hyperlink" Target="https://fbref.com/en/squads/d07537b9/Brighton-and-Hove-Albion-Stats" TargetMode="External"/><Relationship Id="rId1972" Type="http://schemas.openxmlformats.org/officeDocument/2006/relationships/hyperlink" Target="https://fbref.com/en/players/56f7a928/matchlogs/2025-2026/misc/Youri-Tielemans-Match-Logs" TargetMode="External"/><Relationship Id="rId1973" Type="http://schemas.openxmlformats.org/officeDocument/2006/relationships/hyperlink" Target="https://fbref.com/en/players/41034650/Jurrien-Timber" TargetMode="External"/><Relationship Id="rId1974" Type="http://schemas.openxmlformats.org/officeDocument/2006/relationships/hyperlink" Target="https://fbref.com/en/country/NED/Netherlands-Football" TargetMode="External"/><Relationship Id="rId1975" Type="http://schemas.openxmlformats.org/officeDocument/2006/relationships/hyperlink" Target="https://fbref.com/en/squads/18bb7c10/Arsenal-Stats" TargetMode="External"/><Relationship Id="rId1976" Type="http://schemas.openxmlformats.org/officeDocument/2006/relationships/hyperlink" Target="https://fbref.com/en/players/41034650/matchlogs/2025-2026/misc/Jurrien-Timber-Match-Logs" TargetMode="External"/><Relationship Id="rId1977" Type="http://schemas.openxmlformats.org/officeDocument/2006/relationships/hyperlink" Target="https://fbref.com/en/players/88f130ed/Jean-Clair-Todibo" TargetMode="External"/><Relationship Id="rId1978" Type="http://schemas.openxmlformats.org/officeDocument/2006/relationships/hyperlink" Target="https://fbref.com/en/country/FRA/France-Football" TargetMode="External"/><Relationship Id="rId1979" Type="http://schemas.openxmlformats.org/officeDocument/2006/relationships/hyperlink" Target="https://fbref.com/en/squads/7c21e445/West-Ham-United-Stats" TargetMode="External"/><Relationship Id="rId1970" Type="http://schemas.openxmlformats.org/officeDocument/2006/relationships/hyperlink" Target="https://fbref.com/en/country/BEL/Belgium-Football" TargetMode="External"/><Relationship Id="rId1971" Type="http://schemas.openxmlformats.org/officeDocument/2006/relationships/hyperlink" Target="https://fbref.com/en/squads/8602292d/Aston-Villa-Stats" TargetMode="External"/><Relationship Id="rId1961" Type="http://schemas.openxmlformats.org/officeDocument/2006/relationships/hyperlink" Target="https://fbref.com/en/players/dc45ac24/Igor-Thiago" TargetMode="External"/><Relationship Id="rId1962" Type="http://schemas.openxmlformats.org/officeDocument/2006/relationships/hyperlink" Target="https://fbref.com/en/country/BRA/Brazil-Football" TargetMode="External"/><Relationship Id="rId1963" Type="http://schemas.openxmlformats.org/officeDocument/2006/relationships/hyperlink" Target="https://fbref.com/en/squads/cd051869/Brentford-Stats" TargetMode="External"/><Relationship Id="rId1964" Type="http://schemas.openxmlformats.org/officeDocument/2006/relationships/hyperlink" Target="https://fbref.com/en/players/dc45ac24/matchlogs/2025-2026/misc/Igor-Thiago-Match-Logs" TargetMode="External"/><Relationship Id="rId1965" Type="http://schemas.openxmlformats.org/officeDocument/2006/relationships/hyperlink" Target="https://fbref.com/en/players/ff5ea0bf/Malick-Thiaw" TargetMode="External"/><Relationship Id="rId1966" Type="http://schemas.openxmlformats.org/officeDocument/2006/relationships/hyperlink" Target="https://fbref.com/en/country/GER/Germany-Football" TargetMode="External"/><Relationship Id="rId1967" Type="http://schemas.openxmlformats.org/officeDocument/2006/relationships/hyperlink" Target="https://fbref.com/en/squads/b2b47a98/Newcastle-United-Stats" TargetMode="External"/><Relationship Id="rId1968" Type="http://schemas.openxmlformats.org/officeDocument/2006/relationships/hyperlink" Target="https://fbref.com/en/players/ff5ea0bf/matchlogs/2025-2026/misc/Malick-Thiaw-Match-Logs" TargetMode="External"/><Relationship Id="rId1969" Type="http://schemas.openxmlformats.org/officeDocument/2006/relationships/hyperlink" Target="https://fbref.com/en/players/56f7a928/Youri-Tielemans" TargetMode="External"/><Relationship Id="rId1960" Type="http://schemas.openxmlformats.org/officeDocument/2006/relationships/hyperlink" Target="https://fbref.com/en/players/77d7c96f/matchlogs/2025-2026/misc/Kenny-Tete-Match-Logs" TargetMode="External"/><Relationship Id="rId1510" Type="http://schemas.openxmlformats.org/officeDocument/2006/relationships/hyperlink" Target="https://fbref.com/en/country/ENG/England-Football" TargetMode="External"/><Relationship Id="rId1994" Type="http://schemas.openxmlformats.org/officeDocument/2006/relationships/hyperlink" Target="https://fbref.com/en/country/ENG/England-Football" TargetMode="External"/><Relationship Id="rId1511" Type="http://schemas.openxmlformats.org/officeDocument/2006/relationships/hyperlink" Target="https://fbref.com/en/squads/822bd0ba/Liverpool-Stats" TargetMode="External"/><Relationship Id="rId1995" Type="http://schemas.openxmlformats.org/officeDocument/2006/relationships/hyperlink" Target="https://fbref.com/en/squads/b8fd03ef/Manchester-City-Stats" TargetMode="External"/><Relationship Id="rId1512" Type="http://schemas.openxmlformats.org/officeDocument/2006/relationships/hyperlink" Target="https://fbref.com/en/players/022eca88/matchlogs/2025-2026/misc/Rio-Ngumoha-Match-Logs" TargetMode="External"/><Relationship Id="rId1996" Type="http://schemas.openxmlformats.org/officeDocument/2006/relationships/hyperlink" Target="https://fbref.com/en/players/259fea27/matchlogs/2025-2026/misc/James-Trafford-Match-Logs" TargetMode="External"/><Relationship Id="rId1513" Type="http://schemas.openxmlformats.org/officeDocument/2006/relationships/hyperlink" Target="https://fbref.com/en/players/a53649b7/Eddie-Nketiah" TargetMode="External"/><Relationship Id="rId1997" Type="http://schemas.openxmlformats.org/officeDocument/2006/relationships/hyperlink" Target="https://fbref.com/en/players/9a28eba4/Adama-Traore" TargetMode="External"/><Relationship Id="rId1514" Type="http://schemas.openxmlformats.org/officeDocument/2006/relationships/hyperlink" Target="https://fbref.com/en/country/ENG/England-Football" TargetMode="External"/><Relationship Id="rId1998" Type="http://schemas.openxmlformats.org/officeDocument/2006/relationships/hyperlink" Target="https://fbref.com/en/country/ESP/Spain-Football" TargetMode="External"/><Relationship Id="rId1515" Type="http://schemas.openxmlformats.org/officeDocument/2006/relationships/hyperlink" Target="https://fbref.com/en/squads/47c64c55/Crystal-Palace-Stats" TargetMode="External"/><Relationship Id="rId1999" Type="http://schemas.openxmlformats.org/officeDocument/2006/relationships/hyperlink" Target="https://fbref.com/en/squads/fd962109/Fulham-Stats" TargetMode="External"/><Relationship Id="rId1516" Type="http://schemas.openxmlformats.org/officeDocument/2006/relationships/hyperlink" Target="https://fbref.com/en/players/a53649b7/matchlogs/2025-2026/misc/Eddie-Nketiah-Match-Logs" TargetMode="External"/><Relationship Id="rId1517" Type="http://schemas.openxmlformats.org/officeDocument/2006/relationships/hyperlink" Target="https://fbref.com/en/players/0cc5f4a5/Lukas-Nmecha" TargetMode="External"/><Relationship Id="rId1518" Type="http://schemas.openxmlformats.org/officeDocument/2006/relationships/hyperlink" Target="https://fbref.com/en/country/GER/Germany-Football" TargetMode="External"/><Relationship Id="rId1519" Type="http://schemas.openxmlformats.org/officeDocument/2006/relationships/hyperlink" Target="https://fbref.com/en/squads/5bfb9659/Leeds-United-Stats" TargetMode="External"/><Relationship Id="rId1990" Type="http://schemas.openxmlformats.org/officeDocument/2006/relationships/hyperlink" Target="https://fbref.com/en/country/HUN/Hungary-Football" TargetMode="External"/><Relationship Id="rId1991" Type="http://schemas.openxmlformats.org/officeDocument/2006/relationships/hyperlink" Target="https://fbref.com/en/squads/4ba7cbea/Bournemouth-Stats" TargetMode="External"/><Relationship Id="rId1992" Type="http://schemas.openxmlformats.org/officeDocument/2006/relationships/hyperlink" Target="https://fbref.com/en/players/5e18c6f4/matchlogs/2025-2026/misc/Alex-Toth-Match-Logs" TargetMode="External"/><Relationship Id="rId1993" Type="http://schemas.openxmlformats.org/officeDocument/2006/relationships/hyperlink" Target="https://fbref.com/en/players/259fea27/James-Trafford" TargetMode="External"/><Relationship Id="rId1983" Type="http://schemas.openxmlformats.org/officeDocument/2006/relationships/hyperlink" Target="https://fbref.com/en/squads/b2b47a98/Newcastle-United-Stats" TargetMode="External"/><Relationship Id="rId1500" Type="http://schemas.openxmlformats.org/officeDocument/2006/relationships/hyperlink" Target="https://fbref.com/en/players/c5bdb6e3/matchlogs/2025-2026/misc/Reiss-Nelson-Match-Logs" TargetMode="External"/><Relationship Id="rId1984" Type="http://schemas.openxmlformats.org/officeDocument/2006/relationships/hyperlink" Target="https://fbref.com/en/players/0db169ae/matchlogs/2025-2026/misc/Sandro-Tonali-Match-Logs" TargetMode="External"/><Relationship Id="rId1501" Type="http://schemas.openxmlformats.org/officeDocument/2006/relationships/hyperlink" Target="https://fbref.com/en/players/7ba2eaa9/Pedro-Neto" TargetMode="External"/><Relationship Id="rId1985" Type="http://schemas.openxmlformats.org/officeDocument/2006/relationships/hyperlink" Target="https://fbref.com/en/players/532e1e4f/Pau-Torres" TargetMode="External"/><Relationship Id="rId1502" Type="http://schemas.openxmlformats.org/officeDocument/2006/relationships/hyperlink" Target="https://fbref.com/en/country/POR/Portugal-Football" TargetMode="External"/><Relationship Id="rId1986" Type="http://schemas.openxmlformats.org/officeDocument/2006/relationships/hyperlink" Target="https://fbref.com/en/country/ESP/Spain-Football" TargetMode="External"/><Relationship Id="rId1503" Type="http://schemas.openxmlformats.org/officeDocument/2006/relationships/hyperlink" Target="https://fbref.com/en/squads/cff3d9bb/Chelsea-Stats" TargetMode="External"/><Relationship Id="rId1987" Type="http://schemas.openxmlformats.org/officeDocument/2006/relationships/hyperlink" Target="https://fbref.com/en/squads/8602292d/Aston-Villa-Stats" TargetMode="External"/><Relationship Id="rId1504" Type="http://schemas.openxmlformats.org/officeDocument/2006/relationships/hyperlink" Target="https://fbref.com/en/players/7ba2eaa9/matchlogs/2025-2026/misc/Pedro-Neto-Match-Logs" TargetMode="External"/><Relationship Id="rId1988" Type="http://schemas.openxmlformats.org/officeDocument/2006/relationships/hyperlink" Target="https://fbref.com/en/players/532e1e4f/matchlogs/2025-2026/misc/Pau-Torres-Match-Logs" TargetMode="External"/><Relationship Id="rId1505" Type="http://schemas.openxmlformats.org/officeDocument/2006/relationships/hyperlink" Target="https://fbref.com/en/players/e79269bd/Luca-Netz" TargetMode="External"/><Relationship Id="rId1989" Type="http://schemas.openxmlformats.org/officeDocument/2006/relationships/hyperlink" Target="https://fbref.com/en/players/5e18c6f4/Alex-Toth" TargetMode="External"/><Relationship Id="rId1506" Type="http://schemas.openxmlformats.org/officeDocument/2006/relationships/hyperlink" Target="https://fbref.com/en/country/GER/Germany-Football" TargetMode="External"/><Relationship Id="rId1507" Type="http://schemas.openxmlformats.org/officeDocument/2006/relationships/hyperlink" Target="https://fbref.com/en/squads/e4a775cb/Nottingham-Forest-Stats" TargetMode="External"/><Relationship Id="rId1508" Type="http://schemas.openxmlformats.org/officeDocument/2006/relationships/hyperlink" Target="https://fbref.com/en/players/e79269bd/matchlogs/2025-2026/misc/Luca-Netz-Match-Logs" TargetMode="External"/><Relationship Id="rId1509" Type="http://schemas.openxmlformats.org/officeDocument/2006/relationships/hyperlink" Target="https://fbref.com/en/players/022eca88/Rio-Ngumoha" TargetMode="External"/><Relationship Id="rId1980" Type="http://schemas.openxmlformats.org/officeDocument/2006/relationships/hyperlink" Target="https://fbref.com/en/players/88f130ed/matchlogs/2025-2026/misc/Jean-Clair-Todibo-Match-Logs" TargetMode="External"/><Relationship Id="rId1981" Type="http://schemas.openxmlformats.org/officeDocument/2006/relationships/hyperlink" Target="https://fbref.com/en/players/0db169ae/Sandro-Tonali" TargetMode="External"/><Relationship Id="rId1982" Type="http://schemas.openxmlformats.org/officeDocument/2006/relationships/hyperlink" Target="https://fbref.com/en/country/ITA/Italy-Football" TargetMode="External"/><Relationship Id="rId1930" Type="http://schemas.openxmlformats.org/officeDocument/2006/relationships/hyperlink" Target="https://fbref.com/en/country/MAR/Morocco-Football" TargetMode="External"/><Relationship Id="rId1931" Type="http://schemas.openxmlformats.org/officeDocument/2006/relationships/hyperlink" Target="https://fbref.com/en/squads/8ef52968/Sunderland-Stats" TargetMode="External"/><Relationship Id="rId1932" Type="http://schemas.openxmlformats.org/officeDocument/2006/relationships/hyperlink" Target="https://fbref.com/en/players/47ce793b/matchlogs/2025-2026/misc/Chemsdine-Talbi-Match-Logs" TargetMode="External"/><Relationship Id="rId1933" Type="http://schemas.openxmlformats.org/officeDocument/2006/relationships/hyperlink" Target="https://fbref.com/en/players/1d36d6b6/Ao-Tanaka" TargetMode="External"/><Relationship Id="rId1934" Type="http://schemas.openxmlformats.org/officeDocument/2006/relationships/hyperlink" Target="https://fbref.com/en/country/JPN/Japan-Football" TargetMode="External"/><Relationship Id="rId1935" Type="http://schemas.openxmlformats.org/officeDocument/2006/relationships/hyperlink" Target="https://fbref.com/en/squads/5bfb9659/Leeds-United-Stats" TargetMode="External"/><Relationship Id="rId1936" Type="http://schemas.openxmlformats.org/officeDocument/2006/relationships/hyperlink" Target="https://fbref.com/en/players/1d36d6b6/matchlogs/2025-2026/misc/Ao-Tanaka-Match-Logs" TargetMode="External"/><Relationship Id="rId1937" Type="http://schemas.openxmlformats.org/officeDocument/2006/relationships/hyperlink" Target="https://fbref.com/en/players/15ea812b/James-Tarkowski" TargetMode="External"/><Relationship Id="rId1938" Type="http://schemas.openxmlformats.org/officeDocument/2006/relationships/hyperlink" Target="https://fbref.com/en/country/ENG/England-Football" TargetMode="External"/><Relationship Id="rId1939" Type="http://schemas.openxmlformats.org/officeDocument/2006/relationships/hyperlink" Target="https://fbref.com/en/squads/d3fd31cc/Everton-Stats" TargetMode="External"/><Relationship Id="rId1920" Type="http://schemas.openxmlformats.org/officeDocument/2006/relationships/hyperlink" Target="https://fbref.com/en/players/df04eb4b/matchlogs/2025-2026/misc/Crysencio-Summerville-Match-Logs" TargetMode="External"/><Relationship Id="rId1921" Type="http://schemas.openxmlformats.org/officeDocument/2006/relationships/hyperlink" Target="https://fbref.com/en/players/934e1968/Dominik-Szoboszlai" TargetMode="External"/><Relationship Id="rId1922" Type="http://schemas.openxmlformats.org/officeDocument/2006/relationships/hyperlink" Target="https://fbref.com/en/country/HUN/Hungary-Football" TargetMode="External"/><Relationship Id="rId1923" Type="http://schemas.openxmlformats.org/officeDocument/2006/relationships/hyperlink" Target="https://fbref.com/en/squads/822bd0ba/Liverpool-Stats" TargetMode="External"/><Relationship Id="rId1924" Type="http://schemas.openxmlformats.org/officeDocument/2006/relationships/hyperlink" Target="https://fbref.com/en/players/934e1968/matchlogs/2025-2026/misc/Dominik-Szoboszlai-Match-Logs" TargetMode="External"/><Relationship Id="rId1925" Type="http://schemas.openxmlformats.org/officeDocument/2006/relationships/hyperlink" Target="https://fbref.com/en/players/1f019509/Jocelin-Ta-Bi" TargetMode="External"/><Relationship Id="rId1926" Type="http://schemas.openxmlformats.org/officeDocument/2006/relationships/hyperlink" Target="https://fbref.com/en/country/CIV/Cote-dIvoire-Football" TargetMode="External"/><Relationship Id="rId1927" Type="http://schemas.openxmlformats.org/officeDocument/2006/relationships/hyperlink" Target="https://fbref.com/en/squads/8ef52968/Sunderland-Stats" TargetMode="External"/><Relationship Id="rId1928" Type="http://schemas.openxmlformats.org/officeDocument/2006/relationships/hyperlink" Target="https://fbref.com/en/players/1f019509/matchlogs/2025-2026/misc/Jocelin-Ta-Bi-Match-Logs" TargetMode="External"/><Relationship Id="rId1929" Type="http://schemas.openxmlformats.org/officeDocument/2006/relationships/hyperlink" Target="https://fbref.com/en/players/47ce793b/Chemsdine-Talbi" TargetMode="External"/><Relationship Id="rId1950" Type="http://schemas.openxmlformats.org/officeDocument/2006/relationships/hyperlink" Target="https://fbref.com/en/country/CMR/Cameroon-Football" TargetMode="External"/><Relationship Id="rId1951" Type="http://schemas.openxmlformats.org/officeDocument/2006/relationships/hyperlink" Target="https://fbref.com/en/squads/8cec06e1/Wolverhampton-Wanderers-Stats" TargetMode="External"/><Relationship Id="rId1952" Type="http://schemas.openxmlformats.org/officeDocument/2006/relationships/hyperlink" Target="https://fbref.com/en/players/aeca7743/matchlogs/2025-2026/misc/Jackson-Tchatchoua-Match-Logs" TargetMode="External"/><Relationship Id="rId1953" Type="http://schemas.openxmlformats.org/officeDocument/2006/relationships/hyperlink" Target="https://fbref.com/en/players/829aa60c/Mathys-Tel" TargetMode="External"/><Relationship Id="rId1954" Type="http://schemas.openxmlformats.org/officeDocument/2006/relationships/hyperlink" Target="https://fbref.com/en/country/FRA/France-Football" TargetMode="External"/><Relationship Id="rId1955" Type="http://schemas.openxmlformats.org/officeDocument/2006/relationships/hyperlink" Target="https://fbref.com/en/squads/361ca564/Tottenham-Hotspur-Stats" TargetMode="External"/><Relationship Id="rId1956" Type="http://schemas.openxmlformats.org/officeDocument/2006/relationships/hyperlink" Target="https://fbref.com/en/players/829aa60c/matchlogs/2025-2026/misc/Mathys-Tel-Match-Logs" TargetMode="External"/><Relationship Id="rId1957" Type="http://schemas.openxmlformats.org/officeDocument/2006/relationships/hyperlink" Target="https://fbref.com/en/players/77d7c96f/Kenny-Tete" TargetMode="External"/><Relationship Id="rId1958" Type="http://schemas.openxmlformats.org/officeDocument/2006/relationships/hyperlink" Target="https://fbref.com/en/country/NED/Netherlands-Football" TargetMode="External"/><Relationship Id="rId1959" Type="http://schemas.openxmlformats.org/officeDocument/2006/relationships/hyperlink" Target="https://fbref.com/en/squads/fd962109/Fulham-Stats" TargetMode="External"/><Relationship Id="rId1940" Type="http://schemas.openxmlformats.org/officeDocument/2006/relationships/hyperlink" Target="https://fbref.com/en/players/15ea812b/matchlogs/2025-2026/misc/James-Tarkowski-Match-Logs" TargetMode="External"/><Relationship Id="rId1941" Type="http://schemas.openxmlformats.org/officeDocument/2006/relationships/hyperlink" Target="https://fbref.com/en/players/5c0da4a4/Marcus-Tavernier" TargetMode="External"/><Relationship Id="rId1942" Type="http://schemas.openxmlformats.org/officeDocument/2006/relationships/hyperlink" Target="https://fbref.com/en/country/ENG/England-Football" TargetMode="External"/><Relationship Id="rId1943" Type="http://schemas.openxmlformats.org/officeDocument/2006/relationships/hyperlink" Target="https://fbref.com/en/squads/4ba7cbea/Bournemouth-Stats" TargetMode="External"/><Relationship Id="rId1944" Type="http://schemas.openxmlformats.org/officeDocument/2006/relationships/hyperlink" Target="https://fbref.com/en/players/5c0da4a4/matchlogs/2025-2026/misc/Marcus-Tavernier-Match-Logs" TargetMode="External"/><Relationship Id="rId1945" Type="http://schemas.openxmlformats.org/officeDocument/2006/relationships/hyperlink" Target="https://fbref.com/en/players/a3c8b4d3/Loum-Tchaouna" TargetMode="External"/><Relationship Id="rId1946" Type="http://schemas.openxmlformats.org/officeDocument/2006/relationships/hyperlink" Target="https://fbref.com/en/country/FRA/France-Football" TargetMode="External"/><Relationship Id="rId1947" Type="http://schemas.openxmlformats.org/officeDocument/2006/relationships/hyperlink" Target="https://fbref.com/en/squads/943e8050/Burnley-Stats" TargetMode="External"/><Relationship Id="rId1948" Type="http://schemas.openxmlformats.org/officeDocument/2006/relationships/hyperlink" Target="https://fbref.com/en/players/a3c8b4d3/matchlogs/2025-2026/misc/Loum-Tchaouna-Match-Logs" TargetMode="External"/><Relationship Id="rId1949" Type="http://schemas.openxmlformats.org/officeDocument/2006/relationships/hyperlink" Target="https://fbref.com/en/players/aeca7743/Jackson-Tchatchoua" TargetMode="External"/><Relationship Id="rId1576" Type="http://schemas.openxmlformats.org/officeDocument/2006/relationships/hyperlink" Target="https://fbref.com/en/players/c1242d4e/matchlogs/2025-2026/misc/Stefan-Ortega-Match-Logs" TargetMode="External"/><Relationship Id="rId1577" Type="http://schemas.openxmlformats.org/officeDocument/2006/relationships/hyperlink" Target="https://fbref.com/en/players/7b355808/William-Osula" TargetMode="External"/><Relationship Id="rId1578" Type="http://schemas.openxmlformats.org/officeDocument/2006/relationships/hyperlink" Target="https://fbref.com/en/country/DEN/Denmark-Football" TargetMode="External"/><Relationship Id="rId1579" Type="http://schemas.openxmlformats.org/officeDocument/2006/relationships/hyperlink" Target="https://fbref.com/en/squads/b2b47a98/Newcastle-United-Stats" TargetMode="External"/><Relationship Id="rId509" Type="http://schemas.openxmlformats.org/officeDocument/2006/relationships/hyperlink" Target="https://fbref.com/en/players/bd5eb2e5/El-Hadji-Malick-Diouf" TargetMode="External"/><Relationship Id="rId508" Type="http://schemas.openxmlformats.org/officeDocument/2006/relationships/hyperlink" Target="https://fbref.com/en/players/a712ca2b/matchlogs/2025-2026/misc/Issa-Diop-Match-Logs" TargetMode="External"/><Relationship Id="rId503" Type="http://schemas.openxmlformats.org/officeDocument/2006/relationships/hyperlink" Target="https://fbref.com/en/squads/8602292d/Aston-Villa-Stats" TargetMode="External"/><Relationship Id="rId987" Type="http://schemas.openxmlformats.org/officeDocument/2006/relationships/hyperlink" Target="https://fbref.com/en/squads/18bb7c10/Arsenal-Stats" TargetMode="External"/><Relationship Id="rId502" Type="http://schemas.openxmlformats.org/officeDocument/2006/relationships/hyperlink" Target="https://fbref.com/en/country/FRA/France-Football" TargetMode="External"/><Relationship Id="rId986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1b84dbe1/Lucas-Digne" TargetMode="External"/><Relationship Id="rId985" Type="http://schemas.openxmlformats.org/officeDocument/2006/relationships/hyperlink" Target="https://fbref.com/en/players/b66315ae/Gabriel-Jesus" TargetMode="External"/><Relationship Id="rId500" Type="http://schemas.openxmlformats.org/officeDocument/2006/relationships/hyperlink" Target="https://fbref.com/en/players/bdcc89ae/matchlogs/2025-2026/misc/Tyler-Dibling-Match-Logs" TargetMode="External"/><Relationship Id="rId984" Type="http://schemas.openxmlformats.org/officeDocument/2006/relationships/hyperlink" Target="https://fbref.com/en/players/0f134faf/matchlogs/2025-2026/misc/Mathias-Jensen-Match-Logs" TargetMode="External"/><Relationship Id="rId507" Type="http://schemas.openxmlformats.org/officeDocument/2006/relationships/hyperlink" Target="https://fbref.com/en/squads/fd962109/Fulham-Stats" TargetMode="External"/><Relationship Id="rId506" Type="http://schemas.openxmlformats.org/officeDocument/2006/relationships/hyperlink" Target="https://fbref.com/en/country/MAR/Morocco-Football" TargetMode="External"/><Relationship Id="rId505" Type="http://schemas.openxmlformats.org/officeDocument/2006/relationships/hyperlink" Target="https://fbref.com/en/players/a712ca2b/Issa-Diop" TargetMode="External"/><Relationship Id="rId989" Type="http://schemas.openxmlformats.org/officeDocument/2006/relationships/hyperlink" Target="https://fbref.com/en/players/dbe24cce/Igor-Jesus" TargetMode="External"/><Relationship Id="rId504" Type="http://schemas.openxmlformats.org/officeDocument/2006/relationships/hyperlink" Target="https://fbref.com/en/players/1b84dbe1/matchlogs/2025-2026/misc/Lucas-Digne-Match-Logs" TargetMode="External"/><Relationship Id="rId988" Type="http://schemas.openxmlformats.org/officeDocument/2006/relationships/hyperlink" Target="https://fbref.com/en/players/b66315ae/matchlogs/2025-2026/misc/Gabriel-Jesus-Match-Logs" TargetMode="External"/><Relationship Id="rId1570" Type="http://schemas.openxmlformats.org/officeDocument/2006/relationships/hyperlink" Target="https://fbref.com/en/country/ENG/England-Football" TargetMode="External"/><Relationship Id="rId1571" Type="http://schemas.openxmlformats.org/officeDocument/2006/relationships/hyperlink" Target="https://fbref.com/en/squads/d07537b9/Brighton-and-Hove-Albion-Stats" TargetMode="External"/><Relationship Id="rId983" Type="http://schemas.openxmlformats.org/officeDocument/2006/relationships/hyperlink" Target="https://fbref.com/en/squads/cd051869/Brentford-Stats" TargetMode="External"/><Relationship Id="rId1572" Type="http://schemas.openxmlformats.org/officeDocument/2006/relationships/hyperlink" Target="https://fbref.com/en/players/febb2831/matchlogs/2025-2026/misc/Nehemiah-Oriola-Match-Logs" TargetMode="External"/><Relationship Id="rId982" Type="http://schemas.openxmlformats.org/officeDocument/2006/relationships/hyperlink" Target="https://fbref.com/en/country/DEN/Denmark-Football" TargetMode="External"/><Relationship Id="rId1573" Type="http://schemas.openxmlformats.org/officeDocument/2006/relationships/hyperlink" Target="https://fbref.com/en/players/c1242d4e/Stefan-Ortega" TargetMode="External"/><Relationship Id="rId981" Type="http://schemas.openxmlformats.org/officeDocument/2006/relationships/hyperlink" Target="https://fbref.com/en/players/0f134faf/Mathias-Jensen" TargetMode="External"/><Relationship Id="rId1574" Type="http://schemas.openxmlformats.org/officeDocument/2006/relationships/hyperlink" Target="https://fbref.com/en/country/GER/Germany-Football" TargetMode="External"/><Relationship Id="rId980" Type="http://schemas.openxmlformats.org/officeDocument/2006/relationships/hyperlink" Target="https://fbref.com/en/players/8449d35e/matchlogs/2025-2026/misc/Vitaly-Janelt-Match-Logs" TargetMode="External"/><Relationship Id="rId1575" Type="http://schemas.openxmlformats.org/officeDocument/2006/relationships/hyperlink" Target="https://fbref.com/en/squads/e4a775cb/Nottingham-Forest-Stats" TargetMode="External"/><Relationship Id="rId1565" Type="http://schemas.openxmlformats.org/officeDocument/2006/relationships/hyperlink" Target="https://fbref.com/en/players/2944f86f/Frank-Onyeka" TargetMode="External"/><Relationship Id="rId1566" Type="http://schemas.openxmlformats.org/officeDocument/2006/relationships/hyperlink" Target="https://fbref.com/en/country/NGA/Nigeria-Football" TargetMode="External"/><Relationship Id="rId1567" Type="http://schemas.openxmlformats.org/officeDocument/2006/relationships/hyperlink" Target="https://fbref.com/en/squads/cd051869/Brentford-Stats" TargetMode="External"/><Relationship Id="rId1568" Type="http://schemas.openxmlformats.org/officeDocument/2006/relationships/hyperlink" Target="https://fbref.com/en/players/2944f86f/matchlogs/2025-2026/misc/Frank-Onyeka-Match-Logs" TargetMode="External"/><Relationship Id="rId1569" Type="http://schemas.openxmlformats.org/officeDocument/2006/relationships/hyperlink" Target="https://fbref.com/en/players/febb2831/Nehemiah-Oriola" TargetMode="External"/><Relationship Id="rId976" Type="http://schemas.openxmlformats.org/officeDocument/2006/relationships/hyperlink" Target="https://fbref.com/en/players/1265a93a/matchlogs/2025-2026/misc/Reece-James-Match-Logs" TargetMode="External"/><Relationship Id="rId975" Type="http://schemas.openxmlformats.org/officeDocument/2006/relationships/hyperlink" Target="https://fbref.com/en/squads/cff3d9bb/Chelsea-Stats" TargetMode="External"/><Relationship Id="rId974" Type="http://schemas.openxmlformats.org/officeDocument/2006/relationships/hyperlink" Target="https://fbref.com/en/country/ENG/England-Football" TargetMode="External"/><Relationship Id="rId973" Type="http://schemas.openxmlformats.org/officeDocument/2006/relationships/hyperlink" Target="https://fbref.com/en/players/1265a93a/Reece-James" TargetMode="External"/><Relationship Id="rId979" Type="http://schemas.openxmlformats.org/officeDocument/2006/relationships/hyperlink" Target="https://fbref.com/en/squads/cd051869/Brentford-Stats" TargetMode="External"/><Relationship Id="rId978" Type="http://schemas.openxmlformats.org/officeDocument/2006/relationships/hyperlink" Target="https://fbref.com/en/country/GER/Germany-Football" TargetMode="External"/><Relationship Id="rId977" Type="http://schemas.openxmlformats.org/officeDocument/2006/relationships/hyperlink" Target="https://fbref.com/en/players/8449d35e/Vitaly-Janelt" TargetMode="External"/><Relationship Id="rId1560" Type="http://schemas.openxmlformats.org/officeDocument/2006/relationships/hyperlink" Target="https://fbref.com/en/players/d6455444/matchlogs/2025-2026/misc/Callum-Olusesi-Match-Logs" TargetMode="External"/><Relationship Id="rId972" Type="http://schemas.openxmlformats.org/officeDocument/2006/relationships/hyperlink" Target="https://fbref.com/en/players/c931d9f9/matchlogs/2025-2026/misc/Daniel-James-Match-Logs" TargetMode="External"/><Relationship Id="rId1561" Type="http://schemas.openxmlformats.org/officeDocument/2006/relationships/hyperlink" Target="https://fbref.com/en/players/828657ff/Amadou-Onana" TargetMode="External"/><Relationship Id="rId971" Type="http://schemas.openxmlformats.org/officeDocument/2006/relationships/hyperlink" Target="https://fbref.com/en/squads/5bfb9659/Leeds-United-Stats" TargetMode="External"/><Relationship Id="rId1562" Type="http://schemas.openxmlformats.org/officeDocument/2006/relationships/hyperlink" Target="https://fbref.com/en/country/BEL/Belgium-Football" TargetMode="External"/><Relationship Id="rId970" Type="http://schemas.openxmlformats.org/officeDocument/2006/relationships/hyperlink" Target="https://fbref.com/en/country/WAL/Wales-Football" TargetMode="External"/><Relationship Id="rId1563" Type="http://schemas.openxmlformats.org/officeDocument/2006/relationships/hyperlink" Target="https://fbref.com/en/squads/8602292d/Aston-Villa-Stats" TargetMode="External"/><Relationship Id="rId1564" Type="http://schemas.openxmlformats.org/officeDocument/2006/relationships/hyperlink" Target="https://fbref.com/en/players/828657ff/matchlogs/2025-2026/misc/Amadou-Onana-Match-Logs" TargetMode="External"/><Relationship Id="rId1114" Type="http://schemas.openxmlformats.org/officeDocument/2006/relationships/hyperlink" Target="https://fbref.com/en/country/ENG/England-Football" TargetMode="External"/><Relationship Id="rId1598" Type="http://schemas.openxmlformats.org/officeDocument/2006/relationships/hyperlink" Target="https://fbref.com/en/country/ENG/England-Football" TargetMode="External"/><Relationship Id="rId1115" Type="http://schemas.openxmlformats.org/officeDocument/2006/relationships/hyperlink" Target="https://fbref.com/en/squads/d07537b9/Brighton-and-Hove-Albion-Stats" TargetMode="External"/><Relationship Id="rId1599" Type="http://schemas.openxmlformats.org/officeDocument/2006/relationships/hyperlink" Target="https://fbref.com/en/squads/cff3d9bb/Chelsea-Stats" TargetMode="External"/><Relationship Id="rId1116" Type="http://schemas.openxmlformats.org/officeDocument/2006/relationships/hyperlink" Target="https://fbref.com/en/players/16168a0f/matchlogs/2025-2026/misc/Joe-Knight-Match-Logs" TargetMode="External"/><Relationship Id="rId1117" Type="http://schemas.openxmlformats.org/officeDocument/2006/relationships/hyperlink" Target="https://fbref.com/en/players/c0b3669f/Randal-Kolo-Muani" TargetMode="External"/><Relationship Id="rId1118" Type="http://schemas.openxmlformats.org/officeDocument/2006/relationships/hyperlink" Target="https://fbref.com/en/country/FRA/France-Football" TargetMode="External"/><Relationship Id="rId1119" Type="http://schemas.openxmlformats.org/officeDocument/2006/relationships/hyperlink" Target="https://fbref.com/en/squads/361ca564/Tottenham-Hotspur-Stats" TargetMode="External"/><Relationship Id="rId525" Type="http://schemas.openxmlformats.org/officeDocument/2006/relationships/hyperlink" Target="https://fbref.com/en/players/20b3a502/Nicolas-Dominguez" TargetMode="External"/><Relationship Id="rId524" Type="http://schemas.openxmlformats.org/officeDocument/2006/relationships/hyperlink" Target="https://fbref.com/en/players/fffea3e5/matchlogs/2025-2026/misc/Jeremy-Doku-Match-Logs" TargetMode="External"/><Relationship Id="rId523" Type="http://schemas.openxmlformats.org/officeDocument/2006/relationships/hyperlink" Target="https://fbref.com/en/squads/b8fd03ef/Manchester-City-Stats" TargetMode="External"/><Relationship Id="rId522" Type="http://schemas.openxmlformats.org/officeDocument/2006/relationships/hyperlink" Target="https://fbref.com/en/country/BEL/Belgium-Football" TargetMode="External"/><Relationship Id="rId529" Type="http://schemas.openxmlformats.org/officeDocument/2006/relationships/hyperlink" Target="https://fbref.com/en/players/08f5afaa/Gianluigi-Donnarumma" TargetMode="External"/><Relationship Id="rId528" Type="http://schemas.openxmlformats.org/officeDocument/2006/relationships/hyperlink" Target="https://fbref.com/en/players/20b3a502/matchlogs/2025-2026/misc/Nicolas-Dominguez-Match-Logs" TargetMode="External"/><Relationship Id="rId527" Type="http://schemas.openxmlformats.org/officeDocument/2006/relationships/hyperlink" Target="https://fbref.com/en/squads/e4a775cb/Nottingham-Forest-Stats" TargetMode="External"/><Relationship Id="rId526" Type="http://schemas.openxmlformats.org/officeDocument/2006/relationships/hyperlink" Target="https://fbref.com/en/country/ARG/Argentina-Football" TargetMode="External"/><Relationship Id="rId1590" Type="http://schemas.openxmlformats.org/officeDocument/2006/relationships/hyperlink" Target="https://fbref.com/en/country/BRA/Brazil-Football" TargetMode="External"/><Relationship Id="rId1591" Type="http://schemas.openxmlformats.org/officeDocument/2006/relationships/hyperlink" Target="https://fbref.com/en/squads/7c21e445/West-Ham-United-Stats" TargetMode="External"/><Relationship Id="rId1592" Type="http://schemas.openxmlformats.org/officeDocument/2006/relationships/hyperlink" Target="https://fbref.com/en/players/866ba412/matchlogs/2025-2026/misc/Pablo-Match-Logs" TargetMode="External"/><Relationship Id="rId1593" Type="http://schemas.openxmlformats.org/officeDocument/2006/relationships/hyperlink" Target="https://fbref.com/en/players/a78ff07f/Joao-Palhinha" TargetMode="External"/><Relationship Id="rId521" Type="http://schemas.openxmlformats.org/officeDocument/2006/relationships/hyperlink" Target="https://fbref.com/en/players/fffea3e5/Jeremy-Doku" TargetMode="External"/><Relationship Id="rId1110" Type="http://schemas.openxmlformats.org/officeDocument/2006/relationships/hyperlink" Target="https://fbref.com/en/country/NED/Netherlands-Football" TargetMode="External"/><Relationship Id="rId1594" Type="http://schemas.openxmlformats.org/officeDocument/2006/relationships/hyperlink" Target="https://fbref.com/en/country/POR/Portugal-Football" TargetMode="External"/><Relationship Id="rId520" Type="http://schemas.openxmlformats.org/officeDocument/2006/relationships/hyperlink" Target="https://fbref.com/en/players/d557d734/matchlogs/2025-2026/misc/Matt-Doherty-Match-Logs" TargetMode="External"/><Relationship Id="rId1111" Type="http://schemas.openxmlformats.org/officeDocument/2006/relationships/hyperlink" Target="https://fbref.com/en/squads/4ba7cbea/Bournemouth-Stats" TargetMode="External"/><Relationship Id="rId1595" Type="http://schemas.openxmlformats.org/officeDocument/2006/relationships/hyperlink" Target="https://fbref.com/en/squads/361ca564/Tottenham-Hotspur-Stats" TargetMode="External"/><Relationship Id="rId1112" Type="http://schemas.openxmlformats.org/officeDocument/2006/relationships/hyperlink" Target="https://fbref.com/en/players/4c3a6744/matchlogs/2025-2026/misc/Justin-Kluivert-Match-Logs" TargetMode="External"/><Relationship Id="rId1596" Type="http://schemas.openxmlformats.org/officeDocument/2006/relationships/hyperlink" Target="https://fbref.com/en/players/a78ff07f/matchlogs/2025-2026/misc/Joao-Palhinha-Match-Logs" TargetMode="External"/><Relationship Id="rId1113" Type="http://schemas.openxmlformats.org/officeDocument/2006/relationships/hyperlink" Target="https://fbref.com/en/players/16168a0f/Joe-Knight" TargetMode="External"/><Relationship Id="rId1597" Type="http://schemas.openxmlformats.org/officeDocument/2006/relationships/hyperlink" Target="https://fbref.com/en/players/dc7f8a28/Cole-Palmer" TargetMode="External"/><Relationship Id="rId1103" Type="http://schemas.openxmlformats.org/officeDocument/2006/relationships/hyperlink" Target="https://fbref.com/en/squads/fd962109/Fulham-Stats" TargetMode="External"/><Relationship Id="rId1587" Type="http://schemas.openxmlformats.org/officeDocument/2006/relationships/hyperlink" Target="https://fbref.com/en/squads/b8fd03ef/Manchester-City-Stats" TargetMode="External"/><Relationship Id="rId1104" Type="http://schemas.openxmlformats.org/officeDocument/2006/relationships/hyperlink" Target="https://fbref.com/en/players/86109b3b/matchlogs/2025-2026/misc/Joshua-King-Match-Logs" TargetMode="External"/><Relationship Id="rId1588" Type="http://schemas.openxmlformats.org/officeDocument/2006/relationships/hyperlink" Target="https://fbref.com/en/players/91ca4a16/matchlogs/2025-2026/misc/Nico-OReilly-Match-Logs" TargetMode="External"/><Relationship Id="rId1105" Type="http://schemas.openxmlformats.org/officeDocument/2006/relationships/hyperlink" Target="https://fbref.com/en/players/b38ac6a4/Antonin-Kinsky" TargetMode="External"/><Relationship Id="rId1589" Type="http://schemas.openxmlformats.org/officeDocument/2006/relationships/hyperlink" Target="https://fbref.com/en/players/866ba412/Pablo" TargetMode="External"/><Relationship Id="rId1106" Type="http://schemas.openxmlformats.org/officeDocument/2006/relationships/hyperlink" Target="https://fbref.com/en/country/CZE/Czech-Republic-Football" TargetMode="External"/><Relationship Id="rId1107" Type="http://schemas.openxmlformats.org/officeDocument/2006/relationships/hyperlink" Target="https://fbref.com/en/squads/361ca564/Tottenham-Hotspur-Stats" TargetMode="External"/><Relationship Id="rId1108" Type="http://schemas.openxmlformats.org/officeDocument/2006/relationships/hyperlink" Target="https://fbref.com/en/players/b38ac6a4/matchlogs/2025-2026/misc/Antonin-Kinsky-Match-Logs" TargetMode="External"/><Relationship Id="rId1109" Type="http://schemas.openxmlformats.org/officeDocument/2006/relationships/hyperlink" Target="https://fbref.com/en/players/4c3a6744/Justin-Kluivert" TargetMode="External"/><Relationship Id="rId519" Type="http://schemas.openxmlformats.org/officeDocument/2006/relationships/hyperlink" Target="https://fbref.com/en/squads/8cec06e1/Wolverhampton-Wanderers-Stats" TargetMode="External"/><Relationship Id="rId514" Type="http://schemas.openxmlformats.org/officeDocument/2006/relationships/hyperlink" Target="https://fbref.com/en/country/FRA/France-Football" TargetMode="External"/><Relationship Id="rId998" Type="http://schemas.openxmlformats.org/officeDocument/2006/relationships/hyperlink" Target="https://fbref.com/en/country/MEX/Mexico-Football" TargetMode="External"/><Relationship Id="rId513" Type="http://schemas.openxmlformats.org/officeDocument/2006/relationships/hyperlink" Target="https://fbref.com/en/players/ad82197c/Axel-Disasi" TargetMode="External"/><Relationship Id="rId997" Type="http://schemas.openxmlformats.org/officeDocument/2006/relationships/hyperlink" Target="https://fbref.com/en/players/b561db50/Raul-Jimenez" TargetMode="External"/><Relationship Id="rId512" Type="http://schemas.openxmlformats.org/officeDocument/2006/relationships/hyperlink" Target="https://fbref.com/en/players/bd5eb2e5/matchlogs/2025-2026/misc/El-Hadji-Malick-Diouf-Match-Logs" TargetMode="External"/><Relationship Id="rId996" Type="http://schemas.openxmlformats.org/officeDocument/2006/relationships/hyperlink" Target="https://fbref.com/en/players/faa13947/matchlogs/2025-2026/misc/Alex-Jimenez-Match-Logs" TargetMode="External"/><Relationship Id="rId511" Type="http://schemas.openxmlformats.org/officeDocument/2006/relationships/hyperlink" Target="https://fbref.com/en/squads/7c21e445/West-Ham-United-Stats" TargetMode="External"/><Relationship Id="rId995" Type="http://schemas.openxmlformats.org/officeDocument/2006/relationships/hyperlink" Target="https://fbref.com/en/squads/4ba7cbea/Bournemouth-Stats" TargetMode="External"/><Relationship Id="rId518" Type="http://schemas.openxmlformats.org/officeDocument/2006/relationships/hyperlink" Target="https://fbref.com/en/country/IRL/Republic-of-Ireland-Football" TargetMode="External"/><Relationship Id="rId517" Type="http://schemas.openxmlformats.org/officeDocument/2006/relationships/hyperlink" Target="https://fbref.com/en/players/d557d734/Matt-Doherty" TargetMode="External"/><Relationship Id="rId516" Type="http://schemas.openxmlformats.org/officeDocument/2006/relationships/hyperlink" Target="https://fbref.com/en/players/ad82197c/matchlogs/2025-2026/misc/Axel-Disasi-Match-Logs" TargetMode="External"/><Relationship Id="rId515" Type="http://schemas.openxmlformats.org/officeDocument/2006/relationships/hyperlink" Target="https://fbref.com/en/squads/7c21e445/West-Ham-United-Stats" TargetMode="External"/><Relationship Id="rId999" Type="http://schemas.openxmlformats.org/officeDocument/2006/relationships/hyperlink" Target="https://fbref.com/en/squads/fd962109/Fulham-Stats" TargetMode="External"/><Relationship Id="rId990" Type="http://schemas.openxmlformats.org/officeDocument/2006/relationships/hyperlink" Target="https://fbref.com/en/country/BRA/Brazil-Football" TargetMode="External"/><Relationship Id="rId1580" Type="http://schemas.openxmlformats.org/officeDocument/2006/relationships/hyperlink" Target="https://fbref.com/en/players/7b355808/matchlogs/2025-2026/misc/William-Osula-Match-Logs" TargetMode="External"/><Relationship Id="rId1581" Type="http://schemas.openxmlformats.org/officeDocument/2006/relationships/hyperlink" Target="https://fbref.com/en/players/2f9e4435/Dango-Ouattara" TargetMode="External"/><Relationship Id="rId1582" Type="http://schemas.openxmlformats.org/officeDocument/2006/relationships/hyperlink" Target="https://fbref.com/en/country/BFA/Burkina-Faso-Football" TargetMode="External"/><Relationship Id="rId510" Type="http://schemas.openxmlformats.org/officeDocument/2006/relationships/hyperlink" Target="https://fbref.com/en/country/SEN/Senegal-Football" TargetMode="External"/><Relationship Id="rId994" Type="http://schemas.openxmlformats.org/officeDocument/2006/relationships/hyperlink" Target="https://fbref.com/en/country/ESP/Spain-Football" TargetMode="External"/><Relationship Id="rId1583" Type="http://schemas.openxmlformats.org/officeDocument/2006/relationships/hyperlink" Target="https://fbref.com/en/squads/cd051869/Brentford-Stats" TargetMode="External"/><Relationship Id="rId993" Type="http://schemas.openxmlformats.org/officeDocument/2006/relationships/hyperlink" Target="https://fbref.com/en/players/faa13947/Alex-Jimenez" TargetMode="External"/><Relationship Id="rId1100" Type="http://schemas.openxmlformats.org/officeDocument/2006/relationships/hyperlink" Target="https://fbref.com/en/players/d0f72bf1/matchlogs/2025-2026/misc/Max-Kilman-Match-Logs" TargetMode="External"/><Relationship Id="rId1584" Type="http://schemas.openxmlformats.org/officeDocument/2006/relationships/hyperlink" Target="https://fbref.com/en/players/2f9e4435/matchlogs/2025-2026/misc/Dango-Ouattara-Match-Logs" TargetMode="External"/><Relationship Id="rId992" Type="http://schemas.openxmlformats.org/officeDocument/2006/relationships/hyperlink" Target="https://fbref.com/en/players/dbe24cce/matchlogs/2025-2026/misc/Igor-Jesus-Match-Logs" TargetMode="External"/><Relationship Id="rId1101" Type="http://schemas.openxmlformats.org/officeDocument/2006/relationships/hyperlink" Target="https://fbref.com/en/players/86109b3b/Joshua-King" TargetMode="External"/><Relationship Id="rId1585" Type="http://schemas.openxmlformats.org/officeDocument/2006/relationships/hyperlink" Target="https://fbref.com/en/players/91ca4a16/Nico-OReilly" TargetMode="External"/><Relationship Id="rId991" Type="http://schemas.openxmlformats.org/officeDocument/2006/relationships/hyperlink" Target="https://fbref.com/en/squads/e4a775cb/Nottingham-Forest-Stats" TargetMode="External"/><Relationship Id="rId1102" Type="http://schemas.openxmlformats.org/officeDocument/2006/relationships/hyperlink" Target="https://fbref.com/en/country/ENG/England-Football" TargetMode="External"/><Relationship Id="rId1586" Type="http://schemas.openxmlformats.org/officeDocument/2006/relationships/hyperlink" Target="https://fbref.com/en/country/ENG/England-Football" TargetMode="External"/><Relationship Id="rId1532" Type="http://schemas.openxmlformats.org/officeDocument/2006/relationships/hyperlink" Target="https://fbref.com/en/players/1d3b3d77/matchlogs/2025-2026/misc/Trey-Nyoni-Match-Logs" TargetMode="External"/><Relationship Id="rId1533" Type="http://schemas.openxmlformats.org/officeDocument/2006/relationships/hyperlink" Target="https://fbref.com/en/players/df0a4c90/Christian-Norgaard" TargetMode="External"/><Relationship Id="rId1534" Type="http://schemas.openxmlformats.org/officeDocument/2006/relationships/hyperlink" Target="https://fbref.com/en/country/DEN/Denmark-Football" TargetMode="External"/><Relationship Id="rId1535" Type="http://schemas.openxmlformats.org/officeDocument/2006/relationships/hyperlink" Target="https://fbref.com/en/squads/18bb7c10/Arsenal-Stats" TargetMode="External"/><Relationship Id="rId1536" Type="http://schemas.openxmlformats.org/officeDocument/2006/relationships/hyperlink" Target="https://fbref.com/en/players/df0a4c90/matchlogs/2025-2026/misc/Christian-Norgaard-Match-Logs" TargetMode="External"/><Relationship Id="rId1537" Type="http://schemas.openxmlformats.org/officeDocument/2006/relationships/hyperlink" Target="https://fbref.com/en/players/25f2ef01/Jake-OBrien" TargetMode="External"/><Relationship Id="rId1538" Type="http://schemas.openxmlformats.org/officeDocument/2006/relationships/hyperlink" Target="https://fbref.com/en/country/IRL/Republic-of-Ireland-Football" TargetMode="External"/><Relationship Id="rId1539" Type="http://schemas.openxmlformats.org/officeDocument/2006/relationships/hyperlink" Target="https://fbref.com/en/squads/d3fd31cc/Everton-Stats" TargetMode="External"/><Relationship Id="rId949" Type="http://schemas.openxmlformats.org/officeDocument/2006/relationships/hyperlink" Target="https://fbref.com/en/players/84c5ceea/Tim-Iroegbunam" TargetMode="External"/><Relationship Id="rId948" Type="http://schemas.openxmlformats.org/officeDocument/2006/relationships/hyperlink" Target="https://fbref.com/en/players/a4e85758/matchlogs/2025-2026/misc/Igor-Match-Logs" TargetMode="External"/><Relationship Id="rId943" Type="http://schemas.openxmlformats.org/officeDocument/2006/relationships/hyperlink" Target="https://fbref.com/en/squads/e4a775cb/Nottingham-Forest-Stats" TargetMode="External"/><Relationship Id="rId942" Type="http://schemas.openxmlformats.org/officeDocument/2006/relationships/hyperlink" Target="https://fbref.com/en/country/ENG/England-Football" TargetMode="External"/><Relationship Id="rId941" Type="http://schemas.openxmlformats.org/officeDocument/2006/relationships/hyperlink" Target="https://fbref.com/en/players/bd9553e6/Omari-Hutchinson" TargetMode="External"/><Relationship Id="rId940" Type="http://schemas.openxmlformats.org/officeDocument/2006/relationships/hyperlink" Target="https://fbref.com/en/players/d2b32e91/matchlogs/2025-2026/misc/Bashir-Humphreys-Match-Logs" TargetMode="External"/><Relationship Id="rId947" Type="http://schemas.openxmlformats.org/officeDocument/2006/relationships/hyperlink" Target="https://fbref.com/en/squads/7c21e445/West-Ham-United-Stats" TargetMode="External"/><Relationship Id="rId946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a4e85758/Igor" TargetMode="External"/><Relationship Id="rId944" Type="http://schemas.openxmlformats.org/officeDocument/2006/relationships/hyperlink" Target="https://fbref.com/en/players/bd9553e6/matchlogs/2025-2026/misc/Omari-Hutchinson-Match-Logs" TargetMode="External"/><Relationship Id="rId1530" Type="http://schemas.openxmlformats.org/officeDocument/2006/relationships/hyperlink" Target="https://fbref.com/en/country/ENG/England-Football" TargetMode="External"/><Relationship Id="rId1531" Type="http://schemas.openxmlformats.org/officeDocument/2006/relationships/hyperlink" Target="https://fbref.com/en/squads/822bd0ba/Liverpool-Stats" TargetMode="External"/><Relationship Id="rId1521" Type="http://schemas.openxmlformats.org/officeDocument/2006/relationships/hyperlink" Target="https://fbref.com/en/players/e6af02e0/Matheus-Nunes" TargetMode="External"/><Relationship Id="rId1522" Type="http://schemas.openxmlformats.org/officeDocument/2006/relationships/hyperlink" Target="https://fbref.com/en/country/POR/Portugal-Football" TargetMode="External"/><Relationship Id="rId1523" Type="http://schemas.openxmlformats.org/officeDocument/2006/relationships/hyperlink" Target="https://fbref.com/en/squads/b8fd03ef/Manchester-City-Stats" TargetMode="External"/><Relationship Id="rId1524" Type="http://schemas.openxmlformats.org/officeDocument/2006/relationships/hyperlink" Target="https://fbref.com/en/players/e6af02e0/matchlogs/2025-2026/misc/Matheus-Nunes-Match-Logs" TargetMode="External"/><Relationship Id="rId1525" Type="http://schemas.openxmlformats.org/officeDocument/2006/relationships/hyperlink" Target="https://fbref.com/en/players/7f94982c/Ethan-Nwaneri" TargetMode="External"/><Relationship Id="rId1526" Type="http://schemas.openxmlformats.org/officeDocument/2006/relationships/hyperlink" Target="https://fbref.com/en/country/ENG/England-Football" TargetMode="External"/><Relationship Id="rId1527" Type="http://schemas.openxmlformats.org/officeDocument/2006/relationships/hyperlink" Target="https://fbref.com/en/squads/18bb7c10/Arsenal-Stats" TargetMode="External"/><Relationship Id="rId1528" Type="http://schemas.openxmlformats.org/officeDocument/2006/relationships/hyperlink" Target="https://fbref.com/en/players/7f94982c/matchlogs/2025-2026/misc/Ethan-Nwaneri-Match-Logs" TargetMode="External"/><Relationship Id="rId1529" Type="http://schemas.openxmlformats.org/officeDocument/2006/relationships/hyperlink" Target="https://fbref.com/en/players/1d3b3d77/Trey-Nyoni" TargetMode="External"/><Relationship Id="rId939" Type="http://schemas.openxmlformats.org/officeDocument/2006/relationships/hyperlink" Target="https://fbref.com/en/squads/943e8050/Burnley-Stats" TargetMode="External"/><Relationship Id="rId938" Type="http://schemas.openxmlformats.org/officeDocument/2006/relationships/hyperlink" Target="https://fbref.com/en/country/ENG/England-Football" TargetMode="External"/><Relationship Id="rId937" Type="http://schemas.openxmlformats.org/officeDocument/2006/relationships/hyperlink" Target="https://fbref.com/en/players/d2b32e91/Bashir-Humphreys" TargetMode="External"/><Relationship Id="rId932" Type="http://schemas.openxmlformats.org/officeDocument/2006/relationships/hyperlink" Target="https://fbref.com/en/players/a0666d3e/matchlogs/2025-2026/misc/Will-Hughes-Match-Logs" TargetMode="External"/><Relationship Id="rId931" Type="http://schemas.openxmlformats.org/officeDocument/2006/relationships/hyperlink" Target="https://fbref.com/en/squads/47c64c55/Crystal-Palace-Stats" TargetMode="External"/><Relationship Id="rId930" Type="http://schemas.openxmlformats.org/officeDocument/2006/relationships/hyperlink" Target="https://fbref.com/en/country/ENG/England-Football" TargetMode="External"/><Relationship Id="rId936" Type="http://schemas.openxmlformats.org/officeDocument/2006/relationships/hyperlink" Target="https://fbref.com/en/players/4fa3a3a4/matchlogs/2025-2026/misc/Trai-Hume-Match-Logs" TargetMode="External"/><Relationship Id="rId935" Type="http://schemas.openxmlformats.org/officeDocument/2006/relationships/hyperlink" Target="https://fbref.com/en/squads/8ef52968/Sunderland-Stats" TargetMode="External"/><Relationship Id="rId934" Type="http://schemas.openxmlformats.org/officeDocument/2006/relationships/hyperlink" Target="https://fbref.com/en/country/NIR/Northern-Ireland-Football" TargetMode="External"/><Relationship Id="rId933" Type="http://schemas.openxmlformats.org/officeDocument/2006/relationships/hyperlink" Target="https://fbref.com/en/players/4fa3a3a4/Trai-Hume" TargetMode="External"/><Relationship Id="rId1520" Type="http://schemas.openxmlformats.org/officeDocument/2006/relationships/hyperlink" Target="https://fbref.com/en/players/0cc5f4a5/matchlogs/2025-2026/misc/Lukas-Nmecha-Match-Logs" TargetMode="External"/><Relationship Id="rId1554" Type="http://schemas.openxmlformats.org/officeDocument/2006/relationships/hyperlink" Target="https://fbref.com/en/country/SUI/Switzerland-Football" TargetMode="External"/><Relationship Id="rId1555" Type="http://schemas.openxmlformats.org/officeDocument/2006/relationships/hyperlink" Target="https://fbref.com/en/squads/5bfb9659/Leeds-United-Stats" TargetMode="External"/><Relationship Id="rId1556" Type="http://schemas.openxmlformats.org/officeDocument/2006/relationships/hyperlink" Target="https://fbref.com/en/players/ca607d59/matchlogs/2025-2026/misc/Noah-Okafor-Match-Logs" TargetMode="External"/><Relationship Id="rId1557" Type="http://schemas.openxmlformats.org/officeDocument/2006/relationships/hyperlink" Target="https://fbref.com/en/players/d6455444/Callum-Olusesi" TargetMode="External"/><Relationship Id="rId1558" Type="http://schemas.openxmlformats.org/officeDocument/2006/relationships/hyperlink" Target="https://fbref.com/en/country/ENG/England-Football" TargetMode="External"/><Relationship Id="rId1559" Type="http://schemas.openxmlformats.org/officeDocument/2006/relationships/hyperlink" Target="https://fbref.com/en/squads/361ca564/Tottenham-Hotspur-Stats" TargetMode="External"/><Relationship Id="rId965" Type="http://schemas.openxmlformats.org/officeDocument/2006/relationships/hyperlink" Target="https://fbref.com/en/players/6ca5ec4b/Alex-Iwobi" TargetMode="External"/><Relationship Id="rId964" Type="http://schemas.openxmlformats.org/officeDocument/2006/relationships/hyperlink" Target="https://fbref.com/en/players/a671316d/matchlogs/2025-2026/misc/Wilson-Isidor-Match-Logs" TargetMode="External"/><Relationship Id="rId963" Type="http://schemas.openxmlformats.org/officeDocument/2006/relationships/hyperlink" Target="https://fbref.com/en/squads/8ef52968/Sunderland-Stats" TargetMode="External"/><Relationship Id="rId962" Type="http://schemas.openxmlformats.org/officeDocument/2006/relationships/hyperlink" Target="https://fbref.com/en/country/HAI/Haiti-Football" TargetMode="External"/><Relationship Id="rId969" Type="http://schemas.openxmlformats.org/officeDocument/2006/relationships/hyperlink" Target="https://fbref.com/en/players/c931d9f9/Daniel-James" TargetMode="External"/><Relationship Id="rId968" Type="http://schemas.openxmlformats.org/officeDocument/2006/relationships/hyperlink" Target="https://fbref.com/en/players/6ca5ec4b/matchlogs/2025-2026/misc/Alex-Iwobi-Match-Logs" TargetMode="External"/><Relationship Id="rId967" Type="http://schemas.openxmlformats.org/officeDocument/2006/relationships/hyperlink" Target="https://fbref.com/en/squads/fd962109/Fulham-Stats" TargetMode="External"/><Relationship Id="rId966" Type="http://schemas.openxmlformats.org/officeDocument/2006/relationships/hyperlink" Target="https://fbref.com/en/country/NGA/Nigeria-Football" TargetMode="External"/><Relationship Id="rId961" Type="http://schemas.openxmlformats.org/officeDocument/2006/relationships/hyperlink" Target="https://fbref.com/en/players/a671316d/Wilson-Isidor" TargetMode="External"/><Relationship Id="rId1550" Type="http://schemas.openxmlformats.org/officeDocument/2006/relationships/hyperlink" Target="https://fbref.com/en/country/FRA/France-Football" TargetMode="External"/><Relationship Id="rId960" Type="http://schemas.openxmlformats.org/officeDocument/2006/relationships/hyperlink" Target="https://fbref.com/en/players/8e92be30/matchlogs/2025-2026/misc/Alexander-Isak-Match-Logs" TargetMode="External"/><Relationship Id="rId1551" Type="http://schemas.openxmlformats.org/officeDocument/2006/relationships/hyperlink" Target="https://fbref.com/en/squads/361ca564/Tottenham-Hotspur-Stats" TargetMode="External"/><Relationship Id="rId1552" Type="http://schemas.openxmlformats.org/officeDocument/2006/relationships/hyperlink" Target="https://fbref.com/en/players/35516eac/matchlogs/2025-2026/misc/Wilson-Odobert-Match-Logs" TargetMode="External"/><Relationship Id="rId1553" Type="http://schemas.openxmlformats.org/officeDocument/2006/relationships/hyperlink" Target="https://fbref.com/en/players/ca607d59/Noah-Okafor" TargetMode="External"/><Relationship Id="rId1543" Type="http://schemas.openxmlformats.org/officeDocument/2006/relationships/hyperlink" Target="https://fbref.com/en/squads/8ef52968/Sunderland-Stats" TargetMode="External"/><Relationship Id="rId1544" Type="http://schemas.openxmlformats.org/officeDocument/2006/relationships/hyperlink" Target="https://fbref.com/en/players/8092d497/matchlogs/2025-2026/misc/Luke-ONien-Match-Logs" TargetMode="External"/><Relationship Id="rId1545" Type="http://schemas.openxmlformats.org/officeDocument/2006/relationships/hyperlink" Target="https://fbref.com/en/players/fb495bb8/Matt-ORiley" TargetMode="External"/><Relationship Id="rId1546" Type="http://schemas.openxmlformats.org/officeDocument/2006/relationships/hyperlink" Target="https://fbref.com/en/country/DEN/Denmark-Football" TargetMode="External"/><Relationship Id="rId1547" Type="http://schemas.openxmlformats.org/officeDocument/2006/relationships/hyperlink" Target="https://fbref.com/en/squads/d07537b9/Brighton-and-Hove-Albion-Stats" TargetMode="External"/><Relationship Id="rId1548" Type="http://schemas.openxmlformats.org/officeDocument/2006/relationships/hyperlink" Target="https://fbref.com/en/players/fb495bb8/matchlogs/2025-2026/misc/Matt-ORiley-Match-Logs" TargetMode="External"/><Relationship Id="rId1549" Type="http://schemas.openxmlformats.org/officeDocument/2006/relationships/hyperlink" Target="https://fbref.com/en/players/35516eac/Wilson-Odobert" TargetMode="External"/><Relationship Id="rId959" Type="http://schemas.openxmlformats.org/officeDocument/2006/relationships/hyperlink" Target="https://fbref.com/en/squads/822bd0ba/Liverpool-Stats" TargetMode="External"/><Relationship Id="rId954" Type="http://schemas.openxmlformats.org/officeDocument/2006/relationships/hyperlink" Target="https://fbref.com/en/country/SCO/Scotland-Football" TargetMode="External"/><Relationship Id="rId953" Type="http://schemas.openxmlformats.org/officeDocument/2006/relationships/hyperlink" Target="https://fbref.com/en/players/b1be9fc0/Andy-Irving" TargetMode="External"/><Relationship Id="rId952" Type="http://schemas.openxmlformats.org/officeDocument/2006/relationships/hyperlink" Target="https://fbref.com/en/players/84c5ceea/matchlogs/2025-2026/misc/Tim-Iroegbunam-Match-Logs" TargetMode="External"/><Relationship Id="rId951" Type="http://schemas.openxmlformats.org/officeDocument/2006/relationships/hyperlink" Target="https://fbref.com/en/squads/d3fd31cc/Everton-Stats" TargetMode="External"/><Relationship Id="rId958" Type="http://schemas.openxmlformats.org/officeDocument/2006/relationships/hyperlink" Target="https://fbref.com/en/country/SWE/Sweden-Football" TargetMode="External"/><Relationship Id="rId957" Type="http://schemas.openxmlformats.org/officeDocument/2006/relationships/hyperlink" Target="https://fbref.com/en/players/8e92be30/Alexander-Isak" TargetMode="External"/><Relationship Id="rId956" Type="http://schemas.openxmlformats.org/officeDocument/2006/relationships/hyperlink" Target="https://fbref.com/en/players/b1be9fc0/matchlogs/2025-2026/misc/Andy-Irving-Match-Logs" TargetMode="External"/><Relationship Id="rId955" Type="http://schemas.openxmlformats.org/officeDocument/2006/relationships/hyperlink" Target="https://fbref.com/en/squads/7c21e445/West-Ham-United-Stats" TargetMode="External"/><Relationship Id="rId950" Type="http://schemas.openxmlformats.org/officeDocument/2006/relationships/hyperlink" Target="https://fbref.com/en/country/ENG/England-Football" TargetMode="External"/><Relationship Id="rId1540" Type="http://schemas.openxmlformats.org/officeDocument/2006/relationships/hyperlink" Target="https://fbref.com/en/players/25f2ef01/matchlogs/2025-2026/misc/Jake-OBrien-Match-Logs" TargetMode="External"/><Relationship Id="rId1541" Type="http://schemas.openxmlformats.org/officeDocument/2006/relationships/hyperlink" Target="https://fbref.com/en/players/8092d497/Luke-ONien" TargetMode="External"/><Relationship Id="rId1542" Type="http://schemas.openxmlformats.org/officeDocument/2006/relationships/hyperlink" Target="https://fbref.com/en/country/ENG/England-Football" TargetMode="External"/><Relationship Id="rId2027" Type="http://schemas.openxmlformats.org/officeDocument/2006/relationships/hyperlink" Target="https://fbref.com/en/squads/943e8050/Burnley-Stats" TargetMode="External"/><Relationship Id="rId2028" Type="http://schemas.openxmlformats.org/officeDocument/2006/relationships/hyperlink" Target="https://fbref.com/en/players/2baec6ce/matchlogs/2025-2026/misc/Axel-Tuanzebe-Match-Logs" TargetMode="External"/><Relationship Id="rId2029" Type="http://schemas.openxmlformats.org/officeDocument/2006/relationships/hyperlink" Target="https://fbref.com/en/players/a497130f/Stefanos-Tzimas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squads/943e8050/Burnley-Stats" TargetMode="External"/><Relationship Id="rId106" Type="http://schemas.openxmlformats.org/officeDocument/2006/relationships/hyperlink" Target="https://fbref.com/en/country/ENG/England-Football" TargetMode="External"/><Relationship Id="rId105" Type="http://schemas.openxmlformats.org/officeDocument/2006/relationships/hyperlink" Target="https://fbref.com/en/players/e4238fb1/Jaidon-Anthony" TargetMode="External"/><Relationship Id="rId589" Type="http://schemas.openxmlformats.org/officeDocument/2006/relationships/hyperlink" Target="https://fbref.com/en/players/2fba6108/Anthony-Elanga" TargetMode="External"/><Relationship Id="rId104" Type="http://schemas.openxmlformats.org/officeDocument/2006/relationships/hyperlink" Target="https://fbref.com/en/players/a9b9d89c/matchlogs/2025-2026/misc/Nilson-Angulo-Match-Logs" TargetMode="External"/><Relationship Id="rId588" Type="http://schemas.openxmlformats.org/officeDocument/2006/relationships/hyperlink" Target="https://fbref.com/en/players/5b92d896/matchlogs/2025-2026/misc/Hugo-Ekitike-Match-Logs" TargetMode="External"/><Relationship Id="rId109" Type="http://schemas.openxmlformats.org/officeDocument/2006/relationships/hyperlink" Target="https://fbref.com/en/players/2f965a72/Alphonse-Areola" TargetMode="External"/><Relationship Id="rId1170" Type="http://schemas.openxmlformats.org/officeDocument/2006/relationships/hyperlink" Target="https://fbref.com/en/country/ENG/England-Football" TargetMode="External"/><Relationship Id="rId108" Type="http://schemas.openxmlformats.org/officeDocument/2006/relationships/hyperlink" Target="https://fbref.com/en/players/e4238fb1/matchlogs/2025-2026/misc/Jaidon-Anthony-Match-Logs" TargetMode="External"/><Relationship Id="rId1171" Type="http://schemas.openxmlformats.org/officeDocument/2006/relationships/hyperlink" Target="https://fbref.com/en/squads/943e8050/Burnley-Stats" TargetMode="External"/><Relationship Id="rId583" Type="http://schemas.openxmlformats.org/officeDocument/2006/relationships/hyperlink" Target="https://fbref.com/en/squads/943e8050/Burnley-Stats" TargetMode="External"/><Relationship Id="rId1172" Type="http://schemas.openxmlformats.org/officeDocument/2006/relationships/hyperlink" Target="https://fbref.com/en/players/f0068e0f/matchlogs/2025-2026/misc/Josh-Laurent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ecad9aa5/Romeo-Lavia" TargetMode="External"/><Relationship Id="rId2020" Type="http://schemas.openxmlformats.org/officeDocument/2006/relationships/hyperlink" Target="https://fbref.com/en/players/38ceb24a/matchlogs/2025-2026/misc/Leandro-Trossard-Match-Logs" TargetMode="External"/><Relationship Id="rId581" Type="http://schemas.openxmlformats.org/officeDocument/2006/relationships/hyperlink" Target="https://fbref.com/en/players/3d554589/Hjalmar-Ekdal" TargetMode="External"/><Relationship Id="rId1174" Type="http://schemas.openxmlformats.org/officeDocument/2006/relationships/hyperlink" Target="https://fbref.com/en/country/BEL/Belgium-Football" TargetMode="External"/><Relationship Id="rId2021" Type="http://schemas.openxmlformats.org/officeDocument/2006/relationships/hyperlink" Target="https://fbref.com/en/players/5d0e0a1f/Adrien-Truffert" TargetMode="External"/><Relationship Id="rId580" Type="http://schemas.openxmlformats.org/officeDocument/2006/relationships/hyperlink" Target="https://fbref.com/en/players/57760e66/matchlogs/2025-2026/misc/Marcus-Edwards-Match-Logs" TargetMode="External"/><Relationship Id="rId1175" Type="http://schemas.openxmlformats.org/officeDocument/2006/relationships/hyperlink" Target="https://fbref.com/en/squads/cff3d9bb/Chelsea-Stats" TargetMode="External"/><Relationship Id="rId2022" Type="http://schemas.openxmlformats.org/officeDocument/2006/relationships/hyperlink" Target="https://fbref.com/en/country/FRA/France-Football" TargetMode="External"/><Relationship Id="rId103" Type="http://schemas.openxmlformats.org/officeDocument/2006/relationships/hyperlink" Target="https://fbref.com/en/squads/8ef52968/Sunderland-Stats" TargetMode="External"/><Relationship Id="rId587" Type="http://schemas.openxmlformats.org/officeDocument/2006/relationships/hyperlink" Target="https://fbref.com/en/squads/822bd0ba/Liverpool-Stats" TargetMode="External"/><Relationship Id="rId1176" Type="http://schemas.openxmlformats.org/officeDocument/2006/relationships/hyperlink" Target="https://fbref.com/en/players/ecad9aa5/matchlogs/2025-2026/misc/Romeo-Lavia-Match-Logs" TargetMode="External"/><Relationship Id="rId2023" Type="http://schemas.openxmlformats.org/officeDocument/2006/relationships/hyperlink" Target="https://fbref.com/en/squads/4ba7cbea/Bournemouth-Stats" TargetMode="External"/><Relationship Id="rId102" Type="http://schemas.openxmlformats.org/officeDocument/2006/relationships/hyperlink" Target="https://fbref.com/en/country/ECU/Ecuador-Football" TargetMode="External"/><Relationship Id="rId586" Type="http://schemas.openxmlformats.org/officeDocument/2006/relationships/hyperlink" Target="https://fbref.com/en/country/FRA/France-Football" TargetMode="External"/><Relationship Id="rId1177" Type="http://schemas.openxmlformats.org/officeDocument/2006/relationships/hyperlink" Target="https://fbref.com/en/players/6f806d99/Enzo-Le-Fee" TargetMode="External"/><Relationship Id="rId2024" Type="http://schemas.openxmlformats.org/officeDocument/2006/relationships/hyperlink" Target="https://fbref.com/en/players/5d0e0a1f/matchlogs/2025-2026/misc/Adrien-Truffert-Match-Logs" TargetMode="External"/><Relationship Id="rId101" Type="http://schemas.openxmlformats.org/officeDocument/2006/relationships/hyperlink" Target="https://fbref.com/en/players/a9b9d89c/Nilson-Angulo" TargetMode="External"/><Relationship Id="rId585" Type="http://schemas.openxmlformats.org/officeDocument/2006/relationships/hyperlink" Target="https://fbref.com/en/players/5b92d896/Hugo-Ekitike" TargetMode="External"/><Relationship Id="rId1178" Type="http://schemas.openxmlformats.org/officeDocument/2006/relationships/hyperlink" Target="https://fbref.com/en/country/FRA/France-Football" TargetMode="External"/><Relationship Id="rId2025" Type="http://schemas.openxmlformats.org/officeDocument/2006/relationships/hyperlink" Target="https://fbref.com/en/players/2baec6ce/Axel-Tuanzebe" TargetMode="External"/><Relationship Id="rId100" Type="http://schemas.openxmlformats.org/officeDocument/2006/relationships/hyperlink" Target="https://fbref.com/en/players/ec604e2c/matchlogs/2025-2026/misc/Andre-Match-Logs" TargetMode="External"/><Relationship Id="rId584" Type="http://schemas.openxmlformats.org/officeDocument/2006/relationships/hyperlink" Target="https://fbref.com/en/players/3d554589/matchlogs/2025-2026/misc/Hjalmar-Ekdal-Match-Logs" TargetMode="External"/><Relationship Id="rId1179" Type="http://schemas.openxmlformats.org/officeDocument/2006/relationships/hyperlink" Target="https://fbref.com/en/squads/8ef52968/Sunderland-Stats" TargetMode="External"/><Relationship Id="rId2026" Type="http://schemas.openxmlformats.org/officeDocument/2006/relationships/hyperlink" Target="https://fbref.com/en/country/COD/Congo-DR-Football" TargetMode="External"/><Relationship Id="rId1169" Type="http://schemas.openxmlformats.org/officeDocument/2006/relationships/hyperlink" Target="https://fbref.com/en/players/f0068e0f/Josh-Laurent" TargetMode="External"/><Relationship Id="rId2016" Type="http://schemas.openxmlformats.org/officeDocument/2006/relationships/hyperlink" Target="https://fbref.com/en/players/21512407/matchlogs/2025-2026/misc/Kieran-Trippier-Match-Logs" TargetMode="External"/><Relationship Id="rId2017" Type="http://schemas.openxmlformats.org/officeDocument/2006/relationships/hyperlink" Target="https://fbref.com/en/players/38ceb24a/Leandro-Trossard" TargetMode="External"/><Relationship Id="rId2018" Type="http://schemas.openxmlformats.org/officeDocument/2006/relationships/hyperlink" Target="https://fbref.com/en/country/BEL/Belgium-Football" TargetMode="External"/><Relationship Id="rId2019" Type="http://schemas.openxmlformats.org/officeDocument/2006/relationships/hyperlink" Target="https://fbref.com/en/squads/18bb7c10/Arsenal-Stats" TargetMode="External"/><Relationship Id="rId579" Type="http://schemas.openxmlformats.org/officeDocument/2006/relationships/hyperlink" Target="https://fbref.com/en/squads/943e8050/Burnley-Stats" TargetMode="External"/><Relationship Id="rId578" Type="http://schemas.openxmlformats.org/officeDocument/2006/relationships/hyperlink" Target="https://fbref.com/en/country/ENG/England-Football" TargetMode="External"/><Relationship Id="rId577" Type="http://schemas.openxmlformats.org/officeDocument/2006/relationships/hyperlink" Target="https://fbref.com/en/players/57760e66/Marcus-Edwards" TargetMode="External"/><Relationship Id="rId1160" Type="http://schemas.openxmlformats.org/officeDocument/2006/relationships/hyperlink" Target="https://fbref.com/en/players/277c49ed/matchlogs/2025-2026/misc/Maxence-Lacroix-Match-Logs" TargetMode="External"/><Relationship Id="rId572" Type="http://schemas.openxmlformats.org/officeDocument/2006/relationships/hyperlink" Target="https://fbref.com/en/players/3354ea94/matchlogs/2025-2026/misc/Tom-Edozie-Match-Logs" TargetMode="External"/><Relationship Id="rId1161" Type="http://schemas.openxmlformats.org/officeDocument/2006/relationships/hyperlink" Target="https://fbref.com/en/players/8e6d2fcd/Senne-Lammens" TargetMode="External"/><Relationship Id="rId571" Type="http://schemas.openxmlformats.org/officeDocument/2006/relationships/hyperlink" Target="https://fbref.com/en/squads/8cec06e1/Wolverhampton-Wanderers-Stats" TargetMode="External"/><Relationship Id="rId1162" Type="http://schemas.openxmlformats.org/officeDocument/2006/relationships/hyperlink" Target="https://fbref.com/en/country/BEL/Belgium-Football" TargetMode="External"/><Relationship Id="rId570" Type="http://schemas.openxmlformats.org/officeDocument/2006/relationships/hyperlink" Target="https://fbref.com/en/country/ENG/England-Football" TargetMode="External"/><Relationship Id="rId1163" Type="http://schemas.openxmlformats.org/officeDocument/2006/relationships/hyperlink" Target="https://fbref.com/en/squads/19538871/Manchester-United-Stats" TargetMode="External"/><Relationship Id="rId2010" Type="http://schemas.openxmlformats.org/officeDocument/2006/relationships/hyperlink" Target="https://fbref.com/en/country/BEL/Belgium-Football" TargetMode="External"/><Relationship Id="rId1164" Type="http://schemas.openxmlformats.org/officeDocument/2006/relationships/hyperlink" Target="https://fbref.com/en/players/8e6d2fcd/matchlogs/2025-2026/misc/Senne-Lammens-Match-Logs" TargetMode="External"/><Relationship Id="rId2011" Type="http://schemas.openxmlformats.org/officeDocument/2006/relationships/hyperlink" Target="https://fbref.com/en/squads/943e8050/Burnley-Stats" TargetMode="External"/><Relationship Id="rId576" Type="http://schemas.openxmlformats.org/officeDocument/2006/relationships/hyperlink" Target="https://fbref.com/en/players/99b63a82/matchlogs/2025-2026/misc/Alysson-Edward-Match-Logs" TargetMode="External"/><Relationship Id="rId1165" Type="http://schemas.openxmlformats.org/officeDocument/2006/relationships/hyperlink" Target="https://fbref.com/en/players/450ab6fc/Jamaal-Lascelles" TargetMode="External"/><Relationship Id="rId2012" Type="http://schemas.openxmlformats.org/officeDocument/2006/relationships/hyperlink" Target="https://fbref.com/en/players/b2a81fc6/matchlogs/2025-2026/misc/Mike-Tresor-Match-Logs" TargetMode="External"/><Relationship Id="rId575" Type="http://schemas.openxmlformats.org/officeDocument/2006/relationships/hyperlink" Target="https://fbref.com/en/squads/8602292d/Aston-Villa-Stats" TargetMode="External"/><Relationship Id="rId1166" Type="http://schemas.openxmlformats.org/officeDocument/2006/relationships/hyperlink" Target="https://fbref.com/en/country/ENG/England-Football" TargetMode="External"/><Relationship Id="rId2013" Type="http://schemas.openxmlformats.org/officeDocument/2006/relationships/hyperlink" Target="https://fbref.com/en/players/21512407/Kieran-Trippier" TargetMode="External"/><Relationship Id="rId574" Type="http://schemas.openxmlformats.org/officeDocument/2006/relationships/hyperlink" Target="https://fbref.com/en/country/BRA/Brazil-Football" TargetMode="External"/><Relationship Id="rId1167" Type="http://schemas.openxmlformats.org/officeDocument/2006/relationships/hyperlink" Target="https://fbref.com/en/squads/b2b47a98/Newcastle-United-Stats" TargetMode="External"/><Relationship Id="rId2014" Type="http://schemas.openxmlformats.org/officeDocument/2006/relationships/hyperlink" Target="https://fbref.com/en/country/ENG/England-Football" TargetMode="External"/><Relationship Id="rId573" Type="http://schemas.openxmlformats.org/officeDocument/2006/relationships/hyperlink" Target="https://fbref.com/en/players/99b63a82/Alysson-Edward" TargetMode="External"/><Relationship Id="rId1168" Type="http://schemas.openxmlformats.org/officeDocument/2006/relationships/hyperlink" Target="https://fbref.com/en/players/450ab6fc/matchlogs/2025-2026/misc/Jamaal-Lascelles-Match-Logs" TargetMode="External"/><Relationship Id="rId2015" Type="http://schemas.openxmlformats.org/officeDocument/2006/relationships/hyperlink" Target="https://fbref.com/en/squads/b2b47a98/Newcastle-United-Stats" TargetMode="External"/><Relationship Id="rId2049" Type="http://schemas.openxmlformats.org/officeDocument/2006/relationships/hyperlink" Target="https://fbref.com/en/players/f8eca1b6/Enes-Unal" TargetMode="External"/><Relationship Id="rId129" Type="http://schemas.openxmlformats.org/officeDocument/2006/relationships/hyperlink" Target="https://fbref.com/en/players/28d596a0/Kepa-Arrizabalaga" TargetMode="External"/><Relationship Id="rId128" Type="http://schemas.openxmlformats.org/officeDocument/2006/relationships/hyperlink" Target="https://fbref.com/en/players/a42760bc/matchlogs/2025-2026/misc/Tolu-Arokodare-Match-Logs" TargetMode="External"/><Relationship Id="rId127" Type="http://schemas.openxmlformats.org/officeDocument/2006/relationships/hyperlink" Target="https://fbref.com/en/squads/8cec06e1/Wolverhampton-Wanderers-Stats" TargetMode="External"/><Relationship Id="rId126" Type="http://schemas.openxmlformats.org/officeDocument/2006/relationships/hyperlink" Target="https://fbref.com/en/country/NGA/Nigeria-Football" TargetMode="External"/><Relationship Id="rId1190" Type="http://schemas.openxmlformats.org/officeDocument/2006/relationships/hyperlink" Target="https://fbref.com/en/country/ENG/England-Football" TargetMode="External"/><Relationship Id="rId1191" Type="http://schemas.openxmlformats.org/officeDocument/2006/relationships/hyperlink" Target="https://fbref.com/en/squads/b8fd03ef/Manchester-City-Stats" TargetMode="External"/><Relationship Id="rId1192" Type="http://schemas.openxmlformats.org/officeDocument/2006/relationships/hyperlink" Target="https://fbref.com/en/players/b57e066e/matchlogs/2025-2026/misc/Rico-Lewis-Match-Logs" TargetMode="External"/><Relationship Id="rId1193" Type="http://schemas.openxmlformats.org/officeDocument/2006/relationships/hyperlink" Target="https://fbref.com/en/players/41f08ac8/Keane-Lewis-Potter" TargetMode="External"/><Relationship Id="rId2040" Type="http://schemas.openxmlformats.org/officeDocument/2006/relationships/hyperlink" Target="https://fbref.com/en/players/7cd520e8/matchlogs/2025-2026/misc/Destiny-Udogie-Match-Logs" TargetMode="External"/><Relationship Id="rId121" Type="http://schemas.openxmlformats.org/officeDocument/2006/relationships/hyperlink" Target="https://fbref.com/en/players/de59e609/Harrison-Armstrong" TargetMode="External"/><Relationship Id="rId1194" Type="http://schemas.openxmlformats.org/officeDocument/2006/relationships/hyperlink" Target="https://fbref.com/en/country/ENG/England-Football" TargetMode="External"/><Relationship Id="rId2041" Type="http://schemas.openxmlformats.org/officeDocument/2006/relationships/hyperlink" Target="https://fbref.com/en/players/c9817014/Manuel-Ugarte" TargetMode="External"/><Relationship Id="rId120" Type="http://schemas.openxmlformats.org/officeDocument/2006/relationships/hyperlink" Target="https://fbref.com/en/players/68c720b5/matchlogs/2025-2026/misc/Adam-Armstrong-Match-Logs" TargetMode="External"/><Relationship Id="rId1195" Type="http://schemas.openxmlformats.org/officeDocument/2006/relationships/hyperlink" Target="https://fbref.com/en/squads/cd051869/Brentford-Stats" TargetMode="External"/><Relationship Id="rId2042" Type="http://schemas.openxmlformats.org/officeDocument/2006/relationships/hyperlink" Target="https://fbref.com/en/country/URU/Uruguay-Football" TargetMode="External"/><Relationship Id="rId1196" Type="http://schemas.openxmlformats.org/officeDocument/2006/relationships/hyperlink" Target="https://fbref.com/en/players/41f08ac8/matchlogs/2025-2026/misc/Keane-Lewis-Potter-Match-Logs" TargetMode="External"/><Relationship Id="rId2043" Type="http://schemas.openxmlformats.org/officeDocument/2006/relationships/hyperlink" Target="https://fbref.com/en/squads/19538871/Manchester-United-Stats" TargetMode="External"/><Relationship Id="rId1197" Type="http://schemas.openxmlformats.org/officeDocument/2006/relationships/hyperlink" Target="https://fbref.com/en/players/5dff6c28/Myles-Lewis-Skelly" TargetMode="External"/><Relationship Id="rId2044" Type="http://schemas.openxmlformats.org/officeDocument/2006/relationships/hyperlink" Target="https://fbref.com/en/players/c9817014/matchlogs/2025-2026/misc/Manuel-Ugarte-Match-Logs" TargetMode="External"/><Relationship Id="rId125" Type="http://schemas.openxmlformats.org/officeDocument/2006/relationships/hyperlink" Target="https://fbref.com/en/players/a42760bc/Tolu-Arokodare" TargetMode="External"/><Relationship Id="rId1198" Type="http://schemas.openxmlformats.org/officeDocument/2006/relationships/hyperlink" Target="https://fbref.com/en/country/ENG/England-Football" TargetMode="External"/><Relationship Id="rId2045" Type="http://schemas.openxmlformats.org/officeDocument/2006/relationships/hyperlink" Target="https://fbref.com/en/players/1df4a109/Lesley-Ugochukwu" TargetMode="External"/><Relationship Id="rId124" Type="http://schemas.openxmlformats.org/officeDocument/2006/relationships/hyperlink" Target="https://fbref.com/en/players/de59e609/matchlogs/2025-2026/misc/Harrison-Armstrong-Match-Logs" TargetMode="External"/><Relationship Id="rId1199" Type="http://schemas.openxmlformats.org/officeDocument/2006/relationships/hyperlink" Target="https://fbref.com/en/squads/18bb7c10/Arsenal-Stats" TargetMode="External"/><Relationship Id="rId2046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d3fd31cc/Everton-Stats" TargetMode="External"/><Relationship Id="rId2047" Type="http://schemas.openxmlformats.org/officeDocument/2006/relationships/hyperlink" Target="https://fbref.com/en/squads/943e8050/Burnley-Stats" TargetMode="External"/><Relationship Id="rId122" Type="http://schemas.openxmlformats.org/officeDocument/2006/relationships/hyperlink" Target="https://fbref.com/en/country/ENG/England-Football" TargetMode="External"/><Relationship Id="rId2048" Type="http://schemas.openxmlformats.org/officeDocument/2006/relationships/hyperlink" Target="https://fbref.com/en/players/1df4a109/matchlogs/2025-2026/misc/Lesley-Ugochukwu-Match-Logs" TargetMode="External"/><Relationship Id="rId2038" Type="http://schemas.openxmlformats.org/officeDocument/2006/relationships/hyperlink" Target="https://fbref.com/en/country/ITA/Italy-Football" TargetMode="External"/><Relationship Id="rId2039" Type="http://schemas.openxmlformats.org/officeDocument/2006/relationships/hyperlink" Target="https://fbref.com/en/squads/361ca564/Tottenham-Hotspur-Stats" TargetMode="External"/><Relationship Id="rId118" Type="http://schemas.openxmlformats.org/officeDocument/2006/relationships/hyperlink" Target="https://fbref.com/en/country/ENG/England-Football" TargetMode="External"/><Relationship Id="rId117" Type="http://schemas.openxmlformats.org/officeDocument/2006/relationships/hyperlink" Target="https://fbref.com/en/players/68c720b5/Adam-Armstrong" TargetMode="External"/><Relationship Id="rId116" Type="http://schemas.openxmlformats.org/officeDocument/2006/relationships/hyperlink" Target="https://fbref.com/en/players/86d96066/matchlogs/2025-2026/misc/Jhon-Arias-Match-Logs" TargetMode="External"/><Relationship Id="rId115" Type="http://schemas.openxmlformats.org/officeDocument/2006/relationships/hyperlink" Target="https://fbref.com/en/squads/8cec06e1/Wolverhampton-Wanderers-Stats" TargetMode="External"/><Relationship Id="rId599" Type="http://schemas.openxmlformats.org/officeDocument/2006/relationships/hyperlink" Target="https://fbref.com/en/squads/822bd0ba/Liverpool-Stats" TargetMode="External"/><Relationship Id="rId1180" Type="http://schemas.openxmlformats.org/officeDocument/2006/relationships/hyperlink" Target="https://fbref.com/en/players/6f806d99/matchlogs/2025-2026/misc/Enzo-Le-Fee-Match-Logs" TargetMode="External"/><Relationship Id="rId1181" Type="http://schemas.openxmlformats.org/officeDocument/2006/relationships/hyperlink" Target="https://fbref.com/en/players/2628fd2b/Bernd-Leno" TargetMode="External"/><Relationship Id="rId119" Type="http://schemas.openxmlformats.org/officeDocument/2006/relationships/hyperlink" Target="https://fbref.com/en/squads/8cec06e1/Wolverhampton-Wanderers-Stats" TargetMode="External"/><Relationship Id="rId1182" Type="http://schemas.openxmlformats.org/officeDocument/2006/relationships/hyperlink" Target="https://fbref.com/en/country/GER/Germany-Football" TargetMode="External"/><Relationship Id="rId110" Type="http://schemas.openxmlformats.org/officeDocument/2006/relationships/hyperlink" Target="https://fbref.com/en/country/FRA/France-Football" TargetMode="External"/><Relationship Id="rId594" Type="http://schemas.openxmlformats.org/officeDocument/2006/relationships/hyperlink" Target="https://fbref.com/en/country/SWE/Sweden-Football" TargetMode="External"/><Relationship Id="rId1183" Type="http://schemas.openxmlformats.org/officeDocument/2006/relationships/hyperlink" Target="https://fbref.com/en/squads/fd962109/Fulham-Stats" TargetMode="External"/><Relationship Id="rId2030" Type="http://schemas.openxmlformats.org/officeDocument/2006/relationships/hyperlink" Target="https://fbref.com/en/country/GRE/Greece-Football" TargetMode="External"/><Relationship Id="rId593" Type="http://schemas.openxmlformats.org/officeDocument/2006/relationships/hyperlink" Target="https://fbref.com/en/players/013d348e/Melker-Ellborg" TargetMode="External"/><Relationship Id="rId1184" Type="http://schemas.openxmlformats.org/officeDocument/2006/relationships/hyperlink" Target="https://fbref.com/en/players/2628fd2b/matchlogs/2025-2026/misc/Bernd-Leno-Match-Logs" TargetMode="External"/><Relationship Id="rId2031" Type="http://schemas.openxmlformats.org/officeDocument/2006/relationships/hyperlink" Target="https://fbref.com/en/squads/d07537b9/Brighton-and-Hove-Albion-Stats" TargetMode="External"/><Relationship Id="rId592" Type="http://schemas.openxmlformats.org/officeDocument/2006/relationships/hyperlink" Target="https://fbref.com/en/players/2fba6108/matchlogs/2025-2026/misc/Anthony-Elanga-Match-Logs" TargetMode="External"/><Relationship Id="rId1185" Type="http://schemas.openxmlformats.org/officeDocument/2006/relationships/hyperlink" Target="https://fbref.com/en/players/9b5ce51a/Jefferson-Lerma" TargetMode="External"/><Relationship Id="rId2032" Type="http://schemas.openxmlformats.org/officeDocument/2006/relationships/hyperlink" Target="https://fbref.com/en/players/a497130f/matchlogs/2025-2026/misc/Stefanos-Tzimas-Match-Logs" TargetMode="External"/><Relationship Id="rId591" Type="http://schemas.openxmlformats.org/officeDocument/2006/relationships/hyperlink" Target="https://fbref.com/en/squads/b2b47a98/Newcastle-United-Stats" TargetMode="External"/><Relationship Id="rId1186" Type="http://schemas.openxmlformats.org/officeDocument/2006/relationships/hyperlink" Target="https://fbref.com/en/country/COL/Colombia-Football" TargetMode="External"/><Relationship Id="rId2033" Type="http://schemas.openxmlformats.org/officeDocument/2006/relationships/hyperlink" Target="https://fbref.com/en/players/87941696/Christantus-Uche" TargetMode="External"/><Relationship Id="rId114" Type="http://schemas.openxmlformats.org/officeDocument/2006/relationships/hyperlink" Target="https://fbref.com/en/country/COL/Colombia-Football" TargetMode="External"/><Relationship Id="rId598" Type="http://schemas.openxmlformats.org/officeDocument/2006/relationships/hyperlink" Target="https://fbref.com/en/country/ENG/England-Football" TargetMode="External"/><Relationship Id="rId1187" Type="http://schemas.openxmlformats.org/officeDocument/2006/relationships/hyperlink" Target="https://fbref.com/en/squads/47c64c55/Crystal-Palace-Stats" TargetMode="External"/><Relationship Id="rId2034" Type="http://schemas.openxmlformats.org/officeDocument/2006/relationships/hyperlink" Target="https://fbref.com/en/country/NGA/Nigeria-Football" TargetMode="External"/><Relationship Id="rId113" Type="http://schemas.openxmlformats.org/officeDocument/2006/relationships/hyperlink" Target="https://fbref.com/en/players/86d96066/Jhon-Arias" TargetMode="External"/><Relationship Id="rId597" Type="http://schemas.openxmlformats.org/officeDocument/2006/relationships/hyperlink" Target="https://fbref.com/en/players/b9e1436c/Harvey-Elliott" TargetMode="External"/><Relationship Id="rId1188" Type="http://schemas.openxmlformats.org/officeDocument/2006/relationships/hyperlink" Target="https://fbref.com/en/players/9b5ce51a/matchlogs/2025-2026/misc/Jefferson-Lerma-Match-Logs" TargetMode="External"/><Relationship Id="rId2035" Type="http://schemas.openxmlformats.org/officeDocument/2006/relationships/hyperlink" Target="https://fbref.com/en/squads/47c64c55/Crystal-Palace-Stats" TargetMode="External"/><Relationship Id="rId112" Type="http://schemas.openxmlformats.org/officeDocument/2006/relationships/hyperlink" Target="https://fbref.com/en/players/2f965a72/matchlogs/2025-2026/misc/Alphonse-Areola-Match-Logs" TargetMode="External"/><Relationship Id="rId596" Type="http://schemas.openxmlformats.org/officeDocument/2006/relationships/hyperlink" Target="https://fbref.com/en/players/013d348e/matchlogs/2025-2026/misc/Melker-Ellborg-Match-Logs" TargetMode="External"/><Relationship Id="rId1189" Type="http://schemas.openxmlformats.org/officeDocument/2006/relationships/hyperlink" Target="https://fbref.com/en/players/b57e066e/Rico-Lewis" TargetMode="External"/><Relationship Id="rId2036" Type="http://schemas.openxmlformats.org/officeDocument/2006/relationships/hyperlink" Target="https://fbref.com/en/players/87941696/matchlogs/2025-2026/misc/Christantus-Uche-Match-Logs" TargetMode="External"/><Relationship Id="rId111" Type="http://schemas.openxmlformats.org/officeDocument/2006/relationships/hyperlink" Target="https://fbref.com/en/squads/7c21e445/West-Ham-United-Stats" TargetMode="External"/><Relationship Id="rId595" Type="http://schemas.openxmlformats.org/officeDocument/2006/relationships/hyperlink" Target="https://fbref.com/en/squads/8ef52968/Sunderland-Stats" TargetMode="External"/><Relationship Id="rId2037" Type="http://schemas.openxmlformats.org/officeDocument/2006/relationships/hyperlink" Target="https://fbref.com/en/players/7cd520e8/Destiny-Udogie" TargetMode="External"/><Relationship Id="rId1136" Type="http://schemas.openxmlformats.org/officeDocument/2006/relationships/hyperlink" Target="https://fbref.com/en/players/79c0821a/matchlogs/2025-2026/misc/Mateo-Kovacic-Match-Logs" TargetMode="External"/><Relationship Id="rId1137" Type="http://schemas.openxmlformats.org/officeDocument/2006/relationships/hyperlink" Target="https://fbref.com/en/players/77cf6852/Emil-Krafth" TargetMode="External"/><Relationship Id="rId1138" Type="http://schemas.openxmlformats.org/officeDocument/2006/relationships/hyperlink" Target="https://fbref.com/en/country/SWE/Sweden-Football" TargetMode="External"/><Relationship Id="rId1139" Type="http://schemas.openxmlformats.org/officeDocument/2006/relationships/hyperlink" Target="https://fbref.com/en/squads/b2b47a98/Newcastle-United-Stats" TargetMode="External"/><Relationship Id="rId547" Type="http://schemas.openxmlformats.org/officeDocument/2006/relationships/hyperlink" Target="https://fbref.com/en/squads/361ca564/Tottenham-Hotspur-Stats" TargetMode="External"/><Relationship Id="rId546" Type="http://schemas.openxmlformats.org/officeDocument/2006/relationships/hyperlink" Target="https://fbref.com/en/country/ROU/Romania-Football" TargetMode="External"/><Relationship Id="rId545" Type="http://schemas.openxmlformats.org/officeDocument/2006/relationships/hyperlink" Target="https://fbref.com/en/players/620922ed/Radu-Dragusin" TargetMode="External"/><Relationship Id="rId544" Type="http://schemas.openxmlformats.org/officeDocument/2006/relationships/hyperlink" Target="https://fbref.com/en/players/9008bb70/matchlogs/2025-2026/misc/Max-Dowman-Match-Logs" TargetMode="External"/><Relationship Id="rId549" Type="http://schemas.openxmlformats.org/officeDocument/2006/relationships/hyperlink" Target="https://fbref.com/en/players/1bd530e8/Joel-Drakes-Thomas" TargetMode="External"/><Relationship Id="rId548" Type="http://schemas.openxmlformats.org/officeDocument/2006/relationships/hyperlink" Target="https://fbref.com/en/players/620922ed/matchlogs/2025-2026/misc/Radu-Dragusin-Match-Logs" TargetMode="External"/><Relationship Id="rId1130" Type="http://schemas.openxmlformats.org/officeDocument/2006/relationships/hyperlink" Target="https://fbref.com/en/country/GRE/Greece-Football" TargetMode="External"/><Relationship Id="rId1131" Type="http://schemas.openxmlformats.org/officeDocument/2006/relationships/hyperlink" Target="https://fbref.com/en/squads/d07537b9/Brighton-and-Hove-Albion-Stats" TargetMode="External"/><Relationship Id="rId543" Type="http://schemas.openxmlformats.org/officeDocument/2006/relationships/hyperlink" Target="https://fbref.com/en/squads/18bb7c10/Arsenal-Stats" TargetMode="External"/><Relationship Id="rId1132" Type="http://schemas.openxmlformats.org/officeDocument/2006/relationships/hyperlink" Target="https://fbref.com/en/players/816010c4/matchlogs/2025-2026/misc/Charalampos-Kostoulas-Match-Logs" TargetMode="External"/><Relationship Id="rId542" Type="http://schemas.openxmlformats.org/officeDocument/2006/relationships/hyperlink" Target="https://fbref.com/en/country/ENG/England-Football" TargetMode="External"/><Relationship Id="rId1133" Type="http://schemas.openxmlformats.org/officeDocument/2006/relationships/hyperlink" Target="https://fbref.com/en/players/79c0821a/Mateo-Kovacic" TargetMode="External"/><Relationship Id="rId541" Type="http://schemas.openxmlformats.org/officeDocument/2006/relationships/hyperlink" Target="https://fbref.com/en/players/9008bb70/Max-Dowman" TargetMode="External"/><Relationship Id="rId1134" Type="http://schemas.openxmlformats.org/officeDocument/2006/relationships/hyperlink" Target="https://fbref.com/en/country/CRO/Croatia-Football" TargetMode="External"/><Relationship Id="rId540" Type="http://schemas.openxmlformats.org/officeDocument/2006/relationships/hyperlink" Target="https://fbref.com/en/players/e6536124/matchlogs/2025-2026/misc/Patrick-Dorgu-Match-Logs" TargetMode="External"/><Relationship Id="rId1135" Type="http://schemas.openxmlformats.org/officeDocument/2006/relationships/hyperlink" Target="https://fbref.com/en/squads/b8fd03ef/Manchester-City-Stats" TargetMode="External"/><Relationship Id="rId1125" Type="http://schemas.openxmlformats.org/officeDocument/2006/relationships/hyperlink" Target="https://fbref.com/en/players/0313a347/Ezri-Konsa" TargetMode="External"/><Relationship Id="rId1126" Type="http://schemas.openxmlformats.org/officeDocument/2006/relationships/hyperlink" Target="https://fbref.com/en/country/ENG/England-Football" TargetMode="External"/><Relationship Id="rId1127" Type="http://schemas.openxmlformats.org/officeDocument/2006/relationships/hyperlink" Target="https://fbref.com/en/squads/8602292d/Aston-Villa-Stats" TargetMode="External"/><Relationship Id="rId1128" Type="http://schemas.openxmlformats.org/officeDocument/2006/relationships/hyperlink" Target="https://fbref.com/en/players/0313a347/matchlogs/2025-2026/misc/Ezri-Konsa-Match-Logs" TargetMode="External"/><Relationship Id="rId1129" Type="http://schemas.openxmlformats.org/officeDocument/2006/relationships/hyperlink" Target="https://fbref.com/en/players/816010c4/Charalampos-Kostoulas" TargetMode="External"/><Relationship Id="rId536" Type="http://schemas.openxmlformats.org/officeDocument/2006/relationships/hyperlink" Target="https://fbref.com/en/players/519db366/matchlogs/2025-2026/misc/Romelle-Donovan-Match-Logs" TargetMode="External"/><Relationship Id="rId535" Type="http://schemas.openxmlformats.org/officeDocument/2006/relationships/hyperlink" Target="https://fbref.com/en/squads/cd051869/Brentford-Stats" TargetMode="External"/><Relationship Id="rId534" Type="http://schemas.openxmlformats.org/officeDocument/2006/relationships/hyperlink" Target="https://fbref.com/en/country/ENG/England-Football" TargetMode="External"/><Relationship Id="rId533" Type="http://schemas.openxmlformats.org/officeDocument/2006/relationships/hyperlink" Target="https://fbref.com/en/players/519db366/Romelle-Donovan" TargetMode="External"/><Relationship Id="rId539" Type="http://schemas.openxmlformats.org/officeDocument/2006/relationships/hyperlink" Target="https://fbref.com/en/squads/19538871/Manchester-United-Stats" TargetMode="External"/><Relationship Id="rId538" Type="http://schemas.openxmlformats.org/officeDocument/2006/relationships/hyperlink" Target="https://fbref.com/en/country/DEN/Denmark-Football" TargetMode="External"/><Relationship Id="rId537" Type="http://schemas.openxmlformats.org/officeDocument/2006/relationships/hyperlink" Target="https://fbref.com/en/players/e6536124/Patrick-Dorgu" TargetMode="External"/><Relationship Id="rId1120" Type="http://schemas.openxmlformats.org/officeDocument/2006/relationships/hyperlink" Target="https://fbref.com/en/players/c0b3669f/matchlogs/2025-2026/misc/Randal-Kolo-Muani-Match-Logs" TargetMode="External"/><Relationship Id="rId532" Type="http://schemas.openxmlformats.org/officeDocument/2006/relationships/hyperlink" Target="https://fbref.com/en/players/08f5afaa/matchlogs/2025-2026/misc/Gianluigi-Donnarumma-Match-Logs" TargetMode="External"/><Relationship Id="rId1121" Type="http://schemas.openxmlformats.org/officeDocument/2006/relationships/hyperlink" Target="https://fbref.com/en/players/5ed9b537/Ibrahima-Konate" TargetMode="External"/><Relationship Id="rId531" Type="http://schemas.openxmlformats.org/officeDocument/2006/relationships/hyperlink" Target="https://fbref.com/en/squads/b8fd03ef/Manchester-City-Stats" TargetMode="External"/><Relationship Id="rId1122" Type="http://schemas.openxmlformats.org/officeDocument/2006/relationships/hyperlink" Target="https://fbref.com/en/country/FRA/France-Football" TargetMode="External"/><Relationship Id="rId530" Type="http://schemas.openxmlformats.org/officeDocument/2006/relationships/hyperlink" Target="https://fbref.com/en/country/ITA/Italy-Football" TargetMode="External"/><Relationship Id="rId1123" Type="http://schemas.openxmlformats.org/officeDocument/2006/relationships/hyperlink" Target="https://fbref.com/en/squads/822bd0ba/Liverpool-Stats" TargetMode="External"/><Relationship Id="rId1124" Type="http://schemas.openxmlformats.org/officeDocument/2006/relationships/hyperlink" Target="https://fbref.com/en/players/5ed9b537/matchlogs/2025-2026/misc/Ibrahima-Konate-Match-Logs" TargetMode="External"/><Relationship Id="rId1158" Type="http://schemas.openxmlformats.org/officeDocument/2006/relationships/hyperlink" Target="https://fbref.com/en/country/FRA/France-Football" TargetMode="External"/><Relationship Id="rId2005" Type="http://schemas.openxmlformats.org/officeDocument/2006/relationships/hyperlink" Target="https://fbref.com/en/players/c47541e0/Bertrand-Traore" TargetMode="External"/><Relationship Id="rId1159" Type="http://schemas.openxmlformats.org/officeDocument/2006/relationships/hyperlink" Target="https://fbref.com/en/squads/47c64c55/Crystal-Palace-Stats" TargetMode="External"/><Relationship Id="rId2006" Type="http://schemas.openxmlformats.org/officeDocument/2006/relationships/hyperlink" Target="https://fbref.com/en/country/BFA/Burkina-Faso-Football" TargetMode="External"/><Relationship Id="rId2007" Type="http://schemas.openxmlformats.org/officeDocument/2006/relationships/hyperlink" Target="https://fbref.com/en/squads/8ef52968/Sunderland-Stats" TargetMode="External"/><Relationship Id="rId2008" Type="http://schemas.openxmlformats.org/officeDocument/2006/relationships/hyperlink" Target="https://fbref.com/en/players/c47541e0/matchlogs/2025-2026/misc/Bertrand-Traore-Match-Logs" TargetMode="External"/><Relationship Id="rId2009" Type="http://schemas.openxmlformats.org/officeDocument/2006/relationships/hyperlink" Target="https://fbref.com/en/players/b2a81fc6/Mike-Tresor" TargetMode="External"/><Relationship Id="rId569" Type="http://schemas.openxmlformats.org/officeDocument/2006/relationships/hyperlink" Target="https://fbref.com/en/players/3354ea94/Tom-Edozie" TargetMode="External"/><Relationship Id="rId568" Type="http://schemas.openxmlformats.org/officeDocument/2006/relationships/hyperlink" Target="https://fbref.com/en/players/0562b7f1/matchlogs/2025-2026/misc/Odsonne-Edouard-Match-Logs" TargetMode="External"/><Relationship Id="rId567" Type="http://schemas.openxmlformats.org/officeDocument/2006/relationships/hyperlink" Target="https://fbref.com/en/squads/47c64c55/Crystal-Palace-Stats" TargetMode="External"/><Relationship Id="rId566" Type="http://schemas.openxmlformats.org/officeDocument/2006/relationships/hyperlink" Target="https://fbref.com/en/country/FRA/France-Football" TargetMode="External"/><Relationship Id="rId561" Type="http://schemas.openxmlformats.org/officeDocument/2006/relationships/hyperlink" Target="https://fbref.com/en/players/123d2733/George-Earthy" TargetMode="External"/><Relationship Id="rId1150" Type="http://schemas.openxmlformats.org/officeDocument/2006/relationships/hyperlink" Target="https://fbref.com/en/country/SWE/Sweden-Football" TargetMode="External"/><Relationship Id="rId560" Type="http://schemas.openxmlformats.org/officeDocument/2006/relationships/hyperlink" Target="https://fbref.com/en/players/282f75f3/matchlogs/2025-2026/misc/Lewis-Dunk-Match-Logs" TargetMode="External"/><Relationship Id="rId1151" Type="http://schemas.openxmlformats.org/officeDocument/2006/relationships/hyperlink" Target="https://fbref.com/en/squads/fd962109/Fulham-Stats" TargetMode="External"/><Relationship Id="rId1152" Type="http://schemas.openxmlformats.org/officeDocument/2006/relationships/hyperlink" Target="https://fbref.com/en/players/c7c26e61/matchlogs/2025-2026/misc/Jonah-Kusi-Asare-Match-Logs" TargetMode="External"/><Relationship Id="rId1153" Type="http://schemas.openxmlformats.org/officeDocument/2006/relationships/hyperlink" Target="https://fbref.com/en/players/3160e952/Shea-Lacey" TargetMode="External"/><Relationship Id="rId2000" Type="http://schemas.openxmlformats.org/officeDocument/2006/relationships/hyperlink" Target="https://fbref.com/en/players/9a28eba4/matchlogs/2025-2026/misc/Adama-Traore-Match-Logs" TargetMode="External"/><Relationship Id="rId565" Type="http://schemas.openxmlformats.org/officeDocument/2006/relationships/hyperlink" Target="https://fbref.com/en/players/0562b7f1/Odsonne-Edouard" TargetMode="External"/><Relationship Id="rId1154" Type="http://schemas.openxmlformats.org/officeDocument/2006/relationships/hyperlink" Target="https://fbref.com/en/country/ENG/England-Football" TargetMode="External"/><Relationship Id="rId2001" Type="http://schemas.openxmlformats.org/officeDocument/2006/relationships/hyperlink" Target="https://fbref.com/en/players/9a28eba4/Adama-Traore" TargetMode="External"/><Relationship Id="rId564" Type="http://schemas.openxmlformats.org/officeDocument/2006/relationships/hyperlink" Target="https://fbref.com/en/players/123d2733/matchlogs/2025-2026/misc/George-Earthy-Match-Logs" TargetMode="External"/><Relationship Id="rId1155" Type="http://schemas.openxmlformats.org/officeDocument/2006/relationships/hyperlink" Target="https://fbref.com/en/squads/19538871/Manchester-United-Stats" TargetMode="External"/><Relationship Id="rId2002" Type="http://schemas.openxmlformats.org/officeDocument/2006/relationships/hyperlink" Target="https://fbref.com/en/country/ESP/Spain-Football" TargetMode="External"/><Relationship Id="rId563" Type="http://schemas.openxmlformats.org/officeDocument/2006/relationships/hyperlink" Target="https://fbref.com/en/squads/7c21e445/West-Ham-United-Stats" TargetMode="External"/><Relationship Id="rId1156" Type="http://schemas.openxmlformats.org/officeDocument/2006/relationships/hyperlink" Target="https://fbref.com/en/players/3160e952/matchlogs/2025-2026/misc/Shea-Lacey-Match-Logs" TargetMode="External"/><Relationship Id="rId2003" Type="http://schemas.openxmlformats.org/officeDocument/2006/relationships/hyperlink" Target="https://fbref.com/en/squads/7c21e445/West-Ham-United-Stats" TargetMode="External"/><Relationship Id="rId562" Type="http://schemas.openxmlformats.org/officeDocument/2006/relationships/hyperlink" Target="https://fbref.com/en/country/ENG/England-Football" TargetMode="External"/><Relationship Id="rId1157" Type="http://schemas.openxmlformats.org/officeDocument/2006/relationships/hyperlink" Target="https://fbref.com/en/players/277c49ed/Maxence-Lacroix" TargetMode="External"/><Relationship Id="rId2004" Type="http://schemas.openxmlformats.org/officeDocument/2006/relationships/hyperlink" Target="https://fbref.com/en/players/9a28eba4/matchlogs/2025-2026/misc/Adama-Traore-Match-Logs" TargetMode="External"/><Relationship Id="rId1147" Type="http://schemas.openxmlformats.org/officeDocument/2006/relationships/hyperlink" Target="https://fbref.com/en/squads/361ca564/Tottenham-Hotspur-Stats" TargetMode="External"/><Relationship Id="rId1148" Type="http://schemas.openxmlformats.org/officeDocument/2006/relationships/hyperlink" Target="https://fbref.com/en/players/b62878a5/matchlogs/2025-2026/misc/Mohammed-Kudus-Match-Logs" TargetMode="External"/><Relationship Id="rId1149" Type="http://schemas.openxmlformats.org/officeDocument/2006/relationships/hyperlink" Target="https://fbref.com/en/players/c7c26e61/Jonah-Kusi-Asare" TargetMode="External"/><Relationship Id="rId558" Type="http://schemas.openxmlformats.org/officeDocument/2006/relationships/hyperlink" Target="https://fbref.com/en/country/ENG/England-Football" TargetMode="External"/><Relationship Id="rId557" Type="http://schemas.openxmlformats.org/officeDocument/2006/relationships/hyperlink" Target="https://fbref.com/en/players/282f75f3/Lewis-Dunk" TargetMode="External"/><Relationship Id="rId556" Type="http://schemas.openxmlformats.org/officeDocument/2006/relationships/hyperlink" Target="https://fbref.com/en/players/3a949a25/matchlogs/2025-2026/misc/Martin-Dubravka-Match-Logs" TargetMode="External"/><Relationship Id="rId555" Type="http://schemas.openxmlformats.org/officeDocument/2006/relationships/hyperlink" Target="https://fbref.com/en/squads/943e8050/Burnley-Stats" TargetMode="External"/><Relationship Id="rId559" Type="http://schemas.openxmlformats.org/officeDocument/2006/relationships/hyperlink" Target="https://fbref.com/en/squads/d07537b9/Brighton-and-Hove-Albion-Stats" TargetMode="External"/><Relationship Id="rId550" Type="http://schemas.openxmlformats.org/officeDocument/2006/relationships/hyperlink" Target="https://fbref.com/en/country/ENG/England-Football" TargetMode="External"/><Relationship Id="rId1140" Type="http://schemas.openxmlformats.org/officeDocument/2006/relationships/hyperlink" Target="https://fbref.com/en/players/77cf6852/matchlogs/2025-2026/misc/Emil-Krafth-Match-Logs" TargetMode="External"/><Relationship Id="rId1141" Type="http://schemas.openxmlformats.org/officeDocument/2006/relationships/hyperlink" Target="https://fbref.com/en/players/5b5c2228/Ladislav-Krejci" TargetMode="External"/><Relationship Id="rId1142" Type="http://schemas.openxmlformats.org/officeDocument/2006/relationships/hyperlink" Target="https://fbref.com/en/country/CZE/Czech-Republic-Football" TargetMode="External"/><Relationship Id="rId554" Type="http://schemas.openxmlformats.org/officeDocument/2006/relationships/hyperlink" Target="https://fbref.com/en/country/SVK/Slovakia-Football" TargetMode="External"/><Relationship Id="rId1143" Type="http://schemas.openxmlformats.org/officeDocument/2006/relationships/hyperlink" Target="https://fbref.com/en/squads/8cec06e1/Wolverhampton-Wanderers-Stats" TargetMode="External"/><Relationship Id="rId553" Type="http://schemas.openxmlformats.org/officeDocument/2006/relationships/hyperlink" Target="https://fbref.com/en/players/3a949a25/Martin-Dubravka" TargetMode="External"/><Relationship Id="rId1144" Type="http://schemas.openxmlformats.org/officeDocument/2006/relationships/hyperlink" Target="https://fbref.com/en/players/5b5c2228/matchlogs/2025-2026/misc/Ladislav-Krejci-Match-Logs" TargetMode="External"/><Relationship Id="rId552" Type="http://schemas.openxmlformats.org/officeDocument/2006/relationships/hyperlink" Target="https://fbref.com/en/players/1bd530e8/matchlogs/2025-2026/misc/Joel-Drakes-Thomas-Match-Logs" TargetMode="External"/><Relationship Id="rId1145" Type="http://schemas.openxmlformats.org/officeDocument/2006/relationships/hyperlink" Target="https://fbref.com/en/players/b62878a5/Mohammed-Kudus" TargetMode="External"/><Relationship Id="rId551" Type="http://schemas.openxmlformats.org/officeDocument/2006/relationships/hyperlink" Target="https://fbref.com/en/squads/47c64c55/Crystal-Palace-Stats" TargetMode="External"/><Relationship Id="rId1146" Type="http://schemas.openxmlformats.org/officeDocument/2006/relationships/hyperlink" Target="https://fbref.com/en/country/GHA/Ghana-Football" TargetMode="External"/><Relationship Id="rId2090" Type="http://schemas.openxmlformats.org/officeDocument/2006/relationships/hyperlink" Target="https://fbref.com/en/country/ENG/England-Football" TargetMode="External"/><Relationship Id="rId2091" Type="http://schemas.openxmlformats.org/officeDocument/2006/relationships/hyperlink" Target="https://fbref.com/en/squads/7c21e445/West-Ham-United-Stats" TargetMode="External"/><Relationship Id="rId2092" Type="http://schemas.openxmlformats.org/officeDocument/2006/relationships/hyperlink" Target="https://fbref.com/en/players/3515d404/matchlogs/2025-2026/misc/James-Ward-Prowse-Match-Logs" TargetMode="External"/><Relationship Id="rId2093" Type="http://schemas.openxmlformats.org/officeDocument/2006/relationships/hyperlink" Target="https://fbref.com/en/players/3515d404/James-Ward-Prowse" TargetMode="External"/><Relationship Id="rId2094" Type="http://schemas.openxmlformats.org/officeDocument/2006/relationships/hyperlink" Target="https://fbref.com/en/country/ENG/England-Football" TargetMode="External"/><Relationship Id="rId2095" Type="http://schemas.openxmlformats.org/officeDocument/2006/relationships/hyperlink" Target="https://fbref.com/en/squads/943e8050/Burnley-Stats" TargetMode="External"/><Relationship Id="rId2096" Type="http://schemas.openxmlformats.org/officeDocument/2006/relationships/hyperlink" Target="https://fbref.com/en/players/3515d404/matchlogs/2025-2026/misc/James-Ward-Prowse-Match-Logs" TargetMode="External"/><Relationship Id="rId2097" Type="http://schemas.openxmlformats.org/officeDocument/2006/relationships/hyperlink" Target="https://fbref.com/en/players/aed3a70f/Ollie-Watkins" TargetMode="External"/><Relationship Id="rId2098" Type="http://schemas.openxmlformats.org/officeDocument/2006/relationships/hyperlink" Target="https://fbref.com/en/country/ENG/England-Football" TargetMode="External"/><Relationship Id="rId2099" Type="http://schemas.openxmlformats.org/officeDocument/2006/relationships/hyperlink" Target="https://fbref.com/en/squads/8602292d/Aston-Villa-Stats" TargetMode="External"/><Relationship Id="rId2060" Type="http://schemas.openxmlformats.org/officeDocument/2006/relationships/hyperlink" Target="https://fbref.com/en/players/e06683ca/matchlogs/2025-2026/misc/Virgil-van-Dijk-Match-Logs" TargetMode="External"/><Relationship Id="rId2061" Type="http://schemas.openxmlformats.org/officeDocument/2006/relationships/hyperlink" Target="https://fbref.com/en/players/dad4b285/Joel-Veltman" TargetMode="External"/><Relationship Id="rId2062" Type="http://schemas.openxmlformats.org/officeDocument/2006/relationships/hyperlink" Target="https://fbref.com/en/country/NED/Netherlands-Football" TargetMode="External"/><Relationship Id="rId2063" Type="http://schemas.openxmlformats.org/officeDocument/2006/relationships/hyperlink" Target="https://fbref.com/en/squads/d07537b9/Brighton-and-Hove-Albion-Stats" TargetMode="External"/><Relationship Id="rId2064" Type="http://schemas.openxmlformats.org/officeDocument/2006/relationships/hyperlink" Target="https://fbref.com/en/players/dad4b285/matchlogs/2025-2026/misc/Joel-Veltman-Match-Logs" TargetMode="External"/><Relationship Id="rId2065" Type="http://schemas.openxmlformats.org/officeDocument/2006/relationships/hyperlink" Target="https://fbref.com/en/players/8fe2a392/Micky-van-de-Ven" TargetMode="External"/><Relationship Id="rId2066" Type="http://schemas.openxmlformats.org/officeDocument/2006/relationships/hyperlink" Target="https://fbref.com/en/country/NED/Netherlands-Football" TargetMode="External"/><Relationship Id="rId2067" Type="http://schemas.openxmlformats.org/officeDocument/2006/relationships/hyperlink" Target="https://fbref.com/en/squads/361ca564/Tottenham-Hotspur-Stats" TargetMode="External"/><Relationship Id="rId2068" Type="http://schemas.openxmlformats.org/officeDocument/2006/relationships/hyperlink" Target="https://fbref.com/en/players/8fe2a392/matchlogs/2025-2026/misc/Micky-van-de-Ven-Match-Logs" TargetMode="External"/><Relationship Id="rId2069" Type="http://schemas.openxmlformats.org/officeDocument/2006/relationships/hyperlink" Target="https://fbref.com/en/players/cf134113/Bart-Verbruggen" TargetMode="External"/><Relationship Id="rId2050" Type="http://schemas.openxmlformats.org/officeDocument/2006/relationships/hyperlink" Target="https://fbref.com/en/country/TUR/Turkey-Football" TargetMode="External"/><Relationship Id="rId2051" Type="http://schemas.openxmlformats.org/officeDocument/2006/relationships/hyperlink" Target="https://fbref.com/en/squads/4ba7cbea/Bournemouth-Stats" TargetMode="External"/><Relationship Id="rId495" Type="http://schemas.openxmlformats.org/officeDocument/2006/relationships/hyperlink" Target="https://fbref.com/en/squads/b8fd03ef/Manchester-City-Stats" TargetMode="External"/><Relationship Id="rId2052" Type="http://schemas.openxmlformats.org/officeDocument/2006/relationships/hyperlink" Target="https://fbref.com/en/players/f8eca1b6/matchlogs/2025-2026/misc/Enes-Unal-Match-Logs" TargetMode="External"/><Relationship Id="rId494" Type="http://schemas.openxmlformats.org/officeDocument/2006/relationships/hyperlink" Target="https://fbref.com/en/country/POR/Portugal-Football" TargetMode="External"/><Relationship Id="rId2053" Type="http://schemas.openxmlformats.org/officeDocument/2006/relationships/hyperlink" Target="https://fbref.com/en/players/57a34cf4/Hakon-Valdimarsson" TargetMode="External"/><Relationship Id="rId493" Type="http://schemas.openxmlformats.org/officeDocument/2006/relationships/hyperlink" Target="https://fbref.com/en/players/31c69ef1/Ruben-Dias" TargetMode="External"/><Relationship Id="rId2054" Type="http://schemas.openxmlformats.org/officeDocument/2006/relationships/hyperlink" Target="https://fbref.com/en/country/ISL/Iceland-Football" TargetMode="External"/><Relationship Id="rId492" Type="http://schemas.openxmlformats.org/officeDocument/2006/relationships/hyperlink" Target="https://fbref.com/en/players/6d0fe035/matchlogs/2025-2026/misc/Habib-Diarra-Match-Logs" TargetMode="External"/><Relationship Id="rId2055" Type="http://schemas.openxmlformats.org/officeDocument/2006/relationships/hyperlink" Target="https://fbref.com/en/squads/cd051869/Brentford-Stats" TargetMode="External"/><Relationship Id="rId499" Type="http://schemas.openxmlformats.org/officeDocument/2006/relationships/hyperlink" Target="https://fbref.com/en/squads/d3fd31cc/Everton-Stats" TargetMode="External"/><Relationship Id="rId2056" Type="http://schemas.openxmlformats.org/officeDocument/2006/relationships/hyperlink" Target="https://fbref.com/en/players/57a34cf4/matchlogs/2025-2026/misc/Hakon-Valdimarsson-Match-Logs" TargetMode="External"/><Relationship Id="rId498" Type="http://schemas.openxmlformats.org/officeDocument/2006/relationships/hyperlink" Target="https://fbref.com/en/country/ENG/England-Football" TargetMode="External"/><Relationship Id="rId2057" Type="http://schemas.openxmlformats.org/officeDocument/2006/relationships/hyperlink" Target="https://fbref.com/en/players/e06683ca/Virgil-van-Dijk" TargetMode="External"/><Relationship Id="rId497" Type="http://schemas.openxmlformats.org/officeDocument/2006/relationships/hyperlink" Target="https://fbref.com/en/players/bdcc89ae/Tyler-Dibling" TargetMode="External"/><Relationship Id="rId2058" Type="http://schemas.openxmlformats.org/officeDocument/2006/relationships/hyperlink" Target="https://fbref.com/en/country/NED/Netherlands-Football" TargetMode="External"/><Relationship Id="rId496" Type="http://schemas.openxmlformats.org/officeDocument/2006/relationships/hyperlink" Target="https://fbref.com/en/players/31c69ef1/matchlogs/2025-2026/misc/Ruben-Dias-Match-Logs" TargetMode="External"/><Relationship Id="rId2059" Type="http://schemas.openxmlformats.org/officeDocument/2006/relationships/hyperlink" Target="https://fbref.com/en/squads/822bd0ba/Liverpool-Stats" TargetMode="External"/><Relationship Id="rId2080" Type="http://schemas.openxmlformats.org/officeDocument/2006/relationships/hyperlink" Target="https://fbref.com/en/players/86dd77d1/matchlogs/2025-2026/misc/Kyle-Walker-Match-Logs" TargetMode="External"/><Relationship Id="rId2081" Type="http://schemas.openxmlformats.org/officeDocument/2006/relationships/hyperlink" Target="https://fbref.com/en/players/984a5a64/Kyle-Walker-Peters" TargetMode="External"/><Relationship Id="rId2082" Type="http://schemas.openxmlformats.org/officeDocument/2006/relationships/hyperlink" Target="https://fbref.com/en/country/ENG/England-Football" TargetMode="External"/><Relationship Id="rId2083" Type="http://schemas.openxmlformats.org/officeDocument/2006/relationships/hyperlink" Target="https://fbref.com/en/squads/7c21e445/West-Ham-United-Stats" TargetMode="External"/><Relationship Id="rId2084" Type="http://schemas.openxmlformats.org/officeDocument/2006/relationships/hyperlink" Target="https://fbref.com/en/players/984a5a64/matchlogs/2025-2026/misc/Kyle-Walker-Peters-Match-Logs" TargetMode="External"/><Relationship Id="rId2085" Type="http://schemas.openxmlformats.org/officeDocument/2006/relationships/hyperlink" Target="https://fbref.com/en/players/9e525177/Aaron-Wan-Bissaka" TargetMode="External"/><Relationship Id="rId2086" Type="http://schemas.openxmlformats.org/officeDocument/2006/relationships/hyperlink" Target="https://fbref.com/en/country/COD/Congo-DR-Football" TargetMode="External"/><Relationship Id="rId2087" Type="http://schemas.openxmlformats.org/officeDocument/2006/relationships/hyperlink" Target="https://fbref.com/en/squads/7c21e445/West-Ham-United-Stats" TargetMode="External"/><Relationship Id="rId2088" Type="http://schemas.openxmlformats.org/officeDocument/2006/relationships/hyperlink" Target="https://fbref.com/en/players/9e525177/matchlogs/2025-2026/misc/Aaron-Wan-Bissaka-Match-Logs" TargetMode="External"/><Relationship Id="rId2089" Type="http://schemas.openxmlformats.org/officeDocument/2006/relationships/hyperlink" Target="https://fbref.com/en/players/3515d404/James-Ward-Prowse" TargetMode="External"/><Relationship Id="rId2070" Type="http://schemas.openxmlformats.org/officeDocument/2006/relationships/hyperlink" Target="https://fbref.com/en/country/NED/Netherlands-Football" TargetMode="External"/><Relationship Id="rId2071" Type="http://schemas.openxmlformats.org/officeDocument/2006/relationships/hyperlink" Target="https://fbref.com/en/squads/d07537b9/Brighton-and-Hove-Albion-Stats" TargetMode="External"/><Relationship Id="rId2072" Type="http://schemas.openxmlformats.org/officeDocument/2006/relationships/hyperlink" Target="https://fbref.com/en/players/cf134113/matchlogs/2025-2026/misc/Bart-Verbruggen-Match-Logs" TargetMode="External"/><Relationship Id="rId2073" Type="http://schemas.openxmlformats.org/officeDocument/2006/relationships/hyperlink" Target="https://fbref.com/en/players/77d6fd4d/Guglielmo-Vicario" TargetMode="External"/><Relationship Id="rId2074" Type="http://schemas.openxmlformats.org/officeDocument/2006/relationships/hyperlink" Target="https://fbref.com/en/country/ITA/Italy-Football" TargetMode="External"/><Relationship Id="rId2075" Type="http://schemas.openxmlformats.org/officeDocument/2006/relationships/hyperlink" Target="https://fbref.com/en/squads/361ca564/Tottenham-Hotspur-Stats" TargetMode="External"/><Relationship Id="rId2076" Type="http://schemas.openxmlformats.org/officeDocument/2006/relationships/hyperlink" Target="https://fbref.com/en/players/77d6fd4d/matchlogs/2025-2026/misc/Guglielmo-Vicario-Match-Logs" TargetMode="External"/><Relationship Id="rId2077" Type="http://schemas.openxmlformats.org/officeDocument/2006/relationships/hyperlink" Target="https://fbref.com/en/players/86dd77d1/Kyle-Walker" TargetMode="External"/><Relationship Id="rId2078" Type="http://schemas.openxmlformats.org/officeDocument/2006/relationships/hyperlink" Target="https://fbref.com/en/country/ENG/England-Football" TargetMode="External"/><Relationship Id="rId2079" Type="http://schemas.openxmlformats.org/officeDocument/2006/relationships/hyperlink" Target="https://fbref.com/en/squads/943e8050/Burnley-Stats" TargetMode="External"/><Relationship Id="rId1610" Type="http://schemas.openxmlformats.org/officeDocument/2006/relationships/hyperlink" Target="https://fbref.com/en/country/ENG/England-Football" TargetMode="External"/><Relationship Id="rId1611" Type="http://schemas.openxmlformats.org/officeDocument/2006/relationships/hyperlink" Target="https://fbref.com/en/squads/cd051869/Brentford-Stats" TargetMode="External"/><Relationship Id="rId1612" Type="http://schemas.openxmlformats.org/officeDocument/2006/relationships/hyperlink" Target="https://fbref.com/en/players/ea1a5662/matchlogs/2025-2026/misc/Myles-Peart-Harris-Match-Logs" TargetMode="External"/><Relationship Id="rId1613" Type="http://schemas.openxmlformats.org/officeDocument/2006/relationships/hyperlink" Target="https://fbref.com/en/players/5dbd461a/Lucas-Perri" TargetMode="External"/><Relationship Id="rId1614" Type="http://schemas.openxmlformats.org/officeDocument/2006/relationships/hyperlink" Target="https://fbref.com/en/country/BRA/Brazil-Football" TargetMode="External"/><Relationship Id="rId1615" Type="http://schemas.openxmlformats.org/officeDocument/2006/relationships/hyperlink" Target="https://fbref.com/en/squads/5bfb9659/Leeds-United-Stats" TargetMode="External"/><Relationship Id="rId1616" Type="http://schemas.openxmlformats.org/officeDocument/2006/relationships/hyperlink" Target="https://fbref.com/en/players/5dbd461a/matchlogs/2025-2026/misc/Lucas-Perri-Match-Logs" TargetMode="External"/><Relationship Id="rId907" Type="http://schemas.openxmlformats.org/officeDocument/2006/relationships/hyperlink" Target="https://fbref.com/en/squads/4ba7cbea/Bournemouth-Stats" TargetMode="External"/><Relationship Id="rId1617" Type="http://schemas.openxmlformats.org/officeDocument/2006/relationships/hyperlink" Target="https://fbref.com/en/players/0cf321c8/Djordje-Petrovic" TargetMode="External"/><Relationship Id="rId906" Type="http://schemas.openxmlformats.org/officeDocument/2006/relationships/hyperlink" Target="https://fbref.com/en/country/ENG/England-Football" TargetMode="External"/><Relationship Id="rId1618" Type="http://schemas.openxmlformats.org/officeDocument/2006/relationships/hyperlink" Target="https://fbref.com/en/country/SRB/Serbia-Football" TargetMode="External"/><Relationship Id="rId905" Type="http://schemas.openxmlformats.org/officeDocument/2006/relationships/hyperlink" Target="https://fbref.com/en/players/69942fb3/James-Hill" TargetMode="External"/><Relationship Id="rId1619" Type="http://schemas.openxmlformats.org/officeDocument/2006/relationships/hyperlink" Target="https://fbref.com/en/squads/4ba7cbea/Bournemouth-Stats" TargetMode="External"/><Relationship Id="rId904" Type="http://schemas.openxmlformats.org/officeDocument/2006/relationships/hyperlink" Target="https://fbref.com/en/players/1780bb4a/matchlogs/2025-2026/misc/Aaron-Hickey-Match-Logs" TargetMode="External"/><Relationship Id="rId909" Type="http://schemas.openxmlformats.org/officeDocument/2006/relationships/hyperlink" Target="https://fbref.com/en/players/0c7a48f8/Piero-Hincapie" TargetMode="External"/><Relationship Id="rId908" Type="http://schemas.openxmlformats.org/officeDocument/2006/relationships/hyperlink" Target="https://fbref.com/en/players/69942fb3/matchlogs/2025-2026/misc/James-Hill-Match-Logs" TargetMode="External"/><Relationship Id="rId903" Type="http://schemas.openxmlformats.org/officeDocument/2006/relationships/hyperlink" Target="https://fbref.com/en/squads/cd051869/Brentford-Stats" TargetMode="External"/><Relationship Id="rId902" Type="http://schemas.openxmlformats.org/officeDocument/2006/relationships/hyperlink" Target="https://fbref.com/en/country/SCO/Scotland-Football" TargetMode="External"/><Relationship Id="rId901" Type="http://schemas.openxmlformats.org/officeDocument/2006/relationships/hyperlink" Target="https://fbref.com/en/players/1780bb4a/Aaron-Hickey" TargetMode="External"/><Relationship Id="rId900" Type="http://schemas.openxmlformats.org/officeDocument/2006/relationships/hyperlink" Target="https://fbref.com/en/players/c924b17d/matchlogs/2025-2026/misc/Mads-Hermansen-Match-Logs" TargetMode="External"/><Relationship Id="rId1600" Type="http://schemas.openxmlformats.org/officeDocument/2006/relationships/hyperlink" Target="https://fbref.com/en/players/dc7f8a28/matchlogs/2025-2026/misc/Cole-Palmer-Match-Logs" TargetMode="External"/><Relationship Id="rId1601" Type="http://schemas.openxmlformats.org/officeDocument/2006/relationships/hyperlink" Target="https://fbref.com/en/players/9b6f7fd5/Lucas-Paqueta" TargetMode="External"/><Relationship Id="rId1602" Type="http://schemas.openxmlformats.org/officeDocument/2006/relationships/hyperlink" Target="https://fbref.com/en/country/BRA/Brazil-Football" TargetMode="External"/><Relationship Id="rId1603" Type="http://schemas.openxmlformats.org/officeDocument/2006/relationships/hyperlink" Target="https://fbref.com/en/squads/7c21e445/West-Ham-United-Stats" TargetMode="External"/><Relationship Id="rId1604" Type="http://schemas.openxmlformats.org/officeDocument/2006/relationships/hyperlink" Target="https://fbref.com/en/players/9b6f7fd5/matchlogs/2025-2026/misc/Lucas-Paqueta-Match-Logs" TargetMode="External"/><Relationship Id="rId1605" Type="http://schemas.openxmlformats.org/officeDocument/2006/relationships/hyperlink" Target="https://fbref.com/en/players/230f0471/Nathan-Patterson" TargetMode="External"/><Relationship Id="rId1606" Type="http://schemas.openxmlformats.org/officeDocument/2006/relationships/hyperlink" Target="https://fbref.com/en/country/SCO/Scotland-Football" TargetMode="External"/><Relationship Id="rId1607" Type="http://schemas.openxmlformats.org/officeDocument/2006/relationships/hyperlink" Target="https://fbref.com/en/squads/d3fd31cc/Everton-Stats" TargetMode="External"/><Relationship Id="rId1608" Type="http://schemas.openxmlformats.org/officeDocument/2006/relationships/hyperlink" Target="https://fbref.com/en/players/230f0471/matchlogs/2025-2026/misc/Nathan-Patterson-Match-Logs" TargetMode="External"/><Relationship Id="rId1609" Type="http://schemas.openxmlformats.org/officeDocument/2006/relationships/hyperlink" Target="https://fbref.com/en/players/ea1a5662/Myles-Peart-Harris" TargetMode="External"/><Relationship Id="rId1631" Type="http://schemas.openxmlformats.org/officeDocument/2006/relationships/hyperlink" Target="https://fbref.com/en/squads/47c64c55/Crystal-Palace-Stats" TargetMode="External"/><Relationship Id="rId1632" Type="http://schemas.openxmlformats.org/officeDocument/2006/relationships/hyperlink" Target="https://fbref.com/en/players/540ec57b/matchlogs/2025-2026/misc/Yeremi-Pino-Match-Logs" TargetMode="External"/><Relationship Id="rId1633" Type="http://schemas.openxmlformats.org/officeDocument/2006/relationships/hyperlink" Target="https://fbref.com/en/players/1f0072a6/Joel-Piroe" TargetMode="External"/><Relationship Id="rId1634" Type="http://schemas.openxmlformats.org/officeDocument/2006/relationships/hyperlink" Target="https://fbref.com/en/country/SUR/Suriname-Football" TargetMode="External"/><Relationship Id="rId1635" Type="http://schemas.openxmlformats.org/officeDocument/2006/relationships/hyperlink" Target="https://fbref.com/en/squads/5bfb9659/Leeds-United-Stats" TargetMode="External"/><Relationship Id="rId1636" Type="http://schemas.openxmlformats.org/officeDocument/2006/relationships/hyperlink" Target="https://fbref.com/en/players/1f0072a6/matchlogs/2025-2026/misc/Joel-Piroe-Match-Logs" TargetMode="External"/><Relationship Id="rId1637" Type="http://schemas.openxmlformats.org/officeDocument/2006/relationships/hyperlink" Target="https://fbref.com/en/players/4b40d9ca/Nick-Pope" TargetMode="External"/><Relationship Id="rId1638" Type="http://schemas.openxmlformats.org/officeDocument/2006/relationships/hyperlink" Target="https://fbref.com/en/country/ENG/England-Football" TargetMode="External"/><Relationship Id="rId929" Type="http://schemas.openxmlformats.org/officeDocument/2006/relationships/hyperlink" Target="https://fbref.com/en/players/a0666d3e/Will-Hughes" TargetMode="External"/><Relationship Id="rId1639" Type="http://schemas.openxmlformats.org/officeDocument/2006/relationships/hyperlink" Target="https://fbref.com/en/squads/b2b47a98/Newcastle-United-Stats" TargetMode="External"/><Relationship Id="rId928" Type="http://schemas.openxmlformats.org/officeDocument/2006/relationships/hyperlink" Target="https://fbref.com/en/players/15f3ec41/matchlogs/2025-2026/misc/Callum-Hudson-Odoi-Match-Logs" TargetMode="External"/><Relationship Id="rId927" Type="http://schemas.openxmlformats.org/officeDocument/2006/relationships/hyperlink" Target="https://fbref.com/en/squads/e4a775cb/Nottingham-Forest-Stats" TargetMode="External"/><Relationship Id="rId926" Type="http://schemas.openxmlformats.org/officeDocument/2006/relationships/hyperlink" Target="https://fbref.com/en/country/ENG/England-Football" TargetMode="External"/><Relationship Id="rId921" Type="http://schemas.openxmlformats.org/officeDocument/2006/relationships/hyperlink" Target="https://fbref.com/en/players/d8a7e52c/Harry-Howell" TargetMode="External"/><Relationship Id="rId920" Type="http://schemas.openxmlformats.org/officeDocument/2006/relationships/hyperlink" Target="https://fbref.com/en/players/9a71e978/matchlogs/2025-2026/misc/Ki-Jana-Hoever-Match-Logs" TargetMode="External"/><Relationship Id="rId925" Type="http://schemas.openxmlformats.org/officeDocument/2006/relationships/hyperlink" Target="https://fbref.com/en/players/15f3ec41/Callum-Hudson-Odoi" TargetMode="External"/><Relationship Id="rId924" Type="http://schemas.openxmlformats.org/officeDocument/2006/relationships/hyperlink" Target="https://fbref.com/en/players/d8a7e52c/matchlogs/2025-2026/misc/Harry-Howell-Match-Logs" TargetMode="External"/><Relationship Id="rId923" Type="http://schemas.openxmlformats.org/officeDocument/2006/relationships/hyperlink" Target="https://fbref.com/en/squads/d07537b9/Brighton-and-Hove-Albion-Stats" TargetMode="External"/><Relationship Id="rId922" Type="http://schemas.openxmlformats.org/officeDocument/2006/relationships/hyperlink" Target="https://fbref.com/en/country/ENG/England-Football" TargetMode="External"/><Relationship Id="rId1630" Type="http://schemas.openxmlformats.org/officeDocument/2006/relationships/hyperlink" Target="https://fbref.com/en/country/ESP/Spain-Football" TargetMode="External"/><Relationship Id="rId1620" Type="http://schemas.openxmlformats.org/officeDocument/2006/relationships/hyperlink" Target="https://fbref.com/en/players/0cf321c8/matchlogs/2025-2026/misc/Djordje-Petrovic-Match-Logs" TargetMode="External"/><Relationship Id="rId1621" Type="http://schemas.openxmlformats.org/officeDocument/2006/relationships/hyperlink" Target="https://fbref.com/en/players/4806ec67/Jordan-Pickford" TargetMode="External"/><Relationship Id="rId1622" Type="http://schemas.openxmlformats.org/officeDocument/2006/relationships/hyperlink" Target="https://fbref.com/en/country/ENG/England-Football" TargetMode="External"/><Relationship Id="rId1623" Type="http://schemas.openxmlformats.org/officeDocument/2006/relationships/hyperlink" Target="https://fbref.com/en/squads/d3fd31cc/Everton-Stats" TargetMode="External"/><Relationship Id="rId1624" Type="http://schemas.openxmlformats.org/officeDocument/2006/relationships/hyperlink" Target="https://fbref.com/en/players/4806ec67/matchlogs/2025-2026/misc/Jordan-Pickford-Match-Logs" TargetMode="External"/><Relationship Id="rId1625" Type="http://schemas.openxmlformats.org/officeDocument/2006/relationships/hyperlink" Target="https://fbref.com/en/players/e541326e/Ethan-Pinnock" TargetMode="External"/><Relationship Id="rId1626" Type="http://schemas.openxmlformats.org/officeDocument/2006/relationships/hyperlink" Target="https://fbref.com/en/country/JAM/Jamaica-Football" TargetMode="External"/><Relationship Id="rId1627" Type="http://schemas.openxmlformats.org/officeDocument/2006/relationships/hyperlink" Target="https://fbref.com/en/squads/cd051869/Brentford-Stats" TargetMode="External"/><Relationship Id="rId918" Type="http://schemas.openxmlformats.org/officeDocument/2006/relationships/hyperlink" Target="https://fbref.com/en/country/NED/Netherlands-Football" TargetMode="External"/><Relationship Id="rId1628" Type="http://schemas.openxmlformats.org/officeDocument/2006/relationships/hyperlink" Target="https://fbref.com/en/players/e541326e/matchlogs/2025-2026/misc/Ethan-Pinnock-Match-Logs" TargetMode="External"/><Relationship Id="rId917" Type="http://schemas.openxmlformats.org/officeDocument/2006/relationships/hyperlink" Target="https://fbref.com/en/players/9a71e978/Ki-Jana-Hoever" TargetMode="External"/><Relationship Id="rId1629" Type="http://schemas.openxmlformats.org/officeDocument/2006/relationships/hyperlink" Target="https://fbref.com/en/players/540ec57b/Yeremi-Pino" TargetMode="External"/><Relationship Id="rId916" Type="http://schemas.openxmlformats.org/officeDocument/2006/relationships/hyperlink" Target="https://fbref.com/en/players/e98211e7/matchlogs/2025-2026/misc/Jack-Hinshelwood-Match-Logs" TargetMode="External"/><Relationship Id="rId915" Type="http://schemas.openxmlformats.org/officeDocument/2006/relationships/hyperlink" Target="https://fbref.com/en/squads/d07537b9/Brighton-and-Hove-Albion-Stats" TargetMode="External"/><Relationship Id="rId919" Type="http://schemas.openxmlformats.org/officeDocument/2006/relationships/hyperlink" Target="https://fbref.com/en/squads/8cec06e1/Wolverhampton-Wanderers-Stats" TargetMode="External"/><Relationship Id="rId910" Type="http://schemas.openxmlformats.org/officeDocument/2006/relationships/hyperlink" Target="https://fbref.com/en/country/ECU/Ecuador-Football" TargetMode="External"/><Relationship Id="rId914" Type="http://schemas.openxmlformats.org/officeDocument/2006/relationships/hyperlink" Target="https://fbref.com/en/country/ENG/England-Football" TargetMode="External"/><Relationship Id="rId913" Type="http://schemas.openxmlformats.org/officeDocument/2006/relationships/hyperlink" Target="https://fbref.com/en/players/e98211e7/Jack-Hinshelwood" TargetMode="External"/><Relationship Id="rId912" Type="http://schemas.openxmlformats.org/officeDocument/2006/relationships/hyperlink" Target="https://fbref.com/en/players/0c7a48f8/matchlogs/2025-2026/misc/Piero-Hincapie-Match-Logs" TargetMode="External"/><Relationship Id="rId911" Type="http://schemas.openxmlformats.org/officeDocument/2006/relationships/hyperlink" Target="https://fbref.com/en/squads/18bb7c10/Arsenal-Stats" TargetMode="External"/><Relationship Id="rId1213" Type="http://schemas.openxmlformats.org/officeDocument/2006/relationships/hyperlink" Target="https://fbref.com/en/players/afed6722/Tino-Livramento" TargetMode="External"/><Relationship Id="rId1697" Type="http://schemas.openxmlformats.org/officeDocument/2006/relationships/hyperlink" Target="https://fbref.com/en/players/2e4f5f03/Andrew-Robertson" TargetMode="External"/><Relationship Id="rId1214" Type="http://schemas.openxmlformats.org/officeDocument/2006/relationships/hyperlink" Target="https://fbref.com/en/country/ENG/England-Football" TargetMode="External"/><Relationship Id="rId1698" Type="http://schemas.openxmlformats.org/officeDocument/2006/relationships/hyperlink" Target="https://fbref.com/en/country/SCO/Scotland-Football" TargetMode="External"/><Relationship Id="rId1215" Type="http://schemas.openxmlformats.org/officeDocument/2006/relationships/hyperlink" Target="https://fbref.com/en/squads/b2b47a98/Newcastle-United-Stats" TargetMode="External"/><Relationship Id="rId1699" Type="http://schemas.openxmlformats.org/officeDocument/2006/relationships/hyperlink" Target="https://fbref.com/en/squads/822bd0ba/Liverpool-Stats" TargetMode="External"/><Relationship Id="rId1216" Type="http://schemas.openxmlformats.org/officeDocument/2006/relationships/hyperlink" Target="https://fbref.com/en/players/afed6722/matchlogs/2025-2026/misc/Tino-Livramento-Match-Logs" TargetMode="External"/><Relationship Id="rId1217" Type="http://schemas.openxmlformats.org/officeDocument/2006/relationships/hyperlink" Target="https://fbref.com/en/players/a2b105e0/Sean-Longstaff" TargetMode="External"/><Relationship Id="rId1218" Type="http://schemas.openxmlformats.org/officeDocument/2006/relationships/hyperlink" Target="https://fbref.com/en/country/ENG/England-Football" TargetMode="External"/><Relationship Id="rId1219" Type="http://schemas.openxmlformats.org/officeDocument/2006/relationships/hyperlink" Target="https://fbref.com/en/squads/5bfb9659/Leeds-United-Stats" TargetMode="External"/><Relationship Id="rId866" Type="http://schemas.openxmlformats.org/officeDocument/2006/relationships/hyperlink" Target="https://fbref.com/en/country/GER/Germany-Football" TargetMode="External"/><Relationship Id="rId865" Type="http://schemas.openxmlformats.org/officeDocument/2006/relationships/hyperlink" Target="https://fbref.com/en/players/fed7cb61/Kai-Havertz" TargetMode="External"/><Relationship Id="rId864" Type="http://schemas.openxmlformats.org/officeDocument/2006/relationships/hyperlink" Target="https://fbref.com/en/players/bde35051/matchlogs/2025-2026/misc/Jorrel-Hato-Match-Logs" TargetMode="External"/><Relationship Id="rId863" Type="http://schemas.openxmlformats.org/officeDocument/2006/relationships/hyperlink" Target="https://fbref.com/en/squads/cff3d9bb/Chelsea-Stats" TargetMode="External"/><Relationship Id="rId869" Type="http://schemas.openxmlformats.org/officeDocument/2006/relationships/hyperlink" Target="https://fbref.com/en/players/64e17fab/Ayden-Heaven" TargetMode="External"/><Relationship Id="rId868" Type="http://schemas.openxmlformats.org/officeDocument/2006/relationships/hyperlink" Target="https://fbref.com/en/players/fed7cb61/matchlogs/2025-2026/misc/Kai-Havertz-Match-Logs" TargetMode="External"/><Relationship Id="rId867" Type="http://schemas.openxmlformats.org/officeDocument/2006/relationships/hyperlink" Target="https://fbref.com/en/squads/18bb7c10/Arsenal-Stats" TargetMode="External"/><Relationship Id="rId1690" Type="http://schemas.openxmlformats.org/officeDocument/2006/relationships/hyperlink" Target="https://fbref.com/en/country/ENG/England-Football" TargetMode="External"/><Relationship Id="rId1691" Type="http://schemas.openxmlformats.org/officeDocument/2006/relationships/hyperlink" Target="https://fbref.com/en/squads/8ef52968/Sunderland-Stats" TargetMode="External"/><Relationship Id="rId1692" Type="http://schemas.openxmlformats.org/officeDocument/2006/relationships/hyperlink" Target="https://fbref.com/en/players/35741fe2/matchlogs/2025-2026/misc/Chris-Rigg-Match-Logs" TargetMode="External"/><Relationship Id="rId862" Type="http://schemas.openxmlformats.org/officeDocument/2006/relationships/hyperlink" Target="https://fbref.com/en/country/NED/Netherlands-Football" TargetMode="External"/><Relationship Id="rId1693" Type="http://schemas.openxmlformats.org/officeDocument/2006/relationships/hyperlink" Target="https://fbref.com/en/players/59d93937/Patrick-Roberts" TargetMode="External"/><Relationship Id="rId861" Type="http://schemas.openxmlformats.org/officeDocument/2006/relationships/hyperlink" Target="https://fbref.com/en/players/bde35051/Jorrel-Hato" TargetMode="External"/><Relationship Id="rId1210" Type="http://schemas.openxmlformats.org/officeDocument/2006/relationships/hyperlink" Target="https://fbref.com/en/country/SWE/Sweden-Football" TargetMode="External"/><Relationship Id="rId1694" Type="http://schemas.openxmlformats.org/officeDocument/2006/relationships/hyperlink" Target="https://fbref.com/en/country/ENG/England-Football" TargetMode="External"/><Relationship Id="rId860" Type="http://schemas.openxmlformats.org/officeDocument/2006/relationships/hyperlink" Target="https://fbref.com/en/players/39e1138f/matchlogs/2025-2026/misc/Quilindschy-Hartman-Match-Logs" TargetMode="External"/><Relationship Id="rId1211" Type="http://schemas.openxmlformats.org/officeDocument/2006/relationships/hyperlink" Target="https://fbref.com/en/squads/8602292d/Aston-Villa-Stats" TargetMode="External"/><Relationship Id="rId1695" Type="http://schemas.openxmlformats.org/officeDocument/2006/relationships/hyperlink" Target="https://fbref.com/en/squads/8ef52968/Sunderland-Stats" TargetMode="External"/><Relationship Id="rId1212" Type="http://schemas.openxmlformats.org/officeDocument/2006/relationships/hyperlink" Target="https://fbref.com/en/players/f5deef4c/matchlogs/2025-2026/misc/Victor-Lindelof-Match-Logs" TargetMode="External"/><Relationship Id="rId1696" Type="http://schemas.openxmlformats.org/officeDocument/2006/relationships/hyperlink" Target="https://fbref.com/en/players/59d93937/matchlogs/2025-2026/misc/Patrick-Roberts-Match-Logs" TargetMode="External"/><Relationship Id="rId1202" Type="http://schemas.openxmlformats.org/officeDocument/2006/relationships/hyperlink" Target="https://fbref.com/en/country/NED/Netherlands-Football" TargetMode="External"/><Relationship Id="rId1686" Type="http://schemas.openxmlformats.org/officeDocument/2006/relationships/hyperlink" Target="https://fbref.com/en/country/BRA/Brazil-Football" TargetMode="External"/><Relationship Id="rId1203" Type="http://schemas.openxmlformats.org/officeDocument/2006/relationships/hyperlink" Target="https://fbref.com/en/squads/19538871/Manchester-United-Stats" TargetMode="External"/><Relationship Id="rId1687" Type="http://schemas.openxmlformats.org/officeDocument/2006/relationships/hyperlink" Target="https://fbref.com/en/squads/361ca564/Tottenham-Hotspur-Stats" TargetMode="External"/><Relationship Id="rId1204" Type="http://schemas.openxmlformats.org/officeDocument/2006/relationships/hyperlink" Target="https://fbref.com/en/players/d6e53a3a/matchlogs/2025-2026/misc/Matthijs-de-Ligt-Match-Logs" TargetMode="External"/><Relationship Id="rId1688" Type="http://schemas.openxmlformats.org/officeDocument/2006/relationships/hyperlink" Target="https://fbref.com/en/players/fa031b34/matchlogs/2025-2026/misc/Richarlison-Match-Logs" TargetMode="External"/><Relationship Id="rId1205" Type="http://schemas.openxmlformats.org/officeDocument/2006/relationships/hyperlink" Target="https://fbref.com/en/players/b2f4cad5/Pedro-Lima" TargetMode="External"/><Relationship Id="rId1689" Type="http://schemas.openxmlformats.org/officeDocument/2006/relationships/hyperlink" Target="https://fbref.com/en/players/35741fe2/Chris-Rigg" TargetMode="External"/><Relationship Id="rId1206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squads/8cec06e1/Wolverhampton-Wanderers-Stats" TargetMode="External"/><Relationship Id="rId1208" Type="http://schemas.openxmlformats.org/officeDocument/2006/relationships/hyperlink" Target="https://fbref.com/en/players/b2f4cad5/matchlogs/2025-2026/misc/Pedro-Lima-Match-Logs" TargetMode="External"/><Relationship Id="rId1209" Type="http://schemas.openxmlformats.org/officeDocument/2006/relationships/hyperlink" Target="https://fbref.com/en/players/f5deef4c/Victor-Lindelof" TargetMode="External"/><Relationship Id="rId855" Type="http://schemas.openxmlformats.org/officeDocument/2006/relationships/hyperlink" Target="https://fbref.com/en/squads/5bfb9659/Leeds-United-Stats" TargetMode="External"/><Relationship Id="rId854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players/aa849a12/Jack-Harrison" TargetMode="External"/><Relationship Id="rId852" Type="http://schemas.openxmlformats.org/officeDocument/2006/relationships/hyperlink" Target="https://fbref.com/en/players/da011f18/matchlogs/2025-2026/misc/Lewis-Hall-Match-Logs" TargetMode="External"/><Relationship Id="rId859" Type="http://schemas.openxmlformats.org/officeDocument/2006/relationships/hyperlink" Target="https://fbref.com/en/squads/943e8050/Burnley-Stats" TargetMode="External"/><Relationship Id="rId858" Type="http://schemas.openxmlformats.org/officeDocument/2006/relationships/hyperlink" Target="https://fbref.com/en/country/NED/Netherlands-Football" TargetMode="External"/><Relationship Id="rId857" Type="http://schemas.openxmlformats.org/officeDocument/2006/relationships/hyperlink" Target="https://fbref.com/en/players/39e1138f/Quilindschy-Hartman" TargetMode="External"/><Relationship Id="rId856" Type="http://schemas.openxmlformats.org/officeDocument/2006/relationships/hyperlink" Target="https://fbref.com/en/players/aa849a12/matchlogs/2025-2026/misc/Jack-Harrison-Match-Logs" TargetMode="External"/><Relationship Id="rId1680" Type="http://schemas.openxmlformats.org/officeDocument/2006/relationships/hyperlink" Target="https://fbref.com/en/players/1c7012b8/matchlogs/2025-2026/misc/Declan-Rice-Match-Logs" TargetMode="External"/><Relationship Id="rId1681" Type="http://schemas.openxmlformats.org/officeDocument/2006/relationships/hyperlink" Target="https://fbref.com/en/players/0a3d6d2b/Chris-Richards" TargetMode="External"/><Relationship Id="rId851" Type="http://schemas.openxmlformats.org/officeDocument/2006/relationships/hyperlink" Target="https://fbref.com/en/squads/b2b47a98/Newcastle-United-Stats" TargetMode="External"/><Relationship Id="rId1682" Type="http://schemas.openxmlformats.org/officeDocument/2006/relationships/hyperlink" Target="https://fbref.com/en/country/USA/United-States-Football" TargetMode="External"/><Relationship Id="rId850" Type="http://schemas.openxmlformats.org/officeDocument/2006/relationships/hyperlink" Target="https://fbref.com/en/country/ENG/England-Football" TargetMode="External"/><Relationship Id="rId1683" Type="http://schemas.openxmlformats.org/officeDocument/2006/relationships/hyperlink" Target="https://fbref.com/en/squads/47c64c55/Crystal-Palace-Stats" TargetMode="External"/><Relationship Id="rId1200" Type="http://schemas.openxmlformats.org/officeDocument/2006/relationships/hyperlink" Target="https://fbref.com/en/players/5dff6c28/matchlogs/2025-2026/misc/Myles-Lewis-Skelly-Match-Logs" TargetMode="External"/><Relationship Id="rId1684" Type="http://schemas.openxmlformats.org/officeDocument/2006/relationships/hyperlink" Target="https://fbref.com/en/players/0a3d6d2b/matchlogs/2025-2026/misc/Chris-Richards-Match-Logs" TargetMode="External"/><Relationship Id="rId1201" Type="http://schemas.openxmlformats.org/officeDocument/2006/relationships/hyperlink" Target="https://fbref.com/en/players/d6e53a3a/Matthijs-de-Ligt" TargetMode="External"/><Relationship Id="rId1685" Type="http://schemas.openxmlformats.org/officeDocument/2006/relationships/hyperlink" Target="https://fbref.com/en/players/fa031b34/Richarlison" TargetMode="External"/><Relationship Id="rId1235" Type="http://schemas.openxmlformats.org/officeDocument/2006/relationships/hyperlink" Target="https://fbref.com/en/squads/943e8050/Burnley-Stats" TargetMode="External"/><Relationship Id="rId1236" Type="http://schemas.openxmlformats.org/officeDocument/2006/relationships/hyperlink" Target="https://fbref.com/en/players/881cd6be/matchlogs/2025-2026/misc/Florentino-Luis-Match-Logs" TargetMode="External"/><Relationship Id="rId1237" Type="http://schemas.openxmlformats.org/officeDocument/2006/relationships/hyperlink" Target="https://fbref.com/en/players/6f7d826d/Douglas-Luiz" TargetMode="External"/><Relationship Id="rId1238" Type="http://schemas.openxmlformats.org/officeDocument/2006/relationships/hyperlink" Target="https://fbref.com/en/country/BRA/Brazil-Football" TargetMode="External"/><Relationship Id="rId1239" Type="http://schemas.openxmlformats.org/officeDocument/2006/relationships/hyperlink" Target="https://fbref.com/en/squads/8602292d/Aston-Villa-Stats" TargetMode="External"/><Relationship Id="rId409" Type="http://schemas.openxmlformats.org/officeDocument/2006/relationships/hyperlink" Target="https://fbref.com/en/players/22ae86f9/Diego-Coppola" TargetMode="External"/><Relationship Id="rId404" Type="http://schemas.openxmlformats.org/officeDocument/2006/relationships/hyperlink" Target="https://fbref.com/en/players/700783e7/matchlogs/2025-2026/misc/Levi-Colwill-Match-Logs" TargetMode="External"/><Relationship Id="rId888" Type="http://schemas.openxmlformats.org/officeDocument/2006/relationships/hyperlink" Target="https://fbref.com/en/players/e5a76dfe/matchlogs/2025-2026/misc/Dean-Henderson-Match-Logs" TargetMode="External"/><Relationship Id="rId403" Type="http://schemas.openxmlformats.org/officeDocument/2006/relationships/hyperlink" Target="https://fbref.com/en/squads/cff3d9bb/Chelsea-Stats" TargetMode="External"/><Relationship Id="rId887" Type="http://schemas.openxmlformats.org/officeDocument/2006/relationships/hyperlink" Target="https://fbref.com/en/squads/47c64c55/Crystal-Palace-Stats" TargetMode="External"/><Relationship Id="rId402" Type="http://schemas.openxmlformats.org/officeDocument/2006/relationships/hyperlink" Target="https://fbref.com/en/country/ENG/England-Football" TargetMode="External"/><Relationship Id="rId886" Type="http://schemas.openxmlformats.org/officeDocument/2006/relationships/hyperlink" Target="https://fbref.com/en/country/ENG/England-Football" TargetMode="External"/><Relationship Id="rId401" Type="http://schemas.openxmlformats.org/officeDocument/2006/relationships/hyperlink" Target="https://fbref.com/en/players/700783e7/Levi-Colwill" TargetMode="External"/><Relationship Id="rId885" Type="http://schemas.openxmlformats.org/officeDocument/2006/relationships/hyperlink" Target="https://fbref.com/en/players/e5a76dfe/Dean-Henderson" TargetMode="External"/><Relationship Id="rId408" Type="http://schemas.openxmlformats.org/officeDocument/2006/relationships/hyperlink" Target="https://fbref.com/en/players/2afc7272/matchlogs/2025-2026/misc/Lewis-Cook-Match-Logs" TargetMode="External"/><Relationship Id="rId407" Type="http://schemas.openxmlformats.org/officeDocument/2006/relationships/hyperlink" Target="https://fbref.com/en/squads/4ba7cbea/Bournemouth-Stats" TargetMode="External"/><Relationship Id="rId406" Type="http://schemas.openxmlformats.org/officeDocument/2006/relationships/hyperlink" Target="https://fbref.com/en/country/ENG/England-Football" TargetMode="External"/><Relationship Id="rId405" Type="http://schemas.openxmlformats.org/officeDocument/2006/relationships/hyperlink" Target="https://fbref.com/en/players/2afc7272/Lewis-Cook" TargetMode="External"/><Relationship Id="rId889" Type="http://schemas.openxmlformats.org/officeDocument/2006/relationships/hyperlink" Target="https://fbref.com/en/players/935e6b8f/Jordan-Henderson" TargetMode="External"/><Relationship Id="rId880" Type="http://schemas.openxmlformats.org/officeDocument/2006/relationships/hyperlink" Target="https://fbref.com/en/players/169fd162/matchlogs/2025-2026/misc/Hwang-Hee-chan-Match-Logs" TargetMode="External"/><Relationship Id="rId1230" Type="http://schemas.openxmlformats.org/officeDocument/2006/relationships/hyperlink" Target="https://fbref.com/en/country/ITA/Italy-Football" TargetMode="External"/><Relationship Id="rId400" Type="http://schemas.openxmlformats.org/officeDocument/2006/relationships/hyperlink" Target="https://fbref.com/en/players/a8c19eb8/matchlogs/2025-2026/misc/Nathan-Collins-Match-Logs" TargetMode="External"/><Relationship Id="rId884" Type="http://schemas.openxmlformats.org/officeDocument/2006/relationships/hyperlink" Target="https://fbref.com/en/players/28795530/matchlogs/2025-2026/misc/George-Hemmings-Match-Logs" TargetMode="External"/><Relationship Id="rId1231" Type="http://schemas.openxmlformats.org/officeDocument/2006/relationships/hyperlink" Target="https://fbref.com/en/squads/e4a775cb/Nottingham-Forest-Stats" TargetMode="External"/><Relationship Id="rId883" Type="http://schemas.openxmlformats.org/officeDocument/2006/relationships/hyperlink" Target="https://fbref.com/en/squads/8602292d/Aston-Villa-Stats" TargetMode="External"/><Relationship Id="rId1232" Type="http://schemas.openxmlformats.org/officeDocument/2006/relationships/hyperlink" Target="https://fbref.com/en/players/83c06f3a/matchlogs/2025-2026/misc/Lorenzo-Lucca-Match-Logs" TargetMode="External"/><Relationship Id="rId882" Type="http://schemas.openxmlformats.org/officeDocument/2006/relationships/hyperlink" Target="https://fbref.com/en/country/ENG/England-Football" TargetMode="External"/><Relationship Id="rId1233" Type="http://schemas.openxmlformats.org/officeDocument/2006/relationships/hyperlink" Target="https://fbref.com/en/players/881cd6be/Florentino-Luis" TargetMode="External"/><Relationship Id="rId881" Type="http://schemas.openxmlformats.org/officeDocument/2006/relationships/hyperlink" Target="https://fbref.com/en/players/28795530/George-Hemmings" TargetMode="External"/><Relationship Id="rId1234" Type="http://schemas.openxmlformats.org/officeDocument/2006/relationships/hyperlink" Target="https://fbref.com/en/country/POR/Portugal-Football" TargetMode="External"/><Relationship Id="rId1224" Type="http://schemas.openxmlformats.org/officeDocument/2006/relationships/hyperlink" Target="https://fbref.com/en/players/675cacff/matchlogs/2025-2026/misc/Fer-Lopez-Match-Logs" TargetMode="External"/><Relationship Id="rId1225" Type="http://schemas.openxmlformats.org/officeDocument/2006/relationships/hyperlink" Target="https://fbref.com/en/players/5d68f5b2/Lucas" TargetMode="External"/><Relationship Id="rId1226" Type="http://schemas.openxmlformats.org/officeDocument/2006/relationships/hyperlink" Target="https://fbref.com/en/country/BRA/Brazil-Football" TargetMode="External"/><Relationship Id="rId1227" Type="http://schemas.openxmlformats.org/officeDocument/2006/relationships/hyperlink" Target="https://fbref.com/en/squads/943e8050/Burnley-Stats" TargetMode="External"/><Relationship Id="rId1228" Type="http://schemas.openxmlformats.org/officeDocument/2006/relationships/hyperlink" Target="https://fbref.com/en/players/5d68f5b2/matchlogs/2025-2026/misc/Lucas-Match-Logs" TargetMode="External"/><Relationship Id="rId1229" Type="http://schemas.openxmlformats.org/officeDocument/2006/relationships/hyperlink" Target="https://fbref.com/en/players/83c06f3a/Lorenzo-Lucca" TargetMode="External"/><Relationship Id="rId877" Type="http://schemas.openxmlformats.org/officeDocument/2006/relationships/hyperlink" Target="https://fbref.com/en/players/169fd162/Hwang-Hee-chan" TargetMode="External"/><Relationship Id="rId876" Type="http://schemas.openxmlformats.org/officeDocument/2006/relationships/hyperlink" Target="https://fbref.com/en/players/4fd08daa/matchlogs/2025-2026/misc/Jan-Paul-van-Hecke-Match-Logs" TargetMode="External"/><Relationship Id="rId875" Type="http://schemas.openxmlformats.org/officeDocument/2006/relationships/hyperlink" Target="https://fbref.com/en/squads/d07537b9/Brighton-and-Hove-Albion-Stats" TargetMode="External"/><Relationship Id="rId874" Type="http://schemas.openxmlformats.org/officeDocument/2006/relationships/hyperlink" Target="https://fbref.com/en/country/NED/Netherlands-Football" TargetMode="External"/><Relationship Id="rId879" Type="http://schemas.openxmlformats.org/officeDocument/2006/relationships/hyperlink" Target="https://fbref.com/en/squads/8cec06e1/Wolverhampton-Wanderers-Stats" TargetMode="External"/><Relationship Id="rId878" Type="http://schemas.openxmlformats.org/officeDocument/2006/relationships/hyperlink" Target="https://fbref.com/en/country/KOR/Korea-Republic-Football" TargetMode="External"/><Relationship Id="rId873" Type="http://schemas.openxmlformats.org/officeDocument/2006/relationships/hyperlink" Target="https://fbref.com/en/players/4fd08daa/Jan-Paul-van-Hecke" TargetMode="External"/><Relationship Id="rId1220" Type="http://schemas.openxmlformats.org/officeDocument/2006/relationships/hyperlink" Target="https://fbref.com/en/players/a2b105e0/matchlogs/2025-2026/misc/Sean-Longstaff-Match-Logs" TargetMode="External"/><Relationship Id="rId872" Type="http://schemas.openxmlformats.org/officeDocument/2006/relationships/hyperlink" Target="https://fbref.com/en/players/64e17fab/matchlogs/2025-2026/misc/Ayden-Heaven-Match-Logs" TargetMode="External"/><Relationship Id="rId1221" Type="http://schemas.openxmlformats.org/officeDocument/2006/relationships/hyperlink" Target="https://fbref.com/en/players/675cacff/Fer-Lopez" TargetMode="External"/><Relationship Id="rId871" Type="http://schemas.openxmlformats.org/officeDocument/2006/relationships/hyperlink" Target="https://fbref.com/en/squads/19538871/Manchester-United-Stats" TargetMode="External"/><Relationship Id="rId1222" Type="http://schemas.openxmlformats.org/officeDocument/2006/relationships/hyperlink" Target="https://fbref.com/en/country/ESP/Spain-Football" TargetMode="External"/><Relationship Id="rId870" Type="http://schemas.openxmlformats.org/officeDocument/2006/relationships/hyperlink" Target="https://fbref.com/en/country/ENG/England-Football" TargetMode="External"/><Relationship Id="rId1223" Type="http://schemas.openxmlformats.org/officeDocument/2006/relationships/hyperlink" Target="https://fbref.com/en/squads/8cec06e1/Wolverhampton-Wanderers-Stats" TargetMode="External"/><Relationship Id="rId1653" Type="http://schemas.openxmlformats.org/officeDocument/2006/relationships/hyperlink" Target="https://fbref.com/en/players/1544f145/Jacob-Ramsey" TargetMode="External"/><Relationship Id="rId1654" Type="http://schemas.openxmlformats.org/officeDocument/2006/relationships/hyperlink" Target="https://fbref.com/en/country/ENG/England-Football" TargetMode="External"/><Relationship Id="rId1655" Type="http://schemas.openxmlformats.org/officeDocument/2006/relationships/hyperlink" Target="https://fbref.com/en/squads/b2b47a98/Newcastle-United-Stats" TargetMode="External"/><Relationship Id="rId1656" Type="http://schemas.openxmlformats.org/officeDocument/2006/relationships/hyperlink" Target="https://fbref.com/en/players/1544f145/matchlogs/2025-2026/misc/Jacob-Ramsey-Match-Logs" TargetMode="External"/><Relationship Id="rId1657" Type="http://schemas.openxmlformats.org/officeDocument/2006/relationships/hyperlink" Target="https://fbref.com/en/players/98ea5115/David-Raya" TargetMode="External"/><Relationship Id="rId1658" Type="http://schemas.openxmlformats.org/officeDocument/2006/relationships/hyperlink" Target="https://fbref.com/en/country/ESP/Spain-Football" TargetMode="External"/><Relationship Id="rId1659" Type="http://schemas.openxmlformats.org/officeDocument/2006/relationships/hyperlink" Target="https://fbref.com/en/squads/18bb7c10/Arsenal-Stats" TargetMode="External"/><Relationship Id="rId829" Type="http://schemas.openxmlformats.org/officeDocument/2006/relationships/hyperlink" Target="https://fbref.com/en/players/e082af5b/Angus-Gunn" TargetMode="External"/><Relationship Id="rId828" Type="http://schemas.openxmlformats.org/officeDocument/2006/relationships/hyperlink" Target="https://fbref.com/en/players/d3d774cc/matchlogs/2025-2026/misc/Marc-Guiu-Match-Logs" TargetMode="External"/><Relationship Id="rId827" Type="http://schemas.openxmlformats.org/officeDocument/2006/relationships/hyperlink" Target="https://fbref.com/en/squads/cff3d9bb/Chelsea-Stats" TargetMode="External"/><Relationship Id="rId822" Type="http://schemas.openxmlformats.org/officeDocument/2006/relationships/hyperlink" Target="https://fbref.com/en/country/ESP/Spain-Football" TargetMode="External"/><Relationship Id="rId821" Type="http://schemas.openxmlformats.org/officeDocument/2006/relationships/hyperlink" Target="https://fbref.com/en/players/d3d774cc/Marc-Guiu" TargetMode="External"/><Relationship Id="rId820" Type="http://schemas.openxmlformats.org/officeDocument/2006/relationships/hyperlink" Target="https://fbref.com/en/players/82518f62/matchlogs/2025-2026/misc/Bruno-Guimaraes-Match-Logs" TargetMode="External"/><Relationship Id="rId826" Type="http://schemas.openxmlformats.org/officeDocument/2006/relationships/hyperlink" Target="https://fbref.com/en/country/ESP/Spain-Football" TargetMode="External"/><Relationship Id="rId825" Type="http://schemas.openxmlformats.org/officeDocument/2006/relationships/hyperlink" Target="https://fbref.com/en/players/d3d774cc/Marc-Guiu" TargetMode="External"/><Relationship Id="rId824" Type="http://schemas.openxmlformats.org/officeDocument/2006/relationships/hyperlink" Target="https://fbref.com/en/players/d3d774cc/matchlogs/2025-2026/misc/Marc-Guiu-Match-Logs" TargetMode="External"/><Relationship Id="rId823" Type="http://schemas.openxmlformats.org/officeDocument/2006/relationships/hyperlink" Target="https://fbref.com/en/squads/8ef52968/Sunderland-Stats" TargetMode="External"/><Relationship Id="rId1650" Type="http://schemas.openxmlformats.org/officeDocument/2006/relationships/hyperlink" Target="https://fbref.com/en/country/ENG/England-Football" TargetMode="External"/><Relationship Id="rId1651" Type="http://schemas.openxmlformats.org/officeDocument/2006/relationships/hyperlink" Target="https://fbref.com/en/squads/b2b47a98/Newcastle-United-Stats" TargetMode="External"/><Relationship Id="rId1652" Type="http://schemas.openxmlformats.org/officeDocument/2006/relationships/hyperlink" Target="https://fbref.com/en/players/466fb2c5/matchlogs/2025-2026/misc/Aaron-Ramsdale-Match-Logs" TargetMode="External"/><Relationship Id="rId1642" Type="http://schemas.openxmlformats.org/officeDocument/2006/relationships/hyperlink" Target="https://fbref.com/en/country/ESP/Spain-Football" TargetMode="External"/><Relationship Id="rId1643" Type="http://schemas.openxmlformats.org/officeDocument/2006/relationships/hyperlink" Target="https://fbref.com/en/squads/361ca564/Tottenham-Hotspur-Stats" TargetMode="External"/><Relationship Id="rId1644" Type="http://schemas.openxmlformats.org/officeDocument/2006/relationships/hyperlink" Target="https://fbref.com/en/players/27d0a506/matchlogs/2025-2026/misc/Pedro-Porro-Match-Logs" TargetMode="External"/><Relationship Id="rId1645" Type="http://schemas.openxmlformats.org/officeDocument/2006/relationships/hyperlink" Target="https://fbref.com/en/players/86bf27f0/Freddie-Potts" TargetMode="External"/><Relationship Id="rId1646" Type="http://schemas.openxmlformats.org/officeDocument/2006/relationships/hyperlink" Target="https://fbref.com/en/country/ENG/England-Football" TargetMode="External"/><Relationship Id="rId1647" Type="http://schemas.openxmlformats.org/officeDocument/2006/relationships/hyperlink" Target="https://fbref.com/en/squads/7c21e445/West-Ham-United-Stats" TargetMode="External"/><Relationship Id="rId1648" Type="http://schemas.openxmlformats.org/officeDocument/2006/relationships/hyperlink" Target="https://fbref.com/en/players/86bf27f0/matchlogs/2025-2026/misc/Freddie-Potts-Match-Logs" TargetMode="External"/><Relationship Id="rId1649" Type="http://schemas.openxmlformats.org/officeDocument/2006/relationships/hyperlink" Target="https://fbref.com/en/players/466fb2c5/Aaron-Ramsdale" TargetMode="External"/><Relationship Id="rId819" Type="http://schemas.openxmlformats.org/officeDocument/2006/relationships/hyperlink" Target="https://fbref.com/en/squads/b2b47a98/Newcastle-United-Stats" TargetMode="External"/><Relationship Id="rId818" Type="http://schemas.openxmlformats.org/officeDocument/2006/relationships/hyperlink" Target="https://fbref.com/en/country/BRA/Brazil-Football" TargetMode="External"/><Relationship Id="rId817" Type="http://schemas.openxmlformats.org/officeDocument/2006/relationships/hyperlink" Target="https://fbref.com/en/players/82518f62/Bruno-Guimaraes" TargetMode="External"/><Relationship Id="rId816" Type="http://schemas.openxmlformats.org/officeDocument/2006/relationships/hyperlink" Target="https://fbref.com/en/players/b7672d43/matchlogs/2025-2026/misc/Luis-Guilherme-Match-Logs" TargetMode="External"/><Relationship Id="rId811" Type="http://schemas.openxmlformats.org/officeDocument/2006/relationships/hyperlink" Target="https://fbref.com/en/squads/8602292d/Aston-Villa-Stats" TargetMode="External"/><Relationship Id="rId810" Type="http://schemas.openxmlformats.org/officeDocument/2006/relationships/hyperlink" Target="https://fbref.com/en/country/CIV/Cote-dIvoire-Football" TargetMode="External"/><Relationship Id="rId815" Type="http://schemas.openxmlformats.org/officeDocument/2006/relationships/hyperlink" Target="https://fbref.com/en/squads/7c21e445/West-Ham-United-Stats" TargetMode="External"/><Relationship Id="rId814" Type="http://schemas.openxmlformats.org/officeDocument/2006/relationships/hyperlink" Target="https://fbref.com/en/country/BRA/Brazil-Football" TargetMode="External"/><Relationship Id="rId813" Type="http://schemas.openxmlformats.org/officeDocument/2006/relationships/hyperlink" Target="https://fbref.com/en/players/b7672d43/Luis-Guilherme" TargetMode="External"/><Relationship Id="rId812" Type="http://schemas.openxmlformats.org/officeDocument/2006/relationships/hyperlink" Target="https://fbref.com/en/players/b73f17f8/matchlogs/2025-2026/misc/Evann-Guessand-Match-Logs" TargetMode="External"/><Relationship Id="rId1640" Type="http://schemas.openxmlformats.org/officeDocument/2006/relationships/hyperlink" Target="https://fbref.com/en/players/4b40d9ca/matchlogs/2025-2026/misc/Nick-Pope-Match-Logs" TargetMode="External"/><Relationship Id="rId1641" Type="http://schemas.openxmlformats.org/officeDocument/2006/relationships/hyperlink" Target="https://fbref.com/en/players/27d0a506/Pedro-Porro" TargetMode="External"/><Relationship Id="rId1675" Type="http://schemas.openxmlformats.org/officeDocument/2006/relationships/hyperlink" Target="https://fbref.com/en/squads/47c64c55/Crystal-Palace-Stats" TargetMode="External"/><Relationship Id="rId1676" Type="http://schemas.openxmlformats.org/officeDocument/2006/relationships/hyperlink" Target="https://fbref.com/en/players/b3b9b8b8/matchlogs/2025-2026/misc/Chadi-Riad-Match-Logs" TargetMode="External"/><Relationship Id="rId1677" Type="http://schemas.openxmlformats.org/officeDocument/2006/relationships/hyperlink" Target="https://fbref.com/en/players/1c7012b8/Declan-Rice" TargetMode="External"/><Relationship Id="rId1678" Type="http://schemas.openxmlformats.org/officeDocument/2006/relationships/hyperlink" Target="https://fbref.com/en/country/ENG/England-Football" TargetMode="External"/><Relationship Id="rId1679" Type="http://schemas.openxmlformats.org/officeDocument/2006/relationships/hyperlink" Target="https://fbref.com/en/squads/18bb7c10/Arsenal-Stats" TargetMode="External"/><Relationship Id="rId849" Type="http://schemas.openxmlformats.org/officeDocument/2006/relationships/hyperlink" Target="https://fbref.com/en/players/da011f18/Lewis-Hall" TargetMode="External"/><Relationship Id="rId844" Type="http://schemas.openxmlformats.org/officeDocument/2006/relationships/hyperlink" Target="https://fbref.com/en/players/4d5a9185/matchlogs/2025-2026/misc/Viktor-Gyokeres-Match-Logs" TargetMode="External"/><Relationship Id="rId843" Type="http://schemas.openxmlformats.org/officeDocument/2006/relationships/hyperlink" Target="https://fbref.com/en/squads/18bb7c10/Arsenal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4d5a9185/Viktor-Gyokeres" TargetMode="External"/><Relationship Id="rId848" Type="http://schemas.openxmlformats.org/officeDocument/2006/relationships/hyperlink" Target="https://fbref.com/en/players/1f44ac21/matchlogs/2025-2026/misc/Erling-Haaland-Match-Logs" TargetMode="External"/><Relationship Id="rId847" Type="http://schemas.openxmlformats.org/officeDocument/2006/relationships/hyperlink" Target="https://fbref.com/en/squads/b8fd03ef/Manchester-City-Stats" TargetMode="External"/><Relationship Id="rId846" Type="http://schemas.openxmlformats.org/officeDocument/2006/relationships/hyperlink" Target="https://fbref.com/en/country/NOR/Norway-Football" TargetMode="External"/><Relationship Id="rId845" Type="http://schemas.openxmlformats.org/officeDocument/2006/relationships/hyperlink" Target="https://fbref.com/en/players/1f44ac21/Erling-Haaland" TargetMode="External"/><Relationship Id="rId1670" Type="http://schemas.openxmlformats.org/officeDocument/2006/relationships/hyperlink" Target="https://fbref.com/en/country/NED/Netherlands-Football" TargetMode="External"/><Relationship Id="rId840" Type="http://schemas.openxmlformats.org/officeDocument/2006/relationships/hyperlink" Target="https://fbref.com/en/players/5ad50391/matchlogs/2025-2026/misc/Josko-Gvardiol-Match-Logs" TargetMode="External"/><Relationship Id="rId1671" Type="http://schemas.openxmlformats.org/officeDocument/2006/relationships/hyperlink" Target="https://fbref.com/en/squads/b8fd03ef/Manchester-City-Stats" TargetMode="External"/><Relationship Id="rId1672" Type="http://schemas.openxmlformats.org/officeDocument/2006/relationships/hyperlink" Target="https://fbref.com/en/players/afb61630/matchlogs/2025-2026/misc/Tijjani-Reijnders-Match-Logs" TargetMode="External"/><Relationship Id="rId1673" Type="http://schemas.openxmlformats.org/officeDocument/2006/relationships/hyperlink" Target="https://fbref.com/en/players/b3b9b8b8/Chadi-Riad" TargetMode="External"/><Relationship Id="rId1674" Type="http://schemas.openxmlformats.org/officeDocument/2006/relationships/hyperlink" Target="https://fbref.com/en/country/MAR/Morocco-Football" TargetMode="External"/><Relationship Id="rId1664" Type="http://schemas.openxmlformats.org/officeDocument/2006/relationships/hyperlink" Target="https://fbref.com/en/players/288647fc/matchlogs/2025-2026/misc/Rayan-Match-Logs" TargetMode="External"/><Relationship Id="rId1665" Type="http://schemas.openxmlformats.org/officeDocument/2006/relationships/hyperlink" Target="https://fbref.com/en/players/803ae100/Harrison-Reed" TargetMode="External"/><Relationship Id="rId1666" Type="http://schemas.openxmlformats.org/officeDocument/2006/relationships/hyperlink" Target="https://fbref.com/en/country/ENG/England-Football" TargetMode="External"/><Relationship Id="rId1667" Type="http://schemas.openxmlformats.org/officeDocument/2006/relationships/hyperlink" Target="https://fbref.com/en/squads/fd962109/Fulham-Stats" TargetMode="External"/><Relationship Id="rId1668" Type="http://schemas.openxmlformats.org/officeDocument/2006/relationships/hyperlink" Target="https://fbref.com/en/players/803ae100/matchlogs/2025-2026/misc/Harrison-Reed-Match-Logs" TargetMode="External"/><Relationship Id="rId1669" Type="http://schemas.openxmlformats.org/officeDocument/2006/relationships/hyperlink" Target="https://fbref.com/en/players/afb61630/Tijjani-Reijnders" TargetMode="External"/><Relationship Id="rId839" Type="http://schemas.openxmlformats.org/officeDocument/2006/relationships/hyperlink" Target="https://fbref.com/en/squads/b8fd03ef/Manchester-City-Stats" TargetMode="External"/><Relationship Id="rId838" Type="http://schemas.openxmlformats.org/officeDocument/2006/relationships/hyperlink" Target="https://fbref.com/en/country/CRO/Croatia-Football" TargetMode="External"/><Relationship Id="rId833" Type="http://schemas.openxmlformats.org/officeDocument/2006/relationships/hyperlink" Target="https://fbref.com/en/players/d56b9520/Malo-Gusto" TargetMode="External"/><Relationship Id="rId832" Type="http://schemas.openxmlformats.org/officeDocument/2006/relationships/hyperlink" Target="https://fbref.com/en/players/e082af5b/matchlogs/2025-2026/misc/Angus-Gunn-Match-Logs" TargetMode="External"/><Relationship Id="rId831" Type="http://schemas.openxmlformats.org/officeDocument/2006/relationships/hyperlink" Target="https://fbref.com/en/squads/e4a775cb/Nottingham-Forest-Stats" TargetMode="External"/><Relationship Id="rId830" Type="http://schemas.openxmlformats.org/officeDocument/2006/relationships/hyperlink" Target="https://fbref.com/en/country/SCO/Scotland-Football" TargetMode="External"/><Relationship Id="rId837" Type="http://schemas.openxmlformats.org/officeDocument/2006/relationships/hyperlink" Target="https://fbref.com/en/players/5ad50391/Josko-Gvardiol" TargetMode="External"/><Relationship Id="rId836" Type="http://schemas.openxmlformats.org/officeDocument/2006/relationships/hyperlink" Target="https://fbref.com/en/players/d56b9520/matchlogs/2025-2026/misc/Malo-Gusto-Match-Logs" TargetMode="External"/><Relationship Id="rId835" Type="http://schemas.openxmlformats.org/officeDocument/2006/relationships/hyperlink" Target="https://fbref.com/en/squads/cff3d9bb/Chelsea-Stats" TargetMode="External"/><Relationship Id="rId834" Type="http://schemas.openxmlformats.org/officeDocument/2006/relationships/hyperlink" Target="https://fbref.com/en/country/FRA/France-Football" TargetMode="External"/><Relationship Id="rId1660" Type="http://schemas.openxmlformats.org/officeDocument/2006/relationships/hyperlink" Target="https://fbref.com/en/players/98ea5115/matchlogs/2025-2026/misc/David-Raya-Match-Logs" TargetMode="External"/><Relationship Id="rId1661" Type="http://schemas.openxmlformats.org/officeDocument/2006/relationships/hyperlink" Target="https://fbref.com/en/players/288647fc/Rayan" TargetMode="External"/><Relationship Id="rId1662" Type="http://schemas.openxmlformats.org/officeDocument/2006/relationships/hyperlink" Target="https://fbref.com/en/country/BRA/Brazil-Football" TargetMode="External"/><Relationship Id="rId1663" Type="http://schemas.openxmlformats.org/officeDocument/2006/relationships/hyperlink" Target="https://fbref.com/en/squads/4ba7cbea/Bournemouth-Stats" TargetMode="External"/><Relationship Id="rId2148" Type="http://schemas.openxmlformats.org/officeDocument/2006/relationships/hyperlink" Target="https://fbref.com/en/players/ba31eee2/matchlogs/2025-2026/misc/Ben-Winterburn-Match-Logs" TargetMode="External"/><Relationship Id="rId2149" Type="http://schemas.openxmlformats.org/officeDocument/2006/relationships/hyperlink" Target="https://fbref.com/en/players/e7fcf289/Florian-Wirtz" TargetMode="External"/><Relationship Id="rId469" Type="http://schemas.openxmlformats.org/officeDocument/2006/relationships/hyperlink" Target="https://fbref.com/en/players/bbfe0e5d/Jesse-Derry" TargetMode="External"/><Relationship Id="rId468" Type="http://schemas.openxmlformats.org/officeDocument/2006/relationships/hyperlink" Target="https://fbref.com/en/players/7bf9400b/matchlogs/2025-2026/misc/Sepp-van-den-Berg-Match-Logs" TargetMode="External"/><Relationship Id="rId467" Type="http://schemas.openxmlformats.org/officeDocument/2006/relationships/hyperlink" Target="https://fbref.com/en/squads/cd051869/Brentford-Stats" TargetMode="External"/><Relationship Id="rId1290" Type="http://schemas.openxmlformats.org/officeDocument/2006/relationships/hyperlink" Target="https://fbref.com/en/country/GEO/Georgia-Football" TargetMode="External"/><Relationship Id="rId1291" Type="http://schemas.openxmlformats.org/officeDocument/2006/relationships/hyperlink" Target="https://fbref.com/en/squads/822bd0ba/Liverpool-Stats" TargetMode="External"/><Relationship Id="rId1292" Type="http://schemas.openxmlformats.org/officeDocument/2006/relationships/hyperlink" Target="https://fbref.com/en/players/d4b73232/matchlogs/2025-2026/misc/Giorgi-Mamardashvili-Match-Logs" TargetMode="External"/><Relationship Id="rId462" Type="http://schemas.openxmlformats.org/officeDocument/2006/relationships/hyperlink" Target="https://fbref.com/en/country/ENG/England-Football" TargetMode="External"/><Relationship Id="rId1293" Type="http://schemas.openxmlformats.org/officeDocument/2006/relationships/hyperlink" Target="https://fbref.com/en/players/c20bdcd7/Reinildo-Mandava" TargetMode="External"/><Relationship Id="rId2140" Type="http://schemas.openxmlformats.org/officeDocument/2006/relationships/hyperlink" Target="https://fbref.com/en/players/c596fcb0/matchlogs/2025-2026/misc/Callum-Wilson-Match-Logs" TargetMode="External"/><Relationship Id="rId461" Type="http://schemas.openxmlformats.org/officeDocument/2006/relationships/hyperlink" Target="https://fbref.com/en/players/dd897ee7/Liam-Delap" TargetMode="External"/><Relationship Id="rId1294" Type="http://schemas.openxmlformats.org/officeDocument/2006/relationships/hyperlink" Target="https://fbref.com/en/country/MOZ/Mozambique-Football" TargetMode="External"/><Relationship Id="rId2141" Type="http://schemas.openxmlformats.org/officeDocument/2006/relationships/hyperlink" Target="https://fbref.com/en/players/c6dc9ecd/Harry-Wilson" TargetMode="External"/><Relationship Id="rId460" Type="http://schemas.openxmlformats.org/officeDocument/2006/relationships/hyperlink" Target="https://fbref.com/en/players/d494882e/matchlogs/2025-2026/misc/Maxim-De-Cuyper-Match-Logs" TargetMode="External"/><Relationship Id="rId1295" Type="http://schemas.openxmlformats.org/officeDocument/2006/relationships/hyperlink" Target="https://fbref.com/en/squads/8ef52968/Sunderland-Stats" TargetMode="External"/><Relationship Id="rId2142" Type="http://schemas.openxmlformats.org/officeDocument/2006/relationships/hyperlink" Target="https://fbref.com/en/country/WAL/Wales-Football" TargetMode="External"/><Relationship Id="rId1296" Type="http://schemas.openxmlformats.org/officeDocument/2006/relationships/hyperlink" Target="https://fbref.com/en/players/c20bdcd7/matchlogs/2025-2026/misc/Reinildo-Mandava-Match-Logs" TargetMode="External"/><Relationship Id="rId2143" Type="http://schemas.openxmlformats.org/officeDocument/2006/relationships/hyperlink" Target="https://fbref.com/en/squads/fd962109/Fulham-Stats" TargetMode="External"/><Relationship Id="rId466" Type="http://schemas.openxmlformats.org/officeDocument/2006/relationships/hyperlink" Target="https://fbref.com/en/country/NED/Netherlands-Football" TargetMode="External"/><Relationship Id="rId1297" Type="http://schemas.openxmlformats.org/officeDocument/2006/relationships/hyperlink" Target="https://fbref.com/en/players/c15cb409/Mateus-Mane" TargetMode="External"/><Relationship Id="rId2144" Type="http://schemas.openxmlformats.org/officeDocument/2006/relationships/hyperlink" Target="https://fbref.com/en/players/c6dc9ecd/matchlogs/2025-2026/misc/Harry-Wilson-Match-Logs" TargetMode="External"/><Relationship Id="rId465" Type="http://schemas.openxmlformats.org/officeDocument/2006/relationships/hyperlink" Target="https://fbref.com/en/players/7bf9400b/Sepp-van-den-Berg" TargetMode="External"/><Relationship Id="rId1298" Type="http://schemas.openxmlformats.org/officeDocument/2006/relationships/hyperlink" Target="https://fbref.com/en/country/POR/Portugal-Football" TargetMode="External"/><Relationship Id="rId2145" Type="http://schemas.openxmlformats.org/officeDocument/2006/relationships/hyperlink" Target="https://fbref.com/en/players/ba31eee2/Ben-Winterburn" TargetMode="External"/><Relationship Id="rId464" Type="http://schemas.openxmlformats.org/officeDocument/2006/relationships/hyperlink" Target="https://fbref.com/en/players/dd897ee7/matchlogs/2025-2026/misc/Liam-Delap-Match-Logs" TargetMode="External"/><Relationship Id="rId1299" Type="http://schemas.openxmlformats.org/officeDocument/2006/relationships/hyperlink" Target="https://fbref.com/en/squads/8cec06e1/Wolverhampton-Wanderers-Stats" TargetMode="External"/><Relationship Id="rId2146" Type="http://schemas.openxmlformats.org/officeDocument/2006/relationships/hyperlink" Target="https://fbref.com/en/country/ENG/England-Football" TargetMode="External"/><Relationship Id="rId463" Type="http://schemas.openxmlformats.org/officeDocument/2006/relationships/hyperlink" Target="https://fbref.com/en/squads/cff3d9bb/Chelsea-Stats" TargetMode="External"/><Relationship Id="rId2147" Type="http://schemas.openxmlformats.org/officeDocument/2006/relationships/hyperlink" Target="https://fbref.com/en/squads/4ba7cbea/Bournemouth-Stats" TargetMode="External"/><Relationship Id="rId2137" Type="http://schemas.openxmlformats.org/officeDocument/2006/relationships/hyperlink" Target="https://fbref.com/en/players/c596fcb0/Callum-Wilson" TargetMode="External"/><Relationship Id="rId2138" Type="http://schemas.openxmlformats.org/officeDocument/2006/relationships/hyperlink" Target="https://fbref.com/en/country/ENG/England-Football" TargetMode="External"/><Relationship Id="rId2139" Type="http://schemas.openxmlformats.org/officeDocument/2006/relationships/hyperlink" Target="https://fbref.com/en/squads/7c21e445/West-Ham-United-Stats" TargetMode="External"/><Relationship Id="rId459" Type="http://schemas.openxmlformats.org/officeDocument/2006/relationships/hyperlink" Target="https://fbref.com/en/squads/d07537b9/Brighton-and-Hove-Albion-Stats" TargetMode="External"/><Relationship Id="rId458" Type="http://schemas.openxmlformats.org/officeDocument/2006/relationships/hyperlink" Target="https://fbref.com/en/country/BEL/Belgium-Football" TargetMode="External"/><Relationship Id="rId457" Type="http://schemas.openxmlformats.org/officeDocument/2006/relationships/hyperlink" Target="https://fbref.com/en/players/d494882e/Maxim-De-Cuyper" TargetMode="External"/><Relationship Id="rId456" Type="http://schemas.openxmlformats.org/officeDocument/2006/relationships/hyperlink" Target="https://fbref.com/en/players/44781702/matchlogs/2025-2026/misc/Ben-Davies-Match-Logs" TargetMode="External"/><Relationship Id="rId1280" Type="http://schemas.openxmlformats.org/officeDocument/2006/relationships/hyperlink" Target="https://fbref.com/en/players/c6220452/matchlogs/2025-2026/misc/Kobbie-Mainoo-Match-Logs" TargetMode="External"/><Relationship Id="rId1281" Type="http://schemas.openxmlformats.org/officeDocument/2006/relationships/hyperlink" Target="https://fbref.com/en/players/6b6c793c/Tyrell-Malacia" TargetMode="External"/><Relationship Id="rId451" Type="http://schemas.openxmlformats.org/officeDocument/2006/relationships/hyperlink" Target="https://fbref.com/en/squads/cd051869/Brentford-Stats" TargetMode="External"/><Relationship Id="rId1282" Type="http://schemas.openxmlformats.org/officeDocument/2006/relationships/hyperlink" Target="https://fbref.com/en/country/NED/Netherlands-Football" TargetMode="External"/><Relationship Id="rId450" Type="http://schemas.openxmlformats.org/officeDocument/2006/relationships/hyperlink" Target="https://fbref.com/en/country/ENG/England-Football" TargetMode="External"/><Relationship Id="rId1283" Type="http://schemas.openxmlformats.org/officeDocument/2006/relationships/hyperlink" Target="https://fbref.com/en/squads/19538871/Manchester-United-Stats" TargetMode="External"/><Relationship Id="rId2130" Type="http://schemas.openxmlformats.org/officeDocument/2006/relationships/hyperlink" Target="https://fbref.com/en/country/BRA/Brazil-Football" TargetMode="External"/><Relationship Id="rId1284" Type="http://schemas.openxmlformats.org/officeDocument/2006/relationships/hyperlink" Target="https://fbref.com/en/players/6b6c793c/matchlogs/2025-2026/misc/Tyrell-Malacia-Match-Logs" TargetMode="External"/><Relationship Id="rId2131" Type="http://schemas.openxmlformats.org/officeDocument/2006/relationships/hyperlink" Target="https://fbref.com/en/squads/cff3d9bb/Chelsea-Stats" TargetMode="External"/><Relationship Id="rId1285" Type="http://schemas.openxmlformats.org/officeDocument/2006/relationships/hyperlink" Target="https://fbref.com/en/players/116c35df/Donyell-Malen" TargetMode="External"/><Relationship Id="rId2132" Type="http://schemas.openxmlformats.org/officeDocument/2006/relationships/hyperlink" Target="https://fbref.com/en/players/2eda11b1/matchlogs/2025-2026/misc/Estevao-Willian-Match-Logs" TargetMode="External"/><Relationship Id="rId455" Type="http://schemas.openxmlformats.org/officeDocument/2006/relationships/hyperlink" Target="https://fbref.com/en/squads/361ca564/Tottenham-Hotspur-Stats" TargetMode="External"/><Relationship Id="rId1286" Type="http://schemas.openxmlformats.org/officeDocument/2006/relationships/hyperlink" Target="https://fbref.com/en/country/NED/Netherlands-Football" TargetMode="External"/><Relationship Id="rId2133" Type="http://schemas.openxmlformats.org/officeDocument/2006/relationships/hyperlink" Target="https://fbref.com/en/players/a3b03921/Joe-Willock" TargetMode="External"/><Relationship Id="rId454" Type="http://schemas.openxmlformats.org/officeDocument/2006/relationships/hyperlink" Target="https://fbref.com/en/country/WAL/Wales-Football" TargetMode="External"/><Relationship Id="rId1287" Type="http://schemas.openxmlformats.org/officeDocument/2006/relationships/hyperlink" Target="https://fbref.com/en/squads/8602292d/Aston-Villa-Stats" TargetMode="External"/><Relationship Id="rId2134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44781702/Ben-Davies" TargetMode="External"/><Relationship Id="rId1288" Type="http://schemas.openxmlformats.org/officeDocument/2006/relationships/hyperlink" Target="https://fbref.com/en/players/116c35df/matchlogs/2025-2026/misc/Donyell-Malen-Match-Logs" TargetMode="External"/><Relationship Id="rId2135" Type="http://schemas.openxmlformats.org/officeDocument/2006/relationships/hyperlink" Target="https://fbref.com/en/squads/b2b47a98/Newcastle-United-Stats" TargetMode="External"/><Relationship Id="rId452" Type="http://schemas.openxmlformats.org/officeDocument/2006/relationships/hyperlink" Target="https://fbref.com/en/players/60344e4f/matchlogs/2025-2026/misc/Josh-Dasilva-Match-Logs" TargetMode="External"/><Relationship Id="rId1289" Type="http://schemas.openxmlformats.org/officeDocument/2006/relationships/hyperlink" Target="https://fbref.com/en/players/d4b73232/Giorgi-Mamardashvili" TargetMode="External"/><Relationship Id="rId2136" Type="http://schemas.openxmlformats.org/officeDocument/2006/relationships/hyperlink" Target="https://fbref.com/en/players/a3b03921/matchlogs/2025-2026/misc/Joe-Willock-Match-Logs" TargetMode="External"/><Relationship Id="rId491" Type="http://schemas.openxmlformats.org/officeDocument/2006/relationships/hyperlink" Target="https://fbref.com/en/squads/8ef52968/Sunderland-Stats" TargetMode="External"/><Relationship Id="rId490" Type="http://schemas.openxmlformats.org/officeDocument/2006/relationships/hyperlink" Target="https://fbref.com/en/country/SEN/Senegal-Football" TargetMode="External"/><Relationship Id="rId489" Type="http://schemas.openxmlformats.org/officeDocument/2006/relationships/hyperlink" Target="https://fbref.com/en/players/6d0fe035/Habib-Diarra" TargetMode="External"/><Relationship Id="rId2160" Type="http://schemas.openxmlformats.org/officeDocument/2006/relationships/hyperlink" Target="https://fbref.com/en/players/7ca196eb/matchlogs/2025-2026/misc/Nick-Woltemade-Match-Logs" TargetMode="External"/><Relationship Id="rId2161" Type="http://schemas.openxmlformats.org/officeDocument/2006/relationships/hyperlink" Target="https://fbref.com/en/players/4e9a0555/Chris-Wood" TargetMode="External"/><Relationship Id="rId484" Type="http://schemas.openxmlformats.org/officeDocument/2006/relationships/hyperlink" Target="https://fbref.com/en/players/1bfb6fef/matchlogs/2025-2026/misc/Bafode-Diakite-Match-Logs" TargetMode="External"/><Relationship Id="rId2162" Type="http://schemas.openxmlformats.org/officeDocument/2006/relationships/hyperlink" Target="https://fbref.com/en/country/NZL/New-Zealand-Football" TargetMode="External"/><Relationship Id="rId483" Type="http://schemas.openxmlformats.org/officeDocument/2006/relationships/hyperlink" Target="https://fbref.com/en/squads/4ba7cbea/Bournemouth-Stats" TargetMode="External"/><Relationship Id="rId2163" Type="http://schemas.openxmlformats.org/officeDocument/2006/relationships/hyperlink" Target="https://fbref.com/en/squads/e4a775cb/Nottingham-Forest-Stats" TargetMode="External"/><Relationship Id="rId482" Type="http://schemas.openxmlformats.org/officeDocument/2006/relationships/hyperlink" Target="https://fbref.com/en/country/FRA/France-Football" TargetMode="External"/><Relationship Id="rId2164" Type="http://schemas.openxmlformats.org/officeDocument/2006/relationships/hyperlink" Target="https://fbref.com/en/players/4e9a0555/matchlogs/2025-2026/misc/Chris-Wood-Match-Logs" TargetMode="External"/><Relationship Id="rId481" Type="http://schemas.openxmlformats.org/officeDocument/2006/relationships/hyperlink" Target="https://fbref.com/en/players/1bfb6fef/Bafode-Diakite" TargetMode="External"/><Relationship Id="rId2165" Type="http://schemas.openxmlformats.org/officeDocument/2006/relationships/hyperlink" Target="https://fbref.com/en/players/19e50035/Freddie-Woodman" TargetMode="External"/><Relationship Id="rId488" Type="http://schemas.openxmlformats.org/officeDocument/2006/relationships/hyperlink" Target="https://fbref.com/en/players/9dc96f10/matchlogs/2025-2026/misc/Amad-Diallo-Match-Logs" TargetMode="External"/><Relationship Id="rId2166" Type="http://schemas.openxmlformats.org/officeDocument/2006/relationships/hyperlink" Target="https://fbref.com/en/country/ENG/England-Football" TargetMode="External"/><Relationship Id="rId487" Type="http://schemas.openxmlformats.org/officeDocument/2006/relationships/hyperlink" Target="https://fbref.com/en/squads/19538871/Manchester-United-Stats" TargetMode="External"/><Relationship Id="rId2167" Type="http://schemas.openxmlformats.org/officeDocument/2006/relationships/hyperlink" Target="https://fbref.com/en/squads/822bd0ba/Liverpool-Stats" TargetMode="External"/><Relationship Id="rId486" Type="http://schemas.openxmlformats.org/officeDocument/2006/relationships/hyperlink" Target="https://fbref.com/en/country/CIV/Cote-dIvoire-Football" TargetMode="External"/><Relationship Id="rId2168" Type="http://schemas.openxmlformats.org/officeDocument/2006/relationships/hyperlink" Target="https://fbref.com/en/players/19e50035/matchlogs/2025-2026/misc/Freddie-Woodman-Match-Logs" TargetMode="External"/><Relationship Id="rId485" Type="http://schemas.openxmlformats.org/officeDocument/2006/relationships/hyperlink" Target="https://fbref.com/en/players/9dc96f10/Amad-Diallo" TargetMode="External"/><Relationship Id="rId2169" Type="http://schemas.openxmlformats.org/officeDocument/2006/relationships/hyperlink" Target="https://fbref.com/en/players/a5212312/Joe-Worrall" TargetMode="External"/><Relationship Id="rId2159" Type="http://schemas.openxmlformats.org/officeDocument/2006/relationships/hyperlink" Target="https://fbref.com/en/squads/b2b47a98/Newcastle-United-Stats" TargetMode="External"/><Relationship Id="rId480" Type="http://schemas.openxmlformats.org/officeDocument/2006/relationships/hyperlink" Target="https://fbref.com/en/players/5c74c0f5/matchlogs/2025-2026/misc/Kiernan-Dewsbury-Hall-Match-Logs" TargetMode="External"/><Relationship Id="rId479" Type="http://schemas.openxmlformats.org/officeDocument/2006/relationships/hyperlink" Target="https://fbref.com/en/squads/d3fd31cc/Everton-Stats" TargetMode="External"/><Relationship Id="rId478" Type="http://schemas.openxmlformats.org/officeDocument/2006/relationships/hyperlink" Target="https://fbref.com/en/country/ENG/England-Football" TargetMode="External"/><Relationship Id="rId2150" Type="http://schemas.openxmlformats.org/officeDocument/2006/relationships/hyperlink" Target="https://fbref.com/en/country/GER/Germany-Football" TargetMode="External"/><Relationship Id="rId473" Type="http://schemas.openxmlformats.org/officeDocument/2006/relationships/hyperlink" Target="https://fbref.com/en/players/6c2b66fc/Justin-Devenny" TargetMode="External"/><Relationship Id="rId2151" Type="http://schemas.openxmlformats.org/officeDocument/2006/relationships/hyperlink" Target="https://fbref.com/en/squads/822bd0ba/Liverpool-Stats" TargetMode="External"/><Relationship Id="rId472" Type="http://schemas.openxmlformats.org/officeDocument/2006/relationships/hyperlink" Target="https://fbref.com/en/players/bbfe0e5d/matchlogs/2025-2026/misc/Jesse-Derry-Match-Logs" TargetMode="External"/><Relationship Id="rId2152" Type="http://schemas.openxmlformats.org/officeDocument/2006/relationships/hyperlink" Target="https://fbref.com/en/players/e7fcf289/matchlogs/2025-2026/misc/Florian-Wirtz-Match-Logs" TargetMode="External"/><Relationship Id="rId471" Type="http://schemas.openxmlformats.org/officeDocument/2006/relationships/hyperlink" Target="https://fbref.com/en/squads/cff3d9bb/Chelsea-Stats" TargetMode="External"/><Relationship Id="rId2153" Type="http://schemas.openxmlformats.org/officeDocument/2006/relationships/hyperlink" Target="https://fbref.com/en/players/2500cef9/Yoane-Wissa" TargetMode="External"/><Relationship Id="rId470" Type="http://schemas.openxmlformats.org/officeDocument/2006/relationships/hyperlink" Target="https://fbref.com/en/country/ENG/England-Football" TargetMode="External"/><Relationship Id="rId2154" Type="http://schemas.openxmlformats.org/officeDocument/2006/relationships/hyperlink" Target="https://fbref.com/en/country/COD/Congo-DR-Football" TargetMode="External"/><Relationship Id="rId477" Type="http://schemas.openxmlformats.org/officeDocument/2006/relationships/hyperlink" Target="https://fbref.com/en/players/5c74c0f5/Kiernan-Dewsbury-Hall" TargetMode="External"/><Relationship Id="rId2155" Type="http://schemas.openxmlformats.org/officeDocument/2006/relationships/hyperlink" Target="https://fbref.com/en/squads/b2b47a98/Newcastle-United-Stats" TargetMode="External"/><Relationship Id="rId476" Type="http://schemas.openxmlformats.org/officeDocument/2006/relationships/hyperlink" Target="https://fbref.com/en/players/6c2b66fc/matchlogs/2025-2026/misc/Justin-Devenny-Match-Logs" TargetMode="External"/><Relationship Id="rId2156" Type="http://schemas.openxmlformats.org/officeDocument/2006/relationships/hyperlink" Target="https://fbref.com/en/players/2500cef9/matchlogs/2025-2026/misc/Yoane-Wissa-Match-Logs" TargetMode="External"/><Relationship Id="rId475" Type="http://schemas.openxmlformats.org/officeDocument/2006/relationships/hyperlink" Target="https://fbref.com/en/squads/47c64c55/Crystal-Palace-Stats" TargetMode="External"/><Relationship Id="rId2157" Type="http://schemas.openxmlformats.org/officeDocument/2006/relationships/hyperlink" Target="https://fbref.com/en/players/7ca196eb/Nick-Woltemade" TargetMode="External"/><Relationship Id="rId474" Type="http://schemas.openxmlformats.org/officeDocument/2006/relationships/hyperlink" Target="https://fbref.com/en/country/NIR/Northern-Ireland-Football" TargetMode="External"/><Relationship Id="rId2158" Type="http://schemas.openxmlformats.org/officeDocument/2006/relationships/hyperlink" Target="https://fbref.com/en/country/GER/Germany-Football" TargetMode="External"/><Relationship Id="rId1257" Type="http://schemas.openxmlformats.org/officeDocument/2006/relationships/hyperlink" Target="https://fbref.com/en/players/ee38d9c5/James-Maddison" TargetMode="External"/><Relationship Id="rId2104" Type="http://schemas.openxmlformats.org/officeDocument/2006/relationships/hyperlink" Target="https://fbref.com/en/players/9886c32e/matchlogs/2025-2026/misc/Tom-Watson-Match-Logs" TargetMode="External"/><Relationship Id="rId1258" Type="http://schemas.openxmlformats.org/officeDocument/2006/relationships/hyperlink" Target="https://fbref.com/en/country/ENG/England-Football" TargetMode="External"/><Relationship Id="rId2105" Type="http://schemas.openxmlformats.org/officeDocument/2006/relationships/hyperlink" Target="https://fbref.com/en/players/882228c2/Max-Weiss" TargetMode="External"/><Relationship Id="rId1259" Type="http://schemas.openxmlformats.org/officeDocument/2006/relationships/hyperlink" Target="https://fbref.com/en/squads/361ca564/Tottenham-Hotspur-Stats" TargetMode="External"/><Relationship Id="rId2106" Type="http://schemas.openxmlformats.org/officeDocument/2006/relationships/hyperlink" Target="https://fbref.com/en/country/GER/Germany-Football" TargetMode="External"/><Relationship Id="rId2107" Type="http://schemas.openxmlformats.org/officeDocument/2006/relationships/hyperlink" Target="https://fbref.com/en/squads/943e8050/Burnley-Stats" TargetMode="External"/><Relationship Id="rId2108" Type="http://schemas.openxmlformats.org/officeDocument/2006/relationships/hyperlink" Target="https://fbref.com/en/players/882228c2/matchlogs/2025-2026/misc/Max-Weiss-Match-Logs" TargetMode="External"/><Relationship Id="rId2109" Type="http://schemas.openxmlformats.org/officeDocument/2006/relationships/hyperlink" Target="https://fbref.com/en/players/ce5143da/Danny-Welbeck" TargetMode="External"/><Relationship Id="rId426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ac31d35e/Jair-Cunha" TargetMode="External"/><Relationship Id="rId424" Type="http://schemas.openxmlformats.org/officeDocument/2006/relationships/hyperlink" Target="https://fbref.com/en/players/f6d7d690/matchlogs/2025-2026/misc/Josh-Cullen-Match-Logs" TargetMode="External"/><Relationship Id="rId423" Type="http://schemas.openxmlformats.org/officeDocument/2006/relationships/hyperlink" Target="https://fbref.com/en/squads/943e8050/Burnley-Stats" TargetMode="External"/><Relationship Id="rId429" Type="http://schemas.openxmlformats.org/officeDocument/2006/relationships/hyperlink" Target="https://fbref.com/en/players/dc62b55d/Matheus-Cunha" TargetMode="External"/><Relationship Id="rId428" Type="http://schemas.openxmlformats.org/officeDocument/2006/relationships/hyperlink" Target="https://fbref.com/en/players/ac31d35e/matchlogs/2025-2026/misc/Jair-Cunha-Match-Logs" TargetMode="External"/><Relationship Id="rId427" Type="http://schemas.openxmlformats.org/officeDocument/2006/relationships/hyperlink" Target="https://fbref.com/en/squads/e4a775cb/Nottingham-Forest-Stats" TargetMode="External"/><Relationship Id="rId1250" Type="http://schemas.openxmlformats.org/officeDocument/2006/relationships/hyperlink" Target="https://fbref.com/en/country/NED/Netherlands-Football" TargetMode="External"/><Relationship Id="rId1251" Type="http://schemas.openxmlformats.org/officeDocument/2006/relationships/hyperlink" Target="https://fbref.com/en/squads/8602292d/Aston-Villa-Stats" TargetMode="External"/><Relationship Id="rId1252" Type="http://schemas.openxmlformats.org/officeDocument/2006/relationships/hyperlink" Target="https://fbref.com/en/players/cab9634e/matchlogs/2025-2026/misc/Ian-Maatsen-Match-Logs" TargetMode="External"/><Relationship Id="rId422" Type="http://schemas.openxmlformats.org/officeDocument/2006/relationships/hyperlink" Target="https://fbref.com/en/country/IRL/Republic-of-Ireland-Football" TargetMode="External"/><Relationship Id="rId1253" Type="http://schemas.openxmlformats.org/officeDocument/2006/relationships/hyperlink" Target="https://fbref.com/en/players/83d074ff/Alexis-Mac-Allister" TargetMode="External"/><Relationship Id="rId2100" Type="http://schemas.openxmlformats.org/officeDocument/2006/relationships/hyperlink" Target="https://fbref.com/en/players/aed3a70f/matchlogs/2025-2026/misc/Ollie-Watkins-Match-Logs" TargetMode="External"/><Relationship Id="rId421" Type="http://schemas.openxmlformats.org/officeDocument/2006/relationships/hyperlink" Target="https://fbref.com/en/players/f6d7d690/Josh-Cullen" TargetMode="External"/><Relationship Id="rId1254" Type="http://schemas.openxmlformats.org/officeDocument/2006/relationships/hyperlink" Target="https://fbref.com/en/country/ARG/Argentina-Football" TargetMode="External"/><Relationship Id="rId2101" Type="http://schemas.openxmlformats.org/officeDocument/2006/relationships/hyperlink" Target="https://fbref.com/en/players/9886c32e/Tom-Watson" TargetMode="External"/><Relationship Id="rId420" Type="http://schemas.openxmlformats.org/officeDocument/2006/relationships/hyperlink" Target="https://fbref.com/en/players/0abc51f2/matchlogs/2025-2026/misc/Jorge-Cuenca-Match-Logs" TargetMode="External"/><Relationship Id="rId1255" Type="http://schemas.openxmlformats.org/officeDocument/2006/relationships/hyperlink" Target="https://fbref.com/en/squads/822bd0ba/Liverpool-Stats" TargetMode="External"/><Relationship Id="rId2102" Type="http://schemas.openxmlformats.org/officeDocument/2006/relationships/hyperlink" Target="https://fbref.com/en/country/ENG/England-Football" TargetMode="External"/><Relationship Id="rId1256" Type="http://schemas.openxmlformats.org/officeDocument/2006/relationships/hyperlink" Target="https://fbref.com/en/players/83d074ff/matchlogs/2025-2026/misc/Alexis-Mac-Allister-Match-Logs" TargetMode="External"/><Relationship Id="rId2103" Type="http://schemas.openxmlformats.org/officeDocument/2006/relationships/hyperlink" Target="https://fbref.com/en/squads/d07537b9/Brighton-and-Hove-Albion-Stats" TargetMode="External"/><Relationship Id="rId1246" Type="http://schemas.openxmlformats.org/officeDocument/2006/relationships/hyperlink" Target="https://fbref.com/en/country/SRB/Serbia-Football" TargetMode="External"/><Relationship Id="rId1247" Type="http://schemas.openxmlformats.org/officeDocument/2006/relationships/hyperlink" Target="https://fbref.com/en/squads/fd962109/Fulham-Stats" TargetMode="External"/><Relationship Id="rId1248" Type="http://schemas.openxmlformats.org/officeDocument/2006/relationships/hyperlink" Target="https://fbref.com/en/players/c6e8cf1f/matchlogs/2025-2026/misc/Sasa-Lukic-Match-Logs" TargetMode="External"/><Relationship Id="rId1249" Type="http://schemas.openxmlformats.org/officeDocument/2006/relationships/hyperlink" Target="https://fbref.com/en/players/cab9634e/Ian-Maatsen" TargetMode="External"/><Relationship Id="rId415" Type="http://schemas.openxmlformats.org/officeDocument/2006/relationships/hyperlink" Target="https://fbref.com/en/squads/cff3d9bb/Chelsea-Stats" TargetMode="External"/><Relationship Id="rId899" Type="http://schemas.openxmlformats.org/officeDocument/2006/relationships/hyperlink" Target="https://fbref.com/en/squads/7c21e445/West-Ham-United-Stats" TargetMode="External"/><Relationship Id="rId414" Type="http://schemas.openxmlformats.org/officeDocument/2006/relationships/hyperlink" Target="https://fbref.com/en/country/ESP/Spain-Football" TargetMode="External"/><Relationship Id="rId898" Type="http://schemas.openxmlformats.org/officeDocument/2006/relationships/hyperlink" Target="https://fbref.com/en/country/DEN/Denmark-Football" TargetMode="External"/><Relationship Id="rId413" Type="http://schemas.openxmlformats.org/officeDocument/2006/relationships/hyperlink" Target="https://fbref.com/en/players/1daec722/Marc-Cucurella" TargetMode="External"/><Relationship Id="rId897" Type="http://schemas.openxmlformats.org/officeDocument/2006/relationships/hyperlink" Target="https://fbref.com/en/players/c924b17d/Mads-Hermansen" TargetMode="External"/><Relationship Id="rId412" Type="http://schemas.openxmlformats.org/officeDocument/2006/relationships/hyperlink" Target="https://fbref.com/en/players/22ae86f9/matchlogs/2025-2026/misc/Diego-Coppola-Match-Logs" TargetMode="External"/><Relationship Id="rId896" Type="http://schemas.openxmlformats.org/officeDocument/2006/relationships/hyperlink" Target="https://fbref.com/en/players/8a3c1dc7/matchlogs/2025-2026/misc/Rico-Henry-Match-Logs" TargetMode="External"/><Relationship Id="rId419" Type="http://schemas.openxmlformats.org/officeDocument/2006/relationships/hyperlink" Target="https://fbref.com/en/squads/fd962109/Fulham-Stats" TargetMode="External"/><Relationship Id="rId418" Type="http://schemas.openxmlformats.org/officeDocument/2006/relationships/hyperlink" Target="https://fbref.com/en/country/ESP/Spain-Football" TargetMode="External"/><Relationship Id="rId417" Type="http://schemas.openxmlformats.org/officeDocument/2006/relationships/hyperlink" Target="https://fbref.com/en/players/0abc51f2/Jorge-Cuenca" TargetMode="External"/><Relationship Id="rId416" Type="http://schemas.openxmlformats.org/officeDocument/2006/relationships/hyperlink" Target="https://fbref.com/en/players/1daec722/matchlogs/2025-2026/misc/Marc-Cucurella-Match-Logs" TargetMode="External"/><Relationship Id="rId891" Type="http://schemas.openxmlformats.org/officeDocument/2006/relationships/hyperlink" Target="https://fbref.com/en/squads/cd051869/Brentford-Stats" TargetMode="External"/><Relationship Id="rId890" Type="http://schemas.openxmlformats.org/officeDocument/2006/relationships/hyperlink" Target="https://fbref.com/en/country/ENG/England-Football" TargetMode="External"/><Relationship Id="rId1240" Type="http://schemas.openxmlformats.org/officeDocument/2006/relationships/hyperlink" Target="https://fbref.com/en/players/6f7d826d/matchlogs/2025-2026/misc/Douglas-Luiz-Match-Logs" TargetMode="External"/><Relationship Id="rId1241" Type="http://schemas.openxmlformats.org/officeDocument/2006/relationships/hyperlink" Target="https://fbref.com/en/players/6f7d826d/Douglas-Luiz" TargetMode="External"/><Relationship Id="rId411" Type="http://schemas.openxmlformats.org/officeDocument/2006/relationships/hyperlink" Target="https://fbref.com/en/squads/d07537b9/Brighton-and-Hove-Albion-Stats" TargetMode="External"/><Relationship Id="rId895" Type="http://schemas.openxmlformats.org/officeDocument/2006/relationships/hyperlink" Target="https://fbref.com/en/squads/cd051869/Brentford-Stats" TargetMode="External"/><Relationship Id="rId1242" Type="http://schemas.openxmlformats.org/officeDocument/2006/relationships/hyperlink" Target="https://fbref.com/en/country/BRA/Brazil-Football" TargetMode="External"/><Relationship Id="rId410" Type="http://schemas.openxmlformats.org/officeDocument/2006/relationships/hyperlink" Target="https://fbref.com/en/country/ITA/Italy-Football" TargetMode="External"/><Relationship Id="rId894" Type="http://schemas.openxmlformats.org/officeDocument/2006/relationships/hyperlink" Target="https://fbref.com/en/country/JAM/Jamaica-Football" TargetMode="External"/><Relationship Id="rId1243" Type="http://schemas.openxmlformats.org/officeDocument/2006/relationships/hyperlink" Target="https://fbref.com/en/squads/e4a775cb/Nottingham-Forest-Stats" TargetMode="External"/><Relationship Id="rId893" Type="http://schemas.openxmlformats.org/officeDocument/2006/relationships/hyperlink" Target="https://fbref.com/en/players/8a3c1dc7/Rico-Henry" TargetMode="External"/><Relationship Id="rId1244" Type="http://schemas.openxmlformats.org/officeDocument/2006/relationships/hyperlink" Target="https://fbref.com/en/players/6f7d826d/matchlogs/2025-2026/misc/Douglas-Luiz-Match-Logs" TargetMode="External"/><Relationship Id="rId892" Type="http://schemas.openxmlformats.org/officeDocument/2006/relationships/hyperlink" Target="https://fbref.com/en/players/935e6b8f/matchlogs/2025-2026/misc/Jordan-Henderson-Match-Logs" TargetMode="External"/><Relationship Id="rId1245" Type="http://schemas.openxmlformats.org/officeDocument/2006/relationships/hyperlink" Target="https://fbref.com/en/players/c6e8cf1f/Sasa-Lukic" TargetMode="External"/><Relationship Id="rId1279" Type="http://schemas.openxmlformats.org/officeDocument/2006/relationships/hyperlink" Target="https://fbref.com/en/squads/19538871/Manchester-United-Stats" TargetMode="External"/><Relationship Id="rId2126" Type="http://schemas.openxmlformats.org/officeDocument/2006/relationships/hyperlink" Target="https://fbref.com/en/country/WAL/Wales-Football" TargetMode="External"/><Relationship Id="rId2127" Type="http://schemas.openxmlformats.org/officeDocument/2006/relationships/hyperlink" Target="https://fbref.com/en/squads/e4a775cb/Nottingham-Forest-Stats" TargetMode="External"/><Relationship Id="rId2128" Type="http://schemas.openxmlformats.org/officeDocument/2006/relationships/hyperlink" Target="https://fbref.com/en/players/dd323728/matchlogs/2025-2026/misc/Neco-Williams-Match-Logs" TargetMode="External"/><Relationship Id="rId2129" Type="http://schemas.openxmlformats.org/officeDocument/2006/relationships/hyperlink" Target="https://fbref.com/en/players/2eda11b1/Estevao-Willian" TargetMode="External"/><Relationship Id="rId448" Type="http://schemas.openxmlformats.org/officeDocument/2006/relationships/hyperlink" Target="https://fbref.com/en/players/cde3309f/matchlogs/2025-2026/misc/Karl-Darlow-Match-Logs" TargetMode="External"/><Relationship Id="rId447" Type="http://schemas.openxmlformats.org/officeDocument/2006/relationships/hyperlink" Target="https://fbref.com/en/squads/5bfb9659/Leeds-United-Stats" TargetMode="External"/><Relationship Id="rId446" Type="http://schemas.openxmlformats.org/officeDocument/2006/relationships/hyperlink" Target="https://fbref.com/en/country/WAL/Wales-Football" TargetMode="External"/><Relationship Id="rId445" Type="http://schemas.openxmlformats.org/officeDocument/2006/relationships/hyperlink" Target="https://fbref.com/en/players/cde3309f/Karl-Darlow" TargetMode="External"/><Relationship Id="rId449" Type="http://schemas.openxmlformats.org/officeDocument/2006/relationships/hyperlink" Target="https://fbref.com/en/players/60344e4f/Josh-Dasilva" TargetMode="External"/><Relationship Id="rId1270" Type="http://schemas.openxmlformats.org/officeDocument/2006/relationships/hyperlink" Target="https://fbref.com/en/country/FRA/France-Football" TargetMode="External"/><Relationship Id="rId440" Type="http://schemas.openxmlformats.org/officeDocument/2006/relationships/hyperlink" Target="https://fbref.com/en/players/215f3907/matchlogs/2025-2026/misc/Mikkel-Damsgaard-Match-Logs" TargetMode="External"/><Relationship Id="rId1271" Type="http://schemas.openxmlformats.org/officeDocument/2006/relationships/hyperlink" Target="https://fbref.com/en/squads/7c21e445/West-Ham-United-Stats" TargetMode="External"/><Relationship Id="rId1272" Type="http://schemas.openxmlformats.org/officeDocument/2006/relationships/hyperlink" Target="https://fbref.com/en/players/dfc5d4fa/matchlogs/2025-2026/misc/Soungoutou-Magassa-Match-Logs" TargetMode="External"/><Relationship Id="rId1273" Type="http://schemas.openxmlformats.org/officeDocument/2006/relationships/hyperlink" Target="https://fbref.com/en/players/d8931174/Harry-Maguire" TargetMode="External"/><Relationship Id="rId2120" Type="http://schemas.openxmlformats.org/officeDocument/2006/relationships/hyperlink" Target="https://fbref.com/en/players/35e413f1/matchlogs/2025-2026/misc/Ben-White-Match-Logs" TargetMode="External"/><Relationship Id="rId1274" Type="http://schemas.openxmlformats.org/officeDocument/2006/relationships/hyperlink" Target="https://fbref.com/en/country/ENG/England-Football" TargetMode="External"/><Relationship Id="rId2121" Type="http://schemas.openxmlformats.org/officeDocument/2006/relationships/hyperlink" Target="https://fbref.com/en/players/4876c9ab/Mats-Wieffer" TargetMode="External"/><Relationship Id="rId444" Type="http://schemas.openxmlformats.org/officeDocument/2006/relationships/hyperlink" Target="https://fbref.com/en/players/6e33125f/matchlogs/2025-2026/misc/Kevin-Danso-Match-Logs" TargetMode="External"/><Relationship Id="rId1275" Type="http://schemas.openxmlformats.org/officeDocument/2006/relationships/hyperlink" Target="https://fbref.com/en/squads/19538871/Manchester-United-Stats" TargetMode="External"/><Relationship Id="rId2122" Type="http://schemas.openxmlformats.org/officeDocument/2006/relationships/hyperlink" Target="https://fbref.com/en/country/NED/Netherlands-Football" TargetMode="External"/><Relationship Id="rId443" Type="http://schemas.openxmlformats.org/officeDocument/2006/relationships/hyperlink" Target="https://fbref.com/en/squads/361ca564/Tottenham-Hotspur-Stats" TargetMode="External"/><Relationship Id="rId1276" Type="http://schemas.openxmlformats.org/officeDocument/2006/relationships/hyperlink" Target="https://fbref.com/en/players/d8931174/matchlogs/2025-2026/misc/Harry-Maguire-Match-Logs" TargetMode="External"/><Relationship Id="rId2123" Type="http://schemas.openxmlformats.org/officeDocument/2006/relationships/hyperlink" Target="https://fbref.com/en/squads/d07537b9/Brighton-and-Hove-Albion-Stats" TargetMode="External"/><Relationship Id="rId442" Type="http://schemas.openxmlformats.org/officeDocument/2006/relationships/hyperlink" Target="https://fbref.com/en/country/AUT/Austria-Football" TargetMode="External"/><Relationship Id="rId1277" Type="http://schemas.openxmlformats.org/officeDocument/2006/relationships/hyperlink" Target="https://fbref.com/en/players/c6220452/Kobbie-Mainoo" TargetMode="External"/><Relationship Id="rId2124" Type="http://schemas.openxmlformats.org/officeDocument/2006/relationships/hyperlink" Target="https://fbref.com/en/players/4876c9ab/matchlogs/2025-2026/misc/Mats-Wieffer-Match-Logs" TargetMode="External"/><Relationship Id="rId441" Type="http://schemas.openxmlformats.org/officeDocument/2006/relationships/hyperlink" Target="https://fbref.com/en/players/6e33125f/Kevin-Danso" TargetMode="External"/><Relationship Id="rId1278" Type="http://schemas.openxmlformats.org/officeDocument/2006/relationships/hyperlink" Target="https://fbref.com/en/country/ENG/England-Football" TargetMode="External"/><Relationship Id="rId2125" Type="http://schemas.openxmlformats.org/officeDocument/2006/relationships/hyperlink" Target="https://fbref.com/en/players/dd323728/Neco-Williams" TargetMode="External"/><Relationship Id="rId1268" Type="http://schemas.openxmlformats.org/officeDocument/2006/relationships/hyperlink" Target="https://fbref.com/en/players/67ac5bb8/matchlogs/2025-2026/misc/Gabriel-Magalhaes-Match-Logs" TargetMode="External"/><Relationship Id="rId2115" Type="http://schemas.openxmlformats.org/officeDocument/2006/relationships/hyperlink" Target="https://fbref.com/en/squads/47c64c55/Crystal-Palace-Stats" TargetMode="External"/><Relationship Id="rId1269" Type="http://schemas.openxmlformats.org/officeDocument/2006/relationships/hyperlink" Target="https://fbref.com/en/players/dfc5d4fa/Soungoutou-Magassa" TargetMode="External"/><Relationship Id="rId2116" Type="http://schemas.openxmlformats.org/officeDocument/2006/relationships/hyperlink" Target="https://fbref.com/en/players/4b542852/matchlogs/2025-2026/misc/Adam-Wharton-Match-Logs" TargetMode="External"/><Relationship Id="rId2117" Type="http://schemas.openxmlformats.org/officeDocument/2006/relationships/hyperlink" Target="https://fbref.com/en/players/35e413f1/Ben-White" TargetMode="External"/><Relationship Id="rId2118" Type="http://schemas.openxmlformats.org/officeDocument/2006/relationships/hyperlink" Target="https://fbref.com/en/country/ENG/England-Football" TargetMode="External"/><Relationship Id="rId2119" Type="http://schemas.openxmlformats.org/officeDocument/2006/relationships/hyperlink" Target="https://fbref.com/en/squads/18bb7c10/Arsenal-Stats" TargetMode="External"/><Relationship Id="rId437" Type="http://schemas.openxmlformats.org/officeDocument/2006/relationships/hyperlink" Target="https://fbref.com/en/players/215f3907/Mikkel-Damsgaard" TargetMode="External"/><Relationship Id="rId436" Type="http://schemas.openxmlformats.org/officeDocument/2006/relationships/hyperlink" Target="https://fbref.com/en/players/d9565625/matchlogs/2025-2026/misc/Diogo-Dalot-Match-Logs" TargetMode="External"/><Relationship Id="rId435" Type="http://schemas.openxmlformats.org/officeDocument/2006/relationships/hyperlink" Target="https://fbref.com/en/squads/19538871/Manchester-United-Stats" TargetMode="External"/><Relationship Id="rId434" Type="http://schemas.openxmlformats.org/officeDocument/2006/relationships/hyperlink" Target="https://fbref.com/en/country/POR/Portugal-Football" TargetMode="External"/><Relationship Id="rId439" Type="http://schemas.openxmlformats.org/officeDocument/2006/relationships/hyperlink" Target="https://fbref.com/en/squads/cd051869/Brentford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ee38d9c5/matchlogs/2025-2026/misc/James-Maddison-Match-Logs" TargetMode="External"/><Relationship Id="rId1261" Type="http://schemas.openxmlformats.org/officeDocument/2006/relationships/hyperlink" Target="https://fbref.com/en/players/bf34eebd/Noni-Madueke" TargetMode="External"/><Relationship Id="rId1262" Type="http://schemas.openxmlformats.org/officeDocument/2006/relationships/hyperlink" Target="https://fbref.com/en/country/ENG/England-Football" TargetMode="External"/><Relationship Id="rId1263" Type="http://schemas.openxmlformats.org/officeDocument/2006/relationships/hyperlink" Target="https://fbref.com/en/squads/18bb7c10/Arsenal-Stats" TargetMode="External"/><Relationship Id="rId2110" Type="http://schemas.openxmlformats.org/officeDocument/2006/relationships/hyperlink" Target="https://fbref.com/en/country/ENG/England-Football" TargetMode="External"/><Relationship Id="rId433" Type="http://schemas.openxmlformats.org/officeDocument/2006/relationships/hyperlink" Target="https://fbref.com/en/players/d9565625/Diogo-Dalot" TargetMode="External"/><Relationship Id="rId1264" Type="http://schemas.openxmlformats.org/officeDocument/2006/relationships/hyperlink" Target="https://fbref.com/en/players/bf34eebd/matchlogs/2025-2026/misc/Noni-Madueke-Match-Logs" TargetMode="External"/><Relationship Id="rId2111" Type="http://schemas.openxmlformats.org/officeDocument/2006/relationships/hyperlink" Target="https://fbref.com/en/squads/d07537b9/Brighton-and-Hove-Albion-Stats" TargetMode="External"/><Relationship Id="rId432" Type="http://schemas.openxmlformats.org/officeDocument/2006/relationships/hyperlink" Target="https://fbref.com/en/players/dc62b55d/matchlogs/2025-2026/misc/Matheus-Cunha-Match-Logs" TargetMode="External"/><Relationship Id="rId1265" Type="http://schemas.openxmlformats.org/officeDocument/2006/relationships/hyperlink" Target="https://fbref.com/en/players/67ac5bb8/Gabriel-Magalhaes" TargetMode="External"/><Relationship Id="rId2112" Type="http://schemas.openxmlformats.org/officeDocument/2006/relationships/hyperlink" Target="https://fbref.com/en/players/ce5143da/matchlogs/2025-2026/misc/Danny-Welbeck-Match-Logs" TargetMode="External"/><Relationship Id="rId431" Type="http://schemas.openxmlformats.org/officeDocument/2006/relationships/hyperlink" Target="https://fbref.com/en/squads/19538871/Manchester-United-Stats" TargetMode="External"/><Relationship Id="rId1266" Type="http://schemas.openxmlformats.org/officeDocument/2006/relationships/hyperlink" Target="https://fbref.com/en/country/BRA/Brazil-Football" TargetMode="External"/><Relationship Id="rId2113" Type="http://schemas.openxmlformats.org/officeDocument/2006/relationships/hyperlink" Target="https://fbref.com/en/players/4b542852/Adam-Wharton" TargetMode="External"/><Relationship Id="rId430" Type="http://schemas.openxmlformats.org/officeDocument/2006/relationships/hyperlink" Target="https://fbref.com/en/country/BRA/Brazil-Football" TargetMode="External"/><Relationship Id="rId1267" Type="http://schemas.openxmlformats.org/officeDocument/2006/relationships/hyperlink" Target="https://fbref.com/en/squads/18bb7c10/Arsenal-Stats" TargetMode="External"/><Relationship Id="rId2114" Type="http://schemas.openxmlformats.org/officeDocument/2006/relationships/hyperlink" Target="https://fbref.com/en/country/ENG/England-Football" TargetMode="Externa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b2d31e83/matchlogs/2025-2026/summary/Dan-Burn-Match-Logs" TargetMode="External"/><Relationship Id="rId391" Type="http://schemas.openxmlformats.org/officeDocument/2006/relationships/hyperlink" Target="https://fbref.com/en/squads/b2b47a98/Newcastle-United-Stats" TargetMode="External"/><Relationship Id="rId390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players/5bc43860/Brenden-Aaronson" TargetMode="External"/><Relationship Id="rId2" Type="http://schemas.openxmlformats.org/officeDocument/2006/relationships/hyperlink" Target="https://fbref.com/en/country/USA/United-States-Football" TargetMode="External"/><Relationship Id="rId3" Type="http://schemas.openxmlformats.org/officeDocument/2006/relationships/hyperlink" Target="https://fbref.com/en/squads/5bfb9659/Leeds-United-Stats" TargetMode="External"/><Relationship Id="rId4" Type="http://schemas.openxmlformats.org/officeDocument/2006/relationships/hyperlink" Target="https://fbref.com/en/players/5bc43860/matchlogs/2025-2026/summary/Brenden-Aaronson-Match-Logs" TargetMode="External"/><Relationship Id="rId2180" Type="http://schemas.openxmlformats.org/officeDocument/2006/relationships/hyperlink" Target="https://fbref.com/en/players/da8b19e2/John-Ruddy" TargetMode="External"/><Relationship Id="rId2181" Type="http://schemas.openxmlformats.org/officeDocument/2006/relationships/hyperlink" Target="https://fbref.com/en/country/ENG/England-Football" TargetMode="External"/><Relationship Id="rId2182" Type="http://schemas.openxmlformats.org/officeDocument/2006/relationships/hyperlink" Target="https://fbref.com/en/squads/b2b47a98/Newcastle-United-Stats" TargetMode="External"/><Relationship Id="rId2183" Type="http://schemas.openxmlformats.org/officeDocument/2006/relationships/hyperlink" Target="https://fbref.com/en/players/da8b19e2/matchlogs/2025-2026/summary/John-Ruddy-Match-Logs" TargetMode="External"/><Relationship Id="rId9" Type="http://schemas.openxmlformats.org/officeDocument/2006/relationships/hyperlink" Target="https://fbref.com/en/players/c103921a/Zach-Abbott" TargetMode="External"/><Relationship Id="rId385" Type="http://schemas.openxmlformats.org/officeDocument/2006/relationships/hyperlink" Target="https://fbref.com/en/players/468a7a91/Facundo-Buonanotte" TargetMode="External"/><Relationship Id="rId2184" Type="http://schemas.openxmlformats.org/officeDocument/2006/relationships/hyperlink" Target="https://fbref.com/en/players/c64c01fc/Georginio-Rutter" TargetMode="External"/><Relationship Id="rId384" Type="http://schemas.openxmlformats.org/officeDocument/2006/relationships/hyperlink" Target="https://fbref.com/en/players/468a7a91/matchlogs/2025-2026/summary/Facundo-Buonanotte-Match-Logs" TargetMode="External"/><Relationship Id="rId2185" Type="http://schemas.openxmlformats.org/officeDocument/2006/relationships/hyperlink" Target="https://fbref.com/en/country/FRA/France-Football" TargetMode="External"/><Relationship Id="rId383" Type="http://schemas.openxmlformats.org/officeDocument/2006/relationships/hyperlink" Target="https://fbref.com/en/squads/cff3d9bb/Chelsea-Stats" TargetMode="External"/><Relationship Id="rId2186" Type="http://schemas.openxmlformats.org/officeDocument/2006/relationships/hyperlink" Target="https://fbref.com/en/squads/d07537b9/Brighton-and-Hove-Albion-Stats" TargetMode="External"/><Relationship Id="rId382" Type="http://schemas.openxmlformats.org/officeDocument/2006/relationships/hyperlink" Target="https://fbref.com/en/country/ARG/Argentina-Football" TargetMode="External"/><Relationship Id="rId2187" Type="http://schemas.openxmlformats.org/officeDocument/2006/relationships/hyperlink" Target="https://fbref.com/en/players/c64c01fc/matchlogs/2025-2026/summary/Georginio-Rutter-Match-Logs" TargetMode="External"/><Relationship Id="rId5" Type="http://schemas.openxmlformats.org/officeDocument/2006/relationships/hyperlink" Target="https://fbref.com/en/players/4f504fcc/Jerome-Abbey" TargetMode="External"/><Relationship Id="rId389" Type="http://schemas.openxmlformats.org/officeDocument/2006/relationships/hyperlink" Target="https://fbref.com/en/players/b2d31e83/Dan-Burn" TargetMode="External"/><Relationship Id="rId2188" Type="http://schemas.openxmlformats.org/officeDocument/2006/relationships/hyperlink" Target="https://fbref.com/en/players/903b6e8b/Jose-Sa" TargetMode="External"/><Relationship Id="rId6" Type="http://schemas.openxmlformats.org/officeDocument/2006/relationships/hyperlink" Target="https://fbref.com/en/country/ENG/England-Football" TargetMode="External"/><Relationship Id="rId388" Type="http://schemas.openxmlformats.org/officeDocument/2006/relationships/hyperlink" Target="https://fbref.com/en/players/468a7a91/matchlogs/2025-2026/summary/Facundo-Buonanotte-Match-Logs" TargetMode="External"/><Relationship Id="rId2189" Type="http://schemas.openxmlformats.org/officeDocument/2006/relationships/hyperlink" Target="https://fbref.com/en/country/POR/Portugal-Football" TargetMode="External"/><Relationship Id="rId7" Type="http://schemas.openxmlformats.org/officeDocument/2006/relationships/hyperlink" Target="https://fbref.com/en/squads/8cec06e1/Wolverhampton-Wanderers-Stats" TargetMode="External"/><Relationship Id="rId387" Type="http://schemas.openxmlformats.org/officeDocument/2006/relationships/hyperlink" Target="https://fbref.com/en/squads/5bfb9659/Leeds-United-Stats" TargetMode="External"/><Relationship Id="rId8" Type="http://schemas.openxmlformats.org/officeDocument/2006/relationships/hyperlink" Target="https://fbref.com/en/players/4f504fcc/matchlogs/2025-2026/summary/Jerome-Abbey-Match-Logs" TargetMode="External"/><Relationship Id="rId386" Type="http://schemas.openxmlformats.org/officeDocument/2006/relationships/hyperlink" Target="https://fbref.com/en/country/ARG/Argentina-Football" TargetMode="External"/><Relationship Id="rId381" Type="http://schemas.openxmlformats.org/officeDocument/2006/relationships/hyperlink" Target="https://fbref.com/en/players/468a7a91/Facundo-Buonanotte" TargetMode="External"/><Relationship Id="rId380" Type="http://schemas.openxmlformats.org/officeDocument/2006/relationships/hyperlink" Target="https://fbref.com/en/players/edc98fac/matchlogs/2025-2026/summary/Santiago-Bueno-Match-Logs" TargetMode="External"/><Relationship Id="rId379" Type="http://schemas.openxmlformats.org/officeDocument/2006/relationships/hyperlink" Target="https://fbref.com/en/squads/8cec06e1/Wolverhampton-Wanderers-Stats" TargetMode="External"/><Relationship Id="rId2170" Type="http://schemas.openxmlformats.org/officeDocument/2006/relationships/hyperlink" Target="https://fbref.com/en/squads/8602292d/Aston-Villa-Stats" TargetMode="External"/><Relationship Id="rId2171" Type="http://schemas.openxmlformats.org/officeDocument/2006/relationships/hyperlink" Target="https://fbref.com/en/players/e2177db5/matchlogs/2025-2026/summary/Leon-Routh-Match-Logs" TargetMode="External"/><Relationship Id="rId2172" Type="http://schemas.openxmlformats.org/officeDocument/2006/relationships/hyperlink" Target="https://fbref.com/en/players/3fcc22d5/Triston-Rowe" TargetMode="External"/><Relationship Id="rId374" Type="http://schemas.openxmlformats.org/officeDocument/2006/relationships/hyperlink" Target="https://fbref.com/en/country/ESP/Spain-Football" TargetMode="External"/><Relationship Id="rId2173" Type="http://schemas.openxmlformats.org/officeDocument/2006/relationships/hyperlink" Target="https://fbref.com/en/country/ENG/England-Football" TargetMode="External"/><Relationship Id="rId373" Type="http://schemas.openxmlformats.org/officeDocument/2006/relationships/hyperlink" Target="https://fbref.com/en/players/bfc3b3a0/Hugo-Bueno" TargetMode="External"/><Relationship Id="rId2174" Type="http://schemas.openxmlformats.org/officeDocument/2006/relationships/hyperlink" Target="https://fbref.com/en/squads/8602292d/Aston-Villa-Stats" TargetMode="External"/><Relationship Id="rId372" Type="http://schemas.openxmlformats.org/officeDocument/2006/relationships/hyperlink" Target="https://fbref.com/en/players/66b76d44/matchlogs/2025-2026/summary/Emi-Buendia-Match-Logs" TargetMode="External"/><Relationship Id="rId2175" Type="http://schemas.openxmlformats.org/officeDocument/2006/relationships/hyperlink" Target="https://fbref.com/en/players/3fcc22d5/matchlogs/2025-2026/summary/Triston-Rowe-Match-Logs" TargetMode="External"/><Relationship Id="rId371" Type="http://schemas.openxmlformats.org/officeDocument/2006/relationships/hyperlink" Target="https://fbref.com/en/squads/8602292d/Aston-Villa-Stats" TargetMode="External"/><Relationship Id="rId2176" Type="http://schemas.openxmlformats.org/officeDocument/2006/relationships/hyperlink" Target="https://fbref.com/en/players/419147f7/James-Rowswell" TargetMode="External"/><Relationship Id="rId378" Type="http://schemas.openxmlformats.org/officeDocument/2006/relationships/hyperlink" Target="https://fbref.com/en/country/URU/Uruguay-Football" TargetMode="External"/><Relationship Id="rId2177" Type="http://schemas.openxmlformats.org/officeDocument/2006/relationships/hyperlink" Target="https://fbref.com/en/country/ENG/England-Football" TargetMode="External"/><Relationship Id="rId377" Type="http://schemas.openxmlformats.org/officeDocument/2006/relationships/hyperlink" Target="https://fbref.com/en/players/edc98fac/Santiago-Bueno" TargetMode="External"/><Relationship Id="rId2178" Type="http://schemas.openxmlformats.org/officeDocument/2006/relationships/hyperlink" Target="https://fbref.com/en/squads/361ca564/Tottenham-Hotspur-Stats" TargetMode="External"/><Relationship Id="rId376" Type="http://schemas.openxmlformats.org/officeDocument/2006/relationships/hyperlink" Target="https://fbref.com/en/players/bfc3b3a0/matchlogs/2025-2026/summary/Hugo-Bueno-Match-Logs" TargetMode="External"/><Relationship Id="rId2179" Type="http://schemas.openxmlformats.org/officeDocument/2006/relationships/hyperlink" Target="https://fbref.com/en/players/419147f7/matchlogs/2025-2026/summary/James-Rowswell-Match-Logs" TargetMode="External"/><Relationship Id="rId375" Type="http://schemas.openxmlformats.org/officeDocument/2006/relationships/hyperlink" Target="https://fbref.com/en/squads/8cec06e1/Wolverhampton-Wanderers-Stats" TargetMode="External"/><Relationship Id="rId2190" Type="http://schemas.openxmlformats.org/officeDocument/2006/relationships/hyperlink" Target="https://fbref.com/en/squads/8cec06e1/Wolverhampton-Wanderers-Stats" TargetMode="External"/><Relationship Id="rId2191" Type="http://schemas.openxmlformats.org/officeDocument/2006/relationships/hyperlink" Target="https://fbref.com/en/players/903b6e8b/matchlogs/2025-2026/summary/Jose-Sa-Match-Logs" TargetMode="External"/><Relationship Id="rId2192" Type="http://schemas.openxmlformats.org/officeDocument/2006/relationships/hyperlink" Target="https://fbref.com/en/players/54778940/Dominic-Sadi" TargetMode="External"/><Relationship Id="rId2193" Type="http://schemas.openxmlformats.org/officeDocument/2006/relationships/hyperlink" Target="https://fbref.com/en/country/ENG/England-Football" TargetMode="External"/><Relationship Id="rId2194" Type="http://schemas.openxmlformats.org/officeDocument/2006/relationships/hyperlink" Target="https://fbref.com/en/squads/4ba7cbea/Bournemouth-Stats" TargetMode="External"/><Relationship Id="rId396" Type="http://schemas.openxmlformats.org/officeDocument/2006/relationships/hyperlink" Target="https://fbref.com/en/players/802ee5ca/matchlogs/2025-2026/summary/Bradley-Burrowes-Match-Logs" TargetMode="External"/><Relationship Id="rId2195" Type="http://schemas.openxmlformats.org/officeDocument/2006/relationships/hyperlink" Target="https://fbref.com/en/players/54778940/matchlogs/2025-2026/summary/Dominic-Sadi-Match-Logs" TargetMode="External"/><Relationship Id="rId395" Type="http://schemas.openxmlformats.org/officeDocument/2006/relationships/hyperlink" Target="https://fbref.com/en/squads/8602292d/Aston-Villa-Stats" TargetMode="External"/><Relationship Id="rId2196" Type="http://schemas.openxmlformats.org/officeDocument/2006/relationships/hyperlink" Target="https://fbref.com/en/players/645481cc/Noah-Sadiki" TargetMode="External"/><Relationship Id="rId394" Type="http://schemas.openxmlformats.org/officeDocument/2006/relationships/hyperlink" Target="https://fbref.com/en/country/ENG/England-Football" TargetMode="External"/><Relationship Id="rId2197" Type="http://schemas.openxmlformats.org/officeDocument/2006/relationships/hyperlink" Target="https://fbref.com/en/country/COD/Congo-DR-Football" TargetMode="External"/><Relationship Id="rId393" Type="http://schemas.openxmlformats.org/officeDocument/2006/relationships/hyperlink" Target="https://fbref.com/en/players/802ee5ca/Bradley-Burrowes" TargetMode="External"/><Relationship Id="rId2198" Type="http://schemas.openxmlformats.org/officeDocument/2006/relationships/hyperlink" Target="https://fbref.com/en/squads/8ef52968/Sunderland-Stats" TargetMode="External"/><Relationship Id="rId2199" Type="http://schemas.openxmlformats.org/officeDocument/2006/relationships/hyperlink" Target="https://fbref.com/en/players/645481cc/matchlogs/2025-2026/summary/Noah-Sadiki-Match-Logs" TargetMode="External"/><Relationship Id="rId399" Type="http://schemas.openxmlformats.org/officeDocument/2006/relationships/hyperlink" Target="https://fbref.com/en/squads/361ca564/Tottenham-Hotspur-Stats" TargetMode="External"/><Relationship Id="rId398" Type="http://schemas.openxmlformats.org/officeDocument/2006/relationships/hyperlink" Target="https://fbref.com/en/country/ENG/England-Football" TargetMode="External"/><Relationship Id="rId397" Type="http://schemas.openxmlformats.org/officeDocument/2006/relationships/hyperlink" Target="https://fbref.com/en/players/0312881b/Junai-Byfield" TargetMode="External"/><Relationship Id="rId1730" Type="http://schemas.openxmlformats.org/officeDocument/2006/relationships/hyperlink" Target="https://fbref.com/en/squads/d07537b9/Brighton-and-Hove-Albion-Stats" TargetMode="External"/><Relationship Id="rId1731" Type="http://schemas.openxmlformats.org/officeDocument/2006/relationships/hyperlink" Target="https://fbref.com/en/players/74618572/matchlogs/2025-2026/summary/Kaoru-Mitoma-Match-Logs" TargetMode="External"/><Relationship Id="rId1732" Type="http://schemas.openxmlformats.org/officeDocument/2006/relationships/hyperlink" Target="https://fbref.com/en/players/e7434f04/Simon-Moore" TargetMode="External"/><Relationship Id="rId1733" Type="http://schemas.openxmlformats.org/officeDocument/2006/relationships/hyperlink" Target="https://fbref.com/en/country/ENG/England-Football" TargetMode="External"/><Relationship Id="rId1734" Type="http://schemas.openxmlformats.org/officeDocument/2006/relationships/hyperlink" Target="https://fbref.com/en/squads/8ef52968/Sunderland-Stats" TargetMode="External"/><Relationship Id="rId1735" Type="http://schemas.openxmlformats.org/officeDocument/2006/relationships/hyperlink" Target="https://fbref.com/en/players/e7434f04/matchlogs/2025-2026/summary/Simon-Moore-Match-Logs" TargetMode="External"/><Relationship Id="rId1736" Type="http://schemas.openxmlformats.org/officeDocument/2006/relationships/hyperlink" Target="https://fbref.com/en/players/973d6049/Jack-Moorhouse" TargetMode="External"/><Relationship Id="rId1737" Type="http://schemas.openxmlformats.org/officeDocument/2006/relationships/hyperlink" Target="https://fbref.com/en/country/IRL/Republic-of-Ireland-Football" TargetMode="External"/><Relationship Id="rId1738" Type="http://schemas.openxmlformats.org/officeDocument/2006/relationships/hyperlink" Target="https://fbref.com/en/squads/19538871/Manchester-United-Stats" TargetMode="External"/><Relationship Id="rId1739" Type="http://schemas.openxmlformats.org/officeDocument/2006/relationships/hyperlink" Target="https://fbref.com/en/players/973d6049/matchlogs/2025-2026/summary/Jack-Moorhouse-Match-Logs" TargetMode="External"/><Relationship Id="rId1720" Type="http://schemas.openxmlformats.org/officeDocument/2006/relationships/hyperlink" Target="https://fbref.com/en/players/c3cf087d/Yankuba-Minteh" TargetMode="External"/><Relationship Id="rId1721" Type="http://schemas.openxmlformats.org/officeDocument/2006/relationships/hyperlink" Target="https://fbref.com/en/country/GAM/Gambia-Football" TargetMode="External"/><Relationship Id="rId1722" Type="http://schemas.openxmlformats.org/officeDocument/2006/relationships/hyperlink" Target="https://fbref.com/en/squads/d07537b9/Brighton-and-Hove-Albion-Stats" TargetMode="External"/><Relationship Id="rId1723" Type="http://schemas.openxmlformats.org/officeDocument/2006/relationships/hyperlink" Target="https://fbref.com/en/players/c3cf087d/matchlogs/2025-2026/summary/Yankuba-Minteh-Match-Logs" TargetMode="External"/><Relationship Id="rId1724" Type="http://schemas.openxmlformats.org/officeDocument/2006/relationships/hyperlink" Target="https://fbref.com/en/players/5cbd1eb0/Tyrick-Mitchell" TargetMode="External"/><Relationship Id="rId1725" Type="http://schemas.openxmlformats.org/officeDocument/2006/relationships/hyperlink" Target="https://fbref.com/en/country/ENG/England-Football" TargetMode="External"/><Relationship Id="rId1726" Type="http://schemas.openxmlformats.org/officeDocument/2006/relationships/hyperlink" Target="https://fbref.com/en/squads/47c64c55/Crystal-Palace-Stats" TargetMode="External"/><Relationship Id="rId1727" Type="http://schemas.openxmlformats.org/officeDocument/2006/relationships/hyperlink" Target="https://fbref.com/en/players/5cbd1eb0/matchlogs/2025-2026/summary/Tyrick-Mitchell-Match-Logs" TargetMode="External"/><Relationship Id="rId1728" Type="http://schemas.openxmlformats.org/officeDocument/2006/relationships/hyperlink" Target="https://fbref.com/en/players/74618572/Kaoru-Mitoma" TargetMode="External"/><Relationship Id="rId1729" Type="http://schemas.openxmlformats.org/officeDocument/2006/relationships/hyperlink" Target="https://fbref.com/en/country/JPN/Japan-Football" TargetMode="External"/><Relationship Id="rId1752" Type="http://schemas.openxmlformats.org/officeDocument/2006/relationships/hyperlink" Target="https://fbref.com/en/players/1e159d70/Yerson-Mosquera" TargetMode="External"/><Relationship Id="rId1753" Type="http://schemas.openxmlformats.org/officeDocument/2006/relationships/hyperlink" Target="https://fbref.com/en/country/COL/Colombia-Football" TargetMode="External"/><Relationship Id="rId2600" Type="http://schemas.openxmlformats.org/officeDocument/2006/relationships/hyperlink" Target="https://fbref.com/en/country/NED/Netherlands-Football" TargetMode="External"/><Relationship Id="rId1754" Type="http://schemas.openxmlformats.org/officeDocument/2006/relationships/hyperlink" Target="https://fbref.com/en/squads/8cec06e1/Wolverhampton-Wanderers-Stats" TargetMode="External"/><Relationship Id="rId2601" Type="http://schemas.openxmlformats.org/officeDocument/2006/relationships/hyperlink" Target="https://fbref.com/en/squads/361ca564/Tottenham-Hotspur-Stats" TargetMode="External"/><Relationship Id="rId1755" Type="http://schemas.openxmlformats.org/officeDocument/2006/relationships/hyperlink" Target="https://fbref.com/en/players/1e159d70/matchlogs/2025-2026/summary/Yerson-Mosquera-Match-Logs" TargetMode="External"/><Relationship Id="rId2602" Type="http://schemas.openxmlformats.org/officeDocument/2006/relationships/hyperlink" Target="https://fbref.com/en/players/8fe2a392/matchlogs/2025-2026/summary/Micky-van-de-Ven-Match-Logs" TargetMode="External"/><Relationship Id="rId1756" Type="http://schemas.openxmlformats.org/officeDocument/2006/relationships/hyperlink" Target="https://fbref.com/en/players/9674002f/Mason-Mount" TargetMode="External"/><Relationship Id="rId2603" Type="http://schemas.openxmlformats.org/officeDocument/2006/relationships/hyperlink" Target="https://fbref.com/en/players/cf134113/Bart-Verbruggen" TargetMode="External"/><Relationship Id="rId1757" Type="http://schemas.openxmlformats.org/officeDocument/2006/relationships/hyperlink" Target="https://fbref.com/en/country/ENG/England-Football" TargetMode="External"/><Relationship Id="rId2604" Type="http://schemas.openxmlformats.org/officeDocument/2006/relationships/hyperlink" Target="https://fbref.com/en/country/NED/Netherlands-Football" TargetMode="External"/><Relationship Id="rId1758" Type="http://schemas.openxmlformats.org/officeDocument/2006/relationships/hyperlink" Target="https://fbref.com/en/squads/19538871/Manchester-United-Stats" TargetMode="External"/><Relationship Id="rId2605" Type="http://schemas.openxmlformats.org/officeDocument/2006/relationships/hyperlink" Target="https://fbref.com/en/squads/d07537b9/Brighton-and-Hove-Albion-Stats" TargetMode="External"/><Relationship Id="rId1759" Type="http://schemas.openxmlformats.org/officeDocument/2006/relationships/hyperlink" Target="https://fbref.com/en/players/9674002f/matchlogs/2025-2026/summary/Mason-Mount-Match-Logs" TargetMode="External"/><Relationship Id="rId2606" Type="http://schemas.openxmlformats.org/officeDocument/2006/relationships/hyperlink" Target="https://fbref.com/en/players/cf134113/matchlogs/2025-2026/summary/Bart-Verbruggen-Match-Logs" TargetMode="External"/><Relationship Id="rId808" Type="http://schemas.openxmlformats.org/officeDocument/2006/relationships/hyperlink" Target="https://fbref.com/en/players/ed1e53f3/matchlogs/2025-2026/summary/Phil-Foden-Match-Logs" TargetMode="External"/><Relationship Id="rId2607" Type="http://schemas.openxmlformats.org/officeDocument/2006/relationships/hyperlink" Target="https://fbref.com/en/players/77d6fd4d/Guglielmo-Vicario" TargetMode="External"/><Relationship Id="rId807" Type="http://schemas.openxmlformats.org/officeDocument/2006/relationships/hyperlink" Target="https://fbref.com/en/squads/b8fd03ef/Manchester-City-Stats" TargetMode="External"/><Relationship Id="rId2608" Type="http://schemas.openxmlformats.org/officeDocument/2006/relationships/hyperlink" Target="https://fbref.com/en/country/ITA/Italy-Football" TargetMode="External"/><Relationship Id="rId806" Type="http://schemas.openxmlformats.org/officeDocument/2006/relationships/hyperlink" Target="https://fbref.com/en/country/ENG/England-Football" TargetMode="External"/><Relationship Id="rId2609" Type="http://schemas.openxmlformats.org/officeDocument/2006/relationships/hyperlink" Target="https://fbref.com/en/squads/361ca564/Tottenham-Hotspur-Stats" TargetMode="External"/><Relationship Id="rId805" Type="http://schemas.openxmlformats.org/officeDocument/2006/relationships/hyperlink" Target="https://fbref.com/en/players/ed1e53f3/Phil-Foden" TargetMode="External"/><Relationship Id="rId809" Type="http://schemas.openxmlformats.org/officeDocument/2006/relationships/hyperlink" Target="https://fbref.com/en/players/132a82f1/Wesley-Fofana" TargetMode="External"/><Relationship Id="rId800" Type="http://schemas.openxmlformats.org/officeDocument/2006/relationships/hyperlink" Target="https://fbref.com/en/players/38a6c944/matchlogs/2025-2026/summary/Jack-Fletcher-Match-Logs" TargetMode="External"/><Relationship Id="rId804" Type="http://schemas.openxmlformats.org/officeDocument/2006/relationships/hyperlink" Target="https://fbref.com/en/players/81a92add/matchlogs/2025-2026/summary/Tyler-Fletcher-Match-Logs" TargetMode="External"/><Relationship Id="rId803" Type="http://schemas.openxmlformats.org/officeDocument/2006/relationships/hyperlink" Target="https://fbref.com/en/squads/19538871/Manchester-United-Stats" TargetMode="External"/><Relationship Id="rId802" Type="http://schemas.openxmlformats.org/officeDocument/2006/relationships/hyperlink" Target="https://fbref.com/en/country/SCO/Scotland-Football" TargetMode="External"/><Relationship Id="rId801" Type="http://schemas.openxmlformats.org/officeDocument/2006/relationships/hyperlink" Target="https://fbref.com/en/players/81a92add/Tyler-Fletcher" TargetMode="External"/><Relationship Id="rId1750" Type="http://schemas.openxmlformats.org/officeDocument/2006/relationships/hyperlink" Target="https://fbref.com/en/squads/18bb7c10/Arsenal-Stats" TargetMode="External"/><Relationship Id="rId1751" Type="http://schemas.openxmlformats.org/officeDocument/2006/relationships/hyperlink" Target="https://fbref.com/en/players/dc1ce4f5/matchlogs/2025-2026/summary/Cristhian-Mosquera-Match-Logs" TargetMode="External"/><Relationship Id="rId1741" Type="http://schemas.openxmlformats.org/officeDocument/2006/relationships/hyperlink" Target="https://fbref.com/en/country/BRA/Brazil-Football" TargetMode="External"/><Relationship Id="rId1742" Type="http://schemas.openxmlformats.org/officeDocument/2006/relationships/hyperlink" Target="https://fbref.com/en/squads/e4a775cb/Nottingham-Forest-Stats" TargetMode="External"/><Relationship Id="rId1743" Type="http://schemas.openxmlformats.org/officeDocument/2006/relationships/hyperlink" Target="https://fbref.com/en/players/0f41e2ee/matchlogs/2025-2026/summary/Morato-Match-Logs" TargetMode="External"/><Relationship Id="rId1744" Type="http://schemas.openxmlformats.org/officeDocument/2006/relationships/hyperlink" Target="https://fbref.com/en/players/25683300/Kieran-Morrison" TargetMode="External"/><Relationship Id="rId1745" Type="http://schemas.openxmlformats.org/officeDocument/2006/relationships/hyperlink" Target="https://fbref.com/en/country/NIR/Northern-Ireland-Football" TargetMode="External"/><Relationship Id="rId1746" Type="http://schemas.openxmlformats.org/officeDocument/2006/relationships/hyperlink" Target="https://fbref.com/en/squads/822bd0ba/Liverpool-Stats" TargetMode="External"/><Relationship Id="rId1747" Type="http://schemas.openxmlformats.org/officeDocument/2006/relationships/hyperlink" Target="https://fbref.com/en/players/25683300/matchlogs/2025-2026/summary/Kieran-Morrison-Match-Logs" TargetMode="External"/><Relationship Id="rId1748" Type="http://schemas.openxmlformats.org/officeDocument/2006/relationships/hyperlink" Target="https://fbref.com/en/players/dc1ce4f5/Cristhian-Mosquera" TargetMode="External"/><Relationship Id="rId1749" Type="http://schemas.openxmlformats.org/officeDocument/2006/relationships/hyperlink" Target="https://fbref.com/en/country/ESP/Spain-Football" TargetMode="External"/><Relationship Id="rId1740" Type="http://schemas.openxmlformats.org/officeDocument/2006/relationships/hyperlink" Target="https://fbref.com/en/players/0f41e2ee/Morato" TargetMode="External"/><Relationship Id="rId1710" Type="http://schemas.openxmlformats.org/officeDocument/2006/relationships/hyperlink" Target="https://fbref.com/en/squads/d07537b9/Brighton-and-Hove-Albion-Stats" TargetMode="External"/><Relationship Id="rId1711" Type="http://schemas.openxmlformats.org/officeDocument/2006/relationships/hyperlink" Target="https://fbref.com/en/players/2f90f6b8/matchlogs/2025-2026/summary/James-Milner-Match-Logs" TargetMode="External"/><Relationship Id="rId1712" Type="http://schemas.openxmlformats.org/officeDocument/2006/relationships/hyperlink" Target="https://fbref.com/en/players/c478319d/Veljko-Milosavljevic" TargetMode="External"/><Relationship Id="rId1713" Type="http://schemas.openxmlformats.org/officeDocument/2006/relationships/hyperlink" Target="https://fbref.com/en/country/SRB/Serbia-Football" TargetMode="External"/><Relationship Id="rId1714" Type="http://schemas.openxmlformats.org/officeDocument/2006/relationships/hyperlink" Target="https://fbref.com/en/squads/4ba7cbea/Bournemouth-Stats" TargetMode="External"/><Relationship Id="rId1715" Type="http://schemas.openxmlformats.org/officeDocument/2006/relationships/hyperlink" Target="https://fbref.com/en/players/c478319d/matchlogs/2025-2026/summary/Veljko-Milosavljevic-Match-Logs" TargetMode="External"/><Relationship Id="rId1716" Type="http://schemas.openxmlformats.org/officeDocument/2006/relationships/hyperlink" Target="https://fbref.com/en/players/8397a50c/Tyrone-Mings" TargetMode="External"/><Relationship Id="rId1717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squads/8602292d/Aston-Villa-Stats" TargetMode="External"/><Relationship Id="rId1719" Type="http://schemas.openxmlformats.org/officeDocument/2006/relationships/hyperlink" Target="https://fbref.com/en/players/8397a50c/matchlogs/2025-2026/summary/Tyrone-Mings-Match-Logs" TargetMode="External"/><Relationship Id="rId1700" Type="http://schemas.openxmlformats.org/officeDocument/2006/relationships/hyperlink" Target="https://fbref.com/en/players/bee704fc/Nikola-Milenkovic" TargetMode="External"/><Relationship Id="rId1701" Type="http://schemas.openxmlformats.org/officeDocument/2006/relationships/hyperlink" Target="https://fbref.com/en/country/SRB/Serbia-Football" TargetMode="External"/><Relationship Id="rId1702" Type="http://schemas.openxmlformats.org/officeDocument/2006/relationships/hyperlink" Target="https://fbref.com/en/squads/e4a775cb/Nottingham-Forest-Stats" TargetMode="External"/><Relationship Id="rId1703" Type="http://schemas.openxmlformats.org/officeDocument/2006/relationships/hyperlink" Target="https://fbref.com/en/players/bee704fc/matchlogs/2025-2026/summary/Nikola-Milenkovic-Match-Logs" TargetMode="External"/><Relationship Id="rId1704" Type="http://schemas.openxmlformats.org/officeDocument/2006/relationships/hyperlink" Target="https://fbref.com/en/players/2c6835e5/Lewis-Miley" TargetMode="External"/><Relationship Id="rId1705" Type="http://schemas.openxmlformats.org/officeDocument/2006/relationships/hyperlink" Target="https://fbref.com/en/country/ENG/England-Football" TargetMode="External"/><Relationship Id="rId1706" Type="http://schemas.openxmlformats.org/officeDocument/2006/relationships/hyperlink" Target="https://fbref.com/en/squads/b2b47a98/Newcastle-United-Stats" TargetMode="External"/><Relationship Id="rId1707" Type="http://schemas.openxmlformats.org/officeDocument/2006/relationships/hyperlink" Target="https://fbref.com/en/players/2c6835e5/matchlogs/2025-2026/summary/Lewis-Miley-Match-Logs" TargetMode="External"/><Relationship Id="rId1708" Type="http://schemas.openxmlformats.org/officeDocument/2006/relationships/hyperlink" Target="https://fbref.com/en/players/2f90f6b8/James-Milner" TargetMode="External"/><Relationship Id="rId1709" Type="http://schemas.openxmlformats.org/officeDocument/2006/relationships/hyperlink" Target="https://fbref.com/en/country/ENG/England-Football" TargetMode="External"/><Relationship Id="rId40" Type="http://schemas.openxmlformats.org/officeDocument/2006/relationships/hyperlink" Target="https://fbref.com/en/players/75f1ed80/matchlogs/2025-2026/summary/Emmanuel-Agbadou-Match-Logs" TargetMode="External"/><Relationship Id="rId1334" Type="http://schemas.openxmlformats.org/officeDocument/2006/relationships/hyperlink" Target="https://fbref.com/en/country/ENG/England-Football" TargetMode="External"/><Relationship Id="rId2665" Type="http://schemas.openxmlformats.org/officeDocument/2006/relationships/hyperlink" Target="https://fbref.com/en/squads/e4a775cb/Nottingham-Forest-Stats" TargetMode="External"/><Relationship Id="rId1335" Type="http://schemas.openxmlformats.org/officeDocument/2006/relationships/hyperlink" Target="https://fbref.com/en/squads/fd962109/Fulham-Stats" TargetMode="External"/><Relationship Id="rId2666" Type="http://schemas.openxmlformats.org/officeDocument/2006/relationships/hyperlink" Target="https://fbref.com/en/players/b7ceda3e/matchlogs/2025-2026/summary/Archie-Whitehall-Match-Logs" TargetMode="External"/><Relationship Id="rId42" Type="http://schemas.openxmlformats.org/officeDocument/2006/relationships/hyperlink" Target="https://fbref.com/en/country/MAR/Morocco-Football" TargetMode="External"/><Relationship Id="rId1336" Type="http://schemas.openxmlformats.org/officeDocument/2006/relationships/hyperlink" Target="https://fbref.com/en/players/86109b3b/matchlogs/2025-2026/summary/Joshua-King-Match-Logs" TargetMode="External"/><Relationship Id="rId2667" Type="http://schemas.openxmlformats.org/officeDocument/2006/relationships/hyperlink" Target="https://fbref.com/en/players/33ea39be/Jack-Whittaker" TargetMode="External"/><Relationship Id="rId41" Type="http://schemas.openxmlformats.org/officeDocument/2006/relationships/hyperlink" Target="https://fbref.com/en/players/288e1e13/Nayef-Aguerd" TargetMode="External"/><Relationship Id="rId1337" Type="http://schemas.openxmlformats.org/officeDocument/2006/relationships/hyperlink" Target="https://fbref.com/en/players/5791b997/Tom-King" TargetMode="External"/><Relationship Id="rId2668" Type="http://schemas.openxmlformats.org/officeDocument/2006/relationships/hyperlink" Target="https://fbref.com/en/country/ENG/England-Football" TargetMode="External"/><Relationship Id="rId44" Type="http://schemas.openxmlformats.org/officeDocument/2006/relationships/hyperlink" Target="https://fbref.com/en/players/288e1e13/matchlogs/2025-2026/summary/Nayef-Aguerd-Match-Logs" TargetMode="External"/><Relationship Id="rId1338" Type="http://schemas.openxmlformats.org/officeDocument/2006/relationships/hyperlink" Target="https://fbref.com/en/country/WAL/Wales-Football" TargetMode="External"/><Relationship Id="rId2669" Type="http://schemas.openxmlformats.org/officeDocument/2006/relationships/hyperlink" Target="https://fbref.com/en/squads/8ef52968/Sunderland-Stats" TargetMode="External"/><Relationship Id="rId43" Type="http://schemas.openxmlformats.org/officeDocument/2006/relationships/hyperlink" Target="https://fbref.com/en/squads/7c21e445/West-Ham-United-Stats" TargetMode="External"/><Relationship Id="rId1339" Type="http://schemas.openxmlformats.org/officeDocument/2006/relationships/hyperlink" Target="https://fbref.com/en/squads/d3fd31cc/Everton-Stats" TargetMode="External"/><Relationship Id="rId46" Type="http://schemas.openxmlformats.org/officeDocument/2006/relationships/hyperlink" Target="https://fbref.com/en/country/BEL/Belgium-Football" TargetMode="External"/><Relationship Id="rId45" Type="http://schemas.openxmlformats.org/officeDocument/2006/relationships/hyperlink" Target="https://fbref.com/en/players/a1dd3b81/Enock-Agyei" TargetMode="External"/><Relationship Id="rId745" Type="http://schemas.openxmlformats.org/officeDocument/2006/relationships/hyperlink" Target="https://fbref.com/en/players/c149016b/Wataru-Endo" TargetMode="External"/><Relationship Id="rId744" Type="http://schemas.openxmlformats.org/officeDocument/2006/relationships/hyperlink" Target="https://fbref.com/en/players/e02b5b36/matchlogs/2025-2026/summary/Yunus-Emre-Konak-Match-Logs" TargetMode="External"/><Relationship Id="rId743" Type="http://schemas.openxmlformats.org/officeDocument/2006/relationships/hyperlink" Target="https://fbref.com/en/squads/cd051869/Brentford-Stats" TargetMode="External"/><Relationship Id="rId742" Type="http://schemas.openxmlformats.org/officeDocument/2006/relationships/hyperlink" Target="https://fbref.com/en/country/TUR/Turkey-Football" TargetMode="External"/><Relationship Id="rId749" Type="http://schemas.openxmlformats.org/officeDocument/2006/relationships/hyperlink" Target="https://fbref.com/en/players/87189f25/Romain-Esse" TargetMode="External"/><Relationship Id="rId748" Type="http://schemas.openxmlformats.org/officeDocument/2006/relationships/hyperlink" Target="https://fbref.com/en/players/c149016b/matchlogs/2025-2026/summary/Wataru-Endo-Match-Logs" TargetMode="External"/><Relationship Id="rId747" Type="http://schemas.openxmlformats.org/officeDocument/2006/relationships/hyperlink" Target="https://fbref.com/en/squads/822bd0ba/Liverpool-Stats" TargetMode="External"/><Relationship Id="rId746" Type="http://schemas.openxmlformats.org/officeDocument/2006/relationships/hyperlink" Target="https://fbref.com/en/country/JPN/Japan-Football" TargetMode="External"/><Relationship Id="rId48" Type="http://schemas.openxmlformats.org/officeDocument/2006/relationships/hyperlink" Target="https://fbref.com/en/players/a1dd3b81/matchlogs/2025-2026/summary/Enock-Agyei-Match-Logs" TargetMode="External"/><Relationship Id="rId47" Type="http://schemas.openxmlformats.org/officeDocument/2006/relationships/hyperlink" Target="https://fbref.com/en/squads/943e8050/Burnley-Stats" TargetMode="External"/><Relationship Id="rId49" Type="http://schemas.openxmlformats.org/officeDocument/2006/relationships/hyperlink" Target="https://fbref.com/en/players/246d153b/Ola-Aina" TargetMode="External"/><Relationship Id="rId2660" Type="http://schemas.openxmlformats.org/officeDocument/2006/relationships/hyperlink" Target="https://fbref.com/en/country/ENG/England-Football" TargetMode="External"/><Relationship Id="rId741" Type="http://schemas.openxmlformats.org/officeDocument/2006/relationships/hyperlink" Target="https://fbref.com/en/players/e02b5b36/Yunus-Emre-Konak" TargetMode="External"/><Relationship Id="rId1330" Type="http://schemas.openxmlformats.org/officeDocument/2006/relationships/hyperlink" Target="https://fbref.com/en/country/ENG/England-Football" TargetMode="External"/><Relationship Id="rId2661" Type="http://schemas.openxmlformats.org/officeDocument/2006/relationships/hyperlink" Target="https://fbref.com/en/squads/18bb7c10/Arsenal-Stats" TargetMode="External"/><Relationship Id="rId740" Type="http://schemas.openxmlformats.org/officeDocument/2006/relationships/hyperlink" Target="https://fbref.com/en/players/e1cc82b1/matchlogs/2025-2026/summary/Landon-Emenalo-Match-Logs" TargetMode="External"/><Relationship Id="rId1331" Type="http://schemas.openxmlformats.org/officeDocument/2006/relationships/hyperlink" Target="https://fbref.com/en/squads/47c64c55/Crystal-Palace-Stats" TargetMode="External"/><Relationship Id="rId2662" Type="http://schemas.openxmlformats.org/officeDocument/2006/relationships/hyperlink" Target="https://fbref.com/en/players/35e413f1/matchlogs/2025-2026/summary/Ben-White-Match-Logs" TargetMode="External"/><Relationship Id="rId1332" Type="http://schemas.openxmlformats.org/officeDocument/2006/relationships/hyperlink" Target="https://fbref.com/en/players/72103498/matchlogs/2025-2026/summary/George-King-Match-Logs" TargetMode="External"/><Relationship Id="rId2663" Type="http://schemas.openxmlformats.org/officeDocument/2006/relationships/hyperlink" Target="https://fbref.com/en/players/b7ceda3e/Archie-Whitehall" TargetMode="External"/><Relationship Id="rId1333" Type="http://schemas.openxmlformats.org/officeDocument/2006/relationships/hyperlink" Target="https://fbref.com/en/players/86109b3b/Joshua-King" TargetMode="External"/><Relationship Id="rId2664" Type="http://schemas.openxmlformats.org/officeDocument/2006/relationships/hyperlink" Target="https://fbref.com/en/country/ENG/England-Football" TargetMode="External"/><Relationship Id="rId1323" Type="http://schemas.openxmlformats.org/officeDocument/2006/relationships/hyperlink" Target="https://fbref.com/en/squads/b8fd03ef/Manchester-City-Stats" TargetMode="External"/><Relationship Id="rId2654" Type="http://schemas.openxmlformats.org/officeDocument/2006/relationships/hyperlink" Target="https://fbref.com/en/players/a182122b/matchlogs/2025-2026/summary/Reece-Welch-Match-Logs" TargetMode="External"/><Relationship Id="rId1324" Type="http://schemas.openxmlformats.org/officeDocument/2006/relationships/hyperlink" Target="https://fbref.com/en/players/d17ce930/matchlogs/2025-2026/summary/Abdukodir-Khusanov-Match-Logs" TargetMode="External"/><Relationship Id="rId2655" Type="http://schemas.openxmlformats.org/officeDocument/2006/relationships/hyperlink" Target="https://fbref.com/en/players/4b542852/Adam-Wharton" TargetMode="External"/><Relationship Id="rId31" Type="http://schemas.openxmlformats.org/officeDocument/2006/relationships/hyperlink" Target="https://fbref.com/en/squads/8ef52968/Sunderland-Stats" TargetMode="External"/><Relationship Id="rId1325" Type="http://schemas.openxmlformats.org/officeDocument/2006/relationships/hyperlink" Target="https://fbref.com/en/players/d0f72bf1/Max-Kilman" TargetMode="External"/><Relationship Id="rId2656" Type="http://schemas.openxmlformats.org/officeDocument/2006/relationships/hyperlink" Target="https://fbref.com/en/country/ENG/England-Football" TargetMode="External"/><Relationship Id="rId30" Type="http://schemas.openxmlformats.org/officeDocument/2006/relationships/hyperlink" Target="https://fbref.com/en/country/CIV/Cote-dIvoire-Football" TargetMode="External"/><Relationship Id="rId1326" Type="http://schemas.openxmlformats.org/officeDocument/2006/relationships/hyperlink" Target="https://fbref.com/en/country/ENG/England-Football" TargetMode="External"/><Relationship Id="rId2657" Type="http://schemas.openxmlformats.org/officeDocument/2006/relationships/hyperlink" Target="https://fbref.com/en/squads/47c64c55/Crystal-Palace-Stats" TargetMode="External"/><Relationship Id="rId33" Type="http://schemas.openxmlformats.org/officeDocument/2006/relationships/hyperlink" Target="https://fbref.com/en/players/dcfb17f4/Amine-Adli" TargetMode="External"/><Relationship Id="rId1327" Type="http://schemas.openxmlformats.org/officeDocument/2006/relationships/hyperlink" Target="https://fbref.com/en/squads/7c21e445/West-Ham-United-Stats" TargetMode="External"/><Relationship Id="rId2658" Type="http://schemas.openxmlformats.org/officeDocument/2006/relationships/hyperlink" Target="https://fbref.com/en/players/4b542852/matchlogs/2025-2026/summary/Adam-Wharton-Match-Logs" TargetMode="External"/><Relationship Id="rId32" Type="http://schemas.openxmlformats.org/officeDocument/2006/relationships/hyperlink" Target="https://fbref.com/en/players/4dcec659/matchlogs/2025-2026/summary/Simon-Adingra-Match-Logs" TargetMode="External"/><Relationship Id="rId1328" Type="http://schemas.openxmlformats.org/officeDocument/2006/relationships/hyperlink" Target="https://fbref.com/en/players/d0f72bf1/matchlogs/2025-2026/summary/Max-Kilman-Match-Logs" TargetMode="External"/><Relationship Id="rId2659" Type="http://schemas.openxmlformats.org/officeDocument/2006/relationships/hyperlink" Target="https://fbref.com/en/players/35e413f1/Ben-White" TargetMode="External"/><Relationship Id="rId35" Type="http://schemas.openxmlformats.org/officeDocument/2006/relationships/hyperlink" Target="https://fbref.com/en/squads/4ba7cbea/Bournemouth-Stats" TargetMode="External"/><Relationship Id="rId1329" Type="http://schemas.openxmlformats.org/officeDocument/2006/relationships/hyperlink" Target="https://fbref.com/en/players/72103498/George-King" TargetMode="External"/><Relationship Id="rId34" Type="http://schemas.openxmlformats.org/officeDocument/2006/relationships/hyperlink" Target="https://fbref.com/en/country/MAR/Morocco-Football" TargetMode="External"/><Relationship Id="rId739" Type="http://schemas.openxmlformats.org/officeDocument/2006/relationships/hyperlink" Target="https://fbref.com/en/squads/cff3d9bb/Chelsea-Stats" TargetMode="External"/><Relationship Id="rId734" Type="http://schemas.openxmlformats.org/officeDocument/2006/relationships/hyperlink" Target="https://fbref.com/en/country/ENG/England-Football" TargetMode="External"/><Relationship Id="rId733" Type="http://schemas.openxmlformats.org/officeDocument/2006/relationships/hyperlink" Target="https://fbref.com/en/players/b9e1436c/Harvey-Elliott" TargetMode="External"/><Relationship Id="rId732" Type="http://schemas.openxmlformats.org/officeDocument/2006/relationships/hyperlink" Target="https://fbref.com/en/players/b9e1436c/matchlogs/2025-2026/summary/Harvey-Elliott-Match-Logs" TargetMode="External"/><Relationship Id="rId731" Type="http://schemas.openxmlformats.org/officeDocument/2006/relationships/hyperlink" Target="https://fbref.com/en/squads/822bd0ba/Liverpool-Stats" TargetMode="External"/><Relationship Id="rId738" Type="http://schemas.openxmlformats.org/officeDocument/2006/relationships/hyperlink" Target="https://fbref.com/en/country/ENG/England-Football" TargetMode="External"/><Relationship Id="rId737" Type="http://schemas.openxmlformats.org/officeDocument/2006/relationships/hyperlink" Target="https://fbref.com/en/players/e1cc82b1/Landon-Emenalo" TargetMode="External"/><Relationship Id="rId736" Type="http://schemas.openxmlformats.org/officeDocument/2006/relationships/hyperlink" Target="https://fbref.com/en/players/b9e1436c/matchlogs/2025-2026/summary/Harvey-Elliott-Match-Logs" TargetMode="External"/><Relationship Id="rId735" Type="http://schemas.openxmlformats.org/officeDocument/2006/relationships/hyperlink" Target="https://fbref.com/en/squads/8602292d/Aston-Villa-Stats" TargetMode="External"/><Relationship Id="rId37" Type="http://schemas.openxmlformats.org/officeDocument/2006/relationships/hyperlink" Target="https://fbref.com/en/players/75f1ed80/Emmanuel-Agbadou" TargetMode="External"/><Relationship Id="rId36" Type="http://schemas.openxmlformats.org/officeDocument/2006/relationships/hyperlink" Target="https://fbref.com/en/players/dcfb17f4/matchlogs/2025-2026/summary/Amine-Adli-Match-Logs" TargetMode="External"/><Relationship Id="rId39" Type="http://schemas.openxmlformats.org/officeDocument/2006/relationships/hyperlink" Target="https://fbref.com/en/squads/8cec06e1/Wolverhampton-Wanderers-Stats" TargetMode="External"/><Relationship Id="rId38" Type="http://schemas.openxmlformats.org/officeDocument/2006/relationships/hyperlink" Target="https://fbref.com/en/country/CIV/Cote-dIvoire-Football" TargetMode="External"/><Relationship Id="rId730" Type="http://schemas.openxmlformats.org/officeDocument/2006/relationships/hyperlink" Target="https://fbref.com/en/country/ENG/England-Football" TargetMode="External"/><Relationship Id="rId2650" Type="http://schemas.openxmlformats.org/officeDocument/2006/relationships/hyperlink" Target="https://fbref.com/en/players/ce5143da/matchlogs/2025-2026/summary/Danny-Welbeck-Match-Logs" TargetMode="External"/><Relationship Id="rId1320" Type="http://schemas.openxmlformats.org/officeDocument/2006/relationships/hyperlink" Target="https://fbref.com/en/players/93508980/matchlogs/2025-2026/summary/Kevin-Match-Logs" TargetMode="External"/><Relationship Id="rId2651" Type="http://schemas.openxmlformats.org/officeDocument/2006/relationships/hyperlink" Target="https://fbref.com/en/players/a182122b/Reece-Welch" TargetMode="External"/><Relationship Id="rId1321" Type="http://schemas.openxmlformats.org/officeDocument/2006/relationships/hyperlink" Target="https://fbref.com/en/players/d17ce930/Abdukodir-Khusanov" TargetMode="External"/><Relationship Id="rId2652" Type="http://schemas.openxmlformats.org/officeDocument/2006/relationships/hyperlink" Target="https://fbref.com/en/country/ENG/England-Football" TargetMode="External"/><Relationship Id="rId1322" Type="http://schemas.openxmlformats.org/officeDocument/2006/relationships/hyperlink" Target="https://fbref.com/en/country/UZB/Uzbekistan-Football" TargetMode="External"/><Relationship Id="rId2653" Type="http://schemas.openxmlformats.org/officeDocument/2006/relationships/hyperlink" Target="https://fbref.com/en/squads/d3fd31cc/Everton-Stats" TargetMode="External"/><Relationship Id="rId1356" Type="http://schemas.openxmlformats.org/officeDocument/2006/relationships/hyperlink" Target="https://fbref.com/en/players/16168a0f/matchlogs/2025-2026/summary/Joe-Knight-Match-Logs" TargetMode="External"/><Relationship Id="rId2203" Type="http://schemas.openxmlformats.org/officeDocument/2006/relationships/hyperlink" Target="https://fbref.com/en/players/bc7dc64d/matchlogs/2025-2026/summary/Bukayo-Saka-Match-Logs" TargetMode="External"/><Relationship Id="rId2687" Type="http://schemas.openxmlformats.org/officeDocument/2006/relationships/hyperlink" Target="https://fbref.com/en/players/a3b03921/Joe-Willock" TargetMode="External"/><Relationship Id="rId1357" Type="http://schemas.openxmlformats.org/officeDocument/2006/relationships/hyperlink" Target="https://fbref.com/en/players/c0b3669f/Randal-Kolo-Muani" TargetMode="External"/><Relationship Id="rId2204" Type="http://schemas.openxmlformats.org/officeDocument/2006/relationships/hyperlink" Target="https://fbref.com/en/players/e342ad68/Mohamed-Salah" TargetMode="External"/><Relationship Id="rId2688" Type="http://schemas.openxmlformats.org/officeDocument/2006/relationships/hyperlink" Target="https://fbref.com/en/country/ENG/England-Football" TargetMode="External"/><Relationship Id="rId20" Type="http://schemas.openxmlformats.org/officeDocument/2006/relationships/hyperlink" Target="https://fbref.com/en/players/b7e62e1d/matchlogs/2025-2026/summary/Joshua-Acheampong-Match-Logs" TargetMode="External"/><Relationship Id="rId1358" Type="http://schemas.openxmlformats.org/officeDocument/2006/relationships/hyperlink" Target="https://fbref.com/en/country/FRA/France-Football" TargetMode="External"/><Relationship Id="rId2205" Type="http://schemas.openxmlformats.org/officeDocument/2006/relationships/hyperlink" Target="https://fbref.com/en/country/EGY/Egypt-Football" TargetMode="External"/><Relationship Id="rId2689" Type="http://schemas.openxmlformats.org/officeDocument/2006/relationships/hyperlink" Target="https://fbref.com/en/squads/b2b47a98/Newcastle-United-Stats" TargetMode="External"/><Relationship Id="rId1359" Type="http://schemas.openxmlformats.org/officeDocument/2006/relationships/hyperlink" Target="https://fbref.com/en/squads/361ca564/Tottenham-Hotspur-Stats" TargetMode="External"/><Relationship Id="rId2206" Type="http://schemas.openxmlformats.org/officeDocument/2006/relationships/hyperlink" Target="https://fbref.com/en/squads/822bd0ba/Liverpool-Stats" TargetMode="External"/><Relationship Id="rId22" Type="http://schemas.openxmlformats.org/officeDocument/2006/relationships/hyperlink" Target="https://fbref.com/en/country/USA/United-States-Football" TargetMode="External"/><Relationship Id="rId2207" Type="http://schemas.openxmlformats.org/officeDocument/2006/relationships/hyperlink" Target="https://fbref.com/en/players/e342ad68/matchlogs/2025-2026/summary/Mohamed-Salah-Match-Logs" TargetMode="External"/><Relationship Id="rId21" Type="http://schemas.openxmlformats.org/officeDocument/2006/relationships/hyperlink" Target="https://fbref.com/en/players/2b09d998/Tyler-Adams" TargetMode="External"/><Relationship Id="rId2208" Type="http://schemas.openxmlformats.org/officeDocument/2006/relationships/hyperlink" Target="https://fbref.com/en/players/972aeb2a/William-Saliba" TargetMode="External"/><Relationship Id="rId24" Type="http://schemas.openxmlformats.org/officeDocument/2006/relationships/hyperlink" Target="https://fbref.com/en/players/2b09d998/matchlogs/2025-2026/summary/Tyler-Adams-Match-Logs" TargetMode="External"/><Relationship Id="rId2209" Type="http://schemas.openxmlformats.org/officeDocument/2006/relationships/hyperlink" Target="https://fbref.com/en/country/FRA/France-Football" TargetMode="External"/><Relationship Id="rId23" Type="http://schemas.openxmlformats.org/officeDocument/2006/relationships/hyperlink" Target="https://fbref.com/en/squads/4ba7cbea/Bournemouth-Stats" TargetMode="External"/><Relationship Id="rId767" Type="http://schemas.openxmlformats.org/officeDocument/2006/relationships/hyperlink" Target="https://fbref.com/en/squads/47c64c55/Crystal-Palace-Stats" TargetMode="External"/><Relationship Id="rId766" Type="http://schemas.openxmlformats.org/officeDocument/2006/relationships/hyperlink" Target="https://fbref.com/en/country/ENG/England-Football" TargetMode="External"/><Relationship Id="rId765" Type="http://schemas.openxmlformats.org/officeDocument/2006/relationships/hyperlink" Target="https://fbref.com/en/players/ae4fc6a4/Eberechi-Eze" TargetMode="External"/><Relationship Id="rId764" Type="http://schemas.openxmlformats.org/officeDocument/2006/relationships/hyperlink" Target="https://fbref.com/en/players/6f3cc2fe/matchlogs/2025-2026/summary/Evanilson-Match-Logs" TargetMode="External"/><Relationship Id="rId769" Type="http://schemas.openxmlformats.org/officeDocument/2006/relationships/hyperlink" Target="https://fbref.com/en/players/ae4fc6a4/Eberechi-Eze" TargetMode="External"/><Relationship Id="rId768" Type="http://schemas.openxmlformats.org/officeDocument/2006/relationships/hyperlink" Target="https://fbref.com/en/players/ae4fc6a4/matchlogs/2025-2026/summary/Eberechi-Eze-Match-Logs" TargetMode="External"/><Relationship Id="rId26" Type="http://schemas.openxmlformats.org/officeDocument/2006/relationships/hyperlink" Target="https://fbref.com/en/country/ENG/England-Football" TargetMode="External"/><Relationship Id="rId25" Type="http://schemas.openxmlformats.org/officeDocument/2006/relationships/hyperlink" Target="https://fbref.com/en/players/c81d773d/Tosin-Adarabioyo" TargetMode="External"/><Relationship Id="rId2680" Type="http://schemas.openxmlformats.org/officeDocument/2006/relationships/hyperlink" Target="https://fbref.com/en/country/WAL/Wales-Football" TargetMode="External"/><Relationship Id="rId28" Type="http://schemas.openxmlformats.org/officeDocument/2006/relationships/hyperlink" Target="https://fbref.com/en/players/c81d773d/matchlogs/2025-2026/summary/Tosin-Adarabioyo-Match-Logs" TargetMode="External"/><Relationship Id="rId1350" Type="http://schemas.openxmlformats.org/officeDocument/2006/relationships/hyperlink" Target="https://fbref.com/en/country/NED/Netherlands-Football" TargetMode="External"/><Relationship Id="rId2681" Type="http://schemas.openxmlformats.org/officeDocument/2006/relationships/hyperlink" Target="https://fbref.com/en/squads/e4a775cb/Nottingham-Forest-Stats" TargetMode="External"/><Relationship Id="rId27" Type="http://schemas.openxmlformats.org/officeDocument/2006/relationships/hyperlink" Target="https://fbref.com/en/squads/cff3d9bb/Chelsea-Stats" TargetMode="External"/><Relationship Id="rId1351" Type="http://schemas.openxmlformats.org/officeDocument/2006/relationships/hyperlink" Target="https://fbref.com/en/squads/4ba7cbea/Bournemouth-Stats" TargetMode="External"/><Relationship Id="rId2682" Type="http://schemas.openxmlformats.org/officeDocument/2006/relationships/hyperlink" Target="https://fbref.com/en/players/dd323728/matchlogs/2025-2026/summary/Neco-Williams-Match-Logs" TargetMode="External"/><Relationship Id="rId763" Type="http://schemas.openxmlformats.org/officeDocument/2006/relationships/hyperlink" Target="https://fbref.com/en/squads/4ba7cbea/Bournemouth-Stats" TargetMode="External"/><Relationship Id="rId1352" Type="http://schemas.openxmlformats.org/officeDocument/2006/relationships/hyperlink" Target="https://fbref.com/en/players/4c3a6744/matchlogs/2025-2026/summary/Justin-Kluivert-Match-Logs" TargetMode="External"/><Relationship Id="rId2683" Type="http://schemas.openxmlformats.org/officeDocument/2006/relationships/hyperlink" Target="https://fbref.com/en/players/2eda11b1/Estevao-Willian" TargetMode="External"/><Relationship Id="rId29" Type="http://schemas.openxmlformats.org/officeDocument/2006/relationships/hyperlink" Target="https://fbref.com/en/players/4dcec659/Simon-Adingra" TargetMode="External"/><Relationship Id="rId762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16168a0f/Joe-Knight" TargetMode="External"/><Relationship Id="rId2200" Type="http://schemas.openxmlformats.org/officeDocument/2006/relationships/hyperlink" Target="https://fbref.com/en/players/bc7dc64d/Bukayo-Saka" TargetMode="External"/><Relationship Id="rId268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6f3cc2fe/Evanilson" TargetMode="External"/><Relationship Id="rId1354" Type="http://schemas.openxmlformats.org/officeDocument/2006/relationships/hyperlink" Target="https://fbref.com/en/country/ENG/England-Football" TargetMode="External"/><Relationship Id="rId2201" Type="http://schemas.openxmlformats.org/officeDocument/2006/relationships/hyperlink" Target="https://fbref.com/en/country/ENG/England-Football" TargetMode="External"/><Relationship Id="rId2685" Type="http://schemas.openxmlformats.org/officeDocument/2006/relationships/hyperlink" Target="https://fbref.com/en/squads/cff3d9bb/Chelsea-Stats" TargetMode="External"/><Relationship Id="rId760" Type="http://schemas.openxmlformats.org/officeDocument/2006/relationships/hyperlink" Target="https://fbref.com/en/players/1a066e69/matchlogs/2025-2026/summary/Maxime-Esteve-Match-Logs" TargetMode="External"/><Relationship Id="rId1355" Type="http://schemas.openxmlformats.org/officeDocument/2006/relationships/hyperlink" Target="https://fbref.com/en/squads/d07537b9/Brighton-and-Hove-Albion-Stats" TargetMode="External"/><Relationship Id="rId2202" Type="http://schemas.openxmlformats.org/officeDocument/2006/relationships/hyperlink" Target="https://fbref.com/en/squads/18bb7c10/Arsenal-Stats" TargetMode="External"/><Relationship Id="rId2686" Type="http://schemas.openxmlformats.org/officeDocument/2006/relationships/hyperlink" Target="https://fbref.com/en/players/2eda11b1/matchlogs/2025-2026/summary/Estevao-Willian-Match-Logs" TargetMode="External"/><Relationship Id="rId1345" Type="http://schemas.openxmlformats.org/officeDocument/2006/relationships/hyperlink" Target="https://fbref.com/en/players/dc3e663e/Jakub-Kiwior" TargetMode="External"/><Relationship Id="rId2676" Type="http://schemas.openxmlformats.org/officeDocument/2006/relationships/hyperlink" Target="https://fbref.com/en/country/ENG/England-Football" TargetMode="External"/><Relationship Id="rId1346" Type="http://schemas.openxmlformats.org/officeDocument/2006/relationships/hyperlink" Target="https://fbref.com/en/country/POL/Poland-Football" TargetMode="External"/><Relationship Id="rId2677" Type="http://schemas.openxmlformats.org/officeDocument/2006/relationships/hyperlink" Target="https://fbref.com/en/squads/361ca564/Tottenham-Hotspur-Stats" TargetMode="External"/><Relationship Id="rId1347" Type="http://schemas.openxmlformats.org/officeDocument/2006/relationships/hyperlink" Target="https://fbref.com/en/squads/18bb7c10/Arsenal-Stats" TargetMode="External"/><Relationship Id="rId2678" Type="http://schemas.openxmlformats.org/officeDocument/2006/relationships/hyperlink" Target="https://fbref.com/en/players/d2fe0b0b/matchlogs/2025-2026/summary/Luca-Williams-Barnett-Match-Logs" TargetMode="External"/><Relationship Id="rId1348" Type="http://schemas.openxmlformats.org/officeDocument/2006/relationships/hyperlink" Target="https://fbref.com/en/players/dc3e663e/matchlogs/2025-2026/summary/Jakub-Kiwior-Match-Logs" TargetMode="External"/><Relationship Id="rId2679" Type="http://schemas.openxmlformats.org/officeDocument/2006/relationships/hyperlink" Target="https://fbref.com/en/players/dd323728/Neco-Williams" TargetMode="External"/><Relationship Id="rId11" Type="http://schemas.openxmlformats.org/officeDocument/2006/relationships/hyperlink" Target="https://fbref.com/en/squads/e4a775cb/Nottingham-Forest-Stats" TargetMode="External"/><Relationship Id="rId1349" Type="http://schemas.openxmlformats.org/officeDocument/2006/relationships/hyperlink" Target="https://fbref.com/en/players/4c3a6744/Justin-Kluivert" TargetMode="External"/><Relationship Id="rId10" Type="http://schemas.openxmlformats.org/officeDocument/2006/relationships/hyperlink" Target="https://fbref.com/en/country/ENG/England-Football" TargetMode="External"/><Relationship Id="rId13" Type="http://schemas.openxmlformats.org/officeDocument/2006/relationships/hyperlink" Target="https://fbref.com/en/players/f586779e/Tammy-Abraham" TargetMode="External"/><Relationship Id="rId12" Type="http://schemas.openxmlformats.org/officeDocument/2006/relationships/hyperlink" Target="https://fbref.com/en/players/c103921a/matchlogs/2025-2026/summary/Zach-Abbott-Match-Logs" TargetMode="External"/><Relationship Id="rId756" Type="http://schemas.openxmlformats.org/officeDocument/2006/relationships/hyperlink" Target="https://fbref.com/en/players/1e4319ac/matchlogs/2025-2026/summary/Dario-Essugo-Match-Logs" TargetMode="External"/><Relationship Id="rId755" Type="http://schemas.openxmlformats.org/officeDocument/2006/relationships/hyperlink" Target="https://fbref.com/en/squads/cff3d9bb/Chelsea-Stats" TargetMode="External"/><Relationship Id="rId754" Type="http://schemas.openxmlformats.org/officeDocument/2006/relationships/hyperlink" Target="https://fbref.com/en/country/POR/Portugal-Football" TargetMode="External"/><Relationship Id="rId753" Type="http://schemas.openxmlformats.org/officeDocument/2006/relationships/hyperlink" Target="https://fbref.com/en/players/1e4319ac/Dario-Essugo" TargetMode="External"/><Relationship Id="rId759" Type="http://schemas.openxmlformats.org/officeDocument/2006/relationships/hyperlink" Target="https://fbref.com/en/squads/943e8050/Burnley-Stats" TargetMode="External"/><Relationship Id="rId758" Type="http://schemas.openxmlformats.org/officeDocument/2006/relationships/hyperlink" Target="https://fbref.com/en/country/FRA/France-Football" TargetMode="External"/><Relationship Id="rId757" Type="http://schemas.openxmlformats.org/officeDocument/2006/relationships/hyperlink" Target="https://fbref.com/en/players/1a066e69/Maxime-Esteve" TargetMode="External"/><Relationship Id="rId15" Type="http://schemas.openxmlformats.org/officeDocument/2006/relationships/hyperlink" Target="https://fbref.com/en/squads/8602292d/Aston-Villa-Stats" TargetMode="External"/><Relationship Id="rId14" Type="http://schemas.openxmlformats.org/officeDocument/2006/relationships/hyperlink" Target="https://fbref.com/en/country/ENG/England-Football" TargetMode="External"/><Relationship Id="rId17" Type="http://schemas.openxmlformats.org/officeDocument/2006/relationships/hyperlink" Target="https://fbref.com/en/players/b7e62e1d/Joshua-Acheampong" TargetMode="External"/><Relationship Id="rId2670" Type="http://schemas.openxmlformats.org/officeDocument/2006/relationships/hyperlink" Target="https://fbref.com/en/players/33ea39be/matchlogs/2025-2026/summary/Jack-Whittaker-Match-Logs" TargetMode="External"/><Relationship Id="rId16" Type="http://schemas.openxmlformats.org/officeDocument/2006/relationships/hyperlink" Target="https://fbref.com/en/players/f586779e/matchlogs/2025-2026/summary/Tammy-Abraham-Match-Logs" TargetMode="External"/><Relationship Id="rId1340" Type="http://schemas.openxmlformats.org/officeDocument/2006/relationships/hyperlink" Target="https://fbref.com/en/players/5791b997/matchlogs/2025-2026/summary/Tom-King-Match-Logs" TargetMode="External"/><Relationship Id="rId2671" Type="http://schemas.openxmlformats.org/officeDocument/2006/relationships/hyperlink" Target="https://fbref.com/en/players/4876c9ab/Mats-Wieffer" TargetMode="External"/><Relationship Id="rId19" Type="http://schemas.openxmlformats.org/officeDocument/2006/relationships/hyperlink" Target="https://fbref.com/en/squads/cff3d9bb/Chelsea-Stats" TargetMode="External"/><Relationship Id="rId752" Type="http://schemas.openxmlformats.org/officeDocument/2006/relationships/hyperlink" Target="https://fbref.com/en/players/87189f25/matchlogs/2025-2026/summary/Romain-Esse-Match-Logs" TargetMode="External"/><Relationship Id="rId1341" Type="http://schemas.openxmlformats.org/officeDocument/2006/relationships/hyperlink" Target="https://fbref.com/en/players/b38ac6a4/Antonin-Kinsky" TargetMode="External"/><Relationship Id="rId2672" Type="http://schemas.openxmlformats.org/officeDocument/2006/relationships/hyperlink" Target="https://fbref.com/en/country/NED/Netherlands-Football" TargetMode="External"/><Relationship Id="rId18" Type="http://schemas.openxmlformats.org/officeDocument/2006/relationships/hyperlink" Target="https://fbref.com/en/country/ENG/England-Football" TargetMode="External"/><Relationship Id="rId751" Type="http://schemas.openxmlformats.org/officeDocument/2006/relationships/hyperlink" Target="https://fbref.com/en/squads/47c64c55/Crystal-Palace-Stats" TargetMode="External"/><Relationship Id="rId1342" Type="http://schemas.openxmlformats.org/officeDocument/2006/relationships/hyperlink" Target="https://fbref.com/en/country/CZE/Czech-Republic-Football" TargetMode="External"/><Relationship Id="rId2673" Type="http://schemas.openxmlformats.org/officeDocument/2006/relationships/hyperlink" Target="https://fbref.com/en/squads/d07537b9/Brighton-and-Hove-Albion-Stats" TargetMode="External"/><Relationship Id="rId750" Type="http://schemas.openxmlformats.org/officeDocument/2006/relationships/hyperlink" Target="https://fbref.com/en/country/ENG/England-Football" TargetMode="External"/><Relationship Id="rId1343" Type="http://schemas.openxmlformats.org/officeDocument/2006/relationships/hyperlink" Target="https://fbref.com/en/squads/361ca564/Tottenham-Hotspur-Stats" TargetMode="External"/><Relationship Id="rId2674" Type="http://schemas.openxmlformats.org/officeDocument/2006/relationships/hyperlink" Target="https://fbref.com/en/players/4876c9ab/matchlogs/2025-2026/summary/Mats-Wieffer-Match-Logs" TargetMode="External"/><Relationship Id="rId1344" Type="http://schemas.openxmlformats.org/officeDocument/2006/relationships/hyperlink" Target="https://fbref.com/en/players/b38ac6a4/matchlogs/2025-2026/summary/Antonin-Kinsky-Match-Logs" TargetMode="External"/><Relationship Id="rId2675" Type="http://schemas.openxmlformats.org/officeDocument/2006/relationships/hyperlink" Target="https://fbref.com/en/players/d2fe0b0b/Luca-Williams-Barnett" TargetMode="External"/><Relationship Id="rId84" Type="http://schemas.openxmlformats.org/officeDocument/2006/relationships/hyperlink" Target="https://fbref.com/en/players/bb08bce9/matchlogs/2025-2026/summary/Omar-Alderete-Match-Logs" TargetMode="External"/><Relationship Id="rId1774" Type="http://schemas.openxmlformats.org/officeDocument/2006/relationships/hyperlink" Target="https://fbref.com/en/squads/8cec06e1/Wolverhampton-Wanderers-Stats" TargetMode="External"/><Relationship Id="rId2621" Type="http://schemas.openxmlformats.org/officeDocument/2006/relationships/hyperlink" Target="https://fbref.com/en/squads/7c21e445/West-Ham-United-Stats" TargetMode="External"/><Relationship Id="rId83" Type="http://schemas.openxmlformats.org/officeDocument/2006/relationships/hyperlink" Target="https://fbref.com/en/squads/8ef52968/Sunderland-Stats" TargetMode="External"/><Relationship Id="rId1775" Type="http://schemas.openxmlformats.org/officeDocument/2006/relationships/hyperlink" Target="https://fbref.com/en/players/2acf0cd7/matchlogs/2025-2026/summary/Marshall-Munetsi-Match-Logs" TargetMode="External"/><Relationship Id="rId2622" Type="http://schemas.openxmlformats.org/officeDocument/2006/relationships/hyperlink" Target="https://fbref.com/en/players/984a5a64/matchlogs/2025-2026/summary/Kyle-Walker-Peters-Match-Logs" TargetMode="External"/><Relationship Id="rId86" Type="http://schemas.openxmlformats.org/officeDocument/2006/relationships/hyperlink" Target="https://fbref.com/en/country/SRB/Serbia-Football" TargetMode="External"/><Relationship Id="rId1776" Type="http://schemas.openxmlformats.org/officeDocument/2006/relationships/hyperlink" Target="https://fbref.com/en/players/a755db8c/Rodrigo-Muniz" TargetMode="External"/><Relationship Id="rId2623" Type="http://schemas.openxmlformats.org/officeDocument/2006/relationships/hyperlink" Target="https://fbref.com/en/players/9e525177/Aaron-Wan-Bissaka" TargetMode="External"/><Relationship Id="rId85" Type="http://schemas.openxmlformats.org/officeDocument/2006/relationships/hyperlink" Target="https://fbref.com/en/players/c79f7793/Milan-Aleksic" TargetMode="External"/><Relationship Id="rId1777" Type="http://schemas.openxmlformats.org/officeDocument/2006/relationships/hyperlink" Target="https://fbref.com/en/country/BRA/Brazil-Football" TargetMode="External"/><Relationship Id="rId2624" Type="http://schemas.openxmlformats.org/officeDocument/2006/relationships/hyperlink" Target="https://fbref.com/en/country/COD/Congo-DR-Football" TargetMode="External"/><Relationship Id="rId88" Type="http://schemas.openxmlformats.org/officeDocument/2006/relationships/hyperlink" Target="https://fbref.com/en/players/c79f7793/matchlogs/2025-2026/summary/Milan-Aleksic-Match-Logs" TargetMode="External"/><Relationship Id="rId1778" Type="http://schemas.openxmlformats.org/officeDocument/2006/relationships/hyperlink" Target="https://fbref.com/en/squads/fd962109/Fulham-Stats" TargetMode="External"/><Relationship Id="rId2625" Type="http://schemas.openxmlformats.org/officeDocument/2006/relationships/hyperlink" Target="https://fbref.com/en/squads/7c21e445/West-Ham-United-Stats" TargetMode="External"/><Relationship Id="rId87" Type="http://schemas.openxmlformats.org/officeDocument/2006/relationships/hyperlink" Target="https://fbref.com/en/squads/8ef52968/Sunderland-Stats" TargetMode="External"/><Relationship Id="rId1779" Type="http://schemas.openxmlformats.org/officeDocument/2006/relationships/hyperlink" Target="https://fbref.com/en/players/a755db8c/matchlogs/2025-2026/summary/Rodrigo-Muniz-Match-Logs" TargetMode="External"/><Relationship Id="rId2626" Type="http://schemas.openxmlformats.org/officeDocument/2006/relationships/hyperlink" Target="https://fbref.com/en/players/9e525177/matchlogs/2025-2026/summary/Aaron-Wan-Bissaka-Match-Logs" TargetMode="External"/><Relationship Id="rId2627" Type="http://schemas.openxmlformats.org/officeDocument/2006/relationships/hyperlink" Target="https://fbref.com/en/players/3515d404/James-Ward-Prowse" TargetMode="External"/><Relationship Id="rId89" Type="http://schemas.openxmlformats.org/officeDocument/2006/relationships/hyperlink" Target="https://fbref.com/en/players/7a2e46a8/Alisson" TargetMode="External"/><Relationship Id="rId2628" Type="http://schemas.openxmlformats.org/officeDocument/2006/relationships/hyperlink" Target="https://fbref.com/en/country/ENG/England-Football" TargetMode="External"/><Relationship Id="rId709" Type="http://schemas.openxmlformats.org/officeDocument/2006/relationships/hyperlink" Target="https://fbref.com/en/players/57760e66/Marcus-Edwards" TargetMode="External"/><Relationship Id="rId2629" Type="http://schemas.openxmlformats.org/officeDocument/2006/relationships/hyperlink" Target="https://fbref.com/en/squads/7c21e445/West-Ham-United-Stats" TargetMode="External"/><Relationship Id="rId708" Type="http://schemas.openxmlformats.org/officeDocument/2006/relationships/hyperlink" Target="https://fbref.com/en/players/99b63a82/matchlogs/2025-2026/summary/Alysson-Edward-Match-Logs" TargetMode="External"/><Relationship Id="rId707" Type="http://schemas.openxmlformats.org/officeDocument/2006/relationships/hyperlink" Target="https://fbref.com/en/squads/8602292d/Aston-Villa-Stats" TargetMode="External"/><Relationship Id="rId706" Type="http://schemas.openxmlformats.org/officeDocument/2006/relationships/hyperlink" Target="https://fbref.com/en/country/BRA/Brazil-Football" TargetMode="External"/><Relationship Id="rId80" Type="http://schemas.openxmlformats.org/officeDocument/2006/relationships/hyperlink" Target="https://fbref.com/en/players/4abac767/matchlogs/2025-2026/summary/Carlos-Alcaraz-Match-Logs" TargetMode="External"/><Relationship Id="rId82" Type="http://schemas.openxmlformats.org/officeDocument/2006/relationships/hyperlink" Target="https://fbref.com/en/country/PAR/Paraguay-Football" TargetMode="External"/><Relationship Id="rId81" Type="http://schemas.openxmlformats.org/officeDocument/2006/relationships/hyperlink" Target="https://fbref.com/en/players/bb08bce9/Omar-Alderete" TargetMode="External"/><Relationship Id="rId701" Type="http://schemas.openxmlformats.org/officeDocument/2006/relationships/hyperlink" Target="https://fbref.com/en/players/3354ea94/Tom-Edozie" TargetMode="External"/><Relationship Id="rId700" Type="http://schemas.openxmlformats.org/officeDocument/2006/relationships/hyperlink" Target="https://fbref.com/en/players/0562b7f1/matchlogs/2025-2026/summary/Odsonne-Edouard-Match-Logs" TargetMode="External"/><Relationship Id="rId705" Type="http://schemas.openxmlformats.org/officeDocument/2006/relationships/hyperlink" Target="https://fbref.com/en/players/99b63a82/Alysson-Edward" TargetMode="External"/><Relationship Id="rId704" Type="http://schemas.openxmlformats.org/officeDocument/2006/relationships/hyperlink" Target="https://fbref.com/en/players/3354ea94/matchlogs/2025-2026/summary/Tom-Edozie-Match-Logs" TargetMode="External"/><Relationship Id="rId703" Type="http://schemas.openxmlformats.org/officeDocument/2006/relationships/hyperlink" Target="https://fbref.com/en/squads/8cec06e1/Wolverhampton-Wanderers-Stats" TargetMode="External"/><Relationship Id="rId702" Type="http://schemas.openxmlformats.org/officeDocument/2006/relationships/hyperlink" Target="https://fbref.com/en/country/ENG/England-Football" TargetMode="External"/><Relationship Id="rId1770" Type="http://schemas.openxmlformats.org/officeDocument/2006/relationships/hyperlink" Target="https://fbref.com/en/squads/8ef52968/Sunderland-Stats" TargetMode="External"/><Relationship Id="rId1771" Type="http://schemas.openxmlformats.org/officeDocument/2006/relationships/hyperlink" Target="https://fbref.com/en/players/597610cd/matchlogs/2025-2026/summary/Romaine-Mundle-Match-Logs" TargetMode="External"/><Relationship Id="rId1772" Type="http://schemas.openxmlformats.org/officeDocument/2006/relationships/hyperlink" Target="https://fbref.com/en/players/2acf0cd7/Marshall-Munetsi" TargetMode="External"/><Relationship Id="rId1773" Type="http://schemas.openxmlformats.org/officeDocument/2006/relationships/hyperlink" Target="https://fbref.com/en/country/ZIM/Zimbabwe-Football" TargetMode="External"/><Relationship Id="rId2620" Type="http://schemas.openxmlformats.org/officeDocument/2006/relationships/hyperlink" Target="https://fbref.com/en/country/ENG/England-Football" TargetMode="External"/><Relationship Id="rId73" Type="http://schemas.openxmlformats.org/officeDocument/2006/relationships/hyperlink" Target="https://fbref.com/en/players/d5f1b74a/Adedamola-Alabi" TargetMode="External"/><Relationship Id="rId1763" Type="http://schemas.openxmlformats.org/officeDocument/2006/relationships/hyperlink" Target="https://fbref.com/en/players/ce7ae86a/matchlogs/2025-2026/summary/Divine-Mukasa-Match-Logs" TargetMode="External"/><Relationship Id="rId2610" Type="http://schemas.openxmlformats.org/officeDocument/2006/relationships/hyperlink" Target="https://fbref.com/en/players/77d6fd4d/matchlogs/2025-2026/summary/Guglielmo-Vicario-Match-Logs" TargetMode="External"/><Relationship Id="rId72" Type="http://schemas.openxmlformats.org/officeDocument/2006/relationships/hyperlink" Target="https://fbref.com/en/players/e19dc888/matchlogs/2025-2026/summary/Yusuf-Akhamrich-Match-Logs" TargetMode="External"/><Relationship Id="rId1764" Type="http://schemas.openxmlformats.org/officeDocument/2006/relationships/hyperlink" Target="https://fbref.com/en/players/ac73ec79/Nordi-Mukiele" TargetMode="External"/><Relationship Id="rId2611" Type="http://schemas.openxmlformats.org/officeDocument/2006/relationships/hyperlink" Target="https://fbref.com/en/players/fd6bdbce/Luka-Vuskovic" TargetMode="External"/><Relationship Id="rId75" Type="http://schemas.openxmlformats.org/officeDocument/2006/relationships/hyperlink" Target="https://fbref.com/en/squads/b2b47a98/Newcastle-United-Stats" TargetMode="External"/><Relationship Id="rId1765" Type="http://schemas.openxmlformats.org/officeDocument/2006/relationships/hyperlink" Target="https://fbref.com/en/country/FRA/France-Football" TargetMode="External"/><Relationship Id="rId2612" Type="http://schemas.openxmlformats.org/officeDocument/2006/relationships/hyperlink" Target="https://fbref.com/en/country/CRO/Croatia-Football" TargetMode="External"/><Relationship Id="rId74" Type="http://schemas.openxmlformats.org/officeDocument/2006/relationships/hyperlink" Target="https://fbref.com/en/country/ENG/England-Football" TargetMode="External"/><Relationship Id="rId1766" Type="http://schemas.openxmlformats.org/officeDocument/2006/relationships/hyperlink" Target="https://fbref.com/en/squads/8ef52968/Sunderland-Stats" TargetMode="External"/><Relationship Id="rId2613" Type="http://schemas.openxmlformats.org/officeDocument/2006/relationships/hyperlink" Target="https://fbref.com/en/squads/361ca564/Tottenham-Hotspur-Stats" TargetMode="External"/><Relationship Id="rId77" Type="http://schemas.openxmlformats.org/officeDocument/2006/relationships/hyperlink" Target="https://fbref.com/en/players/4abac767/Carlos-Alcaraz" TargetMode="External"/><Relationship Id="rId1767" Type="http://schemas.openxmlformats.org/officeDocument/2006/relationships/hyperlink" Target="https://fbref.com/en/players/ac73ec79/matchlogs/2025-2026/summary/Nordi-Mukiele-Match-Logs" TargetMode="External"/><Relationship Id="rId2614" Type="http://schemas.openxmlformats.org/officeDocument/2006/relationships/hyperlink" Target="https://fbref.com/en/players/fd6bdbce/matchlogs/2025-2026/summary/Luka-Vuskovic-Match-Logs" TargetMode="External"/><Relationship Id="rId76" Type="http://schemas.openxmlformats.org/officeDocument/2006/relationships/hyperlink" Target="https://fbref.com/en/players/d5f1b74a/matchlogs/2025-2026/summary/Adedamola-Alabi-Match-Logs" TargetMode="External"/><Relationship Id="rId1768" Type="http://schemas.openxmlformats.org/officeDocument/2006/relationships/hyperlink" Target="https://fbref.com/en/players/597610cd/Romaine-Mundle" TargetMode="External"/><Relationship Id="rId2615" Type="http://schemas.openxmlformats.org/officeDocument/2006/relationships/hyperlink" Target="https://fbref.com/en/players/86dd77d1/Kyle-Walker" TargetMode="External"/><Relationship Id="rId79" Type="http://schemas.openxmlformats.org/officeDocument/2006/relationships/hyperlink" Target="https://fbref.com/en/squads/d3fd31cc/Everton-Stats" TargetMode="External"/><Relationship Id="rId1769" Type="http://schemas.openxmlformats.org/officeDocument/2006/relationships/hyperlink" Target="https://fbref.com/en/country/ENG/England-Football" TargetMode="External"/><Relationship Id="rId2616" Type="http://schemas.openxmlformats.org/officeDocument/2006/relationships/hyperlink" Target="https://fbref.com/en/country/ENG/England-Football" TargetMode="External"/><Relationship Id="rId78" Type="http://schemas.openxmlformats.org/officeDocument/2006/relationships/hyperlink" Target="https://fbref.com/en/country/ARG/Argentina-Football" TargetMode="External"/><Relationship Id="rId2617" Type="http://schemas.openxmlformats.org/officeDocument/2006/relationships/hyperlink" Target="https://fbref.com/en/squads/943e8050/Burnley-Stats" TargetMode="External"/><Relationship Id="rId2618" Type="http://schemas.openxmlformats.org/officeDocument/2006/relationships/hyperlink" Target="https://fbref.com/en/players/86dd77d1/matchlogs/2025-2026/summary/Kyle-Walker-Match-Logs" TargetMode="External"/><Relationship Id="rId2619" Type="http://schemas.openxmlformats.org/officeDocument/2006/relationships/hyperlink" Target="https://fbref.com/en/players/984a5a64/Kyle-Walker-Peters" TargetMode="External"/><Relationship Id="rId71" Type="http://schemas.openxmlformats.org/officeDocument/2006/relationships/hyperlink" Target="https://fbref.com/en/squads/361ca564/Tottenham-Hotspur-Stats" TargetMode="External"/><Relationship Id="rId70" Type="http://schemas.openxmlformats.org/officeDocument/2006/relationships/hyperlink" Target="https://fbref.com/en/country/ENG/England-Football" TargetMode="External"/><Relationship Id="rId1760" Type="http://schemas.openxmlformats.org/officeDocument/2006/relationships/hyperlink" Target="https://fbref.com/en/players/ce7ae86a/Divine-Mukasa" TargetMode="External"/><Relationship Id="rId1761" Type="http://schemas.openxmlformats.org/officeDocument/2006/relationships/hyperlink" Target="https://fbref.com/en/country/ENG/England-Football" TargetMode="External"/><Relationship Id="rId1762" Type="http://schemas.openxmlformats.org/officeDocument/2006/relationships/hyperlink" Target="https://fbref.com/en/squads/b8fd03ef/Manchester-City-Stats" TargetMode="External"/><Relationship Id="rId62" Type="http://schemas.openxmlformats.org/officeDocument/2006/relationships/hyperlink" Target="https://fbref.com/en/country/SUI/Switzerland-Football" TargetMode="External"/><Relationship Id="rId1312" Type="http://schemas.openxmlformats.org/officeDocument/2006/relationships/hyperlink" Target="https://fbref.com/en/players/62d7ef38/matchlogs/2025-2026/summary/Caoimhin-Kelleher-Match-Logs" TargetMode="External"/><Relationship Id="rId1796" Type="http://schemas.openxmlformats.org/officeDocument/2006/relationships/hyperlink" Target="https://fbref.com/en/players/30d4a2e5/Vitaliy-Mykolenko" TargetMode="External"/><Relationship Id="rId2643" Type="http://schemas.openxmlformats.org/officeDocument/2006/relationships/hyperlink" Target="https://fbref.com/en/players/882228c2/Max-Weiss" TargetMode="External"/><Relationship Id="rId61" Type="http://schemas.openxmlformats.org/officeDocument/2006/relationships/hyperlink" Target="https://fbref.com/en/players/89ac64a6/Manuel-Akanji" TargetMode="External"/><Relationship Id="rId1313" Type="http://schemas.openxmlformats.org/officeDocument/2006/relationships/hyperlink" Target="https://fbref.com/en/players/0ad53bdc/Milos-Kerkez" TargetMode="External"/><Relationship Id="rId1797" Type="http://schemas.openxmlformats.org/officeDocument/2006/relationships/hyperlink" Target="https://fbref.com/en/country/UKR/Ukraine-Football" TargetMode="External"/><Relationship Id="rId2644" Type="http://schemas.openxmlformats.org/officeDocument/2006/relationships/hyperlink" Target="https://fbref.com/en/country/GER/Germany-Football" TargetMode="External"/><Relationship Id="rId64" Type="http://schemas.openxmlformats.org/officeDocument/2006/relationships/hyperlink" Target="https://fbref.com/en/players/89ac64a6/matchlogs/2025-2026/summary/Manuel-Akanji-Match-Logs" TargetMode="External"/><Relationship Id="rId1314" Type="http://schemas.openxmlformats.org/officeDocument/2006/relationships/hyperlink" Target="https://fbref.com/en/country/HUN/Hungary-Football" TargetMode="External"/><Relationship Id="rId1798" Type="http://schemas.openxmlformats.org/officeDocument/2006/relationships/hyperlink" Target="https://fbref.com/en/squads/d3fd31cc/Everton-Stats" TargetMode="External"/><Relationship Id="rId2645" Type="http://schemas.openxmlformats.org/officeDocument/2006/relationships/hyperlink" Target="https://fbref.com/en/squads/943e8050/Burnley-Stats" TargetMode="External"/><Relationship Id="rId63" Type="http://schemas.openxmlformats.org/officeDocument/2006/relationships/hyperlink" Target="https://fbref.com/en/squads/b8fd03ef/Manchester-City-Stats" TargetMode="External"/><Relationship Id="rId1315" Type="http://schemas.openxmlformats.org/officeDocument/2006/relationships/hyperlink" Target="https://fbref.com/en/squads/822bd0ba/Liverpool-Stats" TargetMode="External"/><Relationship Id="rId1799" Type="http://schemas.openxmlformats.org/officeDocument/2006/relationships/hyperlink" Target="https://fbref.com/en/players/30d4a2e5/matchlogs/2025-2026/summary/Vitaliy-Mykolenko-Match-Logs" TargetMode="External"/><Relationship Id="rId2646" Type="http://schemas.openxmlformats.org/officeDocument/2006/relationships/hyperlink" Target="https://fbref.com/en/players/882228c2/matchlogs/2025-2026/summary/Max-Weiss-Match-Logs" TargetMode="External"/><Relationship Id="rId66" Type="http://schemas.openxmlformats.org/officeDocument/2006/relationships/hyperlink" Target="https://fbref.com/en/country/NED/Netherlands-Football" TargetMode="External"/><Relationship Id="rId1316" Type="http://schemas.openxmlformats.org/officeDocument/2006/relationships/hyperlink" Target="https://fbref.com/en/players/0ad53bdc/matchlogs/2025-2026/summary/Milos-Kerkez-Match-Logs" TargetMode="External"/><Relationship Id="rId2647" Type="http://schemas.openxmlformats.org/officeDocument/2006/relationships/hyperlink" Target="https://fbref.com/en/players/ce5143da/Danny-Welbeck" TargetMode="External"/><Relationship Id="rId65" Type="http://schemas.openxmlformats.org/officeDocument/2006/relationships/hyperlink" Target="https://fbref.com/en/players/eaeca114/Nathan-Ake" TargetMode="External"/><Relationship Id="rId1317" Type="http://schemas.openxmlformats.org/officeDocument/2006/relationships/hyperlink" Target="https://fbref.com/en/players/93508980/Kevin" TargetMode="External"/><Relationship Id="rId2648" Type="http://schemas.openxmlformats.org/officeDocument/2006/relationships/hyperlink" Target="https://fbref.com/en/country/ENG/England-Football" TargetMode="External"/><Relationship Id="rId68" Type="http://schemas.openxmlformats.org/officeDocument/2006/relationships/hyperlink" Target="https://fbref.com/en/players/eaeca114/matchlogs/2025-2026/summary/Nathan-Ake-Match-Logs" TargetMode="External"/><Relationship Id="rId1318" Type="http://schemas.openxmlformats.org/officeDocument/2006/relationships/hyperlink" Target="https://fbref.com/en/country/BRA/Brazil-Football" TargetMode="External"/><Relationship Id="rId2649" Type="http://schemas.openxmlformats.org/officeDocument/2006/relationships/hyperlink" Target="https://fbref.com/en/squads/d07537b9/Brighton-and-Hove-Albion-Stats" TargetMode="External"/><Relationship Id="rId67" Type="http://schemas.openxmlformats.org/officeDocument/2006/relationships/hyperlink" Target="https://fbref.com/en/squads/b8fd03ef/Manchester-City-Stats" TargetMode="External"/><Relationship Id="rId1319" Type="http://schemas.openxmlformats.org/officeDocument/2006/relationships/hyperlink" Target="https://fbref.com/en/squads/fd962109/Fulham-Stats" TargetMode="External"/><Relationship Id="rId729" Type="http://schemas.openxmlformats.org/officeDocument/2006/relationships/hyperlink" Target="https://fbref.com/en/players/b9e1436c/Harvey-Elliott" TargetMode="External"/><Relationship Id="rId728" Type="http://schemas.openxmlformats.org/officeDocument/2006/relationships/hyperlink" Target="https://fbref.com/en/players/013d348e/matchlogs/2025-2026/summary/Melker-Ellborg-Match-Logs" TargetMode="External"/><Relationship Id="rId60" Type="http://schemas.openxmlformats.org/officeDocument/2006/relationships/hyperlink" Target="https://fbref.com/en/players/a8c0acb7/matchlogs/2025-2026/summary/Kristoffer-Ajer-Match-Logs" TargetMode="External"/><Relationship Id="rId723" Type="http://schemas.openxmlformats.org/officeDocument/2006/relationships/hyperlink" Target="https://fbref.com/en/squads/b2b47a98/Newcastle-United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2fba6108/Anthony-Elanga" TargetMode="External"/><Relationship Id="rId720" Type="http://schemas.openxmlformats.org/officeDocument/2006/relationships/hyperlink" Target="https://fbref.com/en/players/5b92d896/matchlogs/2025-2026/summary/Hugo-Ekitike-Match-Logs" TargetMode="External"/><Relationship Id="rId727" Type="http://schemas.openxmlformats.org/officeDocument/2006/relationships/hyperlink" Target="https://fbref.com/en/squads/8ef52968/Sunderland-Stats" TargetMode="External"/><Relationship Id="rId726" Type="http://schemas.openxmlformats.org/officeDocument/2006/relationships/hyperlink" Target="https://fbref.com/en/country/SWE/Sweden-Football" TargetMode="External"/><Relationship Id="rId725" Type="http://schemas.openxmlformats.org/officeDocument/2006/relationships/hyperlink" Target="https://fbref.com/en/players/013d348e/Melker-Ellborg" TargetMode="External"/><Relationship Id="rId724" Type="http://schemas.openxmlformats.org/officeDocument/2006/relationships/hyperlink" Target="https://fbref.com/en/players/2fba6108/matchlogs/2025-2026/summary/Anthony-Elanga-Match-Logs" TargetMode="External"/><Relationship Id="rId69" Type="http://schemas.openxmlformats.org/officeDocument/2006/relationships/hyperlink" Target="https://fbref.com/en/players/e19dc888/Yusuf-Akhamrich" TargetMode="External"/><Relationship Id="rId1790" Type="http://schemas.openxmlformats.org/officeDocument/2006/relationships/hyperlink" Target="https://fbref.com/en/squads/b2b47a98/Newcastle-United-Stats" TargetMode="External"/><Relationship Id="rId1791" Type="http://schemas.openxmlformats.org/officeDocument/2006/relationships/hyperlink" Target="https://fbref.com/en/players/f1c42eb3/matchlogs/2025-2026/summary/Alex-Murphy-Match-Logs" TargetMode="External"/><Relationship Id="rId1792" Type="http://schemas.openxmlformats.org/officeDocument/2006/relationships/hyperlink" Target="https://fbref.com/en/players/de112b84/Jacob-Murphy" TargetMode="External"/><Relationship Id="rId1793" Type="http://schemas.openxmlformats.org/officeDocument/2006/relationships/hyperlink" Target="https://fbref.com/en/country/ENG/England-Football" TargetMode="External"/><Relationship Id="rId2640" Type="http://schemas.openxmlformats.org/officeDocument/2006/relationships/hyperlink" Target="https://fbref.com/en/country/ENG/England-Football" TargetMode="External"/><Relationship Id="rId1310" Type="http://schemas.openxmlformats.org/officeDocument/2006/relationships/hyperlink" Target="https://fbref.com/en/country/IRL/Republic-of-Ireland-Football" TargetMode="External"/><Relationship Id="rId1794" Type="http://schemas.openxmlformats.org/officeDocument/2006/relationships/hyperlink" Target="https://fbref.com/en/squads/b2b47a98/Newcastle-United-Stats" TargetMode="External"/><Relationship Id="rId2641" Type="http://schemas.openxmlformats.org/officeDocument/2006/relationships/hyperlink" Target="https://fbref.com/en/squads/d07537b9/Brighton-and-Hove-Albion-Stats" TargetMode="External"/><Relationship Id="rId1311" Type="http://schemas.openxmlformats.org/officeDocument/2006/relationships/hyperlink" Target="https://fbref.com/en/squads/cd051869/Brentford-Stats" TargetMode="External"/><Relationship Id="rId1795" Type="http://schemas.openxmlformats.org/officeDocument/2006/relationships/hyperlink" Target="https://fbref.com/en/players/de112b84/matchlogs/2025-2026/summary/Jacob-Murphy-Match-Logs" TargetMode="External"/><Relationship Id="rId2642" Type="http://schemas.openxmlformats.org/officeDocument/2006/relationships/hyperlink" Target="https://fbref.com/en/players/9886c32e/matchlogs/2025-2026/summary/Tom-Watson-Match-Logs" TargetMode="External"/><Relationship Id="rId51" Type="http://schemas.openxmlformats.org/officeDocument/2006/relationships/hyperlink" Target="https://fbref.com/en/squads/e4a775cb/Nottingham-Forest-Stats" TargetMode="External"/><Relationship Id="rId1301" Type="http://schemas.openxmlformats.org/officeDocument/2006/relationships/hyperlink" Target="https://fbref.com/en/players/e19660a8/Michael-Kayode" TargetMode="External"/><Relationship Id="rId1785" Type="http://schemas.openxmlformats.org/officeDocument/2006/relationships/hyperlink" Target="https://fbref.com/en/country/BRA/Brazil-Football" TargetMode="External"/><Relationship Id="rId2632" Type="http://schemas.openxmlformats.org/officeDocument/2006/relationships/hyperlink" Target="https://fbref.com/en/country/ENG/England-Football" TargetMode="External"/><Relationship Id="rId50" Type="http://schemas.openxmlformats.org/officeDocument/2006/relationships/hyperlink" Target="https://fbref.com/en/country/NGA/Nigeria-Football" TargetMode="External"/><Relationship Id="rId1302" Type="http://schemas.openxmlformats.org/officeDocument/2006/relationships/hyperlink" Target="https://fbref.com/en/country/ITA/Italy-Football" TargetMode="External"/><Relationship Id="rId1786" Type="http://schemas.openxmlformats.org/officeDocument/2006/relationships/hyperlink" Target="https://fbref.com/en/squads/e4a775cb/Nottingham-Forest-Stats" TargetMode="External"/><Relationship Id="rId2633" Type="http://schemas.openxmlformats.org/officeDocument/2006/relationships/hyperlink" Target="https://fbref.com/en/squads/943e8050/Burnley-Stats" TargetMode="External"/><Relationship Id="rId53" Type="http://schemas.openxmlformats.org/officeDocument/2006/relationships/hyperlink" Target="https://fbref.com/en/players/9b398aea/Rayan-Ait-Nouri" TargetMode="External"/><Relationship Id="rId1303" Type="http://schemas.openxmlformats.org/officeDocument/2006/relationships/hyperlink" Target="https://fbref.com/en/squads/cd051869/Brentford-Stats" TargetMode="External"/><Relationship Id="rId1787" Type="http://schemas.openxmlformats.org/officeDocument/2006/relationships/hyperlink" Target="https://fbref.com/en/players/1704b0b8/matchlogs/2025-2026/summary/Murillo-Match-Logs" TargetMode="External"/><Relationship Id="rId2634" Type="http://schemas.openxmlformats.org/officeDocument/2006/relationships/hyperlink" Target="https://fbref.com/en/players/3515d404/matchlogs/2025-2026/summary/James-Ward-Prowse-Match-Logs" TargetMode="External"/><Relationship Id="rId52" Type="http://schemas.openxmlformats.org/officeDocument/2006/relationships/hyperlink" Target="https://fbref.com/en/players/246d153b/matchlogs/2025-2026/summary/Ola-Aina-Match-Logs" TargetMode="External"/><Relationship Id="rId1304" Type="http://schemas.openxmlformats.org/officeDocument/2006/relationships/hyperlink" Target="https://fbref.com/en/players/e19660a8/matchlogs/2025-2026/summary/Michael-Kayode-Match-Logs" TargetMode="External"/><Relationship Id="rId1788" Type="http://schemas.openxmlformats.org/officeDocument/2006/relationships/hyperlink" Target="https://fbref.com/en/players/f1c42eb3/Alex-Murphy" TargetMode="External"/><Relationship Id="rId2635" Type="http://schemas.openxmlformats.org/officeDocument/2006/relationships/hyperlink" Target="https://fbref.com/en/players/aed3a70f/Ollie-Watkins" TargetMode="External"/><Relationship Id="rId55" Type="http://schemas.openxmlformats.org/officeDocument/2006/relationships/hyperlink" Target="https://fbref.com/en/squads/b8fd03ef/Manchester-City-Stats" TargetMode="External"/><Relationship Id="rId1305" Type="http://schemas.openxmlformats.org/officeDocument/2006/relationships/hyperlink" Target="https://fbref.com/en/players/c5b7c315/Michael-Keane" TargetMode="External"/><Relationship Id="rId1789" Type="http://schemas.openxmlformats.org/officeDocument/2006/relationships/hyperlink" Target="https://fbref.com/en/country/IRL/Republic-of-Ireland-Football" TargetMode="External"/><Relationship Id="rId2636" Type="http://schemas.openxmlformats.org/officeDocument/2006/relationships/hyperlink" Target="https://fbref.com/en/country/ENG/England-Football" TargetMode="External"/><Relationship Id="rId54" Type="http://schemas.openxmlformats.org/officeDocument/2006/relationships/hyperlink" Target="https://fbref.com/en/country/ALG/Algeria-Football" TargetMode="External"/><Relationship Id="rId1306" Type="http://schemas.openxmlformats.org/officeDocument/2006/relationships/hyperlink" Target="https://fbref.com/en/country/ENG/England-Football" TargetMode="External"/><Relationship Id="rId2637" Type="http://schemas.openxmlformats.org/officeDocument/2006/relationships/hyperlink" Target="https://fbref.com/en/squads/8602292d/Aston-Villa-Stats" TargetMode="External"/><Relationship Id="rId57" Type="http://schemas.openxmlformats.org/officeDocument/2006/relationships/hyperlink" Target="https://fbref.com/en/players/a8c0acb7/Kristoffer-Ajer" TargetMode="External"/><Relationship Id="rId1307" Type="http://schemas.openxmlformats.org/officeDocument/2006/relationships/hyperlink" Target="https://fbref.com/en/squads/d3fd31cc/Everton-Stats" TargetMode="External"/><Relationship Id="rId2638" Type="http://schemas.openxmlformats.org/officeDocument/2006/relationships/hyperlink" Target="https://fbref.com/en/players/aed3a70f/matchlogs/2025-2026/summary/Ollie-Watkins-Match-Logs" TargetMode="External"/><Relationship Id="rId56" Type="http://schemas.openxmlformats.org/officeDocument/2006/relationships/hyperlink" Target="https://fbref.com/en/players/9b398aea/matchlogs/2025-2026/summary/Rayan-Ait-Nouri-Match-Logs" TargetMode="External"/><Relationship Id="rId1308" Type="http://schemas.openxmlformats.org/officeDocument/2006/relationships/hyperlink" Target="https://fbref.com/en/players/c5b7c315/matchlogs/2025-2026/summary/Michael-Keane-Match-Logs" TargetMode="External"/><Relationship Id="rId2639" Type="http://schemas.openxmlformats.org/officeDocument/2006/relationships/hyperlink" Target="https://fbref.com/en/players/9886c32e/Tom-Watson" TargetMode="External"/><Relationship Id="rId1309" Type="http://schemas.openxmlformats.org/officeDocument/2006/relationships/hyperlink" Target="https://fbref.com/en/players/62d7ef38/Caoimhin-Kelleher" TargetMode="External"/><Relationship Id="rId719" Type="http://schemas.openxmlformats.org/officeDocument/2006/relationships/hyperlink" Target="https://fbref.com/en/squads/822bd0ba/Liverpool-Stats" TargetMode="External"/><Relationship Id="rId718" Type="http://schemas.openxmlformats.org/officeDocument/2006/relationships/hyperlink" Target="https://fbref.com/en/country/FRA/France-Football" TargetMode="External"/><Relationship Id="rId717" Type="http://schemas.openxmlformats.org/officeDocument/2006/relationships/hyperlink" Target="https://fbref.com/en/players/5b92d896/Hugo-Ekitike" TargetMode="External"/><Relationship Id="rId712" Type="http://schemas.openxmlformats.org/officeDocument/2006/relationships/hyperlink" Target="https://fbref.com/en/players/57760e66/matchlogs/2025-2026/summary/Marcus-Edwards-Match-Logs" TargetMode="External"/><Relationship Id="rId711" Type="http://schemas.openxmlformats.org/officeDocument/2006/relationships/hyperlink" Target="https://fbref.com/en/squads/943e8050/Burnley-Stats" TargetMode="External"/><Relationship Id="rId710" Type="http://schemas.openxmlformats.org/officeDocument/2006/relationships/hyperlink" Target="https://fbref.com/en/country/ENG/England-Football" TargetMode="External"/><Relationship Id="rId716" Type="http://schemas.openxmlformats.org/officeDocument/2006/relationships/hyperlink" Target="https://fbref.com/en/players/3d554589/matchlogs/2025-2026/summary/Hjalmar-Ekdal-Match-Logs" TargetMode="External"/><Relationship Id="rId715" Type="http://schemas.openxmlformats.org/officeDocument/2006/relationships/hyperlink" Target="https://fbref.com/en/squads/943e8050/Burnley-Stats" TargetMode="External"/><Relationship Id="rId714" Type="http://schemas.openxmlformats.org/officeDocument/2006/relationships/hyperlink" Target="https://fbref.com/en/country/SWE/Sweden-Football" TargetMode="External"/><Relationship Id="rId713" Type="http://schemas.openxmlformats.org/officeDocument/2006/relationships/hyperlink" Target="https://fbref.com/en/players/3d554589/Hjalmar-Ekdal" TargetMode="External"/><Relationship Id="rId59" Type="http://schemas.openxmlformats.org/officeDocument/2006/relationships/hyperlink" Target="https://fbref.com/en/squads/cd051869/Brentford-Stats" TargetMode="External"/><Relationship Id="rId58" Type="http://schemas.openxmlformats.org/officeDocument/2006/relationships/hyperlink" Target="https://fbref.com/en/country/NOR/Norway-Football" TargetMode="External"/><Relationship Id="rId1780" Type="http://schemas.openxmlformats.org/officeDocument/2006/relationships/hyperlink" Target="https://fbref.com/en/players/778ef829/Daniel-Munoz" TargetMode="External"/><Relationship Id="rId1781" Type="http://schemas.openxmlformats.org/officeDocument/2006/relationships/hyperlink" Target="https://fbref.com/en/country/COL/Colombia-Football" TargetMode="External"/><Relationship Id="rId1782" Type="http://schemas.openxmlformats.org/officeDocument/2006/relationships/hyperlink" Target="https://fbref.com/en/squads/47c64c55/Crystal-Palace-Stats" TargetMode="External"/><Relationship Id="rId1783" Type="http://schemas.openxmlformats.org/officeDocument/2006/relationships/hyperlink" Target="https://fbref.com/en/players/778ef829/matchlogs/2025-2026/summary/Daniel-Munoz-Match-Logs" TargetMode="External"/><Relationship Id="rId2630" Type="http://schemas.openxmlformats.org/officeDocument/2006/relationships/hyperlink" Target="https://fbref.com/en/players/3515d404/matchlogs/2025-2026/summary/James-Ward-Prowse-Match-Logs" TargetMode="External"/><Relationship Id="rId1300" Type="http://schemas.openxmlformats.org/officeDocument/2006/relationships/hyperlink" Target="https://fbref.com/en/players/e82e145e/matchlogs/2025-2026/summary/Ryan-Kavuma-McQueen-Match-Logs" TargetMode="External"/><Relationship Id="rId1784" Type="http://schemas.openxmlformats.org/officeDocument/2006/relationships/hyperlink" Target="https://fbref.com/en/players/1704b0b8/Murillo" TargetMode="External"/><Relationship Id="rId2631" Type="http://schemas.openxmlformats.org/officeDocument/2006/relationships/hyperlink" Target="https://fbref.com/en/players/3515d404/James-Ward-Prowse" TargetMode="External"/><Relationship Id="rId2269" Type="http://schemas.openxmlformats.org/officeDocument/2006/relationships/hyperlink" Target="https://fbref.com/en/country/NED/Netherlands-Football" TargetMode="External"/><Relationship Id="rId349" Type="http://schemas.openxmlformats.org/officeDocument/2006/relationships/hyperlink" Target="https://fbref.com/en/players/cdf9e86a/Benjamin-Broggio" TargetMode="External"/><Relationship Id="rId348" Type="http://schemas.openxmlformats.org/officeDocument/2006/relationships/hyperlink" Target="https://fbref.com/en/players/4c184730/matchlogs/2025-2026/summary/Brian-Brobbey-Match-Logs" TargetMode="External"/><Relationship Id="rId347" Type="http://schemas.openxmlformats.org/officeDocument/2006/relationships/hyperlink" Target="https://fbref.com/en/squads/8ef52968/Sunderland-Stats" TargetMode="External"/><Relationship Id="rId346" Type="http://schemas.openxmlformats.org/officeDocument/2006/relationships/hyperlink" Target="https://fbref.com/en/country/NED/Netherlands-Football" TargetMode="External"/><Relationship Id="rId2260" Type="http://schemas.openxmlformats.org/officeDocument/2006/relationships/hyperlink" Target="https://fbref.com/en/players/c8aa95da/Fabian-Schar" TargetMode="External"/><Relationship Id="rId341" Type="http://schemas.openxmlformats.org/officeDocument/2006/relationships/hyperlink" Target="https://fbref.com/en/players/a57a4ea8/George-Brierley" TargetMode="External"/><Relationship Id="rId2261" Type="http://schemas.openxmlformats.org/officeDocument/2006/relationships/hyperlink" Target="https://fbref.com/en/country/SUI/Switzerland-Football" TargetMode="External"/><Relationship Id="rId340" Type="http://schemas.openxmlformats.org/officeDocument/2006/relationships/hyperlink" Target="https://fbref.com/en/players/c1949191/matchlogs/2025-2026/summary/Jarrad-Branthwaite-Match-Logs" TargetMode="External"/><Relationship Id="rId2262" Type="http://schemas.openxmlformats.org/officeDocument/2006/relationships/hyperlink" Target="https://fbref.com/en/squads/b2b47a98/Newcastle-United-Stats" TargetMode="External"/><Relationship Id="rId2263" Type="http://schemas.openxmlformats.org/officeDocument/2006/relationships/hyperlink" Target="https://fbref.com/en/players/c8aa95da/matchlogs/2025-2026/summary/Fabian-Schar-Match-Logs" TargetMode="External"/><Relationship Id="rId2264" Type="http://schemas.openxmlformats.org/officeDocument/2006/relationships/hyperlink" Target="https://fbref.com/en/players/104d0bb8/Alex-Scott" TargetMode="External"/><Relationship Id="rId345" Type="http://schemas.openxmlformats.org/officeDocument/2006/relationships/hyperlink" Target="https://fbref.com/en/players/4c184730/Brian-Brobbey" TargetMode="External"/><Relationship Id="rId2265" Type="http://schemas.openxmlformats.org/officeDocument/2006/relationships/hyperlink" Target="https://fbref.com/en/country/ENG/England-Football" TargetMode="External"/><Relationship Id="rId344" Type="http://schemas.openxmlformats.org/officeDocument/2006/relationships/hyperlink" Target="https://fbref.com/en/players/a57a4ea8/matchlogs/2025-2026/summary/George-Brierley-Match-Logs" TargetMode="External"/><Relationship Id="rId2266" Type="http://schemas.openxmlformats.org/officeDocument/2006/relationships/hyperlink" Target="https://fbref.com/en/squads/4ba7cbea/Bournemouth-Stats" TargetMode="External"/><Relationship Id="rId343" Type="http://schemas.openxmlformats.org/officeDocument/2006/relationships/hyperlink" Target="https://fbref.com/en/squads/943e8050/Burnley-Stats" TargetMode="External"/><Relationship Id="rId2267" Type="http://schemas.openxmlformats.org/officeDocument/2006/relationships/hyperlink" Target="https://fbref.com/en/players/104d0bb8/matchlogs/2025-2026/summary/Alex-Scott-Match-Logs" TargetMode="External"/><Relationship Id="rId342" Type="http://schemas.openxmlformats.org/officeDocument/2006/relationships/hyperlink" Target="https://fbref.com/en/country/ENG/England-Football" TargetMode="External"/><Relationship Id="rId2268" Type="http://schemas.openxmlformats.org/officeDocument/2006/relationships/hyperlink" Target="https://fbref.com/en/players/ec75ee25/Jenson-Seelt" TargetMode="External"/><Relationship Id="rId2258" Type="http://schemas.openxmlformats.org/officeDocument/2006/relationships/hyperlink" Target="https://fbref.com/en/squads/cd051869/Brentford-Stats" TargetMode="External"/><Relationship Id="rId2259" Type="http://schemas.openxmlformats.org/officeDocument/2006/relationships/hyperlink" Target="https://fbref.com/en/players/52afb588/matchlogs/2025-2026/summary/Kevin-Schade-Match-Logs" TargetMode="External"/><Relationship Id="rId338" Type="http://schemas.openxmlformats.org/officeDocument/2006/relationships/hyperlink" Target="https://fbref.com/en/country/ENG/England-Football" TargetMode="External"/><Relationship Id="rId337" Type="http://schemas.openxmlformats.org/officeDocument/2006/relationships/hyperlink" Target="https://fbref.com/en/players/c1949191/Jarrad-Branthwaite" TargetMode="External"/><Relationship Id="rId336" Type="http://schemas.openxmlformats.org/officeDocument/2006/relationships/hyperlink" Target="https://fbref.com/en/players/bbd67769/matchlogs/2025-2026/summary/Conor-Bradley-Match-Logs" TargetMode="External"/><Relationship Id="rId335" Type="http://schemas.openxmlformats.org/officeDocument/2006/relationships/hyperlink" Target="https://fbref.com/en/squads/822bd0ba/Liverpool-Stats" TargetMode="External"/><Relationship Id="rId339" Type="http://schemas.openxmlformats.org/officeDocument/2006/relationships/hyperlink" Target="https://fbref.com/en/squads/d3fd31cc/Everton-Stats" TargetMode="External"/><Relationship Id="rId330" Type="http://schemas.openxmlformats.org/officeDocument/2006/relationships/hyperlink" Target="https://fbref.com/en/country/ENG/England-Football" TargetMode="External"/><Relationship Id="rId2250" Type="http://schemas.openxmlformats.org/officeDocument/2006/relationships/hyperlink" Target="https://fbref.com/en/squads/7c21e445/West-Ham-United-Stats" TargetMode="External"/><Relationship Id="rId2251" Type="http://schemas.openxmlformats.org/officeDocument/2006/relationships/hyperlink" Target="https://fbref.com/en/players/242e5e6d/matchlogs/2025-2026/summary/Oliver-Scarles-Match-Logs" TargetMode="External"/><Relationship Id="rId2252" Type="http://schemas.openxmlformats.org/officeDocument/2006/relationships/hyperlink" Target="https://fbref.com/en/players/21945a9e/Dane-Scarlett" TargetMode="External"/><Relationship Id="rId2253" Type="http://schemas.openxmlformats.org/officeDocument/2006/relationships/hyperlink" Target="https://fbref.com/en/country/ENG/England-Football" TargetMode="External"/><Relationship Id="rId334" Type="http://schemas.openxmlformats.org/officeDocument/2006/relationships/hyperlink" Target="https://fbref.com/en/country/NIR/Northern-Ireland-Football" TargetMode="External"/><Relationship Id="rId2254" Type="http://schemas.openxmlformats.org/officeDocument/2006/relationships/hyperlink" Target="https://fbref.com/en/squads/361ca564/Tottenham-Hotspur-Stats" TargetMode="External"/><Relationship Id="rId333" Type="http://schemas.openxmlformats.org/officeDocument/2006/relationships/hyperlink" Target="https://fbref.com/en/players/bbd67769/Conor-Bradley" TargetMode="External"/><Relationship Id="rId2255" Type="http://schemas.openxmlformats.org/officeDocument/2006/relationships/hyperlink" Target="https://fbref.com/en/players/21945a9e/matchlogs/2025-2026/summary/Dane-Scarlett-Match-Logs" TargetMode="External"/><Relationship Id="rId332" Type="http://schemas.openxmlformats.org/officeDocument/2006/relationships/hyperlink" Target="https://fbref.com/en/players/79c84d1c/matchlogs/2025-2026/summary/Jarrod-Bowen-Match-Logs" TargetMode="External"/><Relationship Id="rId2256" Type="http://schemas.openxmlformats.org/officeDocument/2006/relationships/hyperlink" Target="https://fbref.com/en/players/52afb588/Kevin-Schade" TargetMode="External"/><Relationship Id="rId331" Type="http://schemas.openxmlformats.org/officeDocument/2006/relationships/hyperlink" Target="https://fbref.com/en/squads/7c21e445/West-Ham-United-Stats" TargetMode="External"/><Relationship Id="rId2257" Type="http://schemas.openxmlformats.org/officeDocument/2006/relationships/hyperlink" Target="https://fbref.com/en/country/GER/Germany-Football" TargetMode="External"/><Relationship Id="rId370" Type="http://schemas.openxmlformats.org/officeDocument/2006/relationships/hyperlink" Target="https://fbref.com/en/country/ARG/Argentina-Football" TargetMode="External"/><Relationship Id="rId369" Type="http://schemas.openxmlformats.org/officeDocument/2006/relationships/hyperlink" Target="https://fbref.com/en/players/66b76d44/Emi-Buendia" TargetMode="External"/><Relationship Id="rId368" Type="http://schemas.openxmlformats.org/officeDocument/2006/relationships/hyperlink" Target="https://fbref.com/en/players/4e204552/matchlogs/2025-2026/summary/Jacob-Bruun-Larsen-Match-Logs" TargetMode="External"/><Relationship Id="rId2280" Type="http://schemas.openxmlformats.org/officeDocument/2006/relationships/hyperlink" Target="https://fbref.com/en/players/efd2ec23/Antoine-Semenyo" TargetMode="External"/><Relationship Id="rId2281" Type="http://schemas.openxmlformats.org/officeDocument/2006/relationships/hyperlink" Target="https://fbref.com/en/country/GHA/Ghana-Football" TargetMode="External"/><Relationship Id="rId2282" Type="http://schemas.openxmlformats.org/officeDocument/2006/relationships/hyperlink" Target="https://fbref.com/en/squads/4ba7cbea/Bournemouth-Stats" TargetMode="External"/><Relationship Id="rId363" Type="http://schemas.openxmlformats.org/officeDocument/2006/relationships/hyperlink" Target="https://fbref.com/en/squads/4ba7cbea/Bournemouth-Stats" TargetMode="External"/><Relationship Id="rId2283" Type="http://schemas.openxmlformats.org/officeDocument/2006/relationships/hyperlink" Target="https://fbref.com/en/players/efd2ec23/matchlogs/2025-2026/summary/Antoine-Semenyo-Match-Logs" TargetMode="External"/><Relationship Id="rId362" Type="http://schemas.openxmlformats.org/officeDocument/2006/relationships/hyperlink" Target="https://fbref.com/en/country/WAL/Wales-Football" TargetMode="External"/><Relationship Id="rId2284" Type="http://schemas.openxmlformats.org/officeDocument/2006/relationships/hyperlink" Target="https://fbref.com/en/players/35141f4c/Marcos-Senesi" TargetMode="External"/><Relationship Id="rId361" Type="http://schemas.openxmlformats.org/officeDocument/2006/relationships/hyperlink" Target="https://fbref.com/en/players/dc4cae05/David-Brooks" TargetMode="External"/><Relationship Id="rId2285" Type="http://schemas.openxmlformats.org/officeDocument/2006/relationships/hyperlink" Target="https://fbref.com/en/country/ARG/Argentina-Football" TargetMode="External"/><Relationship Id="rId360" Type="http://schemas.openxmlformats.org/officeDocument/2006/relationships/hyperlink" Target="https://fbref.com/en/players/aaf61e0d/matchlogs/2025-2026/summary/Alfie-Brooks-Match-Logs" TargetMode="External"/><Relationship Id="rId2286" Type="http://schemas.openxmlformats.org/officeDocument/2006/relationships/hyperlink" Target="https://fbref.com/en/squads/4ba7cbea/Bournemouth-Stats" TargetMode="External"/><Relationship Id="rId367" Type="http://schemas.openxmlformats.org/officeDocument/2006/relationships/hyperlink" Target="https://fbref.com/en/squads/943e8050/Burnley-Stats" TargetMode="External"/><Relationship Id="rId2287" Type="http://schemas.openxmlformats.org/officeDocument/2006/relationships/hyperlink" Target="https://fbref.com/en/players/35141f4c/matchlogs/2025-2026/summary/Marcos-Senesi-Match-Logs" TargetMode="External"/><Relationship Id="rId366" Type="http://schemas.openxmlformats.org/officeDocument/2006/relationships/hyperlink" Target="https://fbref.com/en/country/DEN/Denmark-Football" TargetMode="External"/><Relationship Id="rId2288" Type="http://schemas.openxmlformats.org/officeDocument/2006/relationships/hyperlink" Target="https://fbref.com/en/players/3260690c/Benjamin-Sesko" TargetMode="External"/><Relationship Id="rId365" Type="http://schemas.openxmlformats.org/officeDocument/2006/relationships/hyperlink" Target="https://fbref.com/en/players/4e204552/Jacob-Bruun-Larsen" TargetMode="External"/><Relationship Id="rId2289" Type="http://schemas.openxmlformats.org/officeDocument/2006/relationships/hyperlink" Target="https://fbref.com/en/country/SVN/Slovenia-Football" TargetMode="External"/><Relationship Id="rId364" Type="http://schemas.openxmlformats.org/officeDocument/2006/relationships/hyperlink" Target="https://fbref.com/en/players/dc4cae05/matchlogs/2025-2026/summary/David-Brooks-Match-Logs" TargetMode="External"/><Relationship Id="rId95" Type="http://schemas.openxmlformats.org/officeDocument/2006/relationships/hyperlink" Target="https://fbref.com/en/squads/b8fd03ef/Manchester-City-Stats" TargetMode="External"/><Relationship Id="rId94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8b3ab7ad/Edson-Alvarez" TargetMode="External"/><Relationship Id="rId96" Type="http://schemas.openxmlformats.org/officeDocument/2006/relationships/hyperlink" Target="https://fbref.com/en/players/defcfd32/matchlogs/2025-2026/summary/Max-Alleyne-Match-Logs" TargetMode="External"/><Relationship Id="rId99" Type="http://schemas.openxmlformats.org/officeDocument/2006/relationships/hyperlink" Target="https://fbref.com/en/squads/7c21e445/West-Ham-United-Stats" TargetMode="External"/><Relationship Id="rId98" Type="http://schemas.openxmlformats.org/officeDocument/2006/relationships/hyperlink" Target="https://fbref.com/en/country/MEX/Mexico-Football" TargetMode="External"/><Relationship Id="rId91" Type="http://schemas.openxmlformats.org/officeDocument/2006/relationships/hyperlink" Target="https://fbref.com/en/squads/822bd0ba/Liverpool-Stats" TargetMode="External"/><Relationship Id="rId90" Type="http://schemas.openxmlformats.org/officeDocument/2006/relationships/hyperlink" Target="https://fbref.com/en/country/BRA/Brazil-Football" TargetMode="External"/><Relationship Id="rId93" Type="http://schemas.openxmlformats.org/officeDocument/2006/relationships/hyperlink" Target="https://fbref.com/en/players/defcfd32/Max-Alleyne" TargetMode="External"/><Relationship Id="rId92" Type="http://schemas.openxmlformats.org/officeDocument/2006/relationships/hyperlink" Target="https://fbref.com/en/players/7a2e46a8/matchlogs/2025-2026/summary/Alisson-Match-Logs" TargetMode="External"/><Relationship Id="rId359" Type="http://schemas.openxmlformats.org/officeDocument/2006/relationships/hyperlink" Target="https://fbref.com/en/squads/8cec06e1/Wolverhampton-Wanderers-Stats" TargetMode="External"/><Relationship Id="rId358" Type="http://schemas.openxmlformats.org/officeDocument/2006/relationships/hyperlink" Target="https://fbref.com/en/country/SRB/Serbia-Football" TargetMode="External"/><Relationship Id="rId357" Type="http://schemas.openxmlformats.org/officeDocument/2006/relationships/hyperlink" Target="https://fbref.com/en/players/aaf61e0d/Alfie-Brooks" TargetMode="External"/><Relationship Id="rId2270" Type="http://schemas.openxmlformats.org/officeDocument/2006/relationships/hyperlink" Target="https://fbref.com/en/squads/8ef52968/Sunderland-Stats" TargetMode="External"/><Relationship Id="rId2271" Type="http://schemas.openxmlformats.org/officeDocument/2006/relationships/hyperlink" Target="https://fbref.com/en/players/ec75ee25/matchlogs/2025-2026/summary/Jenson-Seelt-Match-Logs" TargetMode="External"/><Relationship Id="rId352" Type="http://schemas.openxmlformats.org/officeDocument/2006/relationships/hyperlink" Target="https://fbref.com/en/players/cdf9e86a/matchlogs/2025-2026/summary/Benjamin-Broggio-Match-Logs" TargetMode="External"/><Relationship Id="rId2272" Type="http://schemas.openxmlformats.org/officeDocument/2006/relationships/hyperlink" Target="https://fbref.com/en/players/834b5c4c/Matz-Sels" TargetMode="External"/><Relationship Id="rId351" Type="http://schemas.openxmlformats.org/officeDocument/2006/relationships/hyperlink" Target="https://fbref.com/en/squads/8602292d/Aston-Villa-Stats" TargetMode="External"/><Relationship Id="rId2273" Type="http://schemas.openxmlformats.org/officeDocument/2006/relationships/hyperlink" Target="https://fbref.com/en/country/BEL/Belgium-Football" TargetMode="External"/><Relationship Id="rId350" Type="http://schemas.openxmlformats.org/officeDocument/2006/relationships/hyperlink" Target="https://fbref.com/en/country/ENG/England-Football" TargetMode="External"/><Relationship Id="rId2274" Type="http://schemas.openxmlformats.org/officeDocument/2006/relationships/hyperlink" Target="https://fbref.com/en/squads/e4a775cb/Nottingham-Forest-Stats" TargetMode="External"/><Relationship Id="rId2275" Type="http://schemas.openxmlformats.org/officeDocument/2006/relationships/hyperlink" Target="https://fbref.com/en/players/834b5c4c/matchlogs/2025-2026/summary/Matz-Sels-Match-Logs" TargetMode="External"/><Relationship Id="rId356" Type="http://schemas.openxmlformats.org/officeDocument/2006/relationships/hyperlink" Target="https://fbref.com/en/players/97220da2/matchlogs/2025-2026/summary/Armando-Broja-Match-Logs" TargetMode="External"/><Relationship Id="rId2276" Type="http://schemas.openxmlformats.org/officeDocument/2006/relationships/hyperlink" Target="https://fbref.com/en/players/efd2ec23/Antoine-Semenyo" TargetMode="External"/><Relationship Id="rId355" Type="http://schemas.openxmlformats.org/officeDocument/2006/relationships/hyperlink" Target="https://fbref.com/en/squads/943e8050/Burnley-Stats" TargetMode="External"/><Relationship Id="rId2277" Type="http://schemas.openxmlformats.org/officeDocument/2006/relationships/hyperlink" Target="https://fbref.com/en/country/GHA/Ghana-Football" TargetMode="External"/><Relationship Id="rId354" Type="http://schemas.openxmlformats.org/officeDocument/2006/relationships/hyperlink" Target="https://fbref.com/en/country/ALB/Albania-Football" TargetMode="External"/><Relationship Id="rId2278" Type="http://schemas.openxmlformats.org/officeDocument/2006/relationships/hyperlink" Target="https://fbref.com/en/squads/b8fd03ef/Manchester-City-Stats" TargetMode="External"/><Relationship Id="rId353" Type="http://schemas.openxmlformats.org/officeDocument/2006/relationships/hyperlink" Target="https://fbref.com/en/players/97220da2/Armando-Broja" TargetMode="External"/><Relationship Id="rId2279" Type="http://schemas.openxmlformats.org/officeDocument/2006/relationships/hyperlink" Target="https://fbref.com/en/players/efd2ec23/matchlogs/2025-2026/summary/Antoine-Semenyo-Match-Logs" TargetMode="External"/><Relationship Id="rId1378" Type="http://schemas.openxmlformats.org/officeDocument/2006/relationships/hyperlink" Target="https://fbref.com/en/country/SWE/Sweden-Football" TargetMode="External"/><Relationship Id="rId2225" Type="http://schemas.openxmlformats.org/officeDocument/2006/relationships/hyperlink" Target="https://fbref.com/en/country/CIV/Cote-dIvoire-Football" TargetMode="External"/><Relationship Id="rId1379" Type="http://schemas.openxmlformats.org/officeDocument/2006/relationships/hyperlink" Target="https://fbref.com/en/squads/b2b47a98/Newcastle-United-Stats" TargetMode="External"/><Relationship Id="rId2226" Type="http://schemas.openxmlformats.org/officeDocument/2006/relationships/hyperlink" Target="https://fbref.com/en/squads/e4a775cb/Nottingham-Forest-Stats" TargetMode="External"/><Relationship Id="rId2227" Type="http://schemas.openxmlformats.org/officeDocument/2006/relationships/hyperlink" Target="https://fbref.com/en/players/bced0375/matchlogs/2025-2026/summary/Ibrahim-Sangare-Match-Logs" TargetMode="External"/><Relationship Id="rId2228" Type="http://schemas.openxmlformats.org/officeDocument/2006/relationships/hyperlink" Target="https://fbref.com/en/players/dd745366/Andrey-Santos" TargetMode="External"/><Relationship Id="rId2229" Type="http://schemas.openxmlformats.org/officeDocument/2006/relationships/hyperlink" Target="https://fbref.com/en/country/BRA/Brazil-Football" TargetMode="External"/><Relationship Id="rId305" Type="http://schemas.openxmlformats.org/officeDocument/2006/relationships/hyperlink" Target="https://fbref.com/en/players/bca5c4a7/Lamare-Bogarde" TargetMode="External"/><Relationship Id="rId789" Type="http://schemas.openxmlformats.org/officeDocument/2006/relationships/hyperlink" Target="https://fbref.com/en/players/5ff4ab71/Enzo-Fernandez" TargetMode="External"/><Relationship Id="rId304" Type="http://schemas.openxmlformats.org/officeDocument/2006/relationships/hyperlink" Target="https://fbref.com/en/players/eed2427e/matchlogs/2025-2026/summary/Oscar-Bobb-Match-Logs" TargetMode="External"/><Relationship Id="rId788" Type="http://schemas.openxmlformats.org/officeDocument/2006/relationships/hyperlink" Target="https://fbref.com/en/players/ef491564/matchlogs/2025-2026/summary/Mateus-Fernandes-Match-Logs" TargetMode="External"/><Relationship Id="rId303" Type="http://schemas.openxmlformats.org/officeDocument/2006/relationships/hyperlink" Target="https://fbref.com/en/squads/fd962109/Fulham-Stats" TargetMode="External"/><Relationship Id="rId787" Type="http://schemas.openxmlformats.org/officeDocument/2006/relationships/hyperlink" Target="https://fbref.com/en/squads/7c21e445/West-Ham-United-Stats" TargetMode="External"/><Relationship Id="rId302" Type="http://schemas.openxmlformats.org/officeDocument/2006/relationships/hyperlink" Target="https://fbref.com/en/country/NOR/Norway-Football" TargetMode="External"/><Relationship Id="rId786" Type="http://schemas.openxmlformats.org/officeDocument/2006/relationships/hyperlink" Target="https://fbref.com/en/country/POR/Portugal-Football" TargetMode="External"/><Relationship Id="rId309" Type="http://schemas.openxmlformats.org/officeDocument/2006/relationships/hyperlink" Target="https://fbref.com/en/players/ae5019e6/Jayden-Bogle" TargetMode="External"/><Relationship Id="rId308" Type="http://schemas.openxmlformats.org/officeDocument/2006/relationships/hyperlink" Target="https://fbref.com/en/players/bca5c4a7/matchlogs/2025-2026/summary/Lamare-Bogarde-Match-Logs" TargetMode="External"/><Relationship Id="rId307" Type="http://schemas.openxmlformats.org/officeDocument/2006/relationships/hyperlink" Target="https://fbref.com/en/squads/8602292d/Aston-Villa-Stats" TargetMode="External"/><Relationship Id="rId306" Type="http://schemas.openxmlformats.org/officeDocument/2006/relationships/hyperlink" Target="https://fbref.com/en/country/NED/Netherlands-Football" TargetMode="External"/><Relationship Id="rId781" Type="http://schemas.openxmlformats.org/officeDocument/2006/relationships/hyperlink" Target="https://fbref.com/en/players/507c7bdf/Bruno-Fernandes" TargetMode="External"/><Relationship Id="rId1370" Type="http://schemas.openxmlformats.org/officeDocument/2006/relationships/hyperlink" Target="https://fbref.com/en/country/GRE/Greece-Football" TargetMode="External"/><Relationship Id="rId780" Type="http://schemas.openxmlformats.org/officeDocument/2006/relationships/hyperlink" Target="https://fbref.com/en/players/745ca0a3/matchlogs/2025-2026/summary/Romain-Faivre-Match-Logs" TargetMode="External"/><Relationship Id="rId1371" Type="http://schemas.openxmlformats.org/officeDocument/2006/relationships/hyperlink" Target="https://fbref.com/en/squads/d07537b9/Brighton-and-Hove-Albion-Stats" TargetMode="External"/><Relationship Id="rId1372" Type="http://schemas.openxmlformats.org/officeDocument/2006/relationships/hyperlink" Target="https://fbref.com/en/players/816010c4/matchlogs/2025-2026/summary/Charalampos-Kostoulas-Match-Logs" TargetMode="External"/><Relationship Id="rId1373" Type="http://schemas.openxmlformats.org/officeDocument/2006/relationships/hyperlink" Target="https://fbref.com/en/players/79c0821a/Mateo-Kovacic" TargetMode="External"/><Relationship Id="rId2220" Type="http://schemas.openxmlformats.org/officeDocument/2006/relationships/hyperlink" Target="https://fbref.com/en/players/dbf053da/Jadon-Sancho" TargetMode="External"/><Relationship Id="rId301" Type="http://schemas.openxmlformats.org/officeDocument/2006/relationships/hyperlink" Target="https://fbref.com/en/players/eed2427e/Oscar-Bobb" TargetMode="External"/><Relationship Id="rId785" Type="http://schemas.openxmlformats.org/officeDocument/2006/relationships/hyperlink" Target="https://fbref.com/en/players/ef491564/Mateus-Fernandes" TargetMode="External"/><Relationship Id="rId1374" Type="http://schemas.openxmlformats.org/officeDocument/2006/relationships/hyperlink" Target="https://fbref.com/en/country/CRO/Croatia-Football" TargetMode="External"/><Relationship Id="rId2221" Type="http://schemas.openxmlformats.org/officeDocument/2006/relationships/hyperlink" Target="https://fbref.com/en/country/ENG/England-Football" TargetMode="External"/><Relationship Id="rId300" Type="http://schemas.openxmlformats.org/officeDocument/2006/relationships/hyperlink" Target="https://fbref.com/en/players/eed2427e/matchlogs/2025-2026/summary/Oscar-Bobb-Match-Logs" TargetMode="External"/><Relationship Id="rId784" Type="http://schemas.openxmlformats.org/officeDocument/2006/relationships/hyperlink" Target="https://fbref.com/en/players/507c7bdf/matchlogs/2025-2026/summary/Bruno-Fernandes-Match-Logs" TargetMode="External"/><Relationship Id="rId1375" Type="http://schemas.openxmlformats.org/officeDocument/2006/relationships/hyperlink" Target="https://fbref.com/en/squads/b8fd03ef/Manchester-City-Stats" TargetMode="External"/><Relationship Id="rId2222" Type="http://schemas.openxmlformats.org/officeDocument/2006/relationships/hyperlink" Target="https://fbref.com/en/squads/8602292d/Aston-Villa-Stats" TargetMode="External"/><Relationship Id="rId783" Type="http://schemas.openxmlformats.org/officeDocument/2006/relationships/hyperlink" Target="https://fbref.com/en/squads/19538871/Manchester-United-Stats" TargetMode="External"/><Relationship Id="rId1376" Type="http://schemas.openxmlformats.org/officeDocument/2006/relationships/hyperlink" Target="https://fbref.com/en/players/79c0821a/matchlogs/2025-2026/summary/Mateo-Kovacic-Match-Logs" TargetMode="External"/><Relationship Id="rId2223" Type="http://schemas.openxmlformats.org/officeDocument/2006/relationships/hyperlink" Target="https://fbref.com/en/players/dbf053da/matchlogs/2025-2026/summary/Jadon-Sancho-Match-Logs" TargetMode="External"/><Relationship Id="rId782" Type="http://schemas.openxmlformats.org/officeDocument/2006/relationships/hyperlink" Target="https://fbref.com/en/country/POR/Portugal-Football" TargetMode="External"/><Relationship Id="rId1377" Type="http://schemas.openxmlformats.org/officeDocument/2006/relationships/hyperlink" Target="https://fbref.com/en/players/77cf6852/Emil-Krafth" TargetMode="External"/><Relationship Id="rId2224" Type="http://schemas.openxmlformats.org/officeDocument/2006/relationships/hyperlink" Target="https://fbref.com/en/players/bced0375/Ibrahim-Sangare" TargetMode="External"/><Relationship Id="rId1367" Type="http://schemas.openxmlformats.org/officeDocument/2006/relationships/hyperlink" Target="https://fbref.com/en/squads/8602292d/Aston-Villa-Stats" TargetMode="External"/><Relationship Id="rId2214" Type="http://schemas.openxmlformats.org/officeDocument/2006/relationships/hyperlink" Target="https://fbref.com/en/squads/18bb7c10/Arsenal-Stats" TargetMode="External"/><Relationship Id="rId2698" Type="http://schemas.openxmlformats.org/officeDocument/2006/relationships/hyperlink" Target="https://fbref.com/en/players/c6dc9ecd/matchlogs/2025-2026/summary/Harry-Wilson-Match-Logs" TargetMode="External"/><Relationship Id="rId1368" Type="http://schemas.openxmlformats.org/officeDocument/2006/relationships/hyperlink" Target="https://fbref.com/en/players/0313a347/matchlogs/2025-2026/summary/Ezri-Konsa-Match-Logs" TargetMode="External"/><Relationship Id="rId2215" Type="http://schemas.openxmlformats.org/officeDocument/2006/relationships/hyperlink" Target="https://fbref.com/en/players/3dabb62e/matchlogs/2025-2026/summary/Marli-Salmon-Match-Logs" TargetMode="External"/><Relationship Id="rId2699" Type="http://schemas.openxmlformats.org/officeDocument/2006/relationships/hyperlink" Target="https://fbref.com/en/players/e9cd8e92/James-Wilson" TargetMode="External"/><Relationship Id="rId1369" Type="http://schemas.openxmlformats.org/officeDocument/2006/relationships/hyperlink" Target="https://fbref.com/en/players/816010c4/Charalampos-Kostoulas" TargetMode="External"/><Relationship Id="rId2216" Type="http://schemas.openxmlformats.org/officeDocument/2006/relationships/hyperlink" Target="https://fbref.com/en/players/6a713852/Robert-Sanchez" TargetMode="External"/><Relationship Id="rId2217" Type="http://schemas.openxmlformats.org/officeDocument/2006/relationships/hyperlink" Target="https://fbref.com/en/country/ESP/Spain-Football" TargetMode="External"/><Relationship Id="rId2218" Type="http://schemas.openxmlformats.org/officeDocument/2006/relationships/hyperlink" Target="https://fbref.com/en/squads/cff3d9bb/Chelsea-Stats" TargetMode="External"/><Relationship Id="rId2219" Type="http://schemas.openxmlformats.org/officeDocument/2006/relationships/hyperlink" Target="https://fbref.com/en/players/6a713852/matchlogs/2025-2026/summary/Robert-Sanchez-Match-Logs" TargetMode="External"/><Relationship Id="rId778" Type="http://schemas.openxmlformats.org/officeDocument/2006/relationships/hyperlink" Target="https://fbref.com/en/country/FRA/France-Football" TargetMode="External"/><Relationship Id="rId777" Type="http://schemas.openxmlformats.org/officeDocument/2006/relationships/hyperlink" Target="https://fbref.com/en/players/745ca0a3/Romain-Faivre" TargetMode="External"/><Relationship Id="rId776" Type="http://schemas.openxmlformats.org/officeDocument/2006/relationships/hyperlink" Target="https://fbref.com/en/players/9328b835/matchlogs/2025-2026/summary/Lukasz-Fabianski-Match-Logs" TargetMode="External"/><Relationship Id="rId775" Type="http://schemas.openxmlformats.org/officeDocument/2006/relationships/hyperlink" Target="https://fbref.com/en/squads/7c21e445/West-Ham-United-Stats" TargetMode="External"/><Relationship Id="rId779" Type="http://schemas.openxmlformats.org/officeDocument/2006/relationships/hyperlink" Target="https://fbref.com/en/squads/4ba7cbea/Bournemouth-Stats" TargetMode="External"/><Relationship Id="rId770" Type="http://schemas.openxmlformats.org/officeDocument/2006/relationships/hyperlink" Target="https://fbref.com/en/country/ENG/England-Football" TargetMode="External"/><Relationship Id="rId2690" Type="http://schemas.openxmlformats.org/officeDocument/2006/relationships/hyperlink" Target="https://fbref.com/en/players/a3b03921/matchlogs/2025-2026/summary/Joe-Willock-Match-Logs" TargetMode="External"/><Relationship Id="rId1360" Type="http://schemas.openxmlformats.org/officeDocument/2006/relationships/hyperlink" Target="https://fbref.com/en/players/c0b3669f/matchlogs/2025-2026/summary/Randal-Kolo-Muani-Match-Logs" TargetMode="External"/><Relationship Id="rId2691" Type="http://schemas.openxmlformats.org/officeDocument/2006/relationships/hyperlink" Target="https://fbref.com/en/players/c596fcb0/Callum-Wilson" TargetMode="External"/><Relationship Id="rId1361" Type="http://schemas.openxmlformats.org/officeDocument/2006/relationships/hyperlink" Target="https://fbref.com/en/players/5ed9b537/Ibrahima-Konate" TargetMode="External"/><Relationship Id="rId2692" Type="http://schemas.openxmlformats.org/officeDocument/2006/relationships/hyperlink" Target="https://fbref.com/en/country/ENG/England-Football" TargetMode="External"/><Relationship Id="rId1362" Type="http://schemas.openxmlformats.org/officeDocument/2006/relationships/hyperlink" Target="https://fbref.com/en/country/FRA/France-Football" TargetMode="External"/><Relationship Id="rId2693" Type="http://schemas.openxmlformats.org/officeDocument/2006/relationships/hyperlink" Target="https://fbref.com/en/squads/7c21e445/West-Ham-United-Stats" TargetMode="External"/><Relationship Id="rId774" Type="http://schemas.openxmlformats.org/officeDocument/2006/relationships/hyperlink" Target="https://fbref.com/en/country/POL/Poland-Football" TargetMode="External"/><Relationship Id="rId1363" Type="http://schemas.openxmlformats.org/officeDocument/2006/relationships/hyperlink" Target="https://fbref.com/en/squads/822bd0ba/Liverpool-Stats" TargetMode="External"/><Relationship Id="rId2210" Type="http://schemas.openxmlformats.org/officeDocument/2006/relationships/hyperlink" Target="https://fbref.com/en/squads/18bb7c10/Arsenal-Stats" TargetMode="External"/><Relationship Id="rId2694" Type="http://schemas.openxmlformats.org/officeDocument/2006/relationships/hyperlink" Target="https://fbref.com/en/players/c596fcb0/matchlogs/2025-2026/summary/Callum-Wilson-Match-Logs" TargetMode="External"/><Relationship Id="rId773" Type="http://schemas.openxmlformats.org/officeDocument/2006/relationships/hyperlink" Target="https://fbref.com/en/players/9328b835/Lukasz-Fabianski" TargetMode="External"/><Relationship Id="rId1364" Type="http://schemas.openxmlformats.org/officeDocument/2006/relationships/hyperlink" Target="https://fbref.com/en/players/5ed9b537/matchlogs/2025-2026/summary/Ibrahima-Konate-Match-Logs" TargetMode="External"/><Relationship Id="rId2211" Type="http://schemas.openxmlformats.org/officeDocument/2006/relationships/hyperlink" Target="https://fbref.com/en/players/972aeb2a/matchlogs/2025-2026/summary/William-Saliba-Match-Logs" TargetMode="External"/><Relationship Id="rId2695" Type="http://schemas.openxmlformats.org/officeDocument/2006/relationships/hyperlink" Target="https://fbref.com/en/players/c6dc9ecd/Harry-Wilson" TargetMode="External"/><Relationship Id="rId772" Type="http://schemas.openxmlformats.org/officeDocument/2006/relationships/hyperlink" Target="https://fbref.com/en/players/ae4fc6a4/matchlogs/2025-2026/summary/Eberechi-Eze-Match-Logs" TargetMode="External"/><Relationship Id="rId1365" Type="http://schemas.openxmlformats.org/officeDocument/2006/relationships/hyperlink" Target="https://fbref.com/en/players/0313a347/Ezri-Konsa" TargetMode="External"/><Relationship Id="rId2212" Type="http://schemas.openxmlformats.org/officeDocument/2006/relationships/hyperlink" Target="https://fbref.com/en/players/3dabb62e/Marli-Salmon" TargetMode="External"/><Relationship Id="rId2696" Type="http://schemas.openxmlformats.org/officeDocument/2006/relationships/hyperlink" Target="https://fbref.com/en/country/WAL/Wales-Football" TargetMode="External"/><Relationship Id="rId771" Type="http://schemas.openxmlformats.org/officeDocument/2006/relationships/hyperlink" Target="https://fbref.com/en/squads/18bb7c10/Arsenal-Stats" TargetMode="External"/><Relationship Id="rId1366" Type="http://schemas.openxmlformats.org/officeDocument/2006/relationships/hyperlink" Target="https://fbref.com/en/country/ENG/England-Football" TargetMode="External"/><Relationship Id="rId2213" Type="http://schemas.openxmlformats.org/officeDocument/2006/relationships/hyperlink" Target="https://fbref.com/en/country/ENG/England-Football" TargetMode="External"/><Relationship Id="rId2697" Type="http://schemas.openxmlformats.org/officeDocument/2006/relationships/hyperlink" Target="https://fbref.com/en/squads/fd962109/Fulham-Stats" TargetMode="External"/><Relationship Id="rId2247" Type="http://schemas.openxmlformats.org/officeDocument/2006/relationships/hyperlink" Target="https://fbref.com/en/players/e041497d/matchlogs/2025-2026/summary/Nicolo-Savona-Match-Logs" TargetMode="External"/><Relationship Id="rId2248" Type="http://schemas.openxmlformats.org/officeDocument/2006/relationships/hyperlink" Target="https://fbref.com/en/players/242e5e6d/Oliver-Scarles" TargetMode="External"/><Relationship Id="rId2249" Type="http://schemas.openxmlformats.org/officeDocument/2006/relationships/hyperlink" Target="https://fbref.com/en/country/ENG/England-Football" TargetMode="External"/><Relationship Id="rId327" Type="http://schemas.openxmlformats.org/officeDocument/2006/relationships/hyperlink" Target="https://fbref.com/en/squads/b2b47a98/Newcastle-United-Stats" TargetMode="External"/><Relationship Id="rId326" Type="http://schemas.openxmlformats.org/officeDocument/2006/relationships/hyperlink" Target="https://fbref.com/en/country/NED/Netherlands-Football" TargetMode="External"/><Relationship Id="rId325" Type="http://schemas.openxmlformats.org/officeDocument/2006/relationships/hyperlink" Target="https://fbref.com/en/players/ccce7025/Sven-Botman" TargetMode="External"/><Relationship Id="rId324" Type="http://schemas.openxmlformats.org/officeDocument/2006/relationships/hyperlink" Target="https://fbref.com/en/players/403f5d20/matchlogs/2025-2026/summary/Olivier-Boscagli-Match-Logs" TargetMode="External"/><Relationship Id="rId329" Type="http://schemas.openxmlformats.org/officeDocument/2006/relationships/hyperlink" Target="https://fbref.com/en/players/79c84d1c/Jarrod-Bowen" TargetMode="External"/><Relationship Id="rId1390" Type="http://schemas.openxmlformats.org/officeDocument/2006/relationships/hyperlink" Target="https://fbref.com/en/country/ENG/England-Football" TargetMode="External"/><Relationship Id="rId328" Type="http://schemas.openxmlformats.org/officeDocument/2006/relationships/hyperlink" Target="https://fbref.com/en/players/ccce7025/matchlogs/2025-2026/summary/Sven-Botman-Match-Logs" TargetMode="External"/><Relationship Id="rId1391" Type="http://schemas.openxmlformats.org/officeDocument/2006/relationships/hyperlink" Target="https://fbref.com/en/squads/19538871/Manchester-United-Stats" TargetMode="External"/><Relationship Id="rId1392" Type="http://schemas.openxmlformats.org/officeDocument/2006/relationships/hyperlink" Target="https://fbref.com/en/players/30416cc3/matchlogs/2025-2026/summary/Godwill-Kukonki-Match-Logs" TargetMode="External"/><Relationship Id="rId1393" Type="http://schemas.openxmlformats.org/officeDocument/2006/relationships/hyperlink" Target="https://fbref.com/en/players/c7c26e61/Jonah-Kusi-Asare" TargetMode="External"/><Relationship Id="rId2240" Type="http://schemas.openxmlformats.org/officeDocument/2006/relationships/hyperlink" Target="https://fbref.com/en/players/fe6e7156/Savio" TargetMode="External"/><Relationship Id="rId1394" Type="http://schemas.openxmlformats.org/officeDocument/2006/relationships/hyperlink" Target="https://fbref.com/en/country/SWE/Sweden-Football" TargetMode="External"/><Relationship Id="rId2241" Type="http://schemas.openxmlformats.org/officeDocument/2006/relationships/hyperlink" Target="https://fbref.com/en/country/BRA/Brazil-Football" TargetMode="External"/><Relationship Id="rId1395" Type="http://schemas.openxmlformats.org/officeDocument/2006/relationships/hyperlink" Target="https://fbref.com/en/squads/fd962109/Fulham-Stats" TargetMode="External"/><Relationship Id="rId2242" Type="http://schemas.openxmlformats.org/officeDocument/2006/relationships/hyperlink" Target="https://fbref.com/en/squads/b8fd03ef/Manchester-City-Stats" TargetMode="External"/><Relationship Id="rId323" Type="http://schemas.openxmlformats.org/officeDocument/2006/relationships/hyperlink" Target="https://fbref.com/en/squads/d07537b9/Brighton-and-Hove-Albion-Stats" TargetMode="External"/><Relationship Id="rId1396" Type="http://schemas.openxmlformats.org/officeDocument/2006/relationships/hyperlink" Target="https://fbref.com/en/players/c7c26e61/matchlogs/2025-2026/summary/Jonah-Kusi-Asare-Match-Logs" TargetMode="External"/><Relationship Id="rId2243" Type="http://schemas.openxmlformats.org/officeDocument/2006/relationships/hyperlink" Target="https://fbref.com/en/players/fe6e7156/matchlogs/2025-2026/summary/Savio-Match-Logs" TargetMode="External"/><Relationship Id="rId322" Type="http://schemas.openxmlformats.org/officeDocument/2006/relationships/hyperlink" Target="https://fbref.com/en/country/FRA/France-Football" TargetMode="External"/><Relationship Id="rId1397" Type="http://schemas.openxmlformats.org/officeDocument/2006/relationships/hyperlink" Target="https://fbref.com/en/players/04a1c050/Rio-Kyerematen" TargetMode="External"/><Relationship Id="rId2244" Type="http://schemas.openxmlformats.org/officeDocument/2006/relationships/hyperlink" Target="https://fbref.com/en/players/e041497d/Nicolo-Savona" TargetMode="External"/><Relationship Id="rId321" Type="http://schemas.openxmlformats.org/officeDocument/2006/relationships/hyperlink" Target="https://fbref.com/en/players/403f5d20/Olivier-Boscagli" TargetMode="External"/><Relationship Id="rId1398" Type="http://schemas.openxmlformats.org/officeDocument/2006/relationships/hyperlink" Target="https://fbref.com/en/country/ENG/England-Football" TargetMode="External"/><Relationship Id="rId2245" Type="http://schemas.openxmlformats.org/officeDocument/2006/relationships/hyperlink" Target="https://fbref.com/en/country/ITA/Italy-Football" TargetMode="External"/><Relationship Id="rId320" Type="http://schemas.openxmlformats.org/officeDocument/2006/relationships/hyperlink" Target="https://fbref.com/en/players/01834aa0/matchlogs/2025-2026/summary/Sebastiaan-Bornauw-Match-Logs" TargetMode="External"/><Relationship Id="rId1399" Type="http://schemas.openxmlformats.org/officeDocument/2006/relationships/hyperlink" Target="https://fbref.com/en/squads/361ca564/Tottenham-Hotspur-Stats" TargetMode="External"/><Relationship Id="rId2246" Type="http://schemas.openxmlformats.org/officeDocument/2006/relationships/hyperlink" Target="https://fbref.com/en/squads/e4a775cb/Nottingham-Forest-Stats" TargetMode="External"/><Relationship Id="rId1389" Type="http://schemas.openxmlformats.org/officeDocument/2006/relationships/hyperlink" Target="https://fbref.com/en/players/30416cc3/Godwill-Kukonki" TargetMode="External"/><Relationship Id="rId2236" Type="http://schemas.openxmlformats.org/officeDocument/2006/relationships/hyperlink" Target="https://fbref.com/en/players/61f80c89/Mamadou-Sarr" TargetMode="External"/><Relationship Id="rId2237" Type="http://schemas.openxmlformats.org/officeDocument/2006/relationships/hyperlink" Target="https://fbref.com/en/country/SEN/Senegal-Football" TargetMode="External"/><Relationship Id="rId2238" Type="http://schemas.openxmlformats.org/officeDocument/2006/relationships/hyperlink" Target="https://fbref.com/en/squads/cff3d9bb/Chelsea-Stats" TargetMode="External"/><Relationship Id="rId2239" Type="http://schemas.openxmlformats.org/officeDocument/2006/relationships/hyperlink" Target="https://fbref.com/en/players/61f80c89/matchlogs/2025-2026/summary/Mamadou-Sarr-Match-Logs" TargetMode="External"/><Relationship Id="rId316" Type="http://schemas.openxmlformats.org/officeDocument/2006/relationships/hyperlink" Target="https://fbref.com/en/players/a4ac4b8f/matchlogs/2025-2026/summary/Willy-Boly-Match-Logs" TargetMode="External"/><Relationship Id="rId315" Type="http://schemas.openxmlformats.org/officeDocument/2006/relationships/hyperlink" Target="https://fbref.com/en/squads/e4a775cb/Nottingham-Forest-Stats" TargetMode="External"/><Relationship Id="rId799" Type="http://schemas.openxmlformats.org/officeDocument/2006/relationships/hyperlink" Target="https://fbref.com/en/squads/19538871/Manchester-United-Stats" TargetMode="External"/><Relationship Id="rId314" Type="http://schemas.openxmlformats.org/officeDocument/2006/relationships/hyperlink" Target="https://fbref.com/en/country/CIV/Cote-dIvoire-Football" TargetMode="External"/><Relationship Id="rId798" Type="http://schemas.openxmlformats.org/officeDocument/2006/relationships/hyperlink" Target="https://fbref.com/en/country/ENG/England-Football" TargetMode="External"/><Relationship Id="rId313" Type="http://schemas.openxmlformats.org/officeDocument/2006/relationships/hyperlink" Target="https://fbref.com/en/players/a4ac4b8f/Willy-Boly" TargetMode="External"/><Relationship Id="rId797" Type="http://schemas.openxmlformats.org/officeDocument/2006/relationships/hyperlink" Target="https://fbref.com/en/players/38a6c944/Jack-Fletcher" TargetMode="External"/><Relationship Id="rId319" Type="http://schemas.openxmlformats.org/officeDocument/2006/relationships/hyperlink" Target="https://fbref.com/en/squads/5bfb9659/Leeds-United-Stats" TargetMode="External"/><Relationship Id="rId318" Type="http://schemas.openxmlformats.org/officeDocument/2006/relationships/hyperlink" Target="https://fbref.com/en/country/BEL/Belgium-Football" TargetMode="External"/><Relationship Id="rId317" Type="http://schemas.openxmlformats.org/officeDocument/2006/relationships/hyperlink" Target="https://fbref.com/en/players/01834aa0/Sebastiaan-Bornauw" TargetMode="External"/><Relationship Id="rId1380" Type="http://schemas.openxmlformats.org/officeDocument/2006/relationships/hyperlink" Target="https://fbref.com/en/players/77cf6852/matchlogs/2025-2026/summary/Emil-Krafth-Match-Logs" TargetMode="External"/><Relationship Id="rId792" Type="http://schemas.openxmlformats.org/officeDocument/2006/relationships/hyperlink" Target="https://fbref.com/en/players/5ff4ab71/matchlogs/2025-2026/summary/Enzo-Fernandez-Match-Logs" TargetMode="External"/><Relationship Id="rId1381" Type="http://schemas.openxmlformats.org/officeDocument/2006/relationships/hyperlink" Target="https://fbref.com/en/players/5b5c2228/Ladislav-Krejci" TargetMode="External"/><Relationship Id="rId791" Type="http://schemas.openxmlformats.org/officeDocument/2006/relationships/hyperlink" Target="https://fbref.com/en/squads/cff3d9bb/Chelsea-Stats" TargetMode="External"/><Relationship Id="rId1382" Type="http://schemas.openxmlformats.org/officeDocument/2006/relationships/hyperlink" Target="https://fbref.com/en/country/CZE/Czech-Republic-Football" TargetMode="External"/><Relationship Id="rId790" Type="http://schemas.openxmlformats.org/officeDocument/2006/relationships/hyperlink" Target="https://fbref.com/en/country/ARG/Argentina-Football" TargetMode="External"/><Relationship Id="rId1383" Type="http://schemas.openxmlformats.org/officeDocument/2006/relationships/hyperlink" Target="https://fbref.com/en/squads/8cec06e1/Wolverhampton-Wanderers-Stats" TargetMode="External"/><Relationship Id="rId2230" Type="http://schemas.openxmlformats.org/officeDocument/2006/relationships/hyperlink" Target="https://fbref.com/en/squads/cff3d9bb/Chelsea-Stats" TargetMode="External"/><Relationship Id="rId1384" Type="http://schemas.openxmlformats.org/officeDocument/2006/relationships/hyperlink" Target="https://fbref.com/en/players/5b5c2228/matchlogs/2025-2026/summary/Ladislav-Krejci-Match-Logs" TargetMode="External"/><Relationship Id="rId2231" Type="http://schemas.openxmlformats.org/officeDocument/2006/relationships/hyperlink" Target="https://fbref.com/en/players/dd745366/matchlogs/2025-2026/summary/Andrey-Santos-Match-Logs" TargetMode="External"/><Relationship Id="rId312" Type="http://schemas.openxmlformats.org/officeDocument/2006/relationships/hyperlink" Target="https://fbref.com/en/players/ae5019e6/matchlogs/2025-2026/summary/Jayden-Bogle-Match-Logs" TargetMode="External"/><Relationship Id="rId796" Type="http://schemas.openxmlformats.org/officeDocument/2006/relationships/hyperlink" Target="https://fbref.com/en/players/b3f36e72/matchlogs/2025-2026/summary/Zian-Flemming-Match-Logs" TargetMode="External"/><Relationship Id="rId1385" Type="http://schemas.openxmlformats.org/officeDocument/2006/relationships/hyperlink" Target="https://fbref.com/en/players/b62878a5/Mohammed-Kudus" TargetMode="External"/><Relationship Id="rId2232" Type="http://schemas.openxmlformats.org/officeDocument/2006/relationships/hyperlink" Target="https://fbref.com/en/players/bfdb33aa/Ismaila-Sarr" TargetMode="External"/><Relationship Id="rId311" Type="http://schemas.openxmlformats.org/officeDocument/2006/relationships/hyperlink" Target="https://fbref.com/en/squads/5bfb9659/Leeds-United-Stats" TargetMode="External"/><Relationship Id="rId795" Type="http://schemas.openxmlformats.org/officeDocument/2006/relationships/hyperlink" Target="https://fbref.com/en/squads/943e8050/Burnley-Stats" TargetMode="External"/><Relationship Id="rId1386" Type="http://schemas.openxmlformats.org/officeDocument/2006/relationships/hyperlink" Target="https://fbref.com/en/country/GHA/Ghana-Football" TargetMode="External"/><Relationship Id="rId2233" Type="http://schemas.openxmlformats.org/officeDocument/2006/relationships/hyperlink" Target="https://fbref.com/en/country/SEN/Senegal-Football" TargetMode="External"/><Relationship Id="rId310" Type="http://schemas.openxmlformats.org/officeDocument/2006/relationships/hyperlink" Target="https://fbref.com/en/country/ENG/England-Football" TargetMode="External"/><Relationship Id="rId794" Type="http://schemas.openxmlformats.org/officeDocument/2006/relationships/hyperlink" Target="https://fbref.com/en/country/NED/Netherlands-Football" TargetMode="External"/><Relationship Id="rId1387" Type="http://schemas.openxmlformats.org/officeDocument/2006/relationships/hyperlink" Target="https://fbref.com/en/squads/361ca564/Tottenham-Hotspur-Stats" TargetMode="External"/><Relationship Id="rId2234" Type="http://schemas.openxmlformats.org/officeDocument/2006/relationships/hyperlink" Target="https://fbref.com/en/squads/47c64c55/Crystal-Palace-Stats" TargetMode="External"/><Relationship Id="rId793" Type="http://schemas.openxmlformats.org/officeDocument/2006/relationships/hyperlink" Target="https://fbref.com/en/players/b3f36e72/Zian-Flemming" TargetMode="External"/><Relationship Id="rId1388" Type="http://schemas.openxmlformats.org/officeDocument/2006/relationships/hyperlink" Target="https://fbref.com/en/players/b62878a5/matchlogs/2025-2026/summary/Mohammed-Kudus-Match-Logs" TargetMode="External"/><Relationship Id="rId2235" Type="http://schemas.openxmlformats.org/officeDocument/2006/relationships/hyperlink" Target="https://fbref.com/en/players/bfdb33aa/matchlogs/2025-2026/summary/Ismaila-Sarr-Match-Logs" TargetMode="External"/><Relationship Id="rId297" Type="http://schemas.openxmlformats.org/officeDocument/2006/relationships/hyperlink" Target="https://fbref.com/en/players/eed2427e/Oscar-Bobb" TargetMode="External"/><Relationship Id="rId296" Type="http://schemas.openxmlformats.org/officeDocument/2006/relationships/hyperlink" Target="https://fbref.com/en/players/3d214e5f/matchlogs/2025-2026/summary/Marco-Bizot-Match-Logs" TargetMode="External"/><Relationship Id="rId295" Type="http://schemas.openxmlformats.org/officeDocument/2006/relationships/hyperlink" Target="https://fbref.com/en/squads/8602292d/Aston-Villa-Stats" TargetMode="External"/><Relationship Id="rId294" Type="http://schemas.openxmlformats.org/officeDocument/2006/relationships/hyperlink" Target="https://fbref.com/en/country/NED/Netherlands-Football" TargetMode="External"/><Relationship Id="rId299" Type="http://schemas.openxmlformats.org/officeDocument/2006/relationships/hyperlink" Target="https://fbref.com/en/squads/b8fd03ef/Manchester-City-Stats" TargetMode="External"/><Relationship Id="rId298" Type="http://schemas.openxmlformats.org/officeDocument/2006/relationships/hyperlink" Target="https://fbref.com/en/country/NOR/Norway-Football" TargetMode="External"/><Relationship Id="rId271" Type="http://schemas.openxmlformats.org/officeDocument/2006/relationships/hyperlink" Target="https://fbref.com/en/squads/361ca564/Tottenham-Hotspur-Stats" TargetMode="External"/><Relationship Id="rId270" Type="http://schemas.openxmlformats.org/officeDocument/2006/relationships/hyperlink" Target="https://fbref.com/en/country/SWE/Sweden-Football" TargetMode="External"/><Relationship Id="rId269" Type="http://schemas.openxmlformats.org/officeDocument/2006/relationships/hyperlink" Target="https://fbref.com/en/players/a109e5c8/Lucas-Bergvall" TargetMode="External"/><Relationship Id="rId264" Type="http://schemas.openxmlformats.org/officeDocument/2006/relationships/hyperlink" Target="https://fbref.com/en/players/331545b0/matchlogs/2025-2026/summary/Luka-Bentt-Match-Logs" TargetMode="External"/><Relationship Id="rId263" Type="http://schemas.openxmlformats.org/officeDocument/2006/relationships/hyperlink" Target="https://fbref.com/en/squads/cd051869/Brentford-Stats" TargetMode="External"/><Relationship Id="rId262" Type="http://schemas.openxmlformats.org/officeDocument/2006/relationships/hyperlink" Target="https://fbref.com/en/country/BEL/Belgium-Football" TargetMode="External"/><Relationship Id="rId261" Type="http://schemas.openxmlformats.org/officeDocument/2006/relationships/hyperlink" Target="https://fbref.com/en/players/331545b0/Luka-Bentt" TargetMode="External"/><Relationship Id="rId268" Type="http://schemas.openxmlformats.org/officeDocument/2006/relationships/hyperlink" Target="https://fbref.com/en/players/d0b6129f/matchlogs/2025-2026/summary/Sander-Berge-Match-Logs" TargetMode="External"/><Relationship Id="rId267" Type="http://schemas.openxmlformats.org/officeDocument/2006/relationships/hyperlink" Target="https://fbref.com/en/squads/fd962109/Fulham-Stats" TargetMode="External"/><Relationship Id="rId266" Type="http://schemas.openxmlformats.org/officeDocument/2006/relationships/hyperlink" Target="https://fbref.com/en/country/NOR/Norway-Football" TargetMode="External"/><Relationship Id="rId265" Type="http://schemas.openxmlformats.org/officeDocument/2006/relationships/hyperlink" Target="https://fbref.com/en/players/d0b6129f/Sander-Berge" TargetMode="External"/><Relationship Id="rId260" Type="http://schemas.openxmlformats.org/officeDocument/2006/relationships/hyperlink" Target="https://fbref.com/en/players/68db6358/matchlogs/2025-2026/summary/Daniel-Bentley-Match-Logs" TargetMode="External"/><Relationship Id="rId259" Type="http://schemas.openxmlformats.org/officeDocument/2006/relationships/hyperlink" Target="https://fbref.com/en/squads/8cec06e1/Wolverhampton-Wanderers-Stats" TargetMode="External"/><Relationship Id="rId258" Type="http://schemas.openxmlformats.org/officeDocument/2006/relationships/hyperlink" Target="https://fbref.com/en/country/ENG/England-Football" TargetMode="External"/><Relationship Id="rId2290" Type="http://schemas.openxmlformats.org/officeDocument/2006/relationships/hyperlink" Target="https://fbref.com/en/squads/19538871/Manchester-United-Stats" TargetMode="External"/><Relationship Id="rId2291" Type="http://schemas.openxmlformats.org/officeDocument/2006/relationships/hyperlink" Target="https://fbref.com/en/players/3260690c/matchlogs/2025-2026/summary/Benjamin-Sesko-Match-Logs" TargetMode="External"/><Relationship Id="rId2292" Type="http://schemas.openxmlformats.org/officeDocument/2006/relationships/hyperlink" Target="https://fbref.com/en/players/6aa3e78b/Ryan-Sessegnon" TargetMode="External"/><Relationship Id="rId2293" Type="http://schemas.openxmlformats.org/officeDocument/2006/relationships/hyperlink" Target="https://fbref.com/en/country/ENG/England-Football" TargetMode="External"/><Relationship Id="rId253" Type="http://schemas.openxmlformats.org/officeDocument/2006/relationships/hyperlink" Target="https://fbref.com/en/players/3b8674e6/Rodrigo-Bentancur" TargetMode="External"/><Relationship Id="rId2294" Type="http://schemas.openxmlformats.org/officeDocument/2006/relationships/hyperlink" Target="https://fbref.com/en/squads/fd962109/Fulham-Stats" TargetMode="External"/><Relationship Id="rId252" Type="http://schemas.openxmlformats.org/officeDocument/2006/relationships/hyperlink" Target="https://fbref.com/en/players/8a2248b4/matchlogs/2025-2026/summary/Walter-Benitez-Match-Logs" TargetMode="External"/><Relationship Id="rId2295" Type="http://schemas.openxmlformats.org/officeDocument/2006/relationships/hyperlink" Target="https://fbref.com/en/players/6aa3e78b/matchlogs/2025-2026/summary/Ryan-Sessegnon-Match-Logs" TargetMode="External"/><Relationship Id="rId251" Type="http://schemas.openxmlformats.org/officeDocument/2006/relationships/hyperlink" Target="https://fbref.com/en/squads/47c64c55/Crystal-Palace-Stats" TargetMode="External"/><Relationship Id="rId2296" Type="http://schemas.openxmlformats.org/officeDocument/2006/relationships/hyperlink" Target="https://fbref.com/en/players/d1a2e006/Tommy-Setford" TargetMode="External"/><Relationship Id="rId250" Type="http://schemas.openxmlformats.org/officeDocument/2006/relationships/hyperlink" Target="https://fbref.com/en/country/ARG/Argentina-Football" TargetMode="External"/><Relationship Id="rId2297" Type="http://schemas.openxmlformats.org/officeDocument/2006/relationships/hyperlink" Target="https://fbref.com/en/country/ENG/England-Football" TargetMode="External"/><Relationship Id="rId257" Type="http://schemas.openxmlformats.org/officeDocument/2006/relationships/hyperlink" Target="https://fbref.com/en/players/68db6358/Daniel-Bentley" TargetMode="External"/><Relationship Id="rId2298" Type="http://schemas.openxmlformats.org/officeDocument/2006/relationships/hyperlink" Target="https://fbref.com/en/squads/18bb7c10/Arsenal-Stats" TargetMode="External"/><Relationship Id="rId256" Type="http://schemas.openxmlformats.org/officeDocument/2006/relationships/hyperlink" Target="https://fbref.com/en/players/3b8674e6/matchlogs/2025-2026/summary/Rodrigo-Bentancur-Match-Logs" TargetMode="External"/><Relationship Id="rId2299" Type="http://schemas.openxmlformats.org/officeDocument/2006/relationships/hyperlink" Target="https://fbref.com/en/players/d1a2e006/matchlogs/2025-2026/summary/Tommy-Setford-Match-Logs" TargetMode="External"/><Relationship Id="rId255" Type="http://schemas.openxmlformats.org/officeDocument/2006/relationships/hyperlink" Target="https://fbref.com/en/squads/361ca564/Tottenham-Hotspur-Stats" TargetMode="External"/><Relationship Id="rId254" Type="http://schemas.openxmlformats.org/officeDocument/2006/relationships/hyperlink" Target="https://fbref.com/en/country/URU/Uruguay-Football" TargetMode="External"/><Relationship Id="rId293" Type="http://schemas.openxmlformats.org/officeDocument/2006/relationships/hyperlink" Target="https://fbref.com/en/players/3d214e5f/Marco-Bizot" TargetMode="External"/><Relationship Id="rId292" Type="http://schemas.openxmlformats.org/officeDocument/2006/relationships/hyperlink" Target="https://fbref.com/en/players/6c203af0/matchlogs/2025-2026/summary/Yves-Bissouma-Match-Logs" TargetMode="External"/><Relationship Id="rId291" Type="http://schemas.openxmlformats.org/officeDocument/2006/relationships/hyperlink" Target="https://fbref.com/en/squads/361ca564/Tottenham-Hotspur-Stats" TargetMode="External"/><Relationship Id="rId290" Type="http://schemas.openxmlformats.org/officeDocument/2006/relationships/hyperlink" Target="https://fbref.com/en/country/MLI/Mali-Football" TargetMode="External"/><Relationship Id="rId286" Type="http://schemas.openxmlformats.org/officeDocument/2006/relationships/hyperlink" Target="https://fbref.com/en/country/DEN/Denmark-Football" TargetMode="External"/><Relationship Id="rId285" Type="http://schemas.openxmlformats.org/officeDocument/2006/relationships/hyperlink" Target="https://fbref.com/en/players/d328a254/Philip-Billing" TargetMode="External"/><Relationship Id="rId284" Type="http://schemas.openxmlformats.org/officeDocument/2006/relationships/hyperlink" Target="https://fbref.com/en/players/6fdac234/matchlogs/2025-2026/summary/Jaka-Bijol-Match-Logs" TargetMode="External"/><Relationship Id="rId283" Type="http://schemas.openxmlformats.org/officeDocument/2006/relationships/hyperlink" Target="https://fbref.com/en/squads/5bfb9659/Leeds-United-Stats" TargetMode="External"/><Relationship Id="rId289" Type="http://schemas.openxmlformats.org/officeDocument/2006/relationships/hyperlink" Target="https://fbref.com/en/players/6c203af0/Yves-Bissouma" TargetMode="External"/><Relationship Id="rId288" Type="http://schemas.openxmlformats.org/officeDocument/2006/relationships/hyperlink" Target="https://fbref.com/en/players/d328a254/matchlogs/2025-2026/summary/Philip-Billing-Match-Logs" TargetMode="External"/><Relationship Id="rId287" Type="http://schemas.openxmlformats.org/officeDocument/2006/relationships/hyperlink" Target="https://fbref.com/en/squads/4ba7cbea/Bournemouth-Stats" TargetMode="External"/><Relationship Id="rId282" Type="http://schemas.openxmlformats.org/officeDocument/2006/relationships/hyperlink" Target="https://fbref.com/en/country/SVN/Slovenia-Football" TargetMode="External"/><Relationship Id="rId281" Type="http://schemas.openxmlformats.org/officeDocument/2006/relationships/hyperlink" Target="https://fbref.com/en/players/6fdac234/Jaka-Bijol" TargetMode="External"/><Relationship Id="rId280" Type="http://schemas.openxmlformats.org/officeDocument/2006/relationships/hyperlink" Target="https://fbref.com/en/players/0d85a4e8/matchlogs/2025-2026/summary/Marcus-Bettinelli-Match-Logs" TargetMode="External"/><Relationship Id="rId275" Type="http://schemas.openxmlformats.org/officeDocument/2006/relationships/hyperlink" Target="https://fbref.com/en/squads/d3fd31cc/Everton-Stats" TargetMode="External"/><Relationship Id="rId274" Type="http://schemas.openxmlformats.org/officeDocument/2006/relationships/hyperlink" Target="https://fbref.com/en/country/GNB/Guinea-Bissau-Football" TargetMode="External"/><Relationship Id="rId273" Type="http://schemas.openxmlformats.org/officeDocument/2006/relationships/hyperlink" Target="https://fbref.com/en/players/ed5c0319/Beto" TargetMode="External"/><Relationship Id="rId272" Type="http://schemas.openxmlformats.org/officeDocument/2006/relationships/hyperlink" Target="https://fbref.com/en/players/a109e5c8/matchlogs/2025-2026/summary/Lucas-Bergvall-Match-Logs" TargetMode="External"/><Relationship Id="rId279" Type="http://schemas.openxmlformats.org/officeDocument/2006/relationships/hyperlink" Target="https://fbref.com/en/squads/b8fd03ef/Manchester-City-Stats" TargetMode="External"/><Relationship Id="rId278" Type="http://schemas.openxmlformats.org/officeDocument/2006/relationships/hyperlink" Target="https://fbref.com/en/country/ENG/England-Football" TargetMode="External"/><Relationship Id="rId277" Type="http://schemas.openxmlformats.org/officeDocument/2006/relationships/hyperlink" Target="https://fbref.com/en/players/0d85a4e8/Marcus-Bettinelli" TargetMode="External"/><Relationship Id="rId276" Type="http://schemas.openxmlformats.org/officeDocument/2006/relationships/hyperlink" Target="https://fbref.com/en/players/ed5c0319/matchlogs/2025-2026/summary/Beto-Match-Logs" TargetMode="External"/><Relationship Id="rId1851" Type="http://schemas.openxmlformats.org/officeDocument/2006/relationships/hyperlink" Target="https://fbref.com/en/players/0cc5f4a5/matchlogs/2025-2026/summary/Lukas-Nmecha-Match-Logs" TargetMode="External"/><Relationship Id="rId1852" Type="http://schemas.openxmlformats.org/officeDocument/2006/relationships/hyperlink" Target="https://fbref.com/en/players/e504780f/Gustavo-Nunes" TargetMode="External"/><Relationship Id="rId1853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country/SCO/Scotland-Football" TargetMode="External"/><Relationship Id="rId1854" Type="http://schemas.openxmlformats.org/officeDocument/2006/relationships/hyperlink" Target="https://fbref.com/en/squads/cd051869/Brentford-Stats" TargetMode="External"/><Relationship Id="rId2701" Type="http://schemas.openxmlformats.org/officeDocument/2006/relationships/hyperlink" Target="https://fbref.com/en/squads/361ca564/Tottenham-Hotspur-Stats" TargetMode="External"/><Relationship Id="rId1855" Type="http://schemas.openxmlformats.org/officeDocument/2006/relationships/hyperlink" Target="https://fbref.com/en/players/e504780f/matchlogs/2025-2026/summary/Gustavo-Nunes-Match-Logs" TargetMode="External"/><Relationship Id="rId2702" Type="http://schemas.openxmlformats.org/officeDocument/2006/relationships/hyperlink" Target="https://fbref.com/en/players/e9cd8e92/matchlogs/2025-2026/summary/James-Wilson-Match-Logs" TargetMode="External"/><Relationship Id="rId1856" Type="http://schemas.openxmlformats.org/officeDocument/2006/relationships/hyperlink" Target="https://fbref.com/en/players/e6af02e0/Matheus-Nunes" TargetMode="External"/><Relationship Id="rId2703" Type="http://schemas.openxmlformats.org/officeDocument/2006/relationships/hyperlink" Target="https://fbref.com/en/players/ba31eee2/Ben-Winterburn" TargetMode="External"/><Relationship Id="rId1857" Type="http://schemas.openxmlformats.org/officeDocument/2006/relationships/hyperlink" Target="https://fbref.com/en/country/POR/Portugal-Football" TargetMode="External"/><Relationship Id="rId2704" Type="http://schemas.openxmlformats.org/officeDocument/2006/relationships/hyperlink" Target="https://fbref.com/en/country/ENG/England-Football" TargetMode="External"/><Relationship Id="rId1858" Type="http://schemas.openxmlformats.org/officeDocument/2006/relationships/hyperlink" Target="https://fbref.com/en/squads/b8fd03ef/Manchester-City-Stats" TargetMode="External"/><Relationship Id="rId2705" Type="http://schemas.openxmlformats.org/officeDocument/2006/relationships/hyperlink" Target="https://fbref.com/en/squads/4ba7cbea/Bournemouth-Stats" TargetMode="External"/><Relationship Id="rId1859" Type="http://schemas.openxmlformats.org/officeDocument/2006/relationships/hyperlink" Target="https://fbref.com/en/players/e6af02e0/matchlogs/2025-2026/summary/Matheus-Nunes-Match-Logs" TargetMode="External"/><Relationship Id="rId2706" Type="http://schemas.openxmlformats.org/officeDocument/2006/relationships/hyperlink" Target="https://fbref.com/en/players/ba31eee2/matchlogs/2025-2026/summary/Ben-Winterburn-Match-Logs" TargetMode="External"/><Relationship Id="rId2707" Type="http://schemas.openxmlformats.org/officeDocument/2006/relationships/hyperlink" Target="https://fbref.com/en/players/e7fcf289/Florian-Wirtz" TargetMode="External"/><Relationship Id="rId2708" Type="http://schemas.openxmlformats.org/officeDocument/2006/relationships/hyperlink" Target="https://fbref.com/en/country/GER/Germany-Football" TargetMode="External"/><Relationship Id="rId2709" Type="http://schemas.openxmlformats.org/officeDocument/2006/relationships/hyperlink" Target="https://fbref.com/en/squads/822bd0ba/Liverpool-Stats" TargetMode="External"/><Relationship Id="rId1850" Type="http://schemas.openxmlformats.org/officeDocument/2006/relationships/hyperlink" Target="https://fbref.com/en/squads/5bfb9659/Leeds-United-Stats" TargetMode="External"/><Relationship Id="rId1840" Type="http://schemas.openxmlformats.org/officeDocument/2006/relationships/hyperlink" Target="https://fbref.com/en/players/022eca88/Rio-Ngumoha" TargetMode="External"/><Relationship Id="rId1841" Type="http://schemas.openxmlformats.org/officeDocument/2006/relationships/hyperlink" Target="https://fbref.com/en/country/ENG/England-Football" TargetMode="External"/><Relationship Id="rId1842" Type="http://schemas.openxmlformats.org/officeDocument/2006/relationships/hyperlink" Target="https://fbref.com/en/squads/822bd0ba/Liverpool-Stats" TargetMode="External"/><Relationship Id="rId1843" Type="http://schemas.openxmlformats.org/officeDocument/2006/relationships/hyperlink" Target="https://fbref.com/en/players/022eca88/matchlogs/2025-2026/summary/Rio-Ngumoha-Match-Logs" TargetMode="External"/><Relationship Id="rId1844" Type="http://schemas.openxmlformats.org/officeDocument/2006/relationships/hyperlink" Target="https://fbref.com/en/players/a53649b7/Eddie-Nketiah" TargetMode="External"/><Relationship Id="rId1845" Type="http://schemas.openxmlformats.org/officeDocument/2006/relationships/hyperlink" Target="https://fbref.com/en/country/ENG/England-Football" TargetMode="External"/><Relationship Id="rId1846" Type="http://schemas.openxmlformats.org/officeDocument/2006/relationships/hyperlink" Target="https://fbref.com/en/squads/47c64c55/Crystal-Palace-Stats" TargetMode="External"/><Relationship Id="rId1847" Type="http://schemas.openxmlformats.org/officeDocument/2006/relationships/hyperlink" Target="https://fbref.com/en/players/a53649b7/matchlogs/2025-2026/summary/Eddie-Nketiah-Match-Logs" TargetMode="External"/><Relationship Id="rId1848" Type="http://schemas.openxmlformats.org/officeDocument/2006/relationships/hyperlink" Target="https://fbref.com/en/players/0cc5f4a5/Lukas-Nmecha" TargetMode="External"/><Relationship Id="rId1849" Type="http://schemas.openxmlformats.org/officeDocument/2006/relationships/hyperlink" Target="https://fbref.com/en/country/GER/Germany-Football" TargetMode="External"/><Relationship Id="rId1873" Type="http://schemas.openxmlformats.org/officeDocument/2006/relationships/hyperlink" Target="https://fbref.com/en/country/IRL/Republic-of-Ireland-Football" TargetMode="External"/><Relationship Id="rId2720" Type="http://schemas.openxmlformats.org/officeDocument/2006/relationships/hyperlink" Target="https://fbref.com/en/country/NZL/New-Zealand-Football" TargetMode="External"/><Relationship Id="rId1874" Type="http://schemas.openxmlformats.org/officeDocument/2006/relationships/hyperlink" Target="https://fbref.com/en/squads/d3fd31cc/Everton-Stats" TargetMode="External"/><Relationship Id="rId2721" Type="http://schemas.openxmlformats.org/officeDocument/2006/relationships/hyperlink" Target="https://fbref.com/en/squads/e4a775cb/Nottingham-Forest-Stats" TargetMode="External"/><Relationship Id="rId1875" Type="http://schemas.openxmlformats.org/officeDocument/2006/relationships/hyperlink" Target="https://fbref.com/en/players/25f2ef01/matchlogs/2025-2026/summary/Jake-OBrien-Match-Logs" TargetMode="External"/><Relationship Id="rId2722" Type="http://schemas.openxmlformats.org/officeDocument/2006/relationships/hyperlink" Target="https://fbref.com/en/players/4e9a0555/matchlogs/2025-2026/summary/Chris-Wood-Match-Logs" TargetMode="External"/><Relationship Id="rId1876" Type="http://schemas.openxmlformats.org/officeDocument/2006/relationships/hyperlink" Target="https://fbref.com/en/players/8092d497/Luke-ONien" TargetMode="External"/><Relationship Id="rId2723" Type="http://schemas.openxmlformats.org/officeDocument/2006/relationships/hyperlink" Target="https://fbref.com/en/players/19e50035/Freddie-Woodman" TargetMode="External"/><Relationship Id="rId1877" Type="http://schemas.openxmlformats.org/officeDocument/2006/relationships/hyperlink" Target="https://fbref.com/en/country/ENG/England-Football" TargetMode="External"/><Relationship Id="rId2724" Type="http://schemas.openxmlformats.org/officeDocument/2006/relationships/hyperlink" Target="https://fbref.com/en/country/ENG/England-Football" TargetMode="External"/><Relationship Id="rId1878" Type="http://schemas.openxmlformats.org/officeDocument/2006/relationships/hyperlink" Target="https://fbref.com/en/squads/8ef52968/Sunderland-Stats" TargetMode="External"/><Relationship Id="rId2725" Type="http://schemas.openxmlformats.org/officeDocument/2006/relationships/hyperlink" Target="https://fbref.com/en/squads/822bd0ba/Liverpool-Stats" TargetMode="External"/><Relationship Id="rId1879" Type="http://schemas.openxmlformats.org/officeDocument/2006/relationships/hyperlink" Target="https://fbref.com/en/players/8092d497/matchlogs/2025-2026/summary/Luke-ONien-Match-Logs" TargetMode="External"/><Relationship Id="rId2726" Type="http://schemas.openxmlformats.org/officeDocument/2006/relationships/hyperlink" Target="https://fbref.com/en/players/19e50035/matchlogs/2025-2026/summary/Freddie-Woodman-Match-Logs" TargetMode="External"/><Relationship Id="rId2727" Type="http://schemas.openxmlformats.org/officeDocument/2006/relationships/hyperlink" Target="https://fbref.com/en/players/a5212312/Joe-Worrall" TargetMode="External"/><Relationship Id="rId2728" Type="http://schemas.openxmlformats.org/officeDocument/2006/relationships/hyperlink" Target="https://fbref.com/en/country/ENG/England-Football" TargetMode="External"/><Relationship Id="rId2729" Type="http://schemas.openxmlformats.org/officeDocument/2006/relationships/hyperlink" Target="https://fbref.com/en/squads/943e8050/Burnley-Stats" TargetMode="External"/><Relationship Id="rId1870" Type="http://schemas.openxmlformats.org/officeDocument/2006/relationships/hyperlink" Target="https://fbref.com/en/squads/18bb7c10/Arsenal-Stats" TargetMode="External"/><Relationship Id="rId1871" Type="http://schemas.openxmlformats.org/officeDocument/2006/relationships/hyperlink" Target="https://fbref.com/en/players/df0a4c90/matchlogs/2025-2026/summary/Christian-Norgaard-Match-Logs" TargetMode="External"/><Relationship Id="rId1872" Type="http://schemas.openxmlformats.org/officeDocument/2006/relationships/hyperlink" Target="https://fbref.com/en/players/25f2ef01/Jake-OBrien" TargetMode="External"/><Relationship Id="rId1862" Type="http://schemas.openxmlformats.org/officeDocument/2006/relationships/hyperlink" Target="https://fbref.com/en/squads/18bb7c10/Arsenal-Stats" TargetMode="External"/><Relationship Id="rId1863" Type="http://schemas.openxmlformats.org/officeDocument/2006/relationships/hyperlink" Target="https://fbref.com/en/players/7f94982c/matchlogs/2025-2026/summary/Ethan-Nwaneri-Match-Logs" TargetMode="External"/><Relationship Id="rId2710" Type="http://schemas.openxmlformats.org/officeDocument/2006/relationships/hyperlink" Target="https://fbref.com/en/players/e7fcf289/matchlogs/2025-2026/summary/Florian-Wirtz-Match-Logs" TargetMode="External"/><Relationship Id="rId1864" Type="http://schemas.openxmlformats.org/officeDocument/2006/relationships/hyperlink" Target="https://fbref.com/en/players/1d3b3d77/Trey-Nyoni" TargetMode="External"/><Relationship Id="rId2711" Type="http://schemas.openxmlformats.org/officeDocument/2006/relationships/hyperlink" Target="https://fbref.com/en/players/2500cef9/Yoane-Wissa" TargetMode="External"/><Relationship Id="rId1865" Type="http://schemas.openxmlformats.org/officeDocument/2006/relationships/hyperlink" Target="https://fbref.com/en/country/ENG/England-Football" TargetMode="External"/><Relationship Id="rId2712" Type="http://schemas.openxmlformats.org/officeDocument/2006/relationships/hyperlink" Target="https://fbref.com/en/country/COD/Congo-DR-Football" TargetMode="External"/><Relationship Id="rId1866" Type="http://schemas.openxmlformats.org/officeDocument/2006/relationships/hyperlink" Target="https://fbref.com/en/squads/822bd0ba/Liverpool-Stats" TargetMode="External"/><Relationship Id="rId2713" Type="http://schemas.openxmlformats.org/officeDocument/2006/relationships/hyperlink" Target="https://fbref.com/en/squads/b2b47a98/Newcastle-United-Stats" TargetMode="External"/><Relationship Id="rId1867" Type="http://schemas.openxmlformats.org/officeDocument/2006/relationships/hyperlink" Target="https://fbref.com/en/players/1d3b3d77/matchlogs/2025-2026/summary/Trey-Nyoni-Match-Logs" TargetMode="External"/><Relationship Id="rId2714" Type="http://schemas.openxmlformats.org/officeDocument/2006/relationships/hyperlink" Target="https://fbref.com/en/players/2500cef9/matchlogs/2025-2026/summary/Yoane-Wissa-Match-Logs" TargetMode="External"/><Relationship Id="rId1868" Type="http://schemas.openxmlformats.org/officeDocument/2006/relationships/hyperlink" Target="https://fbref.com/en/players/df0a4c90/Christian-Norgaard" TargetMode="External"/><Relationship Id="rId2715" Type="http://schemas.openxmlformats.org/officeDocument/2006/relationships/hyperlink" Target="https://fbref.com/en/players/7ca196eb/Nick-Woltemade" TargetMode="External"/><Relationship Id="rId1869" Type="http://schemas.openxmlformats.org/officeDocument/2006/relationships/hyperlink" Target="https://fbref.com/en/country/DEN/Denmark-Football" TargetMode="External"/><Relationship Id="rId2716" Type="http://schemas.openxmlformats.org/officeDocument/2006/relationships/hyperlink" Target="https://fbref.com/en/country/GER/Germany-Football" TargetMode="External"/><Relationship Id="rId2717" Type="http://schemas.openxmlformats.org/officeDocument/2006/relationships/hyperlink" Target="https://fbref.com/en/squads/b2b47a98/Newcastle-United-Stats" TargetMode="External"/><Relationship Id="rId2718" Type="http://schemas.openxmlformats.org/officeDocument/2006/relationships/hyperlink" Target="https://fbref.com/en/players/7ca196eb/matchlogs/2025-2026/summary/Nick-Woltemade-Match-Logs" TargetMode="External"/><Relationship Id="rId2719" Type="http://schemas.openxmlformats.org/officeDocument/2006/relationships/hyperlink" Target="https://fbref.com/en/players/4e9a0555/Chris-Wood" TargetMode="External"/><Relationship Id="rId1860" Type="http://schemas.openxmlformats.org/officeDocument/2006/relationships/hyperlink" Target="https://fbref.com/en/players/7f94982c/Ethan-Nwaneri" TargetMode="External"/><Relationship Id="rId1861" Type="http://schemas.openxmlformats.org/officeDocument/2006/relationships/hyperlink" Target="https://fbref.com/en/country/ENG/England-Football" TargetMode="External"/><Relationship Id="rId1810" Type="http://schemas.openxmlformats.org/officeDocument/2006/relationships/hyperlink" Target="https://fbref.com/en/squads/822bd0ba/Liverpool-Stats" TargetMode="External"/><Relationship Id="rId1811" Type="http://schemas.openxmlformats.org/officeDocument/2006/relationships/hyperlink" Target="https://fbref.com/en/players/821c9f86/matchlogs/2025-2026/summary/El-Hadji-Mor-Talla-Ndiaye-Match-Logs" TargetMode="External"/><Relationship Id="rId1812" Type="http://schemas.openxmlformats.org/officeDocument/2006/relationships/hyperlink" Target="https://fbref.com/en/players/5ed97752/Iliman-Ndiaye" TargetMode="External"/><Relationship Id="rId1813" Type="http://schemas.openxmlformats.org/officeDocument/2006/relationships/hyperlink" Target="https://fbref.com/en/country/SEN/Senegal-Football" TargetMode="External"/><Relationship Id="rId1814" Type="http://schemas.openxmlformats.org/officeDocument/2006/relationships/hyperlink" Target="https://fbref.com/en/squads/d3fd31cc/Everton-Stats" TargetMode="External"/><Relationship Id="rId1815" Type="http://schemas.openxmlformats.org/officeDocument/2006/relationships/hyperlink" Target="https://fbref.com/en/players/5ed97752/matchlogs/2025-2026/summary/Iliman-Ndiaye-Match-Logs" TargetMode="External"/><Relationship Id="rId1816" Type="http://schemas.openxmlformats.org/officeDocument/2006/relationships/hyperlink" Target="https://fbref.com/en/players/8e697a8f/Dan-Ndoye" TargetMode="External"/><Relationship Id="rId1817" Type="http://schemas.openxmlformats.org/officeDocument/2006/relationships/hyperlink" Target="https://fbref.com/en/country/SUI/Switzerland-Football" TargetMode="External"/><Relationship Id="rId1818" Type="http://schemas.openxmlformats.org/officeDocument/2006/relationships/hyperlink" Target="https://fbref.com/en/squads/e4a775cb/Nottingham-Forest-Stats" TargetMode="External"/><Relationship Id="rId1819" Type="http://schemas.openxmlformats.org/officeDocument/2006/relationships/hyperlink" Target="https://fbref.com/en/players/8e697a8f/matchlogs/2025-2026/summary/Dan-Ndoye-Match-Logs" TargetMode="External"/><Relationship Id="rId1800" Type="http://schemas.openxmlformats.org/officeDocument/2006/relationships/hyperlink" Target="https://fbref.com/en/players/9affc5f2/David-Moller-Wolfe" TargetMode="External"/><Relationship Id="rId1801" Type="http://schemas.openxmlformats.org/officeDocument/2006/relationships/hyperlink" Target="https://fbref.com/en/country/NOR/Norway-Football" TargetMode="External"/><Relationship Id="rId1802" Type="http://schemas.openxmlformats.org/officeDocument/2006/relationships/hyperlink" Target="https://fbref.com/en/squads/8cec06e1/Wolverhampton-Wanderers-Stats" TargetMode="External"/><Relationship Id="rId1803" Type="http://schemas.openxmlformats.org/officeDocument/2006/relationships/hyperlink" Target="https://fbref.com/en/players/9affc5f2/matchlogs/2025-2026/summary/David-Moller-Wolfe-Match-Logs" TargetMode="External"/><Relationship Id="rId1804" Type="http://schemas.openxmlformats.org/officeDocument/2006/relationships/hyperlink" Target="https://fbref.com/en/players/398a24f6/Amara-Nallo" TargetMode="External"/><Relationship Id="rId1805" Type="http://schemas.openxmlformats.org/officeDocument/2006/relationships/hyperlink" Target="https://fbref.com/en/country/ENG/England-Football" TargetMode="External"/><Relationship Id="rId1806" Type="http://schemas.openxmlformats.org/officeDocument/2006/relationships/hyperlink" Target="https://fbref.com/en/squads/822bd0ba/Liverpool-Stats" TargetMode="External"/><Relationship Id="rId1807" Type="http://schemas.openxmlformats.org/officeDocument/2006/relationships/hyperlink" Target="https://fbref.com/en/players/398a24f6/matchlogs/2025-2026/summary/Amara-Nallo-Match-Logs" TargetMode="External"/><Relationship Id="rId1808" Type="http://schemas.openxmlformats.org/officeDocument/2006/relationships/hyperlink" Target="https://fbref.com/en/players/821c9f86/El-Hadji-Mor-Talla-Ndiaye" TargetMode="External"/><Relationship Id="rId1809" Type="http://schemas.openxmlformats.org/officeDocument/2006/relationships/hyperlink" Target="https://fbref.com/en/country/SEN/Senegal-Football" TargetMode="External"/><Relationship Id="rId1830" Type="http://schemas.openxmlformats.org/officeDocument/2006/relationships/hyperlink" Target="https://fbref.com/en/squads/cd051869/Brentford-Stats" TargetMode="External"/><Relationship Id="rId1831" Type="http://schemas.openxmlformats.org/officeDocument/2006/relationships/hyperlink" Target="https://fbref.com/en/players/c5bdb6e3/matchlogs/2025-2026/summary/Reiss-Nelson-Match-Logs" TargetMode="External"/><Relationship Id="rId1832" Type="http://schemas.openxmlformats.org/officeDocument/2006/relationships/hyperlink" Target="https://fbref.com/en/players/7ba2eaa9/Pedro-Neto" TargetMode="External"/><Relationship Id="rId1833" Type="http://schemas.openxmlformats.org/officeDocument/2006/relationships/hyperlink" Target="https://fbref.com/en/country/POR/Portugal-Football" TargetMode="External"/><Relationship Id="rId1834" Type="http://schemas.openxmlformats.org/officeDocument/2006/relationships/hyperlink" Target="https://fbref.com/en/squads/cff3d9bb/Chelsea-Stats" TargetMode="External"/><Relationship Id="rId1835" Type="http://schemas.openxmlformats.org/officeDocument/2006/relationships/hyperlink" Target="https://fbref.com/en/players/7ba2eaa9/matchlogs/2025-2026/summary/Pedro-Neto-Match-Logs" TargetMode="External"/><Relationship Id="rId1836" Type="http://schemas.openxmlformats.org/officeDocument/2006/relationships/hyperlink" Target="https://fbref.com/en/players/e79269bd/Luca-Netz" TargetMode="External"/><Relationship Id="rId1837" Type="http://schemas.openxmlformats.org/officeDocument/2006/relationships/hyperlink" Target="https://fbref.com/en/country/GER/Germany-Football" TargetMode="External"/><Relationship Id="rId1838" Type="http://schemas.openxmlformats.org/officeDocument/2006/relationships/hyperlink" Target="https://fbref.com/en/squads/e4a775cb/Nottingham-Forest-Stats" TargetMode="External"/><Relationship Id="rId1839" Type="http://schemas.openxmlformats.org/officeDocument/2006/relationships/hyperlink" Target="https://fbref.com/en/players/e79269bd/matchlogs/2025-2026/summary/Luca-Netz-Match-Logs" TargetMode="External"/><Relationship Id="rId1820" Type="http://schemas.openxmlformats.org/officeDocument/2006/relationships/hyperlink" Target="https://fbref.com/en/players/ff392864/Sean-Neave" TargetMode="External"/><Relationship Id="rId1821" Type="http://schemas.openxmlformats.org/officeDocument/2006/relationships/hyperlink" Target="https://fbref.com/en/country/ENG/England-Football" TargetMode="External"/><Relationship Id="rId1822" Type="http://schemas.openxmlformats.org/officeDocument/2006/relationships/hyperlink" Target="https://fbref.com/en/squads/b2b47a98/Newcastle-United-Stats" TargetMode="External"/><Relationship Id="rId1823" Type="http://schemas.openxmlformats.org/officeDocument/2006/relationships/hyperlink" Target="https://fbref.com/en/players/ff392864/matchlogs/2025-2026/summary/Sean-Neave-Match-Logs" TargetMode="External"/><Relationship Id="rId1824" Type="http://schemas.openxmlformats.org/officeDocument/2006/relationships/hyperlink" Target="https://fbref.com/en/players/a47ad0f5/Dan-Neil" TargetMode="External"/><Relationship Id="rId1825" Type="http://schemas.openxmlformats.org/officeDocument/2006/relationships/hyperlink" Target="https://fbref.com/en/country/ENG/England-Football" TargetMode="External"/><Relationship Id="rId1826" Type="http://schemas.openxmlformats.org/officeDocument/2006/relationships/hyperlink" Target="https://fbref.com/en/squads/8ef52968/Sunderland-Stats" TargetMode="External"/><Relationship Id="rId1827" Type="http://schemas.openxmlformats.org/officeDocument/2006/relationships/hyperlink" Target="https://fbref.com/en/players/a47ad0f5/matchlogs/2025-2026/summary/Dan-Neil-Match-Logs" TargetMode="External"/><Relationship Id="rId1828" Type="http://schemas.openxmlformats.org/officeDocument/2006/relationships/hyperlink" Target="https://fbref.com/en/players/c5bdb6e3/Reiss-Nelson" TargetMode="External"/><Relationship Id="rId1829" Type="http://schemas.openxmlformats.org/officeDocument/2006/relationships/hyperlink" Target="https://fbref.com/en/country/ENG/England-Football" TargetMode="External"/><Relationship Id="rId1455" Type="http://schemas.openxmlformats.org/officeDocument/2006/relationships/hyperlink" Target="https://fbref.com/en/squads/b8fd03ef/Manchester-City-Stats" TargetMode="External"/><Relationship Id="rId2302" Type="http://schemas.openxmlformats.org/officeDocument/2006/relationships/hyperlink" Target="https://fbref.com/en/squads/b2b47a98/Newcastle-United-Stats" TargetMode="External"/><Relationship Id="rId1456" Type="http://schemas.openxmlformats.org/officeDocument/2006/relationships/hyperlink" Target="https://fbref.com/en/players/b57e066e/matchlogs/2025-2026/summary/Rico-Lewis-Match-Logs" TargetMode="External"/><Relationship Id="rId2303" Type="http://schemas.openxmlformats.org/officeDocument/2006/relationships/hyperlink" Target="https://fbref.com/en/players/b6aabcf8/matchlogs/2025-2026/summary/Park-Seungsoo-Match-Logs" TargetMode="External"/><Relationship Id="rId1457" Type="http://schemas.openxmlformats.org/officeDocument/2006/relationships/hyperlink" Target="https://fbref.com/en/players/41f08ac8/Keane-Lewis-Potter" TargetMode="External"/><Relationship Id="rId2304" Type="http://schemas.openxmlformats.org/officeDocument/2006/relationships/hyperlink" Target="https://fbref.com/en/players/5536f008/Leo-Shahar" TargetMode="External"/><Relationship Id="rId1458" Type="http://schemas.openxmlformats.org/officeDocument/2006/relationships/hyperlink" Target="https://fbref.com/en/country/ENG/England-Football" TargetMode="External"/><Relationship Id="rId2305" Type="http://schemas.openxmlformats.org/officeDocument/2006/relationships/hyperlink" Target="https://fbref.com/en/country/ENG/England-Football" TargetMode="External"/><Relationship Id="rId1459" Type="http://schemas.openxmlformats.org/officeDocument/2006/relationships/hyperlink" Target="https://fbref.com/en/squads/cd051869/Brentford-Stats" TargetMode="External"/><Relationship Id="rId2306" Type="http://schemas.openxmlformats.org/officeDocument/2006/relationships/hyperlink" Target="https://fbref.com/en/squads/b2b47a98/Newcastle-United-Stats" TargetMode="External"/><Relationship Id="rId2307" Type="http://schemas.openxmlformats.org/officeDocument/2006/relationships/hyperlink" Target="https://fbref.com/en/players/5536f008/matchlogs/2025-2026/summary/Leo-Shahar-Match-Logs" TargetMode="External"/><Relationship Id="rId2308" Type="http://schemas.openxmlformats.org/officeDocument/2006/relationships/hyperlink" Target="https://fbref.com/en/players/7cd31238/Teddy-Sharman" TargetMode="External"/><Relationship Id="rId2309" Type="http://schemas.openxmlformats.org/officeDocument/2006/relationships/hyperlink" Target="https://fbref.com/en/country/ENG/England-Football" TargetMode="External"/><Relationship Id="rId629" Type="http://schemas.openxmlformats.org/officeDocument/2006/relationships/hyperlink" Target="https://fbref.com/en/players/a712ca2b/Issa-Diop" TargetMode="External"/><Relationship Id="rId624" Type="http://schemas.openxmlformats.org/officeDocument/2006/relationships/hyperlink" Target="https://fbref.com/en/players/bdcc89ae/matchlogs/2025-2026/summary/Tyler-Dibling-Match-Logs" TargetMode="External"/><Relationship Id="rId623" Type="http://schemas.openxmlformats.org/officeDocument/2006/relationships/hyperlink" Target="https://fbref.com/en/squads/d3fd31cc/Everton-Stats" TargetMode="External"/><Relationship Id="rId622" Type="http://schemas.openxmlformats.org/officeDocument/2006/relationships/hyperlink" Target="https://fbref.com/en/country/ENG/England-Football" TargetMode="External"/><Relationship Id="rId621" Type="http://schemas.openxmlformats.org/officeDocument/2006/relationships/hyperlink" Target="https://fbref.com/en/players/bdcc89ae/Tyler-Dibling" TargetMode="External"/><Relationship Id="rId628" Type="http://schemas.openxmlformats.org/officeDocument/2006/relationships/hyperlink" Target="https://fbref.com/en/players/1b84dbe1/matchlogs/2025-2026/summary/Lucas-Digne-Match-Logs" TargetMode="External"/><Relationship Id="rId627" Type="http://schemas.openxmlformats.org/officeDocument/2006/relationships/hyperlink" Target="https://fbref.com/en/squads/8602292d/Aston-Villa-Stats" TargetMode="External"/><Relationship Id="rId626" Type="http://schemas.openxmlformats.org/officeDocument/2006/relationships/hyperlink" Target="https://fbref.com/en/country/FRA/France-Football" TargetMode="External"/><Relationship Id="rId625" Type="http://schemas.openxmlformats.org/officeDocument/2006/relationships/hyperlink" Target="https://fbref.com/en/players/1b84dbe1/Lucas-Digne" TargetMode="External"/><Relationship Id="rId1450" Type="http://schemas.openxmlformats.org/officeDocument/2006/relationships/hyperlink" Target="https://fbref.com/en/country/COL/Colombia-Football" TargetMode="External"/><Relationship Id="rId620" Type="http://schemas.openxmlformats.org/officeDocument/2006/relationships/hyperlink" Target="https://fbref.com/en/players/31c69ef1/matchlogs/2025-2026/summary/Ruben-Dias-Match-Logs" TargetMode="External"/><Relationship Id="rId1451" Type="http://schemas.openxmlformats.org/officeDocument/2006/relationships/hyperlink" Target="https://fbref.com/en/squads/47c64c55/Crystal-Palace-Stats" TargetMode="External"/><Relationship Id="rId1452" Type="http://schemas.openxmlformats.org/officeDocument/2006/relationships/hyperlink" Target="https://fbref.com/en/players/9b5ce51a/matchlogs/2025-2026/summary/Jefferson-Lerma-Match-Logs" TargetMode="External"/><Relationship Id="rId1453" Type="http://schemas.openxmlformats.org/officeDocument/2006/relationships/hyperlink" Target="https://fbref.com/en/players/b57e066e/Rico-Lewis" TargetMode="External"/><Relationship Id="rId2300" Type="http://schemas.openxmlformats.org/officeDocument/2006/relationships/hyperlink" Target="https://fbref.com/en/players/b6aabcf8/Park-Seungsoo" TargetMode="External"/><Relationship Id="rId1454" Type="http://schemas.openxmlformats.org/officeDocument/2006/relationships/hyperlink" Target="https://fbref.com/en/country/ENG/England-Football" TargetMode="External"/><Relationship Id="rId2301" Type="http://schemas.openxmlformats.org/officeDocument/2006/relationships/hyperlink" Target="https://fbref.com/en/country/KOR/Korea-Republic-Football" TargetMode="External"/><Relationship Id="rId1444" Type="http://schemas.openxmlformats.org/officeDocument/2006/relationships/hyperlink" Target="https://fbref.com/en/players/69ea448b/matchlogs/2025-2026/summary/Diego-Leon-Match-Logs" TargetMode="External"/><Relationship Id="rId1445" Type="http://schemas.openxmlformats.org/officeDocument/2006/relationships/hyperlink" Target="https://fbref.com/en/players/570888ce/Giovanni-Leoni" TargetMode="External"/><Relationship Id="rId1446" Type="http://schemas.openxmlformats.org/officeDocument/2006/relationships/hyperlink" Target="https://fbref.com/en/country/ITA/Italy-Football" TargetMode="External"/><Relationship Id="rId1447" Type="http://schemas.openxmlformats.org/officeDocument/2006/relationships/hyperlink" Target="https://fbref.com/en/squads/822bd0ba/Liverpool-Stats" TargetMode="External"/><Relationship Id="rId1448" Type="http://schemas.openxmlformats.org/officeDocument/2006/relationships/hyperlink" Target="https://fbref.com/en/players/570888ce/matchlogs/2025-2026/summary/Giovanni-Leoni-Match-Logs" TargetMode="External"/><Relationship Id="rId1449" Type="http://schemas.openxmlformats.org/officeDocument/2006/relationships/hyperlink" Target="https://fbref.com/en/players/9b5ce51a/Jefferson-Lerma" TargetMode="External"/><Relationship Id="rId619" Type="http://schemas.openxmlformats.org/officeDocument/2006/relationships/hyperlink" Target="https://fbref.com/en/squads/b8fd03ef/Manchester-City-Stats" TargetMode="External"/><Relationship Id="rId618" Type="http://schemas.openxmlformats.org/officeDocument/2006/relationships/hyperlink" Target="https://fbref.com/en/country/POR/Portugal-Football" TargetMode="External"/><Relationship Id="rId613" Type="http://schemas.openxmlformats.org/officeDocument/2006/relationships/hyperlink" Target="https://fbref.com/en/players/6d0fe035/Habib-Diarra" TargetMode="External"/><Relationship Id="rId612" Type="http://schemas.openxmlformats.org/officeDocument/2006/relationships/hyperlink" Target="https://fbref.com/en/players/9dc96f10/matchlogs/2025-2026/summary/Amad-Diallo-Match-Logs" TargetMode="External"/><Relationship Id="rId611" Type="http://schemas.openxmlformats.org/officeDocument/2006/relationships/hyperlink" Target="https://fbref.com/en/squads/19538871/Manchester-United-Stats" TargetMode="External"/><Relationship Id="rId610" Type="http://schemas.openxmlformats.org/officeDocument/2006/relationships/hyperlink" Target="https://fbref.com/en/country/CIV/Cote-dIvoire-Football" TargetMode="External"/><Relationship Id="rId617" Type="http://schemas.openxmlformats.org/officeDocument/2006/relationships/hyperlink" Target="https://fbref.com/en/players/31c69ef1/Ruben-Dias" TargetMode="External"/><Relationship Id="rId616" Type="http://schemas.openxmlformats.org/officeDocument/2006/relationships/hyperlink" Target="https://fbref.com/en/players/6d0fe035/matchlogs/2025-2026/summary/Habib-Diarra-Match-Logs" TargetMode="External"/><Relationship Id="rId615" Type="http://schemas.openxmlformats.org/officeDocument/2006/relationships/hyperlink" Target="https://fbref.com/en/squads/8ef52968/Sunderland-Stats" TargetMode="External"/><Relationship Id="rId614" Type="http://schemas.openxmlformats.org/officeDocument/2006/relationships/hyperlink" Target="https://fbref.com/en/country/SEN/Senegal-Football" TargetMode="External"/><Relationship Id="rId2770" Type="http://schemas.openxmlformats.org/officeDocument/2006/relationships/drawing" Target="../drawings/drawing5.xml"/><Relationship Id="rId1440" Type="http://schemas.openxmlformats.org/officeDocument/2006/relationships/hyperlink" Target="https://fbref.com/en/players/2628fd2b/matchlogs/2025-2026/summary/Bernd-Leno-Match-Logs" TargetMode="External"/><Relationship Id="rId1441" Type="http://schemas.openxmlformats.org/officeDocument/2006/relationships/hyperlink" Target="https://fbref.com/en/players/69ea448b/Diego-Leon" TargetMode="External"/><Relationship Id="rId1442" Type="http://schemas.openxmlformats.org/officeDocument/2006/relationships/hyperlink" Target="https://fbref.com/en/country/PAR/Paraguay-Football" TargetMode="External"/><Relationship Id="rId1443" Type="http://schemas.openxmlformats.org/officeDocument/2006/relationships/hyperlink" Target="https://fbref.com/en/squads/19538871/Manchester-United-Stats" TargetMode="External"/><Relationship Id="rId1477" Type="http://schemas.openxmlformats.org/officeDocument/2006/relationships/hyperlink" Target="https://fbref.com/en/players/f5deef4c/Victor-Lindelof" TargetMode="External"/><Relationship Id="rId2324" Type="http://schemas.openxmlformats.org/officeDocument/2006/relationships/hyperlink" Target="https://fbref.com/en/players/3eb22ec9/Bernardo-Silva" TargetMode="External"/><Relationship Id="rId1478" Type="http://schemas.openxmlformats.org/officeDocument/2006/relationships/hyperlink" Target="https://fbref.com/en/country/SWE/Sweden-Football" TargetMode="External"/><Relationship Id="rId2325" Type="http://schemas.openxmlformats.org/officeDocument/2006/relationships/hyperlink" Target="https://fbref.com/en/country/POR/Portugal-Football" TargetMode="External"/><Relationship Id="rId1479" Type="http://schemas.openxmlformats.org/officeDocument/2006/relationships/hyperlink" Target="https://fbref.com/en/squads/8602292d/Aston-Villa-Stats" TargetMode="External"/><Relationship Id="rId2326" Type="http://schemas.openxmlformats.org/officeDocument/2006/relationships/hyperlink" Target="https://fbref.com/en/squads/b8fd03ef/Manchester-City-Stats" TargetMode="External"/><Relationship Id="rId2327" Type="http://schemas.openxmlformats.org/officeDocument/2006/relationships/hyperlink" Target="https://fbref.com/en/players/3eb22ec9/matchlogs/2025-2026/summary/Bernardo-Silva-Match-Logs" TargetMode="External"/><Relationship Id="rId2328" Type="http://schemas.openxmlformats.org/officeDocument/2006/relationships/hyperlink" Target="https://fbref.com/en/players/4d77e622/Jota-Silva" TargetMode="External"/><Relationship Id="rId2329" Type="http://schemas.openxmlformats.org/officeDocument/2006/relationships/hyperlink" Target="https://fbref.com/en/country/POR/Portugal-Football" TargetMode="External"/><Relationship Id="rId646" Type="http://schemas.openxmlformats.org/officeDocument/2006/relationships/hyperlink" Target="https://fbref.com/en/country/BEL/Belgium-Football" TargetMode="External"/><Relationship Id="rId645" Type="http://schemas.openxmlformats.org/officeDocument/2006/relationships/hyperlink" Target="https://fbref.com/en/players/fffea3e5/Jeremy-Doku" TargetMode="External"/><Relationship Id="rId644" Type="http://schemas.openxmlformats.org/officeDocument/2006/relationships/hyperlink" Target="https://fbref.com/en/players/d557d734/matchlogs/2025-2026/summary/Matt-Doherty-Match-Logs" TargetMode="External"/><Relationship Id="rId643" Type="http://schemas.openxmlformats.org/officeDocument/2006/relationships/hyperlink" Target="https://fbref.com/en/squads/8cec06e1/Wolverhampton-Wanderers-Stats" TargetMode="External"/><Relationship Id="rId649" Type="http://schemas.openxmlformats.org/officeDocument/2006/relationships/hyperlink" Target="https://fbref.com/en/players/20b3a502/Nicolas-Dominguez" TargetMode="External"/><Relationship Id="rId648" Type="http://schemas.openxmlformats.org/officeDocument/2006/relationships/hyperlink" Target="https://fbref.com/en/players/fffea3e5/matchlogs/2025-2026/summary/Jeremy-Doku-Match-Logs" TargetMode="External"/><Relationship Id="rId647" Type="http://schemas.openxmlformats.org/officeDocument/2006/relationships/hyperlink" Target="https://fbref.com/en/squads/b8fd03ef/Manchester-City-Stats" TargetMode="External"/><Relationship Id="rId1470" Type="http://schemas.openxmlformats.org/officeDocument/2006/relationships/hyperlink" Target="https://fbref.com/en/country/NED/Netherlands-Football" TargetMode="External"/><Relationship Id="rId1471" Type="http://schemas.openxmlformats.org/officeDocument/2006/relationships/hyperlink" Target="https://fbref.com/en/squads/19538871/Manchester-United-Stats" TargetMode="External"/><Relationship Id="rId1472" Type="http://schemas.openxmlformats.org/officeDocument/2006/relationships/hyperlink" Target="https://fbref.com/en/players/d6e53a3a/matchlogs/2025-2026/summary/Matthijs-de-Ligt-Match-Logs" TargetMode="External"/><Relationship Id="rId642" Type="http://schemas.openxmlformats.org/officeDocument/2006/relationships/hyperlink" Target="https://fbref.com/en/country/IRL/Republic-of-Ireland-Football" TargetMode="External"/><Relationship Id="rId1473" Type="http://schemas.openxmlformats.org/officeDocument/2006/relationships/hyperlink" Target="https://fbref.com/en/players/b2f4cad5/Pedro-Lima" TargetMode="External"/><Relationship Id="rId2320" Type="http://schemas.openxmlformats.org/officeDocument/2006/relationships/hyperlink" Target="https://fbref.com/en/players/90587736/Lamin-Sillah" TargetMode="External"/><Relationship Id="rId641" Type="http://schemas.openxmlformats.org/officeDocument/2006/relationships/hyperlink" Target="https://fbref.com/en/players/d557d734/Matt-Doherty" TargetMode="External"/><Relationship Id="rId1474" Type="http://schemas.openxmlformats.org/officeDocument/2006/relationships/hyperlink" Target="https://fbref.com/en/country/BRA/Brazil-Football" TargetMode="External"/><Relationship Id="rId2321" Type="http://schemas.openxmlformats.org/officeDocument/2006/relationships/hyperlink" Target="https://fbref.com/en/country/GAM/Gambia-Football" TargetMode="External"/><Relationship Id="rId640" Type="http://schemas.openxmlformats.org/officeDocument/2006/relationships/hyperlink" Target="https://fbref.com/en/players/ad82197c/matchlogs/2025-2026/summary/Axel-Disasi-Match-Logs" TargetMode="External"/><Relationship Id="rId1475" Type="http://schemas.openxmlformats.org/officeDocument/2006/relationships/hyperlink" Target="https://fbref.com/en/squads/8cec06e1/Wolverhampton-Wanderers-Stats" TargetMode="External"/><Relationship Id="rId2322" Type="http://schemas.openxmlformats.org/officeDocument/2006/relationships/hyperlink" Target="https://fbref.com/en/squads/e4a775cb/Nottingham-Forest-Stats" TargetMode="External"/><Relationship Id="rId1476" Type="http://schemas.openxmlformats.org/officeDocument/2006/relationships/hyperlink" Target="https://fbref.com/en/players/b2f4cad5/matchlogs/2025-2026/summary/Pedro-Lima-Match-Logs" TargetMode="External"/><Relationship Id="rId2323" Type="http://schemas.openxmlformats.org/officeDocument/2006/relationships/hyperlink" Target="https://fbref.com/en/players/90587736/matchlogs/2025-2026/summary/Lamin-Sillah-Match-Logs" TargetMode="External"/><Relationship Id="rId1466" Type="http://schemas.openxmlformats.org/officeDocument/2006/relationships/hyperlink" Target="https://fbref.com/en/country/WAL/Wales-Football" TargetMode="External"/><Relationship Id="rId2313" Type="http://schemas.openxmlformats.org/officeDocument/2006/relationships/hyperlink" Target="https://fbref.com/en/country/ENG/England-Football" TargetMode="External"/><Relationship Id="rId1467" Type="http://schemas.openxmlformats.org/officeDocument/2006/relationships/hyperlink" Target="https://fbref.com/en/squads/5bfb9659/Leeds-United-Stats" TargetMode="External"/><Relationship Id="rId2314" Type="http://schemas.openxmlformats.org/officeDocument/2006/relationships/hyperlink" Target="https://fbref.com/en/squads/19538871/Manchester-United-Stats" TargetMode="External"/><Relationship Id="rId1468" Type="http://schemas.openxmlformats.org/officeDocument/2006/relationships/hyperlink" Target="https://fbref.com/en/players/2444cd03/matchlogs/2025-2026/summary/Jayden-Lienou-Match-Logs" TargetMode="External"/><Relationship Id="rId2315" Type="http://schemas.openxmlformats.org/officeDocument/2006/relationships/hyperlink" Target="https://fbref.com/en/players/9c94165b/matchlogs/2025-2026/summary/Luke-Shaw-Match-Logs" TargetMode="External"/><Relationship Id="rId1469" Type="http://schemas.openxmlformats.org/officeDocument/2006/relationships/hyperlink" Target="https://fbref.com/en/players/d6e53a3a/Matthijs-de-Ligt" TargetMode="External"/><Relationship Id="rId2316" Type="http://schemas.openxmlformats.org/officeDocument/2006/relationships/hyperlink" Target="https://fbref.com/en/players/16173169/Ollie-Shield" TargetMode="External"/><Relationship Id="rId2317" Type="http://schemas.openxmlformats.org/officeDocument/2006/relationships/hyperlink" Target="https://fbref.com/en/country/ENG/England-Football" TargetMode="External"/><Relationship Id="rId2318" Type="http://schemas.openxmlformats.org/officeDocument/2006/relationships/hyperlink" Target="https://fbref.com/en/squads/cd051869/Brentford-Stats" TargetMode="External"/><Relationship Id="rId2319" Type="http://schemas.openxmlformats.org/officeDocument/2006/relationships/hyperlink" Target="https://fbref.com/en/players/16173169/matchlogs/2025-2026/summary/Ollie-Shield-Match-Logs" TargetMode="External"/><Relationship Id="rId635" Type="http://schemas.openxmlformats.org/officeDocument/2006/relationships/hyperlink" Target="https://fbref.com/en/squads/7c21e445/West-Ham-United-Stats" TargetMode="External"/><Relationship Id="rId634" Type="http://schemas.openxmlformats.org/officeDocument/2006/relationships/hyperlink" Target="https://fbref.com/en/country/SEN/Senegal-Football" TargetMode="External"/><Relationship Id="rId633" Type="http://schemas.openxmlformats.org/officeDocument/2006/relationships/hyperlink" Target="https://fbref.com/en/players/bd5eb2e5/El-Hadji-Malick-Diouf" TargetMode="External"/><Relationship Id="rId632" Type="http://schemas.openxmlformats.org/officeDocument/2006/relationships/hyperlink" Target="https://fbref.com/en/players/a712ca2b/matchlogs/2025-2026/summary/Issa-Diop-Match-Logs" TargetMode="External"/><Relationship Id="rId639" Type="http://schemas.openxmlformats.org/officeDocument/2006/relationships/hyperlink" Target="https://fbref.com/en/squads/7c21e445/West-Ham-United-Stats" TargetMode="External"/><Relationship Id="rId638" Type="http://schemas.openxmlformats.org/officeDocument/2006/relationships/hyperlink" Target="https://fbref.com/en/country/FRA/France-Football" TargetMode="External"/><Relationship Id="rId637" Type="http://schemas.openxmlformats.org/officeDocument/2006/relationships/hyperlink" Target="https://fbref.com/en/players/ad82197c/Axel-Disasi" TargetMode="External"/><Relationship Id="rId636" Type="http://schemas.openxmlformats.org/officeDocument/2006/relationships/hyperlink" Target="https://fbref.com/en/players/bd5eb2e5/matchlogs/2025-2026/summary/El-Hadji-Malick-Diouf-Match-Logs" TargetMode="External"/><Relationship Id="rId1460" Type="http://schemas.openxmlformats.org/officeDocument/2006/relationships/hyperlink" Target="https://fbref.com/en/players/41f08ac8/matchlogs/2025-2026/summary/Keane-Lewis-Potter-Match-Logs" TargetMode="External"/><Relationship Id="rId1461" Type="http://schemas.openxmlformats.org/officeDocument/2006/relationships/hyperlink" Target="https://fbref.com/en/players/5dff6c28/Myles-Lewis-Skelly" TargetMode="External"/><Relationship Id="rId631" Type="http://schemas.openxmlformats.org/officeDocument/2006/relationships/hyperlink" Target="https://fbref.com/en/squads/fd962109/Fulham-Stats" TargetMode="External"/><Relationship Id="rId1462" Type="http://schemas.openxmlformats.org/officeDocument/2006/relationships/hyperlink" Target="https://fbref.com/en/country/ENG/England-Football" TargetMode="External"/><Relationship Id="rId630" Type="http://schemas.openxmlformats.org/officeDocument/2006/relationships/hyperlink" Target="https://fbref.com/en/country/MAR/Morocco-Football" TargetMode="External"/><Relationship Id="rId1463" Type="http://schemas.openxmlformats.org/officeDocument/2006/relationships/hyperlink" Target="https://fbref.com/en/squads/18bb7c10/Arsenal-Stats" TargetMode="External"/><Relationship Id="rId2310" Type="http://schemas.openxmlformats.org/officeDocument/2006/relationships/hyperlink" Target="https://fbref.com/en/squads/cff3d9bb/Chelsea-Stats" TargetMode="External"/><Relationship Id="rId1464" Type="http://schemas.openxmlformats.org/officeDocument/2006/relationships/hyperlink" Target="https://fbref.com/en/players/5dff6c28/matchlogs/2025-2026/summary/Myles-Lewis-Skelly-Match-Logs" TargetMode="External"/><Relationship Id="rId2311" Type="http://schemas.openxmlformats.org/officeDocument/2006/relationships/hyperlink" Target="https://fbref.com/en/players/7cd31238/matchlogs/2025-2026/summary/Teddy-Sharman-Match-Logs" TargetMode="External"/><Relationship Id="rId1465" Type="http://schemas.openxmlformats.org/officeDocument/2006/relationships/hyperlink" Target="https://fbref.com/en/players/2444cd03/Jayden-Lienou" TargetMode="External"/><Relationship Id="rId2312" Type="http://schemas.openxmlformats.org/officeDocument/2006/relationships/hyperlink" Target="https://fbref.com/en/players/9c94165b/Luke-Shaw" TargetMode="External"/><Relationship Id="rId1411" Type="http://schemas.openxmlformats.org/officeDocument/2006/relationships/hyperlink" Target="https://fbref.com/en/squads/7c21e445/West-Ham-United-Stats" TargetMode="External"/><Relationship Id="rId1895" Type="http://schemas.openxmlformats.org/officeDocument/2006/relationships/hyperlink" Target="https://fbref.com/en/players/4e93ceb2/matchlogs/2025-2026/summary/Temple-Ojinnaka-Match-Logs" TargetMode="External"/><Relationship Id="rId2742" Type="http://schemas.openxmlformats.org/officeDocument/2006/relationships/hyperlink" Target="https://fbref.com/en/players/907a5d7c/Yehor-Yarmoliuk" TargetMode="External"/><Relationship Id="rId1412" Type="http://schemas.openxmlformats.org/officeDocument/2006/relationships/hyperlink" Target="https://fbref.com/en/players/5903eca2/matchlogs/2025-2026/summary/Keiber-Lamadrid-Match-Logs" TargetMode="External"/><Relationship Id="rId1896" Type="http://schemas.openxmlformats.org/officeDocument/2006/relationships/hyperlink" Target="https://fbref.com/en/players/ca607d59/Noah-Okafor" TargetMode="External"/><Relationship Id="rId2743" Type="http://schemas.openxmlformats.org/officeDocument/2006/relationships/hyperlink" Target="https://fbref.com/en/country/UKR/Ukraine-Football" TargetMode="External"/><Relationship Id="rId1413" Type="http://schemas.openxmlformats.org/officeDocument/2006/relationships/hyperlink" Target="https://fbref.com/en/players/8e6d2fcd/Senne-Lammens" TargetMode="External"/><Relationship Id="rId1897" Type="http://schemas.openxmlformats.org/officeDocument/2006/relationships/hyperlink" Target="https://fbref.com/en/country/SUI/Switzerland-Football" TargetMode="External"/><Relationship Id="rId2744" Type="http://schemas.openxmlformats.org/officeDocument/2006/relationships/hyperlink" Target="https://fbref.com/en/squads/cd051869/Brentford-Stats" TargetMode="External"/><Relationship Id="rId1414" Type="http://schemas.openxmlformats.org/officeDocument/2006/relationships/hyperlink" Target="https://fbref.com/en/country/BEL/Belgium-Football" TargetMode="External"/><Relationship Id="rId1898" Type="http://schemas.openxmlformats.org/officeDocument/2006/relationships/hyperlink" Target="https://fbref.com/en/squads/5bfb9659/Leeds-United-Stats" TargetMode="External"/><Relationship Id="rId2745" Type="http://schemas.openxmlformats.org/officeDocument/2006/relationships/hyperlink" Target="https://fbref.com/en/players/907a5d7c/matchlogs/2025-2026/summary/Yehor-Yarmoliuk-Match-Logs" TargetMode="External"/><Relationship Id="rId1415" Type="http://schemas.openxmlformats.org/officeDocument/2006/relationships/hyperlink" Target="https://fbref.com/en/squads/19538871/Manchester-United-Stats" TargetMode="External"/><Relationship Id="rId1899" Type="http://schemas.openxmlformats.org/officeDocument/2006/relationships/hyperlink" Target="https://fbref.com/en/players/ca607d59/matchlogs/2025-2026/summary/Noah-Okafor-Match-Logs" TargetMode="External"/><Relationship Id="rId2746" Type="http://schemas.openxmlformats.org/officeDocument/2006/relationships/hyperlink" Target="https://fbref.com/en/players/c1fe2a48/Ryan-Yates" TargetMode="External"/><Relationship Id="rId1416" Type="http://schemas.openxmlformats.org/officeDocument/2006/relationships/hyperlink" Target="https://fbref.com/en/players/8e6d2fcd/matchlogs/2025-2026/summary/Senne-Lammens-Match-Logs" TargetMode="External"/><Relationship Id="rId2747" Type="http://schemas.openxmlformats.org/officeDocument/2006/relationships/hyperlink" Target="https://fbref.com/en/country/ENG/England-Football" TargetMode="External"/><Relationship Id="rId1417" Type="http://schemas.openxmlformats.org/officeDocument/2006/relationships/hyperlink" Target="https://fbref.com/en/players/450ab6fc/Jamaal-Lascelles" TargetMode="External"/><Relationship Id="rId2748" Type="http://schemas.openxmlformats.org/officeDocument/2006/relationships/hyperlink" Target="https://fbref.com/en/squads/e4a775cb/Nottingham-Forest-Stats" TargetMode="External"/><Relationship Id="rId1418" Type="http://schemas.openxmlformats.org/officeDocument/2006/relationships/hyperlink" Target="https://fbref.com/en/country/ENG/England-Football" TargetMode="External"/><Relationship Id="rId2749" Type="http://schemas.openxmlformats.org/officeDocument/2006/relationships/hyperlink" Target="https://fbref.com/en/players/c1fe2a48/matchlogs/2025-2026/summary/Ryan-Yates-Match-Logs" TargetMode="External"/><Relationship Id="rId1419" Type="http://schemas.openxmlformats.org/officeDocument/2006/relationships/hyperlink" Target="https://fbref.com/en/squads/b2b47a98/Newcastle-United-Stats" TargetMode="External"/><Relationship Id="rId1890" Type="http://schemas.openxmlformats.org/officeDocument/2006/relationships/hyperlink" Target="https://fbref.com/en/squads/361ca564/Tottenham-Hotspur-Stats" TargetMode="External"/><Relationship Id="rId1891" Type="http://schemas.openxmlformats.org/officeDocument/2006/relationships/hyperlink" Target="https://fbref.com/en/players/35516eac/matchlogs/2025-2026/summary/Wilson-Odobert-Match-Logs" TargetMode="External"/><Relationship Id="rId1892" Type="http://schemas.openxmlformats.org/officeDocument/2006/relationships/hyperlink" Target="https://fbref.com/en/players/4e93ceb2/Temple-Ojinnaka" TargetMode="External"/><Relationship Id="rId1893" Type="http://schemas.openxmlformats.org/officeDocument/2006/relationships/hyperlink" Target="https://fbref.com/en/country/ITA/Italy-Football" TargetMode="External"/><Relationship Id="rId2740" Type="http://schemas.openxmlformats.org/officeDocument/2006/relationships/hyperlink" Target="https://fbref.com/en/squads/8ef52968/Sunderland-Stats" TargetMode="External"/><Relationship Id="rId1410" Type="http://schemas.openxmlformats.org/officeDocument/2006/relationships/hyperlink" Target="https://fbref.com/en/country/VEN/Venezuela-Football" TargetMode="External"/><Relationship Id="rId1894" Type="http://schemas.openxmlformats.org/officeDocument/2006/relationships/hyperlink" Target="https://fbref.com/en/squads/8cec06e1/Wolverhampton-Wanderers-Stats" TargetMode="External"/><Relationship Id="rId2741" Type="http://schemas.openxmlformats.org/officeDocument/2006/relationships/hyperlink" Target="https://fbref.com/en/players/e61b8aee/matchlogs/2025-2026/summary/Granit-Xhaka-Match-Logs" TargetMode="External"/><Relationship Id="rId1400" Type="http://schemas.openxmlformats.org/officeDocument/2006/relationships/hyperlink" Target="https://fbref.com/en/players/04a1c050/matchlogs/2025-2026/summary/Rio-Kyerematen-Match-Logs" TargetMode="External"/><Relationship Id="rId1884" Type="http://schemas.openxmlformats.org/officeDocument/2006/relationships/hyperlink" Target="https://fbref.com/en/players/0c9bfc3b/Chidozie-Obi-Martin" TargetMode="External"/><Relationship Id="rId2731" Type="http://schemas.openxmlformats.org/officeDocument/2006/relationships/hyperlink" Target="https://fbref.com/en/players/9417a430/James-Wright" TargetMode="External"/><Relationship Id="rId1401" Type="http://schemas.openxmlformats.org/officeDocument/2006/relationships/hyperlink" Target="https://fbref.com/en/players/3160e952/Shea-Lacey" TargetMode="External"/><Relationship Id="rId1885" Type="http://schemas.openxmlformats.org/officeDocument/2006/relationships/hyperlink" Target="https://fbref.com/en/country/DEN/Denmark-Football" TargetMode="External"/><Relationship Id="rId2732" Type="http://schemas.openxmlformats.org/officeDocument/2006/relationships/hyperlink" Target="https://fbref.com/en/country/ENG/England-Football" TargetMode="External"/><Relationship Id="rId1402" Type="http://schemas.openxmlformats.org/officeDocument/2006/relationships/hyperlink" Target="https://fbref.com/en/country/ENG/England-Football" TargetMode="External"/><Relationship Id="rId1886" Type="http://schemas.openxmlformats.org/officeDocument/2006/relationships/hyperlink" Target="https://fbref.com/en/squads/19538871/Manchester-United-Stats" TargetMode="External"/><Relationship Id="rId2733" Type="http://schemas.openxmlformats.org/officeDocument/2006/relationships/hyperlink" Target="https://fbref.com/en/squads/8602292d/Aston-Villa-Stats" TargetMode="External"/><Relationship Id="rId1403" Type="http://schemas.openxmlformats.org/officeDocument/2006/relationships/hyperlink" Target="https://fbref.com/en/squads/19538871/Manchester-United-Stats" TargetMode="External"/><Relationship Id="rId1887" Type="http://schemas.openxmlformats.org/officeDocument/2006/relationships/hyperlink" Target="https://fbref.com/en/players/0c9bfc3b/matchlogs/2025-2026/summary/Chidozie-Obi-Martin-Match-Logs" TargetMode="External"/><Relationship Id="rId2734" Type="http://schemas.openxmlformats.org/officeDocument/2006/relationships/hyperlink" Target="https://fbref.com/en/players/9417a430/matchlogs/2025-2026/summary/James-Wright-Match-Logs" TargetMode="External"/><Relationship Id="rId1404" Type="http://schemas.openxmlformats.org/officeDocument/2006/relationships/hyperlink" Target="https://fbref.com/en/players/3160e952/matchlogs/2025-2026/summary/Shea-Lacey-Match-Logs" TargetMode="External"/><Relationship Id="rId1888" Type="http://schemas.openxmlformats.org/officeDocument/2006/relationships/hyperlink" Target="https://fbref.com/en/players/35516eac/Wilson-Odobert" TargetMode="External"/><Relationship Id="rId2735" Type="http://schemas.openxmlformats.org/officeDocument/2006/relationships/hyperlink" Target="https://fbref.com/en/players/bfa847c8/Will-Wright" TargetMode="External"/><Relationship Id="rId1405" Type="http://schemas.openxmlformats.org/officeDocument/2006/relationships/hyperlink" Target="https://fbref.com/en/players/277c49ed/Maxence-Lacroix" TargetMode="External"/><Relationship Id="rId1889" Type="http://schemas.openxmlformats.org/officeDocument/2006/relationships/hyperlink" Target="https://fbref.com/en/country/FRA/France-Football" TargetMode="External"/><Relationship Id="rId2736" Type="http://schemas.openxmlformats.org/officeDocument/2006/relationships/hyperlink" Target="https://fbref.com/en/squads/822bd0ba/Liverpool-Stats" TargetMode="External"/><Relationship Id="rId1406" Type="http://schemas.openxmlformats.org/officeDocument/2006/relationships/hyperlink" Target="https://fbref.com/en/country/FRA/France-Football" TargetMode="External"/><Relationship Id="rId2737" Type="http://schemas.openxmlformats.org/officeDocument/2006/relationships/hyperlink" Target="https://fbref.com/en/players/bfa847c8/matchlogs/2025-2026/summary/Will-Wright-Match-Logs" TargetMode="External"/><Relationship Id="rId1407" Type="http://schemas.openxmlformats.org/officeDocument/2006/relationships/hyperlink" Target="https://fbref.com/en/squads/47c64c55/Crystal-Palace-Stats" TargetMode="External"/><Relationship Id="rId2738" Type="http://schemas.openxmlformats.org/officeDocument/2006/relationships/hyperlink" Target="https://fbref.com/en/players/e61b8aee/Granit-Xhaka" TargetMode="External"/><Relationship Id="rId1408" Type="http://schemas.openxmlformats.org/officeDocument/2006/relationships/hyperlink" Target="https://fbref.com/en/players/277c49ed/matchlogs/2025-2026/summary/Maxence-Lacroix-Match-Logs" TargetMode="External"/><Relationship Id="rId2739" Type="http://schemas.openxmlformats.org/officeDocument/2006/relationships/hyperlink" Target="https://fbref.com/en/country/SUI/Switzerland-Football" TargetMode="External"/><Relationship Id="rId1409" Type="http://schemas.openxmlformats.org/officeDocument/2006/relationships/hyperlink" Target="https://fbref.com/en/players/5903eca2/Keiber-Lamadrid" TargetMode="External"/><Relationship Id="rId1880" Type="http://schemas.openxmlformats.org/officeDocument/2006/relationships/hyperlink" Target="https://fbref.com/en/players/fb495bb8/Matt-ORiley" TargetMode="External"/><Relationship Id="rId1881" Type="http://schemas.openxmlformats.org/officeDocument/2006/relationships/hyperlink" Target="https://fbref.com/en/country/DEN/Denmark-Football" TargetMode="External"/><Relationship Id="rId1882" Type="http://schemas.openxmlformats.org/officeDocument/2006/relationships/hyperlink" Target="https://fbref.com/en/squads/d07537b9/Brighton-and-Hove-Albion-Stats" TargetMode="External"/><Relationship Id="rId1883" Type="http://schemas.openxmlformats.org/officeDocument/2006/relationships/hyperlink" Target="https://fbref.com/en/players/fb495bb8/matchlogs/2025-2026/summary/Matt-ORiley-Match-Logs" TargetMode="External"/><Relationship Id="rId2730" Type="http://schemas.openxmlformats.org/officeDocument/2006/relationships/hyperlink" Target="https://fbref.com/en/players/a5212312/matchlogs/2025-2026/summary/Joe-Worrall-Match-Logs" TargetMode="External"/><Relationship Id="rId1433" Type="http://schemas.openxmlformats.org/officeDocument/2006/relationships/hyperlink" Target="https://fbref.com/en/players/2fa2a875/Benjamin-Lecomte" TargetMode="External"/><Relationship Id="rId2764" Type="http://schemas.openxmlformats.org/officeDocument/2006/relationships/hyperlink" Target="https://fbref.com/en/squads/18bb7c10/Arsenal-Stats" TargetMode="External"/><Relationship Id="rId1434" Type="http://schemas.openxmlformats.org/officeDocument/2006/relationships/hyperlink" Target="https://fbref.com/en/country/FRA/France-Football" TargetMode="External"/><Relationship Id="rId2765" Type="http://schemas.openxmlformats.org/officeDocument/2006/relationships/hyperlink" Target="https://fbref.com/en/players/3ee0dd59/matchlogs/2025-2026/summary/Martin-Zubimendi-Match-Logs" TargetMode="External"/><Relationship Id="rId1435" Type="http://schemas.openxmlformats.org/officeDocument/2006/relationships/hyperlink" Target="https://fbref.com/en/squads/fd962109/Fulham-Stats" TargetMode="External"/><Relationship Id="rId2766" Type="http://schemas.openxmlformats.org/officeDocument/2006/relationships/hyperlink" Target="https://fbref.com/en/players/79300479/Martin-Odegaard" TargetMode="External"/><Relationship Id="rId1436" Type="http://schemas.openxmlformats.org/officeDocument/2006/relationships/hyperlink" Target="https://fbref.com/en/players/2fa2a875/matchlogs/2025-2026/summary/Benjamin-Lecomte-Match-Logs" TargetMode="External"/><Relationship Id="rId2767" Type="http://schemas.openxmlformats.org/officeDocument/2006/relationships/hyperlink" Target="https://fbref.com/en/country/NOR/Norway-Football" TargetMode="External"/><Relationship Id="rId1437" Type="http://schemas.openxmlformats.org/officeDocument/2006/relationships/hyperlink" Target="https://fbref.com/en/players/2628fd2b/Bernd-Leno" TargetMode="External"/><Relationship Id="rId2768" Type="http://schemas.openxmlformats.org/officeDocument/2006/relationships/hyperlink" Target="https://fbref.com/en/squads/18bb7c10/Arsenal-Stats" TargetMode="External"/><Relationship Id="rId1438" Type="http://schemas.openxmlformats.org/officeDocument/2006/relationships/hyperlink" Target="https://fbref.com/en/country/GER/Germany-Football" TargetMode="External"/><Relationship Id="rId2769" Type="http://schemas.openxmlformats.org/officeDocument/2006/relationships/hyperlink" Target="https://fbref.com/en/players/79300479/matchlogs/2025-2026/summary/Martin-Odegaard-Match-Logs" TargetMode="External"/><Relationship Id="rId1439" Type="http://schemas.openxmlformats.org/officeDocument/2006/relationships/hyperlink" Target="https://fbref.com/en/squads/fd962109/Fulham-Stats" TargetMode="External"/><Relationship Id="rId609" Type="http://schemas.openxmlformats.org/officeDocument/2006/relationships/hyperlink" Target="https://fbref.com/en/players/9dc96f10/Amad-Diallo" TargetMode="External"/><Relationship Id="rId608" Type="http://schemas.openxmlformats.org/officeDocument/2006/relationships/hyperlink" Target="https://fbref.com/en/players/1bfb6fef/matchlogs/2025-2026/summary/Bafode-Diakite-Match-Logs" TargetMode="External"/><Relationship Id="rId607" Type="http://schemas.openxmlformats.org/officeDocument/2006/relationships/hyperlink" Target="https://fbref.com/en/squads/4ba7cbea/Bournemouth-Stats" TargetMode="External"/><Relationship Id="rId602" Type="http://schemas.openxmlformats.org/officeDocument/2006/relationships/hyperlink" Target="https://fbref.com/en/country/ENG/England-Football" TargetMode="External"/><Relationship Id="rId601" Type="http://schemas.openxmlformats.org/officeDocument/2006/relationships/hyperlink" Target="https://fbref.com/en/players/5c74c0f5/Kiernan-Dewsbury-Hall" TargetMode="External"/><Relationship Id="rId600" Type="http://schemas.openxmlformats.org/officeDocument/2006/relationships/hyperlink" Target="https://fbref.com/en/players/6c2b66fc/matchlogs/2025-2026/summary/Justin-Devenny-Match-Logs" TargetMode="External"/><Relationship Id="rId606" Type="http://schemas.openxmlformats.org/officeDocument/2006/relationships/hyperlink" Target="https://fbref.com/en/country/FRA/France-Football" TargetMode="External"/><Relationship Id="rId605" Type="http://schemas.openxmlformats.org/officeDocument/2006/relationships/hyperlink" Target="https://fbref.com/en/players/1bfb6fef/Bafode-Diakite" TargetMode="External"/><Relationship Id="rId604" Type="http://schemas.openxmlformats.org/officeDocument/2006/relationships/hyperlink" Target="https://fbref.com/en/players/5c74c0f5/matchlogs/2025-2026/summary/Kiernan-Dewsbury-Hall-Match-Logs" TargetMode="External"/><Relationship Id="rId603" Type="http://schemas.openxmlformats.org/officeDocument/2006/relationships/hyperlink" Target="https://fbref.com/en/squads/d3fd31cc/Everton-Stats" TargetMode="External"/><Relationship Id="rId2760" Type="http://schemas.openxmlformats.org/officeDocument/2006/relationships/hyperlink" Target="https://fbref.com/en/squads/19538871/Manchester-United-Stats" TargetMode="External"/><Relationship Id="rId1430" Type="http://schemas.openxmlformats.org/officeDocument/2006/relationships/hyperlink" Target="https://fbref.com/en/country/FRA/France-Football" TargetMode="External"/><Relationship Id="rId2761" Type="http://schemas.openxmlformats.org/officeDocument/2006/relationships/hyperlink" Target="https://fbref.com/en/players/028e70b9/matchlogs/2025-2026/summary/Joshua-Zirkzee-Match-Logs" TargetMode="External"/><Relationship Id="rId1431" Type="http://schemas.openxmlformats.org/officeDocument/2006/relationships/hyperlink" Target="https://fbref.com/en/squads/8ef52968/Sunderland-Stats" TargetMode="External"/><Relationship Id="rId2762" Type="http://schemas.openxmlformats.org/officeDocument/2006/relationships/hyperlink" Target="https://fbref.com/en/players/3ee0dd59/Martin-Zubimendi" TargetMode="External"/><Relationship Id="rId1432" Type="http://schemas.openxmlformats.org/officeDocument/2006/relationships/hyperlink" Target="https://fbref.com/en/players/6f806d99/matchlogs/2025-2026/summary/Enzo-Le-Fee-Match-Logs" TargetMode="External"/><Relationship Id="rId2763" Type="http://schemas.openxmlformats.org/officeDocument/2006/relationships/hyperlink" Target="https://fbref.com/en/country/ESP/Spain-Football" TargetMode="External"/><Relationship Id="rId1422" Type="http://schemas.openxmlformats.org/officeDocument/2006/relationships/hyperlink" Target="https://fbref.com/en/country/ENG/England-Football" TargetMode="External"/><Relationship Id="rId2753" Type="http://schemas.openxmlformats.org/officeDocument/2006/relationships/hyperlink" Target="https://fbref.com/en/players/6763f716/matchlogs/2025-2026/summary/Leny-Yoro-Match-Logs" TargetMode="External"/><Relationship Id="rId1423" Type="http://schemas.openxmlformats.org/officeDocument/2006/relationships/hyperlink" Target="https://fbref.com/en/squads/943e8050/Burnley-Stats" TargetMode="External"/><Relationship Id="rId2754" Type="http://schemas.openxmlformats.org/officeDocument/2006/relationships/hyperlink" Target="https://fbref.com/en/players/51cf8561/Oleksandr-Zinchenko" TargetMode="External"/><Relationship Id="rId1424" Type="http://schemas.openxmlformats.org/officeDocument/2006/relationships/hyperlink" Target="https://fbref.com/en/players/f0068e0f/matchlogs/2025-2026/summary/Josh-Laurent-Match-Logs" TargetMode="External"/><Relationship Id="rId2755" Type="http://schemas.openxmlformats.org/officeDocument/2006/relationships/hyperlink" Target="https://fbref.com/en/country/UKR/Ukraine-Football" TargetMode="External"/><Relationship Id="rId1425" Type="http://schemas.openxmlformats.org/officeDocument/2006/relationships/hyperlink" Target="https://fbref.com/en/players/ecad9aa5/Romeo-Lavia" TargetMode="External"/><Relationship Id="rId2756" Type="http://schemas.openxmlformats.org/officeDocument/2006/relationships/hyperlink" Target="https://fbref.com/en/squads/e4a775cb/Nottingham-Forest-Stats" TargetMode="External"/><Relationship Id="rId1426" Type="http://schemas.openxmlformats.org/officeDocument/2006/relationships/hyperlink" Target="https://fbref.com/en/country/BEL/Belgium-Football" TargetMode="External"/><Relationship Id="rId2757" Type="http://schemas.openxmlformats.org/officeDocument/2006/relationships/hyperlink" Target="https://fbref.com/en/players/51cf8561/matchlogs/2025-2026/summary/Oleksandr-Zinchenko-Match-Logs" TargetMode="External"/><Relationship Id="rId1427" Type="http://schemas.openxmlformats.org/officeDocument/2006/relationships/hyperlink" Target="https://fbref.com/en/squads/cff3d9bb/Chelsea-Stats" TargetMode="External"/><Relationship Id="rId2758" Type="http://schemas.openxmlformats.org/officeDocument/2006/relationships/hyperlink" Target="https://fbref.com/en/players/028e70b9/Joshua-Zirkzee" TargetMode="External"/><Relationship Id="rId1428" Type="http://schemas.openxmlformats.org/officeDocument/2006/relationships/hyperlink" Target="https://fbref.com/en/players/ecad9aa5/matchlogs/2025-2026/summary/Romeo-Lavia-Match-Logs" TargetMode="External"/><Relationship Id="rId2759" Type="http://schemas.openxmlformats.org/officeDocument/2006/relationships/hyperlink" Target="https://fbref.com/en/country/NED/Netherlands-Football" TargetMode="External"/><Relationship Id="rId1429" Type="http://schemas.openxmlformats.org/officeDocument/2006/relationships/hyperlink" Target="https://fbref.com/en/players/6f806d99/Enzo-Le-Fee" TargetMode="External"/><Relationship Id="rId2750" Type="http://schemas.openxmlformats.org/officeDocument/2006/relationships/hyperlink" Target="https://fbref.com/en/players/6763f716/Leny-Yoro" TargetMode="External"/><Relationship Id="rId1420" Type="http://schemas.openxmlformats.org/officeDocument/2006/relationships/hyperlink" Target="https://fbref.com/en/players/450ab6fc/matchlogs/2025-2026/summary/Jamaal-Lascelles-Match-Logs" TargetMode="External"/><Relationship Id="rId2751" Type="http://schemas.openxmlformats.org/officeDocument/2006/relationships/hyperlink" Target="https://fbref.com/en/country/FRA/France-Football" TargetMode="External"/><Relationship Id="rId1421" Type="http://schemas.openxmlformats.org/officeDocument/2006/relationships/hyperlink" Target="https://fbref.com/en/players/f0068e0f/Josh-Laurent" TargetMode="External"/><Relationship Id="rId2752" Type="http://schemas.openxmlformats.org/officeDocument/2006/relationships/hyperlink" Target="https://fbref.com/en/squads/19538871/Manchester-United-Stats" TargetMode="External"/><Relationship Id="rId1059" Type="http://schemas.openxmlformats.org/officeDocument/2006/relationships/hyperlink" Target="https://fbref.com/en/squads/19538871/Manchester-United-Stats" TargetMode="External"/><Relationship Id="rId228" Type="http://schemas.openxmlformats.org/officeDocument/2006/relationships/hyperlink" Target="https://fbref.com/en/players/52c3244b/matchlogs/2025-2026/summary/Thierno-Barry-Match-Logs" TargetMode="External"/><Relationship Id="rId227" Type="http://schemas.openxmlformats.org/officeDocument/2006/relationships/hyperlink" Target="https://fbref.com/en/squads/d3fd31cc/Everton-Stats" TargetMode="External"/><Relationship Id="rId226" Type="http://schemas.openxmlformats.org/officeDocument/2006/relationships/hyperlink" Target="https://fbref.com/en/country/FRA/France-Football" TargetMode="External"/><Relationship Id="rId225" Type="http://schemas.openxmlformats.org/officeDocument/2006/relationships/hyperlink" Target="https://fbref.com/en/players/52c3244b/Thierno-Barry" TargetMode="External"/><Relationship Id="rId2380" Type="http://schemas.openxmlformats.org/officeDocument/2006/relationships/hyperlink" Target="https://fbref.com/en/players/6613c819/Tomas-Soucek" TargetMode="External"/><Relationship Id="rId229" Type="http://schemas.openxmlformats.org/officeDocument/2006/relationships/hyperlink" Target="https://fbref.com/en/players/a36524bf/Calvin-Bassey" TargetMode="External"/><Relationship Id="rId1050" Type="http://schemas.openxmlformats.org/officeDocument/2006/relationships/hyperlink" Target="https://fbref.com/en/country/GER/Germany-Football" TargetMode="External"/><Relationship Id="rId2381" Type="http://schemas.openxmlformats.org/officeDocument/2006/relationships/hyperlink" Target="https://fbref.com/en/country/CZE/Czech-Republic-Football" TargetMode="External"/><Relationship Id="rId220" Type="http://schemas.openxmlformats.org/officeDocument/2006/relationships/hyperlink" Target="https://fbref.com/en/players/2691c772/matchlogs/2025-2026/summary/Ashley-Barnes-Match-Logs" TargetMode="External"/><Relationship Id="rId1051" Type="http://schemas.openxmlformats.org/officeDocument/2006/relationships/hyperlink" Target="https://fbref.com/en/squads/18bb7c10/Arsenal-Stats" TargetMode="External"/><Relationship Id="rId2382" Type="http://schemas.openxmlformats.org/officeDocument/2006/relationships/hyperlink" Target="https://fbref.com/en/squads/7c21e445/West-Ham-United-Stats" TargetMode="External"/><Relationship Id="rId1052" Type="http://schemas.openxmlformats.org/officeDocument/2006/relationships/hyperlink" Target="https://fbref.com/en/players/fed7cb61/matchlogs/2025-2026/summary/Kai-Havertz-Match-Logs" TargetMode="External"/><Relationship Id="rId2383" Type="http://schemas.openxmlformats.org/officeDocument/2006/relationships/hyperlink" Target="https://fbref.com/en/players/6613c819/matchlogs/2025-2026/summary/Tomas-Soucek-Match-Logs" TargetMode="External"/><Relationship Id="rId1053" Type="http://schemas.openxmlformats.org/officeDocument/2006/relationships/hyperlink" Target="https://fbref.com/en/players/a6de6361/Tom-Heaton" TargetMode="External"/><Relationship Id="rId2384" Type="http://schemas.openxmlformats.org/officeDocument/2006/relationships/hyperlink" Target="https://fbref.com/en/players/10b0c6f4/Souza" TargetMode="External"/><Relationship Id="rId1054" Type="http://schemas.openxmlformats.org/officeDocument/2006/relationships/hyperlink" Target="https://fbref.com/en/country/ENG/England-Football" TargetMode="External"/><Relationship Id="rId2385" Type="http://schemas.openxmlformats.org/officeDocument/2006/relationships/hyperlink" Target="https://fbref.com/en/country/BRA/Brazil-Football" TargetMode="External"/><Relationship Id="rId224" Type="http://schemas.openxmlformats.org/officeDocument/2006/relationships/hyperlink" Target="https://fbref.com/en/players/3ea50f67/matchlogs/2025-2026/summary/Harvey-Barnes-Match-Logs" TargetMode="External"/><Relationship Id="rId1055" Type="http://schemas.openxmlformats.org/officeDocument/2006/relationships/hyperlink" Target="https://fbref.com/en/squads/19538871/Manchester-United-Stats" TargetMode="External"/><Relationship Id="rId2386" Type="http://schemas.openxmlformats.org/officeDocument/2006/relationships/hyperlink" Target="https://fbref.com/en/squads/361ca564/Tottenham-Hotspur-Stats" TargetMode="External"/><Relationship Id="rId223" Type="http://schemas.openxmlformats.org/officeDocument/2006/relationships/hyperlink" Target="https://fbref.com/en/squads/b2b47a98/Newcastle-United-Stats" TargetMode="External"/><Relationship Id="rId1056" Type="http://schemas.openxmlformats.org/officeDocument/2006/relationships/hyperlink" Target="https://fbref.com/en/players/a6de6361/matchlogs/2025-2026/summary/Tom-Heaton-Match-Logs" TargetMode="External"/><Relationship Id="rId2387" Type="http://schemas.openxmlformats.org/officeDocument/2006/relationships/hyperlink" Target="https://fbref.com/en/players/10b0c6f4/matchlogs/2025-2026/summary/Souza-Match-Logs" TargetMode="External"/><Relationship Id="rId222" Type="http://schemas.openxmlformats.org/officeDocument/2006/relationships/hyperlink" Target="https://fbref.com/en/country/ENG/England-Football" TargetMode="External"/><Relationship Id="rId1057" Type="http://schemas.openxmlformats.org/officeDocument/2006/relationships/hyperlink" Target="https://fbref.com/en/players/64e17fab/Ayden-Heaven" TargetMode="External"/><Relationship Id="rId2388" Type="http://schemas.openxmlformats.org/officeDocument/2006/relationships/hyperlink" Target="https://fbref.com/en/players/9bc9a519/Djed-Spence" TargetMode="External"/><Relationship Id="rId221" Type="http://schemas.openxmlformats.org/officeDocument/2006/relationships/hyperlink" Target="https://fbref.com/en/players/3ea50f67/Harvey-Barnes" TargetMode="External"/><Relationship Id="rId1058" Type="http://schemas.openxmlformats.org/officeDocument/2006/relationships/hyperlink" Target="https://fbref.com/en/country/ENG/England-Football" TargetMode="External"/><Relationship Id="rId2389" Type="http://schemas.openxmlformats.org/officeDocument/2006/relationships/hyperlink" Target="https://fbref.com/en/country/ENG/England-Football" TargetMode="External"/><Relationship Id="rId1048" Type="http://schemas.openxmlformats.org/officeDocument/2006/relationships/hyperlink" Target="https://fbref.com/en/players/bde35051/matchlogs/2025-2026/summary/Jorrel-Hato-Match-Logs" TargetMode="External"/><Relationship Id="rId2379" Type="http://schemas.openxmlformats.org/officeDocument/2006/relationships/hyperlink" Target="https://fbref.com/en/players/af0d79a9/matchlogs/2025-2026/summary/Borna-Sosa-Match-Logs" TargetMode="External"/><Relationship Id="rId1049" Type="http://schemas.openxmlformats.org/officeDocument/2006/relationships/hyperlink" Target="https://fbref.com/en/players/fed7cb61/Kai-Havertz" TargetMode="External"/><Relationship Id="rId217" Type="http://schemas.openxmlformats.org/officeDocument/2006/relationships/hyperlink" Target="https://fbref.com/en/players/2691c772/Ashley-Barnes" TargetMode="External"/><Relationship Id="rId216" Type="http://schemas.openxmlformats.org/officeDocument/2006/relationships/hyperlink" Target="https://fbref.com/en/players/3a24769f/matchlogs/2025-2026/summary/Ross-Barkley-Match-Logs" TargetMode="External"/><Relationship Id="rId215" Type="http://schemas.openxmlformats.org/officeDocument/2006/relationships/hyperlink" Target="https://fbref.com/en/squads/8602292d/Aston-Villa-Stats" TargetMode="External"/><Relationship Id="rId699" Type="http://schemas.openxmlformats.org/officeDocument/2006/relationships/hyperlink" Target="https://fbref.com/en/squads/47c64c55/Crystal-Palace-Stats" TargetMode="External"/><Relationship Id="rId214" Type="http://schemas.openxmlformats.org/officeDocument/2006/relationships/hyperlink" Target="https://fbref.com/en/country/ENG/England-Football" TargetMode="External"/><Relationship Id="rId698" Type="http://schemas.openxmlformats.org/officeDocument/2006/relationships/hyperlink" Target="https://fbref.com/en/country/FRA/France-Football" TargetMode="External"/><Relationship Id="rId219" Type="http://schemas.openxmlformats.org/officeDocument/2006/relationships/hyperlink" Target="https://fbref.com/en/squads/943e8050/Burnley-Stats" TargetMode="External"/><Relationship Id="rId218" Type="http://schemas.openxmlformats.org/officeDocument/2006/relationships/hyperlink" Target="https://fbref.com/en/country/ENG/England-Football" TargetMode="External"/><Relationship Id="rId2370" Type="http://schemas.openxmlformats.org/officeDocument/2006/relationships/hyperlink" Target="https://fbref.com/en/squads/361ca564/Tottenham-Hotspur-Stats" TargetMode="External"/><Relationship Id="rId693" Type="http://schemas.openxmlformats.org/officeDocument/2006/relationships/hyperlink" Target="https://fbref.com/en/players/3bb7b8b4/Ederson" TargetMode="External"/><Relationship Id="rId1040" Type="http://schemas.openxmlformats.org/officeDocument/2006/relationships/hyperlink" Target="https://fbref.com/en/players/aa849a12/matchlogs/2025-2026/summary/Jack-Harrison-Match-Logs" TargetMode="External"/><Relationship Id="rId2371" Type="http://schemas.openxmlformats.org/officeDocument/2006/relationships/hyperlink" Target="https://fbref.com/en/players/886f9aac/matchlogs/2025-2026/summary/Manor-Solomon-Match-Logs" TargetMode="External"/><Relationship Id="rId692" Type="http://schemas.openxmlformats.org/officeDocument/2006/relationships/hyperlink" Target="https://fbref.com/en/players/fc306af4/matchlogs/2025-2026/summary/Mathis-Eboue-Match-Logs" TargetMode="External"/><Relationship Id="rId1041" Type="http://schemas.openxmlformats.org/officeDocument/2006/relationships/hyperlink" Target="https://fbref.com/en/players/39e1138f/Quilindschy-Hartman" TargetMode="External"/><Relationship Id="rId2372" Type="http://schemas.openxmlformats.org/officeDocument/2006/relationships/hyperlink" Target="https://fbref.com/en/players/b66b8d5e/Oliver-Sonne" TargetMode="External"/><Relationship Id="rId691" Type="http://schemas.openxmlformats.org/officeDocument/2006/relationships/hyperlink" Target="https://fbref.com/en/squads/cff3d9bb/Chelsea-Stats" TargetMode="External"/><Relationship Id="rId1042" Type="http://schemas.openxmlformats.org/officeDocument/2006/relationships/hyperlink" Target="https://fbref.com/en/country/NED/Netherlands-Football" TargetMode="External"/><Relationship Id="rId2373" Type="http://schemas.openxmlformats.org/officeDocument/2006/relationships/hyperlink" Target="https://fbref.com/en/country/PER/Peru-Football" TargetMode="External"/><Relationship Id="rId690" Type="http://schemas.openxmlformats.org/officeDocument/2006/relationships/hyperlink" Target="https://fbref.com/en/country/ENG/England-Football" TargetMode="External"/><Relationship Id="rId1043" Type="http://schemas.openxmlformats.org/officeDocument/2006/relationships/hyperlink" Target="https://fbref.com/en/squads/943e8050/Burnley-Stats" TargetMode="External"/><Relationship Id="rId2374" Type="http://schemas.openxmlformats.org/officeDocument/2006/relationships/hyperlink" Target="https://fbref.com/en/squads/943e8050/Burnley-Stats" TargetMode="External"/><Relationship Id="rId213" Type="http://schemas.openxmlformats.org/officeDocument/2006/relationships/hyperlink" Target="https://fbref.com/en/players/3a24769f/Ross-Barkley" TargetMode="External"/><Relationship Id="rId697" Type="http://schemas.openxmlformats.org/officeDocument/2006/relationships/hyperlink" Target="https://fbref.com/en/players/0562b7f1/Odsonne-Edouard" TargetMode="External"/><Relationship Id="rId1044" Type="http://schemas.openxmlformats.org/officeDocument/2006/relationships/hyperlink" Target="https://fbref.com/en/players/39e1138f/matchlogs/2025-2026/summary/Quilindschy-Hartman-Match-Logs" TargetMode="External"/><Relationship Id="rId2375" Type="http://schemas.openxmlformats.org/officeDocument/2006/relationships/hyperlink" Target="https://fbref.com/en/players/b66b8d5e/matchlogs/2025-2026/summary/Oliver-Sonne-Match-Logs" TargetMode="External"/><Relationship Id="rId212" Type="http://schemas.openxmlformats.org/officeDocument/2006/relationships/hyperlink" Target="https://fbref.com/en/players/38f300f3/matchlogs/2025-2026/summary/Daniel-Ballard-Match-Logs" TargetMode="External"/><Relationship Id="rId696" Type="http://schemas.openxmlformats.org/officeDocument/2006/relationships/hyperlink" Target="https://fbref.com/en/players/3bb7b8b4/matchlogs/2025-2026/summary/Ederson-Match-Logs" TargetMode="External"/><Relationship Id="rId1045" Type="http://schemas.openxmlformats.org/officeDocument/2006/relationships/hyperlink" Target="https://fbref.com/en/players/bde35051/Jorrel-Hato" TargetMode="External"/><Relationship Id="rId2376" Type="http://schemas.openxmlformats.org/officeDocument/2006/relationships/hyperlink" Target="https://fbref.com/en/players/af0d79a9/Borna-Sosa" TargetMode="External"/><Relationship Id="rId211" Type="http://schemas.openxmlformats.org/officeDocument/2006/relationships/hyperlink" Target="https://fbref.com/en/squads/8ef52968/Sunderland-Stats" TargetMode="External"/><Relationship Id="rId695" Type="http://schemas.openxmlformats.org/officeDocument/2006/relationships/hyperlink" Target="https://fbref.com/en/squads/b8fd03ef/Manchester-City-Stats" TargetMode="External"/><Relationship Id="rId1046" Type="http://schemas.openxmlformats.org/officeDocument/2006/relationships/hyperlink" Target="https://fbref.com/en/country/NED/Netherlands-Football" TargetMode="External"/><Relationship Id="rId2377" Type="http://schemas.openxmlformats.org/officeDocument/2006/relationships/hyperlink" Target="https://fbref.com/en/country/CRO/Croatia-Football" TargetMode="External"/><Relationship Id="rId210" Type="http://schemas.openxmlformats.org/officeDocument/2006/relationships/hyperlink" Target="https://fbref.com/en/country/NIR/Northern-Ireland-Football" TargetMode="External"/><Relationship Id="rId694" Type="http://schemas.openxmlformats.org/officeDocument/2006/relationships/hyperlink" Target="https://fbref.com/en/country/BRA/Brazil-Football" TargetMode="External"/><Relationship Id="rId1047" Type="http://schemas.openxmlformats.org/officeDocument/2006/relationships/hyperlink" Target="https://fbref.com/en/squads/cff3d9bb/Chelsea-Stats" TargetMode="External"/><Relationship Id="rId2378" Type="http://schemas.openxmlformats.org/officeDocument/2006/relationships/hyperlink" Target="https://fbref.com/en/squads/47c64c55/Crystal-Palace-Stats" TargetMode="External"/><Relationship Id="rId249" Type="http://schemas.openxmlformats.org/officeDocument/2006/relationships/hyperlink" Target="https://fbref.com/en/players/8a2248b4/Walter-Benitez" TargetMode="External"/><Relationship Id="rId248" Type="http://schemas.openxmlformats.org/officeDocument/2006/relationships/hyperlink" Target="https://fbref.com/en/players/b047bb3b/matchlogs/2025-2026/summary/Dean-Benamar-Match-Logs" TargetMode="External"/><Relationship Id="rId247" Type="http://schemas.openxmlformats.org/officeDocument/2006/relationships/hyperlink" Target="https://fbref.com/en/squads/47c64c55/Crystal-Palace-Stats" TargetMode="External"/><Relationship Id="rId1070" Type="http://schemas.openxmlformats.org/officeDocument/2006/relationships/hyperlink" Target="https://fbref.com/en/country/ENG/England-Football" TargetMode="External"/><Relationship Id="rId1071" Type="http://schemas.openxmlformats.org/officeDocument/2006/relationships/hyperlink" Target="https://fbref.com/en/squads/8602292d/Aston-Villa-Stats" TargetMode="External"/><Relationship Id="rId1072" Type="http://schemas.openxmlformats.org/officeDocument/2006/relationships/hyperlink" Target="https://fbref.com/en/players/28795530/matchlogs/2025-2026/summary/George-Hemmings-Match-Logs" TargetMode="External"/><Relationship Id="rId242" Type="http://schemas.openxmlformats.org/officeDocument/2006/relationships/hyperlink" Target="https://fbref.com/en/country/HAI/Haiti-Football" TargetMode="External"/><Relationship Id="rId1073" Type="http://schemas.openxmlformats.org/officeDocument/2006/relationships/hyperlink" Target="https://fbref.com/en/players/e5a76dfe/Dean-Henderson" TargetMode="External"/><Relationship Id="rId241" Type="http://schemas.openxmlformats.org/officeDocument/2006/relationships/hyperlink" Target="https://fbref.com/en/players/10f0fdd3/Jean-Ricner-Bellegarde" TargetMode="External"/><Relationship Id="rId1074" Type="http://schemas.openxmlformats.org/officeDocument/2006/relationships/hyperlink" Target="https://fbref.com/en/country/ENG/England-Football" TargetMode="External"/><Relationship Id="rId240" Type="http://schemas.openxmlformats.org/officeDocument/2006/relationships/hyperlink" Target="https://fbref.com/en/players/072e68ed/matchlogs/2025-2026/summary/Altay-Bayindir-Match-Logs" TargetMode="External"/><Relationship Id="rId1075" Type="http://schemas.openxmlformats.org/officeDocument/2006/relationships/hyperlink" Target="https://fbref.com/en/squads/47c64c55/Crystal-Palace-Stats" TargetMode="External"/><Relationship Id="rId1076" Type="http://schemas.openxmlformats.org/officeDocument/2006/relationships/hyperlink" Target="https://fbref.com/en/players/e5a76dfe/matchlogs/2025-2026/summary/Dean-Henderson-Match-Logs" TargetMode="External"/><Relationship Id="rId246" Type="http://schemas.openxmlformats.org/officeDocument/2006/relationships/hyperlink" Target="https://fbref.com/en/country/ENG/England-Football" TargetMode="External"/><Relationship Id="rId1077" Type="http://schemas.openxmlformats.org/officeDocument/2006/relationships/hyperlink" Target="https://fbref.com/en/players/935e6b8f/Jordan-Henderson" TargetMode="External"/><Relationship Id="rId245" Type="http://schemas.openxmlformats.org/officeDocument/2006/relationships/hyperlink" Target="https://fbref.com/en/players/b047bb3b/Dean-Benamar" TargetMode="External"/><Relationship Id="rId1078" Type="http://schemas.openxmlformats.org/officeDocument/2006/relationships/hyperlink" Target="https://fbref.com/en/country/ENG/England-Football" TargetMode="External"/><Relationship Id="rId244" Type="http://schemas.openxmlformats.org/officeDocument/2006/relationships/hyperlink" Target="https://fbref.com/en/players/10f0fdd3/matchlogs/2025-2026/summary/Jean-Ricner-Bellegarde-Match-Logs" TargetMode="External"/><Relationship Id="rId1079" Type="http://schemas.openxmlformats.org/officeDocument/2006/relationships/hyperlink" Target="https://fbref.com/en/squads/cd051869/Brentford-Stats" TargetMode="External"/><Relationship Id="rId243" Type="http://schemas.openxmlformats.org/officeDocument/2006/relationships/hyperlink" Target="https://fbref.com/en/squads/8cec06e1/Wolverhampton-Wanderers-Stats" TargetMode="External"/><Relationship Id="rId239" Type="http://schemas.openxmlformats.org/officeDocument/2006/relationships/hyperlink" Target="https://fbref.com/en/squads/19538871/Manchester-United-Stats" TargetMode="External"/><Relationship Id="rId238" Type="http://schemas.openxmlformats.org/officeDocument/2006/relationships/hyperlink" Target="https://fbref.com/en/country/TUR/Turkey-Football" TargetMode="External"/><Relationship Id="rId237" Type="http://schemas.openxmlformats.org/officeDocument/2006/relationships/hyperlink" Target="https://fbref.com/en/players/072e68ed/Altay-Bayindir" TargetMode="External"/><Relationship Id="rId236" Type="http://schemas.openxmlformats.org/officeDocument/2006/relationships/hyperlink" Target="https://fbref.com/en/players/b2010f35/matchlogs/2025-2026/summary/Callum-Bates-Match-Logs" TargetMode="External"/><Relationship Id="rId2390" Type="http://schemas.openxmlformats.org/officeDocument/2006/relationships/hyperlink" Target="https://fbref.com/en/squads/361ca564/Tottenham-Hotspur-Stats" TargetMode="External"/><Relationship Id="rId1060" Type="http://schemas.openxmlformats.org/officeDocument/2006/relationships/hyperlink" Target="https://fbref.com/en/players/64e17fab/matchlogs/2025-2026/summary/Ayden-Heaven-Match-Logs" TargetMode="External"/><Relationship Id="rId2391" Type="http://schemas.openxmlformats.org/officeDocument/2006/relationships/hyperlink" Target="https://fbref.com/en/players/9bc9a519/matchlogs/2025-2026/summary/Djed-Spence-Match-Logs" TargetMode="External"/><Relationship Id="rId1061" Type="http://schemas.openxmlformats.org/officeDocument/2006/relationships/hyperlink" Target="https://fbref.com/en/players/4fd08daa/Jan-Paul-van-Hecke" TargetMode="External"/><Relationship Id="rId2392" Type="http://schemas.openxmlformats.org/officeDocument/2006/relationships/hyperlink" Target="https://fbref.com/en/players/0f59a7bf/Anton-Stach" TargetMode="External"/><Relationship Id="rId231" Type="http://schemas.openxmlformats.org/officeDocument/2006/relationships/hyperlink" Target="https://fbref.com/en/squads/fd962109/Fulham-Stats" TargetMode="External"/><Relationship Id="rId1062" Type="http://schemas.openxmlformats.org/officeDocument/2006/relationships/hyperlink" Target="https://fbref.com/en/country/NED/Netherlands-Football" TargetMode="External"/><Relationship Id="rId2393" Type="http://schemas.openxmlformats.org/officeDocument/2006/relationships/hyperlink" Target="https://fbref.com/en/country/GER/Germany-Football" TargetMode="External"/><Relationship Id="rId230" Type="http://schemas.openxmlformats.org/officeDocument/2006/relationships/hyperlink" Target="https://fbref.com/en/country/NGA/Nigeria-Football" TargetMode="External"/><Relationship Id="rId1063" Type="http://schemas.openxmlformats.org/officeDocument/2006/relationships/hyperlink" Target="https://fbref.com/en/squads/d07537b9/Brighton-and-Hove-Albion-Stats" TargetMode="External"/><Relationship Id="rId2394" Type="http://schemas.openxmlformats.org/officeDocument/2006/relationships/hyperlink" Target="https://fbref.com/en/squads/5bfb9659/Leeds-United-Stats" TargetMode="External"/><Relationship Id="rId1064" Type="http://schemas.openxmlformats.org/officeDocument/2006/relationships/hyperlink" Target="https://fbref.com/en/players/4fd08daa/matchlogs/2025-2026/summary/Jan-Paul-van-Hecke-Match-Logs" TargetMode="External"/><Relationship Id="rId2395" Type="http://schemas.openxmlformats.org/officeDocument/2006/relationships/hyperlink" Target="https://fbref.com/en/players/0f59a7bf/matchlogs/2025-2026/summary/Anton-Stach-Match-Logs" TargetMode="External"/><Relationship Id="rId1065" Type="http://schemas.openxmlformats.org/officeDocument/2006/relationships/hyperlink" Target="https://fbref.com/en/players/169fd162/Hwang-Hee-chan" TargetMode="External"/><Relationship Id="rId2396" Type="http://schemas.openxmlformats.org/officeDocument/2006/relationships/hyperlink" Target="https://fbref.com/en/players/28300a16/Jason-Steele" TargetMode="External"/><Relationship Id="rId235" Type="http://schemas.openxmlformats.org/officeDocument/2006/relationships/hyperlink" Target="https://fbref.com/en/squads/d3fd31cc/Everton-Stats" TargetMode="External"/><Relationship Id="rId1066" Type="http://schemas.openxmlformats.org/officeDocument/2006/relationships/hyperlink" Target="https://fbref.com/en/country/KOR/Korea-Republic-Football" TargetMode="External"/><Relationship Id="rId2397" Type="http://schemas.openxmlformats.org/officeDocument/2006/relationships/hyperlink" Target="https://fbref.com/en/country/ENG/England-Football" TargetMode="External"/><Relationship Id="rId234" Type="http://schemas.openxmlformats.org/officeDocument/2006/relationships/hyperlink" Target="https://fbref.com/en/country/ENG/England-Football" TargetMode="External"/><Relationship Id="rId1067" Type="http://schemas.openxmlformats.org/officeDocument/2006/relationships/hyperlink" Target="https://fbref.com/en/squads/8cec06e1/Wolverhampton-Wanderers-Stats" TargetMode="External"/><Relationship Id="rId2398" Type="http://schemas.openxmlformats.org/officeDocument/2006/relationships/hyperlink" Target="https://fbref.com/en/squads/d07537b9/Brighton-and-Hove-Albion-Stats" TargetMode="External"/><Relationship Id="rId233" Type="http://schemas.openxmlformats.org/officeDocument/2006/relationships/hyperlink" Target="https://fbref.com/en/players/b2010f35/Callum-Bates" TargetMode="External"/><Relationship Id="rId1068" Type="http://schemas.openxmlformats.org/officeDocument/2006/relationships/hyperlink" Target="https://fbref.com/en/players/169fd162/matchlogs/2025-2026/summary/Hwang-Hee-chan-Match-Logs" TargetMode="External"/><Relationship Id="rId2399" Type="http://schemas.openxmlformats.org/officeDocument/2006/relationships/hyperlink" Target="https://fbref.com/en/players/28300a16/matchlogs/2025-2026/summary/Jason-Steele-Match-Logs" TargetMode="External"/><Relationship Id="rId232" Type="http://schemas.openxmlformats.org/officeDocument/2006/relationships/hyperlink" Target="https://fbref.com/en/players/a36524bf/matchlogs/2025-2026/summary/Calvin-Bassey-Match-Logs" TargetMode="External"/><Relationship Id="rId1069" Type="http://schemas.openxmlformats.org/officeDocument/2006/relationships/hyperlink" Target="https://fbref.com/en/players/28795530/George-Hemmings" TargetMode="External"/><Relationship Id="rId1015" Type="http://schemas.openxmlformats.org/officeDocument/2006/relationships/hyperlink" Target="https://fbref.com/en/squads/e4a775cb/Nottingham-Forest-Stats" TargetMode="External"/><Relationship Id="rId1499" Type="http://schemas.openxmlformats.org/officeDocument/2006/relationships/hyperlink" Target="https://fbref.com/en/squads/e4a775cb/Nottingham-Forest-Stats" TargetMode="External"/><Relationship Id="rId2346" Type="http://schemas.openxmlformats.org/officeDocument/2006/relationships/hyperlink" Target="https://fbref.com/en/squads/e4a775cb/Nottingham-Forest-Stats" TargetMode="External"/><Relationship Id="rId1016" Type="http://schemas.openxmlformats.org/officeDocument/2006/relationships/hyperlink" Target="https://fbref.com/en/players/e082af5b/matchlogs/2025-2026/summary/Angus-Gunn-Match-Logs" TargetMode="External"/><Relationship Id="rId2347" Type="http://schemas.openxmlformats.org/officeDocument/2006/relationships/hyperlink" Target="https://fbref.com/en/players/7e118f84/matchlogs/2025-2026/summary/Jimmy-Sinclair-Match-Logs" TargetMode="External"/><Relationship Id="rId1017" Type="http://schemas.openxmlformats.org/officeDocument/2006/relationships/hyperlink" Target="https://fbref.com/en/players/d56b9520/Malo-Gusto" TargetMode="External"/><Relationship Id="rId2348" Type="http://schemas.openxmlformats.org/officeDocument/2006/relationships/hyperlink" Target="https://fbref.com/en/players/c55a846e/Gaga-Slonina" TargetMode="External"/><Relationship Id="rId1018" Type="http://schemas.openxmlformats.org/officeDocument/2006/relationships/hyperlink" Target="https://fbref.com/en/country/FRA/France-Football" TargetMode="External"/><Relationship Id="rId2349" Type="http://schemas.openxmlformats.org/officeDocument/2006/relationships/hyperlink" Target="https://fbref.com/en/country/USA/United-States-Football" TargetMode="External"/><Relationship Id="rId1019" Type="http://schemas.openxmlformats.org/officeDocument/2006/relationships/hyperlink" Target="https://fbref.com/en/squads/cff3d9bb/Chelsea-Stats" TargetMode="External"/><Relationship Id="rId668" Type="http://schemas.openxmlformats.org/officeDocument/2006/relationships/hyperlink" Target="https://fbref.com/en/players/9008bb70/matchlogs/2025-2026/summary/Max-Dowman-Match-Logs" TargetMode="External"/><Relationship Id="rId667" Type="http://schemas.openxmlformats.org/officeDocument/2006/relationships/hyperlink" Target="https://fbref.com/en/squads/18bb7c10/Arsenal-Stats" TargetMode="External"/><Relationship Id="rId666" Type="http://schemas.openxmlformats.org/officeDocument/2006/relationships/hyperlink" Target="https://fbref.com/en/country/ENG/England-Football" TargetMode="External"/><Relationship Id="rId665" Type="http://schemas.openxmlformats.org/officeDocument/2006/relationships/hyperlink" Target="https://fbref.com/en/players/9008bb70/Max-Dowman" TargetMode="External"/><Relationship Id="rId669" Type="http://schemas.openxmlformats.org/officeDocument/2006/relationships/hyperlink" Target="https://fbref.com/en/players/620922ed/Radu-Dragusin" TargetMode="External"/><Relationship Id="rId1490" Type="http://schemas.openxmlformats.org/officeDocument/2006/relationships/hyperlink" Target="https://fbref.com/en/country/ESP/Spain-Football" TargetMode="External"/><Relationship Id="rId660" Type="http://schemas.openxmlformats.org/officeDocument/2006/relationships/hyperlink" Target="https://fbref.com/en/players/519db366/matchlogs/2025-2026/summary/Romelle-Donovan-Match-Logs" TargetMode="External"/><Relationship Id="rId1491" Type="http://schemas.openxmlformats.org/officeDocument/2006/relationships/hyperlink" Target="https://fbref.com/en/squads/8cec06e1/Wolverhampton-Wanderers-Stats" TargetMode="External"/><Relationship Id="rId1492" Type="http://schemas.openxmlformats.org/officeDocument/2006/relationships/hyperlink" Target="https://fbref.com/en/players/675cacff/matchlogs/2025-2026/summary/Fer-Lopez-Match-Logs" TargetMode="External"/><Relationship Id="rId1493" Type="http://schemas.openxmlformats.org/officeDocument/2006/relationships/hyperlink" Target="https://fbref.com/en/players/5d68f5b2/Lucas" TargetMode="External"/><Relationship Id="rId2340" Type="http://schemas.openxmlformats.org/officeDocument/2006/relationships/hyperlink" Target="https://fbref.com/en/players/da4d670f/Xavi-Simons" TargetMode="External"/><Relationship Id="rId1010" Type="http://schemas.openxmlformats.org/officeDocument/2006/relationships/hyperlink" Target="https://fbref.com/en/country/GER/Germany-Football" TargetMode="External"/><Relationship Id="rId149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country/NED/Netherlands-Football" TargetMode="External"/><Relationship Id="rId664" Type="http://schemas.openxmlformats.org/officeDocument/2006/relationships/hyperlink" Target="https://fbref.com/en/players/e6536124/matchlogs/2025-2026/summary/Patrick-Dorgu-Match-Logs" TargetMode="External"/><Relationship Id="rId1011" Type="http://schemas.openxmlformats.org/officeDocument/2006/relationships/hyperlink" Target="https://fbref.com/en/squads/b8fd03ef/Manchester-City-Stats" TargetMode="External"/><Relationship Id="rId1495" Type="http://schemas.openxmlformats.org/officeDocument/2006/relationships/hyperlink" Target="https://fbref.com/en/squads/943e8050/Burnley-Stats" TargetMode="External"/><Relationship Id="rId2342" Type="http://schemas.openxmlformats.org/officeDocument/2006/relationships/hyperlink" Target="https://fbref.com/en/squads/361ca564/Tottenham-Hotspur-Stats" TargetMode="External"/><Relationship Id="rId663" Type="http://schemas.openxmlformats.org/officeDocument/2006/relationships/hyperlink" Target="https://fbref.com/en/squads/19538871/Manchester-United-Stats" TargetMode="External"/><Relationship Id="rId1012" Type="http://schemas.openxmlformats.org/officeDocument/2006/relationships/hyperlink" Target="https://fbref.com/en/players/819b3158/matchlogs/2025-2026/summary/Ilkay-Gundogan-Match-Logs" TargetMode="External"/><Relationship Id="rId1496" Type="http://schemas.openxmlformats.org/officeDocument/2006/relationships/hyperlink" Target="https://fbref.com/en/players/5d68f5b2/matchlogs/2025-2026/summary/Lucas-Match-Logs" TargetMode="External"/><Relationship Id="rId2343" Type="http://schemas.openxmlformats.org/officeDocument/2006/relationships/hyperlink" Target="https://fbref.com/en/players/da4d670f/matchlogs/2025-2026/summary/Xavi-Simons-Match-Logs" TargetMode="External"/><Relationship Id="rId662" Type="http://schemas.openxmlformats.org/officeDocument/2006/relationships/hyperlink" Target="https://fbref.com/en/country/DEN/Denmark-Football" TargetMode="External"/><Relationship Id="rId1013" Type="http://schemas.openxmlformats.org/officeDocument/2006/relationships/hyperlink" Target="https://fbref.com/en/players/e082af5b/Angus-Gunn" TargetMode="External"/><Relationship Id="rId1497" Type="http://schemas.openxmlformats.org/officeDocument/2006/relationships/hyperlink" Target="https://fbref.com/en/players/83c06f3a/Lorenzo-Lucca" TargetMode="External"/><Relationship Id="rId2344" Type="http://schemas.openxmlformats.org/officeDocument/2006/relationships/hyperlink" Target="https://fbref.com/en/players/7e118f84/Jimmy-Sinclair" TargetMode="External"/><Relationship Id="rId661" Type="http://schemas.openxmlformats.org/officeDocument/2006/relationships/hyperlink" Target="https://fbref.com/en/players/e6536124/Patrick-Dorgu" TargetMode="External"/><Relationship Id="rId1014" Type="http://schemas.openxmlformats.org/officeDocument/2006/relationships/hyperlink" Target="https://fbref.com/en/country/SCO/Scotland-Football" TargetMode="External"/><Relationship Id="rId1498" Type="http://schemas.openxmlformats.org/officeDocument/2006/relationships/hyperlink" Target="https://fbref.com/en/country/ITA/Italy-Football" TargetMode="External"/><Relationship Id="rId2345" Type="http://schemas.openxmlformats.org/officeDocument/2006/relationships/hyperlink" Target="https://fbref.com/en/country/ENG/England-Football" TargetMode="External"/><Relationship Id="rId1004" Type="http://schemas.openxmlformats.org/officeDocument/2006/relationships/hyperlink" Target="https://fbref.com/en/players/d3d774cc/matchlogs/2025-2026/summary/Marc-Guiu-Match-Logs" TargetMode="External"/><Relationship Id="rId1488" Type="http://schemas.openxmlformats.org/officeDocument/2006/relationships/hyperlink" Target="https://fbref.com/en/players/a2b105e0/matchlogs/2025-2026/summary/Sean-Longstaff-Match-Logs" TargetMode="External"/><Relationship Id="rId2335" Type="http://schemas.openxmlformats.org/officeDocument/2006/relationships/hyperlink" Target="https://fbref.com/en/players/0a4f579a/matchlogs/2025-2026/summary/Eric-da-Silva-Moreira-Match-Logs" TargetMode="External"/><Relationship Id="rId1005" Type="http://schemas.openxmlformats.org/officeDocument/2006/relationships/hyperlink" Target="https://fbref.com/en/players/d3d774cc/Marc-Guiu" TargetMode="External"/><Relationship Id="rId1489" Type="http://schemas.openxmlformats.org/officeDocument/2006/relationships/hyperlink" Target="https://fbref.com/en/players/675cacff/Fer-Lopez" TargetMode="External"/><Relationship Id="rId2336" Type="http://schemas.openxmlformats.org/officeDocument/2006/relationships/hyperlink" Target="https://fbref.com/en/players/c1a271b9/Freddie-Simmonds" TargetMode="External"/><Relationship Id="rId1006" Type="http://schemas.openxmlformats.org/officeDocument/2006/relationships/hyperlink" Target="https://fbref.com/en/country/ESP/Spain-Football" TargetMode="External"/><Relationship Id="rId2337" Type="http://schemas.openxmlformats.org/officeDocument/2006/relationships/hyperlink" Target="https://fbref.com/en/country/ENG/England-Football" TargetMode="External"/><Relationship Id="rId1007" Type="http://schemas.openxmlformats.org/officeDocument/2006/relationships/hyperlink" Target="https://fbref.com/en/squads/cff3d9bb/Chelsea-Stats" TargetMode="External"/><Relationship Id="rId2338" Type="http://schemas.openxmlformats.org/officeDocument/2006/relationships/hyperlink" Target="https://fbref.com/en/squads/d07537b9/Brighton-and-Hove-Albion-Stats" TargetMode="External"/><Relationship Id="rId1008" Type="http://schemas.openxmlformats.org/officeDocument/2006/relationships/hyperlink" Target="https://fbref.com/en/players/d3d774cc/matchlogs/2025-2026/summary/Marc-Guiu-Match-Logs" TargetMode="External"/><Relationship Id="rId2339" Type="http://schemas.openxmlformats.org/officeDocument/2006/relationships/hyperlink" Target="https://fbref.com/en/players/c1a271b9/matchlogs/2025-2026/summary/Freddie-Simmonds-Match-Logs" TargetMode="External"/><Relationship Id="rId1009" Type="http://schemas.openxmlformats.org/officeDocument/2006/relationships/hyperlink" Target="https://fbref.com/en/players/819b3158/Ilkay-Gundogan" TargetMode="External"/><Relationship Id="rId657" Type="http://schemas.openxmlformats.org/officeDocument/2006/relationships/hyperlink" Target="https://fbref.com/en/players/519db366/Romelle-Donovan" TargetMode="External"/><Relationship Id="rId656" Type="http://schemas.openxmlformats.org/officeDocument/2006/relationships/hyperlink" Target="https://fbref.com/en/players/08f5afaa/matchlogs/2025-2026/summary/Gianluigi-Donnarumma-Match-Logs" TargetMode="External"/><Relationship Id="rId655" Type="http://schemas.openxmlformats.org/officeDocument/2006/relationships/hyperlink" Target="https://fbref.com/en/squads/b8fd03ef/Manchester-City-Stats" TargetMode="External"/><Relationship Id="rId654" Type="http://schemas.openxmlformats.org/officeDocument/2006/relationships/hyperlink" Target="https://fbref.com/en/country/ITA/Italy-Football" TargetMode="External"/><Relationship Id="rId659" Type="http://schemas.openxmlformats.org/officeDocument/2006/relationships/hyperlink" Target="https://fbref.com/en/squads/cd051869/Brentford-Stats" TargetMode="External"/><Relationship Id="rId658" Type="http://schemas.openxmlformats.org/officeDocument/2006/relationships/hyperlink" Target="https://fbref.com/en/country/ENG/England-Football" TargetMode="External"/><Relationship Id="rId1480" Type="http://schemas.openxmlformats.org/officeDocument/2006/relationships/hyperlink" Target="https://fbref.com/en/players/f5deef4c/matchlogs/2025-2026/summary/Victor-Lindelof-Match-Logs" TargetMode="External"/><Relationship Id="rId1481" Type="http://schemas.openxmlformats.org/officeDocument/2006/relationships/hyperlink" Target="https://fbref.com/en/players/afed6722/Tino-Livramento" TargetMode="External"/><Relationship Id="rId1482" Type="http://schemas.openxmlformats.org/officeDocument/2006/relationships/hyperlink" Target="https://fbref.com/en/country/ENG/England-Football" TargetMode="External"/><Relationship Id="rId1483" Type="http://schemas.openxmlformats.org/officeDocument/2006/relationships/hyperlink" Target="https://fbref.com/en/squads/b2b47a98/Newcastle-United-Stats" TargetMode="External"/><Relationship Id="rId2330" Type="http://schemas.openxmlformats.org/officeDocument/2006/relationships/hyperlink" Target="https://fbref.com/en/squads/e4a775cb/Nottingham-Forest-Stats" TargetMode="External"/><Relationship Id="rId653" Type="http://schemas.openxmlformats.org/officeDocument/2006/relationships/hyperlink" Target="https://fbref.com/en/players/08f5afaa/Gianluigi-Donnarumma" TargetMode="External"/><Relationship Id="rId1000" Type="http://schemas.openxmlformats.org/officeDocument/2006/relationships/hyperlink" Target="https://fbref.com/en/players/82518f62/matchlogs/2025-2026/summary/Bruno-Guimaraes-Match-Logs" TargetMode="External"/><Relationship Id="rId1484" Type="http://schemas.openxmlformats.org/officeDocument/2006/relationships/hyperlink" Target="https://fbref.com/en/players/afed6722/matchlogs/2025-2026/summary/Tino-Livramento-Match-Logs" TargetMode="External"/><Relationship Id="rId2331" Type="http://schemas.openxmlformats.org/officeDocument/2006/relationships/hyperlink" Target="https://fbref.com/en/players/4d77e622/matchlogs/2025-2026/summary/Jota-Silva-Match-Logs" TargetMode="External"/><Relationship Id="rId652" Type="http://schemas.openxmlformats.org/officeDocument/2006/relationships/hyperlink" Target="https://fbref.com/en/players/20b3a502/matchlogs/2025-2026/summary/Nicolas-Dominguez-Match-Logs" TargetMode="External"/><Relationship Id="rId1001" Type="http://schemas.openxmlformats.org/officeDocument/2006/relationships/hyperlink" Target="https://fbref.com/en/players/d3d774cc/Marc-Guiu" TargetMode="External"/><Relationship Id="rId1485" Type="http://schemas.openxmlformats.org/officeDocument/2006/relationships/hyperlink" Target="https://fbref.com/en/players/a2b105e0/Sean-Longstaff" TargetMode="External"/><Relationship Id="rId2332" Type="http://schemas.openxmlformats.org/officeDocument/2006/relationships/hyperlink" Target="https://fbref.com/en/players/0a4f579a/Eric-da-Silva-Moreira" TargetMode="External"/><Relationship Id="rId651" Type="http://schemas.openxmlformats.org/officeDocument/2006/relationships/hyperlink" Target="https://fbref.com/en/squads/e4a775cb/Nottingham-Forest-Stats" TargetMode="External"/><Relationship Id="rId1002" Type="http://schemas.openxmlformats.org/officeDocument/2006/relationships/hyperlink" Target="https://fbref.com/en/country/ESP/Spain-Football" TargetMode="External"/><Relationship Id="rId1486" Type="http://schemas.openxmlformats.org/officeDocument/2006/relationships/hyperlink" Target="https://fbref.com/en/country/ENG/England-Football" TargetMode="External"/><Relationship Id="rId2333" Type="http://schemas.openxmlformats.org/officeDocument/2006/relationships/hyperlink" Target="https://fbref.com/en/country/GER/Germany-Football" TargetMode="External"/><Relationship Id="rId650" Type="http://schemas.openxmlformats.org/officeDocument/2006/relationships/hyperlink" Target="https://fbref.com/en/country/ARG/Argentina-Football" TargetMode="External"/><Relationship Id="rId1003" Type="http://schemas.openxmlformats.org/officeDocument/2006/relationships/hyperlink" Target="https://fbref.com/en/squads/8ef52968/Sunderland-Stats" TargetMode="External"/><Relationship Id="rId1487" Type="http://schemas.openxmlformats.org/officeDocument/2006/relationships/hyperlink" Target="https://fbref.com/en/squads/5bfb9659/Leeds-United-Stats" TargetMode="External"/><Relationship Id="rId2334" Type="http://schemas.openxmlformats.org/officeDocument/2006/relationships/hyperlink" Target="https://fbref.com/en/squads/e4a775cb/Nottingham-Forest-Stats" TargetMode="External"/><Relationship Id="rId1037" Type="http://schemas.openxmlformats.org/officeDocument/2006/relationships/hyperlink" Target="https://fbref.com/en/players/aa849a12/Jack-Harrison" TargetMode="External"/><Relationship Id="rId2368" Type="http://schemas.openxmlformats.org/officeDocument/2006/relationships/hyperlink" Target="https://fbref.com/en/players/886f9aac/Manor-Solomon" TargetMode="External"/><Relationship Id="rId1038" Type="http://schemas.openxmlformats.org/officeDocument/2006/relationships/hyperlink" Target="https://fbref.com/en/country/ENG/England-Football" TargetMode="External"/><Relationship Id="rId2369" Type="http://schemas.openxmlformats.org/officeDocument/2006/relationships/hyperlink" Target="https://fbref.com/en/country/ISR/Israel-Football" TargetMode="External"/><Relationship Id="rId1039" Type="http://schemas.openxmlformats.org/officeDocument/2006/relationships/hyperlink" Target="https://fbref.com/en/squads/5bfb9659/Leeds-United-Stats" TargetMode="External"/><Relationship Id="rId206" Type="http://schemas.openxmlformats.org/officeDocument/2006/relationships/hyperlink" Target="https://fbref.com/en/country/CMR/Cameroon-Football" TargetMode="External"/><Relationship Id="rId205" Type="http://schemas.openxmlformats.org/officeDocument/2006/relationships/hyperlink" Target="https://fbref.com/en/players/a1390d2f/Carlos-Baleba" TargetMode="External"/><Relationship Id="rId689" Type="http://schemas.openxmlformats.org/officeDocument/2006/relationships/hyperlink" Target="https://fbref.com/en/players/fc306af4/Mathis-Eboue" TargetMode="External"/><Relationship Id="rId204" Type="http://schemas.openxmlformats.org/officeDocument/2006/relationships/hyperlink" Target="https://fbref.com/en/players/e827567f/matchlogs/2025-2026/summary/Ellery-Balcombe-Match-Logs" TargetMode="External"/><Relationship Id="rId688" Type="http://schemas.openxmlformats.org/officeDocument/2006/relationships/hyperlink" Target="https://fbref.com/en/players/123d2733/matchlogs/2025-2026/summary/George-Earthy-Match-Logs" TargetMode="External"/><Relationship Id="rId203" Type="http://schemas.openxmlformats.org/officeDocument/2006/relationships/hyperlink" Target="https://fbref.com/en/squads/cd051869/Brentford-Stats" TargetMode="External"/><Relationship Id="rId687" Type="http://schemas.openxmlformats.org/officeDocument/2006/relationships/hyperlink" Target="https://fbref.com/en/squads/7c21e445/West-Ham-United-Stats" TargetMode="External"/><Relationship Id="rId209" Type="http://schemas.openxmlformats.org/officeDocument/2006/relationships/hyperlink" Target="https://fbref.com/en/players/38f300f3/Daniel-Ballard" TargetMode="External"/><Relationship Id="rId208" Type="http://schemas.openxmlformats.org/officeDocument/2006/relationships/hyperlink" Target="https://fbref.com/en/players/a1390d2f/matchlogs/2025-2026/summary/Carlos-Baleba-Match-Logs" TargetMode="External"/><Relationship Id="rId207" Type="http://schemas.openxmlformats.org/officeDocument/2006/relationships/hyperlink" Target="https://fbref.com/en/squads/d07537b9/Brighton-and-Hove-Albion-Stats" TargetMode="External"/><Relationship Id="rId682" Type="http://schemas.openxmlformats.org/officeDocument/2006/relationships/hyperlink" Target="https://fbref.com/en/country/ENG/England-Football" TargetMode="External"/><Relationship Id="rId2360" Type="http://schemas.openxmlformats.org/officeDocument/2006/relationships/hyperlink" Target="https://fbref.com/en/players/e77dc3b2/Dominic-Solanke" TargetMode="External"/><Relationship Id="rId681" Type="http://schemas.openxmlformats.org/officeDocument/2006/relationships/hyperlink" Target="https://fbref.com/en/players/282f75f3/Lewis-Dunk" TargetMode="External"/><Relationship Id="rId1030" Type="http://schemas.openxmlformats.org/officeDocument/2006/relationships/hyperlink" Target="https://fbref.com/en/country/NOR/Norway-Football" TargetMode="External"/><Relationship Id="rId2361" Type="http://schemas.openxmlformats.org/officeDocument/2006/relationships/hyperlink" Target="https://fbref.com/en/country/ENG/England-Football" TargetMode="External"/><Relationship Id="rId680" Type="http://schemas.openxmlformats.org/officeDocument/2006/relationships/hyperlink" Target="https://fbref.com/en/players/3a949a25/matchlogs/2025-2026/summary/Martin-Dubravka-Match-Logs" TargetMode="External"/><Relationship Id="rId1031" Type="http://schemas.openxmlformats.org/officeDocument/2006/relationships/hyperlink" Target="https://fbref.com/en/squads/b8fd03ef/Manchester-City-Stats" TargetMode="External"/><Relationship Id="rId2362" Type="http://schemas.openxmlformats.org/officeDocument/2006/relationships/hyperlink" Target="https://fbref.com/en/squads/361ca564/Tottenham-Hotspur-Stats" TargetMode="External"/><Relationship Id="rId1032" Type="http://schemas.openxmlformats.org/officeDocument/2006/relationships/hyperlink" Target="https://fbref.com/en/players/1f44ac21/matchlogs/2025-2026/summary/Erling-Haaland-Match-Logs" TargetMode="External"/><Relationship Id="rId2363" Type="http://schemas.openxmlformats.org/officeDocument/2006/relationships/hyperlink" Target="https://fbref.com/en/players/e77dc3b2/matchlogs/2025-2026/summary/Dominic-Solanke-Match-Logs" TargetMode="External"/><Relationship Id="rId202" Type="http://schemas.openxmlformats.org/officeDocument/2006/relationships/hyperlink" Target="https://fbref.com/en/country/ENG/England-Football" TargetMode="External"/><Relationship Id="rId686" Type="http://schemas.openxmlformats.org/officeDocument/2006/relationships/hyperlink" Target="https://fbref.com/en/country/ENG/England-Football" TargetMode="External"/><Relationship Id="rId1033" Type="http://schemas.openxmlformats.org/officeDocument/2006/relationships/hyperlink" Target="https://fbref.com/en/players/da011f18/Lewis-Hall" TargetMode="External"/><Relationship Id="rId2364" Type="http://schemas.openxmlformats.org/officeDocument/2006/relationships/hyperlink" Target="https://fbref.com/en/players/98c8559a/Julio-Soler" TargetMode="External"/><Relationship Id="rId201" Type="http://schemas.openxmlformats.org/officeDocument/2006/relationships/hyperlink" Target="https://fbref.com/en/players/e827567f/Ellery-Balcombe" TargetMode="External"/><Relationship Id="rId685" Type="http://schemas.openxmlformats.org/officeDocument/2006/relationships/hyperlink" Target="https://fbref.com/en/players/123d2733/George-Earthy" TargetMode="External"/><Relationship Id="rId1034" Type="http://schemas.openxmlformats.org/officeDocument/2006/relationships/hyperlink" Target="https://fbref.com/en/country/ENG/England-Football" TargetMode="External"/><Relationship Id="rId2365" Type="http://schemas.openxmlformats.org/officeDocument/2006/relationships/hyperlink" Target="https://fbref.com/en/country/ARG/Argentina-Football" TargetMode="External"/><Relationship Id="rId200" Type="http://schemas.openxmlformats.org/officeDocument/2006/relationships/hyperlink" Target="https://fbref.com/en/players/2b5a35e5/matchlogs/2025-2026/summary/Dilane-Bakwa-Match-Logs" TargetMode="External"/><Relationship Id="rId684" Type="http://schemas.openxmlformats.org/officeDocument/2006/relationships/hyperlink" Target="https://fbref.com/en/players/282f75f3/matchlogs/2025-2026/summary/Lewis-Dunk-Match-Logs" TargetMode="External"/><Relationship Id="rId1035" Type="http://schemas.openxmlformats.org/officeDocument/2006/relationships/hyperlink" Target="https://fbref.com/en/squads/b2b47a98/Newcastle-United-Stats" TargetMode="External"/><Relationship Id="rId2366" Type="http://schemas.openxmlformats.org/officeDocument/2006/relationships/hyperlink" Target="https://fbref.com/en/squads/4ba7cbea/Bournemouth-Stats" TargetMode="External"/><Relationship Id="rId683" Type="http://schemas.openxmlformats.org/officeDocument/2006/relationships/hyperlink" Target="https://fbref.com/en/squads/d07537b9/Brighton-and-Hove-Albion-Stats" TargetMode="External"/><Relationship Id="rId1036" Type="http://schemas.openxmlformats.org/officeDocument/2006/relationships/hyperlink" Target="https://fbref.com/en/players/da011f18/matchlogs/2025-2026/summary/Lewis-Hall-Match-Logs" TargetMode="External"/><Relationship Id="rId2367" Type="http://schemas.openxmlformats.org/officeDocument/2006/relationships/hyperlink" Target="https://fbref.com/en/players/98c8559a/matchlogs/2025-2026/summary/Julio-Soler-Match-Logs" TargetMode="External"/><Relationship Id="rId1026" Type="http://schemas.openxmlformats.org/officeDocument/2006/relationships/hyperlink" Target="https://fbref.com/en/country/SWE/Sweden-Football" TargetMode="External"/><Relationship Id="rId2357" Type="http://schemas.openxmlformats.org/officeDocument/2006/relationships/hyperlink" Target="https://fbref.com/en/country/ENG/England-Football" TargetMode="External"/><Relationship Id="rId1027" Type="http://schemas.openxmlformats.org/officeDocument/2006/relationships/hyperlink" Target="https://fbref.com/en/squads/18bb7c10/Arsenal-Stats" TargetMode="External"/><Relationship Id="rId2358" Type="http://schemas.openxmlformats.org/officeDocument/2006/relationships/hyperlink" Target="https://fbref.com/en/squads/fd962109/Fulham-Stats" TargetMode="External"/><Relationship Id="rId1028" Type="http://schemas.openxmlformats.org/officeDocument/2006/relationships/hyperlink" Target="https://fbref.com/en/players/4d5a9185/matchlogs/2025-2026/summary/Viktor-Gyokeres-Match-Logs" TargetMode="External"/><Relationship Id="rId2359" Type="http://schemas.openxmlformats.org/officeDocument/2006/relationships/hyperlink" Target="https://fbref.com/en/players/17695062/matchlogs/2025-2026/summary/Emile-Smith-Rowe-Match-Logs" TargetMode="External"/><Relationship Id="rId1029" Type="http://schemas.openxmlformats.org/officeDocument/2006/relationships/hyperlink" Target="https://fbref.com/en/players/1f44ac21/Erling-Haaland" TargetMode="External"/><Relationship Id="rId679" Type="http://schemas.openxmlformats.org/officeDocument/2006/relationships/hyperlink" Target="https://fbref.com/en/squads/943e8050/Burnley-Stats" TargetMode="External"/><Relationship Id="rId678" Type="http://schemas.openxmlformats.org/officeDocument/2006/relationships/hyperlink" Target="https://fbref.com/en/country/SVK/Slovakia-Football" TargetMode="External"/><Relationship Id="rId677" Type="http://schemas.openxmlformats.org/officeDocument/2006/relationships/hyperlink" Target="https://fbref.com/en/players/3a949a25/Martin-Dubravka" TargetMode="External"/><Relationship Id="rId676" Type="http://schemas.openxmlformats.org/officeDocument/2006/relationships/hyperlink" Target="https://fbref.com/en/players/1bd530e8/matchlogs/2025-2026/summary/Joel-Drakes-Thomas-Match-Logs" TargetMode="External"/><Relationship Id="rId671" Type="http://schemas.openxmlformats.org/officeDocument/2006/relationships/hyperlink" Target="https://fbref.com/en/squads/361ca564/Tottenham-Hotspur-Stats" TargetMode="External"/><Relationship Id="rId670" Type="http://schemas.openxmlformats.org/officeDocument/2006/relationships/hyperlink" Target="https://fbref.com/en/country/ROU/Romania-Football" TargetMode="External"/><Relationship Id="rId2350" Type="http://schemas.openxmlformats.org/officeDocument/2006/relationships/hyperlink" Target="https://fbref.com/en/squads/cff3d9bb/Chelsea-Stats" TargetMode="External"/><Relationship Id="rId1020" Type="http://schemas.openxmlformats.org/officeDocument/2006/relationships/hyperlink" Target="https://fbref.com/en/players/d56b9520/matchlogs/2025-2026/summary/Malo-Gusto-Match-Logs" TargetMode="External"/><Relationship Id="rId2351" Type="http://schemas.openxmlformats.org/officeDocument/2006/relationships/hyperlink" Target="https://fbref.com/en/players/c55a846e/matchlogs/2025-2026/summary/Gaga-Slonina-Match-Logs" TargetMode="External"/><Relationship Id="rId1021" Type="http://schemas.openxmlformats.org/officeDocument/2006/relationships/hyperlink" Target="https://fbref.com/en/players/5ad50391/Josko-Gvardiol" TargetMode="External"/><Relationship Id="rId2352" Type="http://schemas.openxmlformats.org/officeDocument/2006/relationships/hyperlink" Target="https://fbref.com/en/players/20b104bc/Adam-Smith" TargetMode="External"/><Relationship Id="rId675" Type="http://schemas.openxmlformats.org/officeDocument/2006/relationships/hyperlink" Target="https://fbref.com/en/squads/47c64c55/Crystal-Palace-Stats" TargetMode="External"/><Relationship Id="rId1022" Type="http://schemas.openxmlformats.org/officeDocument/2006/relationships/hyperlink" Target="https://fbref.com/en/country/CRO/Croatia-Football" TargetMode="External"/><Relationship Id="rId2353" Type="http://schemas.openxmlformats.org/officeDocument/2006/relationships/hyperlink" Target="https://fbref.com/en/country/ENG/England-Football" TargetMode="External"/><Relationship Id="rId674" Type="http://schemas.openxmlformats.org/officeDocument/2006/relationships/hyperlink" Target="https://fbref.com/en/country/ENG/England-Football" TargetMode="External"/><Relationship Id="rId1023" Type="http://schemas.openxmlformats.org/officeDocument/2006/relationships/hyperlink" Target="https://fbref.com/en/squads/b8fd03ef/Manchester-City-Stats" TargetMode="External"/><Relationship Id="rId2354" Type="http://schemas.openxmlformats.org/officeDocument/2006/relationships/hyperlink" Target="https://fbref.com/en/squads/4ba7cbea/Bournemouth-Stats" TargetMode="External"/><Relationship Id="rId673" Type="http://schemas.openxmlformats.org/officeDocument/2006/relationships/hyperlink" Target="https://fbref.com/en/players/1bd530e8/Joel-Drakes-Thomas" TargetMode="External"/><Relationship Id="rId1024" Type="http://schemas.openxmlformats.org/officeDocument/2006/relationships/hyperlink" Target="https://fbref.com/en/players/5ad50391/matchlogs/2025-2026/summary/Josko-Gvardiol-Match-Logs" TargetMode="External"/><Relationship Id="rId2355" Type="http://schemas.openxmlformats.org/officeDocument/2006/relationships/hyperlink" Target="https://fbref.com/en/players/20b104bc/matchlogs/2025-2026/summary/Adam-Smith-Match-Logs" TargetMode="External"/><Relationship Id="rId672" Type="http://schemas.openxmlformats.org/officeDocument/2006/relationships/hyperlink" Target="https://fbref.com/en/players/620922ed/matchlogs/2025-2026/summary/Radu-Dragusin-Match-Logs" TargetMode="External"/><Relationship Id="rId1025" Type="http://schemas.openxmlformats.org/officeDocument/2006/relationships/hyperlink" Target="https://fbref.com/en/players/4d5a9185/Viktor-Gyokeres" TargetMode="External"/><Relationship Id="rId2356" Type="http://schemas.openxmlformats.org/officeDocument/2006/relationships/hyperlink" Target="https://fbref.com/en/players/17695062/Emile-Smith-Rowe" TargetMode="External"/><Relationship Id="rId190" Type="http://schemas.openxmlformats.org/officeDocument/2006/relationships/hyperlink" Target="https://fbref.com/en/country/FRA/France-Football" TargetMode="External"/><Relationship Id="rId194" Type="http://schemas.openxmlformats.org/officeDocument/2006/relationships/hyperlink" Target="https://fbref.com/en/country/JAM/Jamaica-Football" TargetMode="External"/><Relationship Id="rId193" Type="http://schemas.openxmlformats.org/officeDocument/2006/relationships/hyperlink" Target="https://fbref.com/en/players/3a233281/Leon-Bailey" TargetMode="External"/><Relationship Id="rId192" Type="http://schemas.openxmlformats.org/officeDocument/2006/relationships/hyperlink" Target="https://fbref.com/en/players/06df8256/matchlogs/2025-2026/summary/Benoit-Badiashile-Match-Logs" TargetMode="External"/><Relationship Id="rId191" Type="http://schemas.openxmlformats.org/officeDocument/2006/relationships/hyperlink" Target="https://fbref.com/en/squads/cff3d9bb/Chelsea-Stats" TargetMode="External"/><Relationship Id="rId187" Type="http://schemas.openxmlformats.org/officeDocument/2006/relationships/hyperlink" Target="https://fbref.com/en/squads/d3fd31cc/Everton-Stats" TargetMode="External"/><Relationship Id="rId186" Type="http://schemas.openxmlformats.org/officeDocument/2006/relationships/hyperlink" Target="https://fbref.com/en/country/MAR/Morocco-Football" TargetMode="External"/><Relationship Id="rId185" Type="http://schemas.openxmlformats.org/officeDocument/2006/relationships/hyperlink" Target="https://fbref.com/en/players/e678d983/Adam-Aznou" TargetMode="External"/><Relationship Id="rId184" Type="http://schemas.openxmlformats.org/officeDocument/2006/relationships/hyperlink" Target="https://fbref.com/en/players/f173303a/matchlogs/2025-2026/summary/Yasin-Ayari-Match-Logs" TargetMode="External"/><Relationship Id="rId189" Type="http://schemas.openxmlformats.org/officeDocument/2006/relationships/hyperlink" Target="https://fbref.com/en/players/06df8256/Benoit-Badiashile" TargetMode="External"/><Relationship Id="rId188" Type="http://schemas.openxmlformats.org/officeDocument/2006/relationships/hyperlink" Target="https://fbref.com/en/players/e678d983/matchlogs/2025-2026/summary/Adam-Aznou-Match-Logs" TargetMode="External"/><Relationship Id="rId183" Type="http://schemas.openxmlformats.org/officeDocument/2006/relationships/hyperlink" Target="https://fbref.com/en/squads/d07537b9/Brighton-and-Hove-Albion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f173303a/Yasin-Ayari" TargetMode="External"/><Relationship Id="rId180" Type="http://schemas.openxmlformats.org/officeDocument/2006/relationships/hyperlink" Target="https://fbref.com/en/players/e5478b87/matchlogs/2025-2026/summary/Taiwo-Awoniyi-Match-Logs" TargetMode="External"/><Relationship Id="rId176" Type="http://schemas.openxmlformats.org/officeDocument/2006/relationships/hyperlink" Target="https://fbref.com/en/players/5e253986/matchlogs/2025-2026/summary/Brandon-Austin-Match-Logs" TargetMode="External"/><Relationship Id="rId175" Type="http://schemas.openxmlformats.org/officeDocument/2006/relationships/hyperlink" Target="https://fbref.com/en/squads/361ca564/Tottenham-Hotspur-Stats" TargetMode="External"/><Relationship Id="rId174" Type="http://schemas.openxmlformats.org/officeDocument/2006/relationships/hyperlink" Target="https://fbref.com/en/country/ENG/England-Football" TargetMode="External"/><Relationship Id="rId173" Type="http://schemas.openxmlformats.org/officeDocument/2006/relationships/hyperlink" Target="https://fbref.com/en/players/5e253986/Brandon-Austin" TargetMode="External"/><Relationship Id="rId179" Type="http://schemas.openxmlformats.org/officeDocument/2006/relationships/hyperlink" Target="https://fbref.com/en/squads/e4a775cb/Nottingham-Forest-Stats" TargetMode="External"/><Relationship Id="rId178" Type="http://schemas.openxmlformats.org/officeDocument/2006/relationships/hyperlink" Target="https://fbref.com/en/country/NGA/Nigeria-Football" TargetMode="External"/><Relationship Id="rId177" Type="http://schemas.openxmlformats.org/officeDocument/2006/relationships/hyperlink" Target="https://fbref.com/en/players/e5478b87/Taiwo-Awoniyi" TargetMode="External"/><Relationship Id="rId1910" Type="http://schemas.openxmlformats.org/officeDocument/2006/relationships/hyperlink" Target="https://fbref.com/en/squads/822bd0ba/Liverpool-Stats" TargetMode="External"/><Relationship Id="rId1911" Type="http://schemas.openxmlformats.org/officeDocument/2006/relationships/hyperlink" Target="https://fbref.com/en/players/5fbafc66/matchlogs/2025-2026/summary/Wellity-Omoruyi-Match-Logs" TargetMode="External"/><Relationship Id="rId1912" Type="http://schemas.openxmlformats.org/officeDocument/2006/relationships/hyperlink" Target="https://fbref.com/en/players/828657ff/Amadou-Onana" TargetMode="External"/><Relationship Id="rId1913" Type="http://schemas.openxmlformats.org/officeDocument/2006/relationships/hyperlink" Target="https://fbref.com/en/country/BEL/Belgium-Football" TargetMode="External"/><Relationship Id="rId1914" Type="http://schemas.openxmlformats.org/officeDocument/2006/relationships/hyperlink" Target="https://fbref.com/en/squads/8602292d/Aston-Villa-Stats" TargetMode="External"/><Relationship Id="rId1915" Type="http://schemas.openxmlformats.org/officeDocument/2006/relationships/hyperlink" Target="https://fbref.com/en/players/828657ff/matchlogs/2025-2026/summary/Amadou-Onana-Match-Logs" TargetMode="External"/><Relationship Id="rId1916" Type="http://schemas.openxmlformats.org/officeDocument/2006/relationships/hyperlink" Target="https://fbref.com/en/players/e9c0c1b2/Andre-Onana" TargetMode="External"/><Relationship Id="rId1917" Type="http://schemas.openxmlformats.org/officeDocument/2006/relationships/hyperlink" Target="https://fbref.com/en/country/CMR/Cameroon-Football" TargetMode="External"/><Relationship Id="rId1918" Type="http://schemas.openxmlformats.org/officeDocument/2006/relationships/hyperlink" Target="https://fbref.com/en/squads/19538871/Manchester-United-Stats" TargetMode="External"/><Relationship Id="rId1919" Type="http://schemas.openxmlformats.org/officeDocument/2006/relationships/hyperlink" Target="https://fbref.com/en/players/e9c0c1b2/matchlogs/2025-2026/summary/Andre-Onana-Match-Logs" TargetMode="External"/><Relationship Id="rId1900" Type="http://schemas.openxmlformats.org/officeDocument/2006/relationships/hyperlink" Target="https://fbref.com/en/players/a3aa41c2/Saheed-Olagunju" TargetMode="External"/><Relationship Id="rId1901" Type="http://schemas.openxmlformats.org/officeDocument/2006/relationships/hyperlink" Target="https://fbref.com/en/country/NGA/Nigeria-Football" TargetMode="External"/><Relationship Id="rId1902" Type="http://schemas.openxmlformats.org/officeDocument/2006/relationships/hyperlink" Target="https://fbref.com/en/squads/8cec06e1/Wolverhampton-Wanderers-Stats" TargetMode="External"/><Relationship Id="rId1903" Type="http://schemas.openxmlformats.org/officeDocument/2006/relationships/hyperlink" Target="https://fbref.com/en/players/a3aa41c2/matchlogs/2025-2026/summary/Saheed-Olagunju-Match-Logs" TargetMode="External"/><Relationship Id="rId1904" Type="http://schemas.openxmlformats.org/officeDocument/2006/relationships/hyperlink" Target="https://fbref.com/en/players/d6455444/Callum-Olusesi" TargetMode="External"/><Relationship Id="rId1905" Type="http://schemas.openxmlformats.org/officeDocument/2006/relationships/hyperlink" Target="https://fbref.com/en/country/ENG/England-Football" TargetMode="External"/><Relationship Id="rId1906" Type="http://schemas.openxmlformats.org/officeDocument/2006/relationships/hyperlink" Target="https://fbref.com/en/squads/361ca564/Tottenham-Hotspur-Stats" TargetMode="External"/><Relationship Id="rId1907" Type="http://schemas.openxmlformats.org/officeDocument/2006/relationships/hyperlink" Target="https://fbref.com/en/players/d6455444/matchlogs/2025-2026/summary/Callum-Olusesi-Match-Logs" TargetMode="External"/><Relationship Id="rId1908" Type="http://schemas.openxmlformats.org/officeDocument/2006/relationships/hyperlink" Target="https://fbref.com/en/players/5fbafc66/Wellity-Omoruyi" TargetMode="External"/><Relationship Id="rId1909" Type="http://schemas.openxmlformats.org/officeDocument/2006/relationships/hyperlink" Target="https://fbref.com/en/country/ESP/Spain-Football" TargetMode="External"/><Relationship Id="rId198" Type="http://schemas.openxmlformats.org/officeDocument/2006/relationships/hyperlink" Target="https://fbref.com/en/country/FRA/France-Football" TargetMode="External"/><Relationship Id="rId197" Type="http://schemas.openxmlformats.org/officeDocument/2006/relationships/hyperlink" Target="https://fbref.com/en/players/2b5a35e5/Dilane-Bakwa" TargetMode="External"/><Relationship Id="rId196" Type="http://schemas.openxmlformats.org/officeDocument/2006/relationships/hyperlink" Target="https://fbref.com/en/players/3a233281/matchlogs/2025-2026/summary/Leon-Bailey-Match-Logs" TargetMode="External"/><Relationship Id="rId195" Type="http://schemas.openxmlformats.org/officeDocument/2006/relationships/hyperlink" Target="https://fbref.com/en/squads/8602292d/Aston-Villa-Stats" TargetMode="External"/><Relationship Id="rId199" Type="http://schemas.openxmlformats.org/officeDocument/2006/relationships/hyperlink" Target="https://fbref.com/en/squads/e4a775cb/Nottingham-Forest-Stats" TargetMode="External"/><Relationship Id="rId150" Type="http://schemas.openxmlformats.org/officeDocument/2006/relationships/hyperlink" Target="https://fbref.com/en/country/COL/Colombia-Football" TargetMode="External"/><Relationship Id="rId149" Type="http://schemas.openxmlformats.org/officeDocument/2006/relationships/hyperlink" Target="https://fbref.com/en/players/86d96066/Jhon-Arias" TargetMode="External"/><Relationship Id="rId148" Type="http://schemas.openxmlformats.org/officeDocument/2006/relationships/hyperlink" Target="https://fbref.com/en/players/2f965a72/matchlogs/2025-2026/summary/Alphonse-Areola-Match-Logs" TargetMode="External"/><Relationship Id="rId1090" Type="http://schemas.openxmlformats.org/officeDocument/2006/relationships/hyperlink" Target="https://fbref.com/en/country/ENG/England-Football" TargetMode="External"/><Relationship Id="rId1091" Type="http://schemas.openxmlformats.org/officeDocument/2006/relationships/hyperlink" Target="https://fbref.com/en/squads/7c21e445/West-Ham-United-Stats" TargetMode="External"/><Relationship Id="rId1092" Type="http://schemas.openxmlformats.org/officeDocument/2006/relationships/hyperlink" Target="https://fbref.com/en/players/8a764f73/matchlogs/2025-2026/summary/Finlay-Herrick-Match-Logs" TargetMode="External"/><Relationship Id="rId1093" Type="http://schemas.openxmlformats.org/officeDocument/2006/relationships/hyperlink" Target="https://fbref.com/en/players/d4ee4622/Reigan-Heskey" TargetMode="External"/><Relationship Id="rId1094" Type="http://schemas.openxmlformats.org/officeDocument/2006/relationships/hyperlink" Target="https://fbref.com/en/country/ENG/England-Football" TargetMode="External"/><Relationship Id="rId143" Type="http://schemas.openxmlformats.org/officeDocument/2006/relationships/hyperlink" Target="https://fbref.com/en/squads/4ba7cbea/Bournemouth-Stats" TargetMode="External"/><Relationship Id="rId1095" Type="http://schemas.openxmlformats.org/officeDocument/2006/relationships/hyperlink" Target="https://fbref.com/en/squads/b8fd03ef/Manchester-City-Stats" TargetMode="External"/><Relationship Id="rId142" Type="http://schemas.openxmlformats.org/officeDocument/2006/relationships/hyperlink" Target="https://fbref.com/en/country/MEX/Mexico-Football" TargetMode="External"/><Relationship Id="rId1096" Type="http://schemas.openxmlformats.org/officeDocument/2006/relationships/hyperlink" Target="https://fbref.com/en/players/d4ee4622/matchlogs/2025-2026/summary/Reigan-Heskey-Match-Logs" TargetMode="External"/><Relationship Id="rId141" Type="http://schemas.openxmlformats.org/officeDocument/2006/relationships/hyperlink" Target="https://fbref.com/en/players/8f4541c2/Julian-Araujo" TargetMode="External"/><Relationship Id="rId1097" Type="http://schemas.openxmlformats.org/officeDocument/2006/relationships/hyperlink" Target="https://fbref.com/en/players/1780bb4a/Aaron-Hickey" TargetMode="External"/><Relationship Id="rId140" Type="http://schemas.openxmlformats.org/officeDocument/2006/relationships/hyperlink" Target="https://fbref.com/en/players/e4238fb1/matchlogs/2025-2026/summary/Jaidon-Anthony-Match-Logs" TargetMode="External"/><Relationship Id="rId1098" Type="http://schemas.openxmlformats.org/officeDocument/2006/relationships/hyperlink" Target="https://fbref.com/en/country/SCO/Scotland-Football" TargetMode="External"/><Relationship Id="rId147" Type="http://schemas.openxmlformats.org/officeDocument/2006/relationships/hyperlink" Target="https://fbref.com/en/squads/7c21e445/West-Ham-United-Stats" TargetMode="External"/><Relationship Id="rId1099" Type="http://schemas.openxmlformats.org/officeDocument/2006/relationships/hyperlink" Target="https://fbref.com/en/squads/cd051869/Brentford-Stats" TargetMode="External"/><Relationship Id="rId146" Type="http://schemas.openxmlformats.org/officeDocument/2006/relationships/hyperlink" Target="https://fbref.com/en/country/FRA/France-Football" TargetMode="External"/><Relationship Id="rId145" Type="http://schemas.openxmlformats.org/officeDocument/2006/relationships/hyperlink" Target="https://fbref.com/en/players/2f965a72/Alphonse-Areola" TargetMode="External"/><Relationship Id="rId144" Type="http://schemas.openxmlformats.org/officeDocument/2006/relationships/hyperlink" Target="https://fbref.com/en/players/8f4541c2/matchlogs/2025-2026/summary/Julian-Araujo-Match-Logs" TargetMode="External"/><Relationship Id="rId139" Type="http://schemas.openxmlformats.org/officeDocument/2006/relationships/hyperlink" Target="https://fbref.com/en/squads/943e8050/Burnley-Stats" TargetMode="External"/><Relationship Id="rId138" Type="http://schemas.openxmlformats.org/officeDocument/2006/relationships/hyperlink" Target="https://fbref.com/en/country/ENG/England-Football" TargetMode="External"/><Relationship Id="rId137" Type="http://schemas.openxmlformats.org/officeDocument/2006/relationships/hyperlink" Target="https://fbref.com/en/players/e4238fb1/Jaidon-Anthony" TargetMode="External"/><Relationship Id="rId1080" Type="http://schemas.openxmlformats.org/officeDocument/2006/relationships/hyperlink" Target="https://fbref.com/en/players/935e6b8f/matchlogs/2025-2026/summary/Jordan-Henderson-Match-Logs" TargetMode="External"/><Relationship Id="rId1081" Type="http://schemas.openxmlformats.org/officeDocument/2006/relationships/hyperlink" Target="https://fbref.com/en/players/8a3c1dc7/Rico-Henry" TargetMode="External"/><Relationship Id="rId1082" Type="http://schemas.openxmlformats.org/officeDocument/2006/relationships/hyperlink" Target="https://fbref.com/en/country/JAM/Jamaica-Football" TargetMode="External"/><Relationship Id="rId1083" Type="http://schemas.openxmlformats.org/officeDocument/2006/relationships/hyperlink" Target="https://fbref.com/en/squads/cd051869/Brentford-Stats" TargetMode="External"/><Relationship Id="rId132" Type="http://schemas.openxmlformats.org/officeDocument/2006/relationships/hyperlink" Target="https://fbref.com/en/players/a9b9d89c/matchlogs/2025-2026/summary/Nilson-Angulo-Match-Logs" TargetMode="External"/><Relationship Id="rId1084" Type="http://schemas.openxmlformats.org/officeDocument/2006/relationships/hyperlink" Target="https://fbref.com/en/players/8a3c1dc7/matchlogs/2025-2026/summary/Rico-Henry-Match-Logs" TargetMode="External"/><Relationship Id="rId131" Type="http://schemas.openxmlformats.org/officeDocument/2006/relationships/hyperlink" Target="https://fbref.com/en/squads/8ef52968/Sunderland-Stats" TargetMode="External"/><Relationship Id="rId1085" Type="http://schemas.openxmlformats.org/officeDocument/2006/relationships/hyperlink" Target="https://fbref.com/en/players/c924b17d/Mads-Hermansen" TargetMode="External"/><Relationship Id="rId130" Type="http://schemas.openxmlformats.org/officeDocument/2006/relationships/hyperlink" Target="https://fbref.com/en/country/ECU/Ecuador-Football" TargetMode="External"/><Relationship Id="rId1086" Type="http://schemas.openxmlformats.org/officeDocument/2006/relationships/hyperlink" Target="https://fbref.com/en/country/DEN/Denmark-Football" TargetMode="External"/><Relationship Id="rId1087" Type="http://schemas.openxmlformats.org/officeDocument/2006/relationships/hyperlink" Target="https://fbref.com/en/squads/7c21e445/West-Ham-United-Stats" TargetMode="External"/><Relationship Id="rId136" Type="http://schemas.openxmlformats.org/officeDocument/2006/relationships/hyperlink" Target="https://fbref.com/en/players/2d14071d/matchlogs/2025-2026/summary/Andre-Annous-Match-Logs" TargetMode="External"/><Relationship Id="rId1088" Type="http://schemas.openxmlformats.org/officeDocument/2006/relationships/hyperlink" Target="https://fbref.com/en/players/c924b17d/matchlogs/2025-2026/summary/Mads-Hermansen-Match-Logs" TargetMode="External"/><Relationship Id="rId135" Type="http://schemas.openxmlformats.org/officeDocument/2006/relationships/hyperlink" Target="https://fbref.com/en/squads/18bb7c10/Arsenal-Stats" TargetMode="External"/><Relationship Id="rId1089" Type="http://schemas.openxmlformats.org/officeDocument/2006/relationships/hyperlink" Target="https://fbref.com/en/players/8a764f73/Finlay-Herrick" TargetMode="External"/><Relationship Id="rId134" Type="http://schemas.openxmlformats.org/officeDocument/2006/relationships/hyperlink" Target="https://fbref.com/en/country/ENG/England-Football" TargetMode="External"/><Relationship Id="rId133" Type="http://schemas.openxmlformats.org/officeDocument/2006/relationships/hyperlink" Target="https://fbref.com/en/players/2d14071d/Andre-Annous" TargetMode="External"/><Relationship Id="rId172" Type="http://schemas.openxmlformats.org/officeDocument/2006/relationships/hyperlink" Target="https://fbref.com/en/players/093f0923/matchlogs/2025-2026/summary/Benjamin-Arthur-Match-Logs" TargetMode="External"/><Relationship Id="rId171" Type="http://schemas.openxmlformats.org/officeDocument/2006/relationships/hyperlink" Target="https://fbref.com/en/squads/cd051869/Brentford-Stats" TargetMode="External"/><Relationship Id="rId170" Type="http://schemas.openxmlformats.org/officeDocument/2006/relationships/hyperlink" Target="https://fbref.com/en/country/ENG/England-Football" TargetMode="External"/><Relationship Id="rId165" Type="http://schemas.openxmlformats.org/officeDocument/2006/relationships/hyperlink" Target="https://fbref.com/en/players/28d596a0/Kepa-Arrizabalaga" TargetMode="External"/><Relationship Id="rId164" Type="http://schemas.openxmlformats.org/officeDocument/2006/relationships/hyperlink" Target="https://fbref.com/en/players/a42760bc/matchlogs/2025-2026/summary/Tolu-Arokodare-Match-Logs" TargetMode="External"/><Relationship Id="rId163" Type="http://schemas.openxmlformats.org/officeDocument/2006/relationships/hyperlink" Target="https://fbref.com/en/squads/8cec06e1/Wolverhampton-Wanderers-Stats" TargetMode="External"/><Relationship Id="rId162" Type="http://schemas.openxmlformats.org/officeDocument/2006/relationships/hyperlink" Target="https://fbref.com/en/country/NGA/Nigeria-Football" TargetMode="External"/><Relationship Id="rId169" Type="http://schemas.openxmlformats.org/officeDocument/2006/relationships/hyperlink" Target="https://fbref.com/en/players/093f0923/Benjamin-Arthur" TargetMode="External"/><Relationship Id="rId168" Type="http://schemas.openxmlformats.org/officeDocument/2006/relationships/hyperlink" Target="https://fbref.com/en/players/28d596a0/matchlogs/2025-2026/summary/Kepa-Arrizabalaga-Match-Logs" TargetMode="External"/><Relationship Id="rId167" Type="http://schemas.openxmlformats.org/officeDocument/2006/relationships/hyperlink" Target="https://fbref.com/en/squads/18bb7c10/Arsenal-Stats" TargetMode="External"/><Relationship Id="rId166" Type="http://schemas.openxmlformats.org/officeDocument/2006/relationships/hyperlink" Target="https://fbref.com/en/country/ESP/Spain-Football" TargetMode="External"/><Relationship Id="rId161" Type="http://schemas.openxmlformats.org/officeDocument/2006/relationships/hyperlink" Target="https://fbref.com/en/players/a42760bc/Tolu-Arokodare" TargetMode="External"/><Relationship Id="rId160" Type="http://schemas.openxmlformats.org/officeDocument/2006/relationships/hyperlink" Target="https://fbref.com/en/players/de59e609/matchlogs/2025-2026/summary/Harrison-Armstrong-Match-Logs" TargetMode="External"/><Relationship Id="rId159" Type="http://schemas.openxmlformats.org/officeDocument/2006/relationships/hyperlink" Target="https://fbref.com/en/squads/d3fd31cc/Everton-Stats" TargetMode="External"/><Relationship Id="rId154" Type="http://schemas.openxmlformats.org/officeDocument/2006/relationships/hyperlink" Target="https://fbref.com/en/country/ENG/England-Football" TargetMode="External"/><Relationship Id="rId153" Type="http://schemas.openxmlformats.org/officeDocument/2006/relationships/hyperlink" Target="https://fbref.com/en/players/68c720b5/Adam-Armstrong" TargetMode="External"/><Relationship Id="rId152" Type="http://schemas.openxmlformats.org/officeDocument/2006/relationships/hyperlink" Target="https://fbref.com/en/players/86d96066/matchlogs/2025-2026/summary/Jhon-Arias-Match-Logs" TargetMode="External"/><Relationship Id="rId151" Type="http://schemas.openxmlformats.org/officeDocument/2006/relationships/hyperlink" Target="https://fbref.com/en/squads/8cec06e1/Wolverhampton-Wanderers-Stats" TargetMode="External"/><Relationship Id="rId158" Type="http://schemas.openxmlformats.org/officeDocument/2006/relationships/hyperlink" Target="https://fbref.com/en/country/ENG/England-Football" TargetMode="External"/><Relationship Id="rId157" Type="http://schemas.openxmlformats.org/officeDocument/2006/relationships/hyperlink" Target="https://fbref.com/en/players/de59e609/Harrison-Armstrong" TargetMode="External"/><Relationship Id="rId156" Type="http://schemas.openxmlformats.org/officeDocument/2006/relationships/hyperlink" Target="https://fbref.com/en/players/68c720b5/matchlogs/2025-2026/summary/Adam-Armstrong-Match-Logs" TargetMode="External"/><Relationship Id="rId155" Type="http://schemas.openxmlformats.org/officeDocument/2006/relationships/hyperlink" Target="https://fbref.com/en/squads/8cec06e1/Wolverhampton-Wanderers-Stats" TargetMode="External"/><Relationship Id="rId1972" Type="http://schemas.openxmlformats.org/officeDocument/2006/relationships/hyperlink" Target="https://fbref.com/en/players/b2470c6f/Anthony-Patterson" TargetMode="External"/><Relationship Id="rId1973" Type="http://schemas.openxmlformats.org/officeDocument/2006/relationships/hyperlink" Target="https://fbref.com/en/country/ENG/England-Football" TargetMode="External"/><Relationship Id="rId1974" Type="http://schemas.openxmlformats.org/officeDocument/2006/relationships/hyperlink" Target="https://fbref.com/en/squads/8ef52968/Sunderland-Stats" TargetMode="External"/><Relationship Id="rId1975" Type="http://schemas.openxmlformats.org/officeDocument/2006/relationships/hyperlink" Target="https://fbref.com/en/players/b2470c6f/matchlogs/2025-2026/summary/Anthony-Patterson-Match-Logs" TargetMode="External"/><Relationship Id="rId1976" Type="http://schemas.openxmlformats.org/officeDocument/2006/relationships/hyperlink" Target="https://fbref.com/en/players/230f0471/Nathan-Patterson" TargetMode="External"/><Relationship Id="rId1977" Type="http://schemas.openxmlformats.org/officeDocument/2006/relationships/hyperlink" Target="https://fbref.com/en/country/SCO/Scotland-Football" TargetMode="External"/><Relationship Id="rId1978" Type="http://schemas.openxmlformats.org/officeDocument/2006/relationships/hyperlink" Target="https://fbref.com/en/squads/d3fd31cc/Everton-Stats" TargetMode="External"/><Relationship Id="rId1979" Type="http://schemas.openxmlformats.org/officeDocument/2006/relationships/hyperlink" Target="https://fbref.com/en/players/230f0471/matchlogs/2025-2026/summary/Nathan-Patterson-Match-Logs" TargetMode="External"/><Relationship Id="rId1970" Type="http://schemas.openxmlformats.org/officeDocument/2006/relationships/hyperlink" Target="https://fbref.com/en/squads/7c21e445/West-Ham-United-Stats" TargetMode="External"/><Relationship Id="rId1971" Type="http://schemas.openxmlformats.org/officeDocument/2006/relationships/hyperlink" Target="https://fbref.com/en/players/9b6f7fd5/matchlogs/2025-2026/summary/Lucas-Paqueta-Match-Logs" TargetMode="External"/><Relationship Id="rId1961" Type="http://schemas.openxmlformats.org/officeDocument/2006/relationships/hyperlink" Target="https://fbref.com/en/country/POR/Portugal-Football" TargetMode="External"/><Relationship Id="rId1962" Type="http://schemas.openxmlformats.org/officeDocument/2006/relationships/hyperlink" Target="https://fbref.com/en/squads/361ca564/Tottenham-Hotspur-Stats" TargetMode="External"/><Relationship Id="rId1963" Type="http://schemas.openxmlformats.org/officeDocument/2006/relationships/hyperlink" Target="https://fbref.com/en/players/a78ff07f/matchlogs/2025-2026/summary/Joao-Palhinha-Match-Logs" TargetMode="External"/><Relationship Id="rId1964" Type="http://schemas.openxmlformats.org/officeDocument/2006/relationships/hyperlink" Target="https://fbref.com/en/players/dc7f8a28/Cole-Palmer" TargetMode="External"/><Relationship Id="rId1965" Type="http://schemas.openxmlformats.org/officeDocument/2006/relationships/hyperlink" Target="https://fbref.com/en/country/ENG/England-Football" TargetMode="External"/><Relationship Id="rId1966" Type="http://schemas.openxmlformats.org/officeDocument/2006/relationships/hyperlink" Target="https://fbref.com/en/squads/cff3d9bb/Chelsea-Stats" TargetMode="External"/><Relationship Id="rId1967" Type="http://schemas.openxmlformats.org/officeDocument/2006/relationships/hyperlink" Target="https://fbref.com/en/players/dc7f8a28/matchlogs/2025-2026/summary/Cole-Palmer-Match-Logs" TargetMode="External"/><Relationship Id="rId1968" Type="http://schemas.openxmlformats.org/officeDocument/2006/relationships/hyperlink" Target="https://fbref.com/en/players/9b6f7fd5/Lucas-Paqueta" TargetMode="External"/><Relationship Id="rId1969" Type="http://schemas.openxmlformats.org/officeDocument/2006/relationships/hyperlink" Target="https://fbref.com/en/country/BRA/Brazil-Football" TargetMode="External"/><Relationship Id="rId1960" Type="http://schemas.openxmlformats.org/officeDocument/2006/relationships/hyperlink" Target="https://fbref.com/en/players/a78ff07f/Joao-Palhinha" TargetMode="External"/><Relationship Id="rId1510" Type="http://schemas.openxmlformats.org/officeDocument/2006/relationships/hyperlink" Target="https://fbref.com/en/country/BRA/Brazil-Football" TargetMode="External"/><Relationship Id="rId1994" Type="http://schemas.openxmlformats.org/officeDocument/2006/relationships/hyperlink" Target="https://fbref.com/en/squads/fd962109/Fulham-Stats" TargetMode="External"/><Relationship Id="rId1511" Type="http://schemas.openxmlformats.org/officeDocument/2006/relationships/hyperlink" Target="https://fbref.com/en/squads/e4a775cb/Nottingham-Forest-Stats" TargetMode="External"/><Relationship Id="rId1995" Type="http://schemas.openxmlformats.org/officeDocument/2006/relationships/hyperlink" Target="https://fbref.com/en/players/6639e500/matchlogs/2025-2026/summary/Andreas-Pereira-Match-Logs" TargetMode="External"/><Relationship Id="rId1512" Type="http://schemas.openxmlformats.org/officeDocument/2006/relationships/hyperlink" Target="https://fbref.com/en/players/6f7d826d/matchlogs/2025-2026/summary/Douglas-Luiz-Match-Logs" TargetMode="External"/><Relationship Id="rId1996" Type="http://schemas.openxmlformats.org/officeDocument/2006/relationships/hyperlink" Target="https://fbref.com/en/players/5dbd461a/Lucas-Perri" TargetMode="External"/><Relationship Id="rId1513" Type="http://schemas.openxmlformats.org/officeDocument/2006/relationships/hyperlink" Target="https://fbref.com/en/players/c6e8cf1f/Sasa-Lukic" TargetMode="External"/><Relationship Id="rId1997" Type="http://schemas.openxmlformats.org/officeDocument/2006/relationships/hyperlink" Target="https://fbref.com/en/country/BRA/Brazil-Football" TargetMode="External"/><Relationship Id="rId1514" Type="http://schemas.openxmlformats.org/officeDocument/2006/relationships/hyperlink" Target="https://fbref.com/en/country/SRB/Serbia-Football" TargetMode="External"/><Relationship Id="rId1998" Type="http://schemas.openxmlformats.org/officeDocument/2006/relationships/hyperlink" Target="https://fbref.com/en/squads/5bfb9659/Leeds-United-Stats" TargetMode="External"/><Relationship Id="rId1515" Type="http://schemas.openxmlformats.org/officeDocument/2006/relationships/hyperlink" Target="https://fbref.com/en/squads/fd962109/Fulham-Stats" TargetMode="External"/><Relationship Id="rId1999" Type="http://schemas.openxmlformats.org/officeDocument/2006/relationships/hyperlink" Target="https://fbref.com/en/players/5dbd461a/matchlogs/2025-2026/summary/Lucas-Perri-Match-Logs" TargetMode="External"/><Relationship Id="rId1516" Type="http://schemas.openxmlformats.org/officeDocument/2006/relationships/hyperlink" Target="https://fbref.com/en/players/c6e8cf1f/matchlogs/2025-2026/summary/Sasa-Lukic-Match-Logs" TargetMode="External"/><Relationship Id="rId1517" Type="http://schemas.openxmlformats.org/officeDocument/2006/relationships/hyperlink" Target="https://fbref.com/en/players/cab9634e/Ian-Maatsen" TargetMode="External"/><Relationship Id="rId1518" Type="http://schemas.openxmlformats.org/officeDocument/2006/relationships/hyperlink" Target="https://fbref.com/en/country/NED/Netherlands-Football" TargetMode="External"/><Relationship Id="rId1519" Type="http://schemas.openxmlformats.org/officeDocument/2006/relationships/hyperlink" Target="https://fbref.com/en/squads/8602292d/Aston-Villa-Stats" TargetMode="External"/><Relationship Id="rId1990" Type="http://schemas.openxmlformats.org/officeDocument/2006/relationships/hyperlink" Target="https://fbref.com/en/squads/822bd0ba/Liverpool-Stats" TargetMode="External"/><Relationship Id="rId1991" Type="http://schemas.openxmlformats.org/officeDocument/2006/relationships/hyperlink" Target="https://fbref.com/en/players/46206cf7/matchlogs/2025-2026/summary/Armin-Pecsi-Match-Logs" TargetMode="External"/><Relationship Id="rId1992" Type="http://schemas.openxmlformats.org/officeDocument/2006/relationships/hyperlink" Target="https://fbref.com/en/players/6639e500/Andreas-Pereira" TargetMode="External"/><Relationship Id="rId1993" Type="http://schemas.openxmlformats.org/officeDocument/2006/relationships/hyperlink" Target="https://fbref.com/en/country/BRA/Brazil-Football" TargetMode="External"/><Relationship Id="rId1983" Type="http://schemas.openxmlformats.org/officeDocument/2006/relationships/hyperlink" Target="https://fbref.com/en/players/e0b5d31b/matchlogs/2025-2026/summary/Travis-Patterson-Match-Logs" TargetMode="External"/><Relationship Id="rId1500" Type="http://schemas.openxmlformats.org/officeDocument/2006/relationships/hyperlink" Target="https://fbref.com/en/players/83c06f3a/matchlogs/2025-2026/summary/Lorenzo-Lucca-Match-Logs" TargetMode="External"/><Relationship Id="rId1984" Type="http://schemas.openxmlformats.org/officeDocument/2006/relationships/hyperlink" Target="https://fbref.com/en/players/ea1a5662/Myles-Peart-Harris" TargetMode="External"/><Relationship Id="rId1501" Type="http://schemas.openxmlformats.org/officeDocument/2006/relationships/hyperlink" Target="https://fbref.com/en/players/881cd6be/Florentino-Luis" TargetMode="External"/><Relationship Id="rId1985" Type="http://schemas.openxmlformats.org/officeDocument/2006/relationships/hyperlink" Target="https://fbref.com/en/country/ENG/England-Football" TargetMode="External"/><Relationship Id="rId1502" Type="http://schemas.openxmlformats.org/officeDocument/2006/relationships/hyperlink" Target="https://fbref.com/en/country/POR/Portugal-Football" TargetMode="External"/><Relationship Id="rId1986" Type="http://schemas.openxmlformats.org/officeDocument/2006/relationships/hyperlink" Target="https://fbref.com/en/squads/cd051869/Brentford-Stats" TargetMode="External"/><Relationship Id="rId1503" Type="http://schemas.openxmlformats.org/officeDocument/2006/relationships/hyperlink" Target="https://fbref.com/en/squads/943e8050/Burnley-Stats" TargetMode="External"/><Relationship Id="rId1987" Type="http://schemas.openxmlformats.org/officeDocument/2006/relationships/hyperlink" Target="https://fbref.com/en/players/ea1a5662/matchlogs/2025-2026/summary/Myles-Peart-Harris-Match-Logs" TargetMode="External"/><Relationship Id="rId1504" Type="http://schemas.openxmlformats.org/officeDocument/2006/relationships/hyperlink" Target="https://fbref.com/en/players/881cd6be/matchlogs/2025-2026/summary/Florentino-Luis-Match-Logs" TargetMode="External"/><Relationship Id="rId1988" Type="http://schemas.openxmlformats.org/officeDocument/2006/relationships/hyperlink" Target="https://fbref.com/en/players/46206cf7/Armin-Pecsi" TargetMode="External"/><Relationship Id="rId1505" Type="http://schemas.openxmlformats.org/officeDocument/2006/relationships/hyperlink" Target="https://fbref.com/en/players/6f7d826d/Douglas-Luiz" TargetMode="External"/><Relationship Id="rId1989" Type="http://schemas.openxmlformats.org/officeDocument/2006/relationships/hyperlink" Target="https://fbref.com/en/country/HUN/Hungary-Football" TargetMode="External"/><Relationship Id="rId1506" Type="http://schemas.openxmlformats.org/officeDocument/2006/relationships/hyperlink" Target="https://fbref.com/en/country/BRA/Brazil-Football" TargetMode="External"/><Relationship Id="rId1507" Type="http://schemas.openxmlformats.org/officeDocument/2006/relationships/hyperlink" Target="https://fbref.com/en/squads/8602292d/Aston-Villa-Stats" TargetMode="External"/><Relationship Id="rId1508" Type="http://schemas.openxmlformats.org/officeDocument/2006/relationships/hyperlink" Target="https://fbref.com/en/players/6f7d826d/matchlogs/2025-2026/summary/Douglas-Luiz-Match-Logs" TargetMode="External"/><Relationship Id="rId1509" Type="http://schemas.openxmlformats.org/officeDocument/2006/relationships/hyperlink" Target="https://fbref.com/en/players/6f7d826d/Douglas-Luiz" TargetMode="External"/><Relationship Id="rId1980" Type="http://schemas.openxmlformats.org/officeDocument/2006/relationships/hyperlink" Target="https://fbref.com/en/players/e0b5d31b/Travis-Patterson" TargetMode="External"/><Relationship Id="rId1981" Type="http://schemas.openxmlformats.org/officeDocument/2006/relationships/hyperlink" Target="https://fbref.com/en/country/ENG/England-Football" TargetMode="External"/><Relationship Id="rId1982" Type="http://schemas.openxmlformats.org/officeDocument/2006/relationships/hyperlink" Target="https://fbref.com/en/squads/8602292d/Aston-Villa-Stats" TargetMode="External"/><Relationship Id="rId1930" Type="http://schemas.openxmlformats.org/officeDocument/2006/relationships/hyperlink" Target="https://fbref.com/en/squads/d07537b9/Brighton-and-Hove-Albion-Stats" TargetMode="External"/><Relationship Id="rId1931" Type="http://schemas.openxmlformats.org/officeDocument/2006/relationships/hyperlink" Target="https://fbref.com/en/players/febb2831/matchlogs/2025-2026/summary/Nehemiah-Oriola-Match-Logs" TargetMode="External"/><Relationship Id="rId1932" Type="http://schemas.openxmlformats.org/officeDocument/2006/relationships/hyperlink" Target="https://fbref.com/en/players/c1242d4e/Stefan-Ortega" TargetMode="External"/><Relationship Id="rId1933" Type="http://schemas.openxmlformats.org/officeDocument/2006/relationships/hyperlink" Target="https://fbref.com/en/country/GER/Germany-Football" TargetMode="External"/><Relationship Id="rId1934" Type="http://schemas.openxmlformats.org/officeDocument/2006/relationships/hyperlink" Target="https://fbref.com/en/squads/e4a775cb/Nottingham-Forest-Stats" TargetMode="External"/><Relationship Id="rId1935" Type="http://schemas.openxmlformats.org/officeDocument/2006/relationships/hyperlink" Target="https://fbref.com/en/players/c1242d4e/matchlogs/2025-2026/summary/Stefan-Ortega-Match-Logs" TargetMode="External"/><Relationship Id="rId1936" Type="http://schemas.openxmlformats.org/officeDocument/2006/relationships/hyperlink" Target="https://fbref.com/en/players/c1242d4e/Stefan-Ortega" TargetMode="External"/><Relationship Id="rId1937" Type="http://schemas.openxmlformats.org/officeDocument/2006/relationships/hyperlink" Target="https://fbref.com/en/country/GER/Germany-Football" TargetMode="External"/><Relationship Id="rId1938" Type="http://schemas.openxmlformats.org/officeDocument/2006/relationships/hyperlink" Target="https://fbref.com/en/squads/b8fd03ef/Manchester-City-Stats" TargetMode="External"/><Relationship Id="rId1939" Type="http://schemas.openxmlformats.org/officeDocument/2006/relationships/hyperlink" Target="https://fbref.com/en/players/c1242d4e/matchlogs/2025-2026/summary/Stefan-Ortega-Match-Logs" TargetMode="External"/><Relationship Id="rId1920" Type="http://schemas.openxmlformats.org/officeDocument/2006/relationships/hyperlink" Target="https://fbref.com/en/players/d86a1f3e/Tyler-Onyango" TargetMode="External"/><Relationship Id="rId1921" Type="http://schemas.openxmlformats.org/officeDocument/2006/relationships/hyperlink" Target="https://fbref.com/en/country/ENG/England-Football" TargetMode="External"/><Relationship Id="rId1922" Type="http://schemas.openxmlformats.org/officeDocument/2006/relationships/hyperlink" Target="https://fbref.com/en/squads/d3fd31cc/Everton-Stats" TargetMode="External"/><Relationship Id="rId1923" Type="http://schemas.openxmlformats.org/officeDocument/2006/relationships/hyperlink" Target="https://fbref.com/en/players/d86a1f3e/matchlogs/2025-2026/summary/Tyler-Onyango-Match-Logs" TargetMode="External"/><Relationship Id="rId1924" Type="http://schemas.openxmlformats.org/officeDocument/2006/relationships/hyperlink" Target="https://fbref.com/en/players/2944f86f/Frank-Onyeka" TargetMode="External"/><Relationship Id="rId1925" Type="http://schemas.openxmlformats.org/officeDocument/2006/relationships/hyperlink" Target="https://fbref.com/en/country/NGA/Nigeria-Football" TargetMode="External"/><Relationship Id="rId1926" Type="http://schemas.openxmlformats.org/officeDocument/2006/relationships/hyperlink" Target="https://fbref.com/en/squads/cd051869/Brentford-Stats" TargetMode="External"/><Relationship Id="rId1927" Type="http://schemas.openxmlformats.org/officeDocument/2006/relationships/hyperlink" Target="https://fbref.com/en/players/2944f86f/matchlogs/2025-2026/summary/Frank-Onyeka-Match-Logs" TargetMode="External"/><Relationship Id="rId1928" Type="http://schemas.openxmlformats.org/officeDocument/2006/relationships/hyperlink" Target="https://fbref.com/en/players/febb2831/Nehemiah-Oriola" TargetMode="External"/><Relationship Id="rId1929" Type="http://schemas.openxmlformats.org/officeDocument/2006/relationships/hyperlink" Target="https://fbref.com/en/country/ENG/England-Football" TargetMode="External"/><Relationship Id="rId1950" Type="http://schemas.openxmlformats.org/officeDocument/2006/relationships/hyperlink" Target="https://fbref.com/en/squads/cd051869/Brentford-Stats" TargetMode="External"/><Relationship Id="rId1951" Type="http://schemas.openxmlformats.org/officeDocument/2006/relationships/hyperlink" Target="https://fbref.com/en/players/d7a29749/matchlogs/2025-2026/summary/Riley-Owen-Match-Logs" TargetMode="External"/><Relationship Id="rId1952" Type="http://schemas.openxmlformats.org/officeDocument/2006/relationships/hyperlink" Target="https://fbref.com/en/players/91ca4a16/Nico-OReilly" TargetMode="External"/><Relationship Id="rId1953" Type="http://schemas.openxmlformats.org/officeDocument/2006/relationships/hyperlink" Target="https://fbref.com/en/country/ENG/England-Football" TargetMode="External"/><Relationship Id="rId1954" Type="http://schemas.openxmlformats.org/officeDocument/2006/relationships/hyperlink" Target="https://fbref.com/en/squads/b8fd03ef/Manchester-City-Stats" TargetMode="External"/><Relationship Id="rId1955" Type="http://schemas.openxmlformats.org/officeDocument/2006/relationships/hyperlink" Target="https://fbref.com/en/players/91ca4a16/matchlogs/2025-2026/summary/Nico-OReilly-Match-Logs" TargetMode="External"/><Relationship Id="rId1956" Type="http://schemas.openxmlformats.org/officeDocument/2006/relationships/hyperlink" Target="https://fbref.com/en/players/866ba412/Pablo" TargetMode="External"/><Relationship Id="rId1957" Type="http://schemas.openxmlformats.org/officeDocument/2006/relationships/hyperlink" Target="https://fbref.com/en/country/BRA/Brazil-Football" TargetMode="External"/><Relationship Id="rId1958" Type="http://schemas.openxmlformats.org/officeDocument/2006/relationships/hyperlink" Target="https://fbref.com/en/squads/7c21e445/West-Ham-United-Stats" TargetMode="External"/><Relationship Id="rId1959" Type="http://schemas.openxmlformats.org/officeDocument/2006/relationships/hyperlink" Target="https://fbref.com/en/players/866ba412/matchlogs/2025-2026/summary/Pablo-Match-Logs" TargetMode="External"/><Relationship Id="rId1940" Type="http://schemas.openxmlformats.org/officeDocument/2006/relationships/hyperlink" Target="https://fbref.com/en/players/7b355808/William-Osula" TargetMode="External"/><Relationship Id="rId1941" Type="http://schemas.openxmlformats.org/officeDocument/2006/relationships/hyperlink" Target="https://fbref.com/en/country/DEN/Denmark-Football" TargetMode="External"/><Relationship Id="rId1942" Type="http://schemas.openxmlformats.org/officeDocument/2006/relationships/hyperlink" Target="https://fbref.com/en/squads/b2b47a98/Newcastle-United-Stats" TargetMode="External"/><Relationship Id="rId1943" Type="http://schemas.openxmlformats.org/officeDocument/2006/relationships/hyperlink" Target="https://fbref.com/en/players/7b355808/matchlogs/2025-2026/summary/William-Osula-Match-Logs" TargetMode="External"/><Relationship Id="rId1944" Type="http://schemas.openxmlformats.org/officeDocument/2006/relationships/hyperlink" Target="https://fbref.com/en/players/2f9e4435/Dango-Ouattara" TargetMode="External"/><Relationship Id="rId1945" Type="http://schemas.openxmlformats.org/officeDocument/2006/relationships/hyperlink" Target="https://fbref.com/en/country/BFA/Burkina-Faso-Football" TargetMode="External"/><Relationship Id="rId1946" Type="http://schemas.openxmlformats.org/officeDocument/2006/relationships/hyperlink" Target="https://fbref.com/en/squads/cd051869/Brentford-Stats" TargetMode="External"/><Relationship Id="rId1947" Type="http://schemas.openxmlformats.org/officeDocument/2006/relationships/hyperlink" Target="https://fbref.com/en/players/2f9e4435/matchlogs/2025-2026/summary/Dango-Ouattara-Match-Logs" TargetMode="External"/><Relationship Id="rId1948" Type="http://schemas.openxmlformats.org/officeDocument/2006/relationships/hyperlink" Target="https://fbref.com/en/players/d7a29749/Riley-Owen" TargetMode="External"/><Relationship Id="rId1949" Type="http://schemas.openxmlformats.org/officeDocument/2006/relationships/hyperlink" Target="https://fbref.com/en/country/ENG/England-Football" TargetMode="External"/><Relationship Id="rId1576" Type="http://schemas.openxmlformats.org/officeDocument/2006/relationships/hyperlink" Target="https://fbref.com/en/players/e8a55b80/matchlogs/2025-2026/summary/Bendito-Mantato-Match-Logs" TargetMode="External"/><Relationship Id="rId2423" Type="http://schemas.openxmlformats.org/officeDocument/2006/relationships/hyperlink" Target="https://fbref.com/en/players/df04eb4b/Crysencio-Summerville" TargetMode="External"/><Relationship Id="rId1577" Type="http://schemas.openxmlformats.org/officeDocument/2006/relationships/hyperlink" Target="https://fbref.com/en/players/bb5fbd2b/Solly-March" TargetMode="External"/><Relationship Id="rId2424" Type="http://schemas.openxmlformats.org/officeDocument/2006/relationships/hyperlink" Target="https://fbref.com/en/country/NED/Netherlands-Football" TargetMode="External"/><Relationship Id="rId1578" Type="http://schemas.openxmlformats.org/officeDocument/2006/relationships/hyperlink" Target="https://fbref.com/en/country/ENG/England-Football" TargetMode="External"/><Relationship Id="rId2425" Type="http://schemas.openxmlformats.org/officeDocument/2006/relationships/hyperlink" Target="https://fbref.com/en/squads/7c21e445/West-Ham-United-Stats" TargetMode="External"/><Relationship Id="rId1579" Type="http://schemas.openxmlformats.org/officeDocument/2006/relationships/hyperlink" Target="https://fbref.com/en/squads/d07537b9/Brighton-and-Hove-Albion-Stats" TargetMode="External"/><Relationship Id="rId2426" Type="http://schemas.openxmlformats.org/officeDocument/2006/relationships/hyperlink" Target="https://fbref.com/en/players/df04eb4b/matchlogs/2025-2026/summary/Crysencio-Summerville-Match-Logs" TargetMode="External"/><Relationship Id="rId2427" Type="http://schemas.openxmlformats.org/officeDocument/2006/relationships/hyperlink" Target="https://fbref.com/en/players/a7abd792/Ethan-Sutherland" TargetMode="External"/><Relationship Id="rId2428" Type="http://schemas.openxmlformats.org/officeDocument/2006/relationships/hyperlink" Target="https://fbref.com/en/country/SCO/Scotland-Football" TargetMode="External"/><Relationship Id="rId2429" Type="http://schemas.openxmlformats.org/officeDocument/2006/relationships/hyperlink" Target="https://fbref.com/en/squads/8cec06e1/Wolverhampton-Wanderers-Stats" TargetMode="External"/><Relationship Id="rId509" Type="http://schemas.openxmlformats.org/officeDocument/2006/relationships/hyperlink" Target="https://fbref.com/en/players/a8c19eb8/Nathan-Collins" TargetMode="External"/><Relationship Id="rId508" Type="http://schemas.openxmlformats.org/officeDocument/2006/relationships/hyperlink" Target="https://fbref.com/en/players/0420d84f/matchlogs/2025-2026/summary/Seamus-Coleman-Match-Logs" TargetMode="External"/><Relationship Id="rId503" Type="http://schemas.openxmlformats.org/officeDocument/2006/relationships/hyperlink" Target="https://fbref.com/en/squads/47c64c55/Crystal-Palace-Stats" TargetMode="External"/><Relationship Id="rId987" Type="http://schemas.openxmlformats.org/officeDocument/2006/relationships/hyperlink" Target="https://fbref.com/en/squads/47c64c55/Crystal-Palace-Stats" TargetMode="External"/><Relationship Id="rId502" Type="http://schemas.openxmlformats.org/officeDocument/2006/relationships/hyperlink" Target="https://fbref.com/en/country/ENG/England-Football" TargetMode="External"/><Relationship Id="rId986" Type="http://schemas.openxmlformats.org/officeDocument/2006/relationships/hyperlink" Target="https://fbref.com/en/country/CIV/Cote-dIvoire-Football" TargetMode="External"/><Relationship Id="rId501" Type="http://schemas.openxmlformats.org/officeDocument/2006/relationships/hyperlink" Target="https://fbref.com/en/players/0442183b/Nathaniel-Clyne" TargetMode="External"/><Relationship Id="rId985" Type="http://schemas.openxmlformats.org/officeDocument/2006/relationships/hyperlink" Target="https://fbref.com/en/players/b73f17f8/Evann-Guessand" TargetMode="External"/><Relationship Id="rId500" Type="http://schemas.openxmlformats.org/officeDocument/2006/relationships/hyperlink" Target="https://fbref.com/en/players/307ea3b6/matchlogs/2025-2026/summary/Dennis-Cirkin-Match-Logs" TargetMode="External"/><Relationship Id="rId984" Type="http://schemas.openxmlformats.org/officeDocument/2006/relationships/hyperlink" Target="https://fbref.com/en/players/d0706b27/matchlogs/2025-2026/summary/Marc-Guehi-Match-Logs" TargetMode="External"/><Relationship Id="rId507" Type="http://schemas.openxmlformats.org/officeDocument/2006/relationships/hyperlink" Target="https://fbref.com/en/squads/d3fd31cc/Everton-Stats" TargetMode="External"/><Relationship Id="rId506" Type="http://schemas.openxmlformats.org/officeDocument/2006/relationships/hyperlink" Target="https://fbref.com/en/country/IRL/Republic-of-Ireland-Football" TargetMode="External"/><Relationship Id="rId505" Type="http://schemas.openxmlformats.org/officeDocument/2006/relationships/hyperlink" Target="https://fbref.com/en/players/0420d84f/Seamus-Coleman" TargetMode="External"/><Relationship Id="rId989" Type="http://schemas.openxmlformats.org/officeDocument/2006/relationships/hyperlink" Target="https://fbref.com/en/players/b73f17f8/Evann-Guessand" TargetMode="External"/><Relationship Id="rId504" Type="http://schemas.openxmlformats.org/officeDocument/2006/relationships/hyperlink" Target="https://fbref.com/en/players/0442183b/matchlogs/2025-2026/summary/Nathaniel-Clyne-Match-Logs" TargetMode="External"/><Relationship Id="rId988" Type="http://schemas.openxmlformats.org/officeDocument/2006/relationships/hyperlink" Target="https://fbref.com/en/players/b73f17f8/matchlogs/2025-2026/summary/Evann-Guessand-Match-Logs" TargetMode="External"/><Relationship Id="rId1570" Type="http://schemas.openxmlformats.org/officeDocument/2006/relationships/hyperlink" Target="https://fbref.com/en/country/POR/Portugal-Football" TargetMode="External"/><Relationship Id="rId1571" Type="http://schemas.openxmlformats.org/officeDocument/2006/relationships/hyperlink" Target="https://fbref.com/en/squads/8cec06e1/Wolverhampton-Wanderers-Stats" TargetMode="External"/><Relationship Id="rId983" Type="http://schemas.openxmlformats.org/officeDocument/2006/relationships/hyperlink" Target="https://fbref.com/en/squads/b8fd03ef/Manchester-City-Stats" TargetMode="External"/><Relationship Id="rId1572" Type="http://schemas.openxmlformats.org/officeDocument/2006/relationships/hyperlink" Target="https://fbref.com/en/players/c15cb409/matchlogs/2025-2026/summary/Mateus-Mane-Match-Logs" TargetMode="External"/><Relationship Id="rId982" Type="http://schemas.openxmlformats.org/officeDocument/2006/relationships/hyperlink" Target="https://fbref.com/en/country/ENG/England-Football" TargetMode="External"/><Relationship Id="rId1573" Type="http://schemas.openxmlformats.org/officeDocument/2006/relationships/hyperlink" Target="https://fbref.com/en/players/e8a55b80/Bendito-Mantato" TargetMode="External"/><Relationship Id="rId2420" Type="http://schemas.openxmlformats.org/officeDocument/2006/relationships/hyperlink" Target="https://fbref.com/en/country/NED/Netherlands-Football" TargetMode="External"/><Relationship Id="rId981" Type="http://schemas.openxmlformats.org/officeDocument/2006/relationships/hyperlink" Target="https://fbref.com/en/players/d0706b27/Marc-Guehi" TargetMode="External"/><Relationship Id="rId1574" Type="http://schemas.openxmlformats.org/officeDocument/2006/relationships/hyperlink" Target="https://fbref.com/en/country/ENG/England-Football" TargetMode="External"/><Relationship Id="rId2421" Type="http://schemas.openxmlformats.org/officeDocument/2006/relationships/hyperlink" Target="https://fbref.com/en/squads/5bfb9659/Leeds-United-Stats" TargetMode="External"/><Relationship Id="rId980" Type="http://schemas.openxmlformats.org/officeDocument/2006/relationships/hyperlink" Target="https://fbref.com/en/players/d0706b27/matchlogs/2025-2026/summary/Marc-Guehi-Match-Logs" TargetMode="External"/><Relationship Id="rId1575" Type="http://schemas.openxmlformats.org/officeDocument/2006/relationships/hyperlink" Target="https://fbref.com/en/squads/19538871/Manchester-United-Stats" TargetMode="External"/><Relationship Id="rId2422" Type="http://schemas.openxmlformats.org/officeDocument/2006/relationships/hyperlink" Target="https://fbref.com/en/players/f4d296e4/matchlogs/2025-2026/summary/Pascal-Struijk-Match-Logs" TargetMode="External"/><Relationship Id="rId1565" Type="http://schemas.openxmlformats.org/officeDocument/2006/relationships/hyperlink" Target="https://fbref.com/en/players/c20bdcd7/Reinildo-Mandava" TargetMode="External"/><Relationship Id="rId2412" Type="http://schemas.openxmlformats.org/officeDocument/2006/relationships/hyperlink" Target="https://fbref.com/en/country/NOR/Norway-Football" TargetMode="External"/><Relationship Id="rId1566" Type="http://schemas.openxmlformats.org/officeDocument/2006/relationships/hyperlink" Target="https://fbref.com/en/country/MOZ/Mozambique-Football" TargetMode="External"/><Relationship Id="rId2413" Type="http://schemas.openxmlformats.org/officeDocument/2006/relationships/hyperlink" Target="https://fbref.com/en/squads/8cec06e1/Wolverhampton-Wanderers-Stats" TargetMode="External"/><Relationship Id="rId1567" Type="http://schemas.openxmlformats.org/officeDocument/2006/relationships/hyperlink" Target="https://fbref.com/en/squads/8ef52968/Sunderland-Stats" TargetMode="External"/><Relationship Id="rId2414" Type="http://schemas.openxmlformats.org/officeDocument/2006/relationships/hyperlink" Target="https://fbref.com/en/players/f553b2b3/matchlogs/2025-2026/summary/Jorgen-Strand-Larsen-Match-Logs" TargetMode="External"/><Relationship Id="rId1568" Type="http://schemas.openxmlformats.org/officeDocument/2006/relationships/hyperlink" Target="https://fbref.com/en/players/c20bdcd7/matchlogs/2025-2026/summary/Reinildo-Mandava-Match-Logs" TargetMode="External"/><Relationship Id="rId2415" Type="http://schemas.openxmlformats.org/officeDocument/2006/relationships/hyperlink" Target="https://fbref.com/en/players/f553b2b3/Jorgen-Strand-Larsen" TargetMode="External"/><Relationship Id="rId1569" Type="http://schemas.openxmlformats.org/officeDocument/2006/relationships/hyperlink" Target="https://fbref.com/en/players/c15cb409/Mateus-Mane" TargetMode="External"/><Relationship Id="rId2416" Type="http://schemas.openxmlformats.org/officeDocument/2006/relationships/hyperlink" Target="https://fbref.com/en/country/NOR/Norway-Football" TargetMode="External"/><Relationship Id="rId2417" Type="http://schemas.openxmlformats.org/officeDocument/2006/relationships/hyperlink" Target="https://fbref.com/en/squads/47c64c55/Crystal-Palace-Stats" TargetMode="External"/><Relationship Id="rId2418" Type="http://schemas.openxmlformats.org/officeDocument/2006/relationships/hyperlink" Target="https://fbref.com/en/players/f553b2b3/matchlogs/2025-2026/summary/Jorgen-Strand-Larsen-Match-Logs" TargetMode="External"/><Relationship Id="rId2419" Type="http://schemas.openxmlformats.org/officeDocument/2006/relationships/hyperlink" Target="https://fbref.com/en/players/f4d296e4/Pascal-Struijk" TargetMode="External"/><Relationship Id="rId976" Type="http://schemas.openxmlformats.org/officeDocument/2006/relationships/hyperlink" Target="https://fbref.com/en/players/d5d22a58/matchlogs/2025-2026/summary/Gabriel-Gudmundsson-Match-Logs" TargetMode="External"/><Relationship Id="rId975" Type="http://schemas.openxmlformats.org/officeDocument/2006/relationships/hyperlink" Target="https://fbref.com/en/squads/5bfb9659/Leeds-United-Stats" TargetMode="External"/><Relationship Id="rId974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players/d5d22a58/Gabriel-Gudmundsson" TargetMode="External"/><Relationship Id="rId979" Type="http://schemas.openxmlformats.org/officeDocument/2006/relationships/hyperlink" Target="https://fbref.com/en/squads/47c64c55/Crystal-Palace-Stats" TargetMode="External"/><Relationship Id="rId978" Type="http://schemas.openxmlformats.org/officeDocument/2006/relationships/hyperlink" Target="https://fbref.com/en/country/ENG/England-Football" TargetMode="External"/><Relationship Id="rId977" Type="http://schemas.openxmlformats.org/officeDocument/2006/relationships/hyperlink" Target="https://fbref.com/en/players/d0706b27/Marc-Guehi" TargetMode="External"/><Relationship Id="rId1560" Type="http://schemas.openxmlformats.org/officeDocument/2006/relationships/hyperlink" Target="https://fbref.com/en/players/d4b73232/matchlogs/2025-2026/summary/Giorgi-Mamardashvili-Match-Logs" TargetMode="External"/><Relationship Id="rId972" Type="http://schemas.openxmlformats.org/officeDocument/2006/relationships/hyperlink" Target="https://fbref.com/en/players/1fc4f3d1/matchlogs/2025-2026/summary/Ilia-Gruev-Match-Logs" TargetMode="External"/><Relationship Id="rId1561" Type="http://schemas.openxmlformats.org/officeDocument/2006/relationships/hyperlink" Target="https://fbref.com/en/players/f794e9ab/Christos-Mandas" TargetMode="External"/><Relationship Id="rId971" Type="http://schemas.openxmlformats.org/officeDocument/2006/relationships/hyperlink" Target="https://fbref.com/en/squads/5bfb9659/Leeds-United-Stats" TargetMode="External"/><Relationship Id="rId1562" Type="http://schemas.openxmlformats.org/officeDocument/2006/relationships/hyperlink" Target="https://fbref.com/en/country/GRE/Greece-Football" TargetMode="External"/><Relationship Id="rId970" Type="http://schemas.openxmlformats.org/officeDocument/2006/relationships/hyperlink" Target="https://fbref.com/en/country/BUL/Bulgaria-Football" TargetMode="External"/><Relationship Id="rId1563" Type="http://schemas.openxmlformats.org/officeDocument/2006/relationships/hyperlink" Target="https://fbref.com/en/squads/4ba7cbea/Bournemouth-Stats" TargetMode="External"/><Relationship Id="rId2410" Type="http://schemas.openxmlformats.org/officeDocument/2006/relationships/hyperlink" Target="https://fbref.com/en/players/5eecec3d/matchlogs/2025-2026/summary/John-Stones-Match-Logs" TargetMode="External"/><Relationship Id="rId1564" Type="http://schemas.openxmlformats.org/officeDocument/2006/relationships/hyperlink" Target="https://fbref.com/en/players/f794e9ab/matchlogs/2025-2026/summary/Christos-Mandas-Match-Logs" TargetMode="External"/><Relationship Id="rId2411" Type="http://schemas.openxmlformats.org/officeDocument/2006/relationships/hyperlink" Target="https://fbref.com/en/players/f553b2b3/Jorgen-Strand-Larsen" TargetMode="External"/><Relationship Id="rId1114" Type="http://schemas.openxmlformats.org/officeDocument/2006/relationships/hyperlink" Target="https://fbref.com/en/country/NED/Netherlands-Football" TargetMode="External"/><Relationship Id="rId1598" Type="http://schemas.openxmlformats.org/officeDocument/2006/relationships/hyperlink" Target="https://fbref.com/en/country/ARG/Argentina-Football" TargetMode="External"/><Relationship Id="rId2445" Type="http://schemas.openxmlformats.org/officeDocument/2006/relationships/hyperlink" Target="https://fbref.com/en/squads/8ef52968/Sunderland-Stats" TargetMode="External"/><Relationship Id="rId1115" Type="http://schemas.openxmlformats.org/officeDocument/2006/relationships/hyperlink" Target="https://fbref.com/en/squads/8cec06e1/Wolverhampton-Wanderers-Stats" TargetMode="External"/><Relationship Id="rId1599" Type="http://schemas.openxmlformats.org/officeDocument/2006/relationships/hyperlink" Target="https://fbref.com/en/squads/8602292d/Aston-Villa-Stats" TargetMode="External"/><Relationship Id="rId2446" Type="http://schemas.openxmlformats.org/officeDocument/2006/relationships/hyperlink" Target="https://fbref.com/en/players/47ce793b/matchlogs/2025-2026/summary/Chemsdine-Talbi-Match-Logs" TargetMode="External"/><Relationship Id="rId1116" Type="http://schemas.openxmlformats.org/officeDocument/2006/relationships/hyperlink" Target="https://fbref.com/en/players/9a71e978/matchlogs/2025-2026/summary/Ki-Jana-Hoever-Match-Logs" TargetMode="External"/><Relationship Id="rId2447" Type="http://schemas.openxmlformats.org/officeDocument/2006/relationships/hyperlink" Target="https://fbref.com/en/players/1d36d6b6/Ao-Tanaka" TargetMode="External"/><Relationship Id="rId1117" Type="http://schemas.openxmlformats.org/officeDocument/2006/relationships/hyperlink" Target="https://fbref.com/en/players/74ab11a7/Ronnie-Hollingshead" TargetMode="External"/><Relationship Id="rId2448" Type="http://schemas.openxmlformats.org/officeDocument/2006/relationships/hyperlink" Target="https://fbref.com/en/country/JPN/Japan-Football" TargetMode="External"/><Relationship Id="rId1118" Type="http://schemas.openxmlformats.org/officeDocument/2006/relationships/hyperlink" Target="https://fbref.com/en/country/WAL/Wales-Football" TargetMode="External"/><Relationship Id="rId2449" Type="http://schemas.openxmlformats.org/officeDocument/2006/relationships/hyperlink" Target="https://fbref.com/en/squads/5bfb9659/Leeds-United-Stats" TargetMode="External"/><Relationship Id="rId1119" Type="http://schemas.openxmlformats.org/officeDocument/2006/relationships/hyperlink" Target="https://fbref.com/en/squads/8602292d/Aston-Villa-Stats" TargetMode="External"/><Relationship Id="rId525" Type="http://schemas.openxmlformats.org/officeDocument/2006/relationships/hyperlink" Target="https://fbref.com/en/players/67cc36ba/Alfie-Cresswell" TargetMode="External"/><Relationship Id="rId524" Type="http://schemas.openxmlformats.org/officeDocument/2006/relationships/hyperlink" Target="https://fbref.com/en/players/22ae86f9/matchlogs/2025-2026/summary/Diego-Coppola-Match-Logs" TargetMode="External"/><Relationship Id="rId523" Type="http://schemas.openxmlformats.org/officeDocument/2006/relationships/hyperlink" Target="https://fbref.com/en/squads/d07537b9/Brighton-and-Hove-Albion-Stats" TargetMode="External"/><Relationship Id="rId522" Type="http://schemas.openxmlformats.org/officeDocument/2006/relationships/hyperlink" Target="https://fbref.com/en/country/ITA/Italy-Football" TargetMode="External"/><Relationship Id="rId529" Type="http://schemas.openxmlformats.org/officeDocument/2006/relationships/hyperlink" Target="https://fbref.com/en/players/1daec722/Marc-Cucurella" TargetMode="External"/><Relationship Id="rId528" Type="http://schemas.openxmlformats.org/officeDocument/2006/relationships/hyperlink" Target="https://fbref.com/en/players/67cc36ba/matchlogs/2025-2026/summary/Alfie-Cresswell-Match-Logs" TargetMode="External"/><Relationship Id="rId527" Type="http://schemas.openxmlformats.org/officeDocument/2006/relationships/hyperlink" Target="https://fbref.com/en/squads/5bfb9659/Leeds-United-Stats" TargetMode="External"/><Relationship Id="rId526" Type="http://schemas.openxmlformats.org/officeDocument/2006/relationships/hyperlink" Target="https://fbref.com/en/country/ENG/England-Football" TargetMode="External"/><Relationship Id="rId1590" Type="http://schemas.openxmlformats.org/officeDocument/2006/relationships/hyperlink" Target="https://fbref.com/en/country/NIR/Northern-Ireland-Football" TargetMode="External"/><Relationship Id="rId1591" Type="http://schemas.openxmlformats.org/officeDocument/2006/relationships/hyperlink" Target="https://fbref.com/en/squads/7c21e445/West-Ham-United-Stats" TargetMode="External"/><Relationship Id="rId1592" Type="http://schemas.openxmlformats.org/officeDocument/2006/relationships/hyperlink" Target="https://fbref.com/en/players/3a27f1bf/matchlogs/2025-2026/summary/Callum-Marshall-Match-Logs" TargetMode="External"/><Relationship Id="rId1593" Type="http://schemas.openxmlformats.org/officeDocument/2006/relationships/hyperlink" Target="https://fbref.com/en/players/48a5a5d6/Gabriel-Martinelli" TargetMode="External"/><Relationship Id="rId2440" Type="http://schemas.openxmlformats.org/officeDocument/2006/relationships/hyperlink" Target="https://fbref.com/en/country/JPN/Japan-Football" TargetMode="External"/><Relationship Id="rId521" Type="http://schemas.openxmlformats.org/officeDocument/2006/relationships/hyperlink" Target="https://fbref.com/en/players/22ae86f9/Diego-Coppola" TargetMode="External"/><Relationship Id="rId1110" Type="http://schemas.openxmlformats.org/officeDocument/2006/relationships/hyperlink" Target="https://fbref.com/en/country/ENG/England-Football" TargetMode="External"/><Relationship Id="rId1594" Type="http://schemas.openxmlformats.org/officeDocument/2006/relationships/hyperlink" Target="https://fbref.com/en/country/BRA/Brazil-Football" TargetMode="External"/><Relationship Id="rId2441" Type="http://schemas.openxmlformats.org/officeDocument/2006/relationships/hyperlink" Target="https://fbref.com/en/squads/361ca564/Tottenham-Hotspur-Stats" TargetMode="External"/><Relationship Id="rId520" Type="http://schemas.openxmlformats.org/officeDocument/2006/relationships/hyperlink" Target="https://fbref.com/en/players/2afc7272/matchlogs/2025-2026/summary/Lewis-Cook-Match-Logs" TargetMode="External"/><Relationship Id="rId1111" Type="http://schemas.openxmlformats.org/officeDocument/2006/relationships/hyperlink" Target="https://fbref.com/en/squads/d07537b9/Brighton-and-Hove-Albion-Stats" TargetMode="External"/><Relationship Id="rId1595" Type="http://schemas.openxmlformats.org/officeDocument/2006/relationships/hyperlink" Target="https://fbref.com/en/squads/18bb7c10/Arsenal-Stats" TargetMode="External"/><Relationship Id="rId2442" Type="http://schemas.openxmlformats.org/officeDocument/2006/relationships/hyperlink" Target="https://fbref.com/en/players/9f59ff55/matchlogs/2025-2026/summary/Kota-Takai-Match-Logs" TargetMode="External"/><Relationship Id="rId1112" Type="http://schemas.openxmlformats.org/officeDocument/2006/relationships/hyperlink" Target="https://fbref.com/en/players/e98211e7/matchlogs/2025-2026/summary/Jack-Hinshelwood-Match-Logs" TargetMode="External"/><Relationship Id="rId1596" Type="http://schemas.openxmlformats.org/officeDocument/2006/relationships/hyperlink" Target="https://fbref.com/en/players/48a5a5d6/matchlogs/2025-2026/summary/Gabriel-Martinelli-Match-Logs" TargetMode="External"/><Relationship Id="rId2443" Type="http://schemas.openxmlformats.org/officeDocument/2006/relationships/hyperlink" Target="https://fbref.com/en/players/47ce793b/Chemsdine-Talbi" TargetMode="External"/><Relationship Id="rId1113" Type="http://schemas.openxmlformats.org/officeDocument/2006/relationships/hyperlink" Target="https://fbref.com/en/players/9a71e978/Ki-Jana-Hoever" TargetMode="External"/><Relationship Id="rId1597" Type="http://schemas.openxmlformats.org/officeDocument/2006/relationships/hyperlink" Target="https://fbref.com/en/players/7956236f/Emiliano-Martinez" TargetMode="External"/><Relationship Id="rId2444" Type="http://schemas.openxmlformats.org/officeDocument/2006/relationships/hyperlink" Target="https://fbref.com/en/country/MAR/Morocco-Football" TargetMode="External"/><Relationship Id="rId1103" Type="http://schemas.openxmlformats.org/officeDocument/2006/relationships/hyperlink" Target="https://fbref.com/en/squads/4ba7cbea/Bournemouth-Stats" TargetMode="External"/><Relationship Id="rId1587" Type="http://schemas.openxmlformats.org/officeDocument/2006/relationships/hyperlink" Target="https://fbref.com/en/squads/47c64c55/Crystal-Palace-Stats" TargetMode="External"/><Relationship Id="rId2434" Type="http://schemas.openxmlformats.org/officeDocument/2006/relationships/hyperlink" Target="https://fbref.com/en/players/934e1968/matchlogs/2025-2026/summary/Dominik-Szoboszlai-Match-Logs" TargetMode="External"/><Relationship Id="rId1104" Type="http://schemas.openxmlformats.org/officeDocument/2006/relationships/hyperlink" Target="https://fbref.com/en/players/69942fb3/matchlogs/2025-2026/summary/James-Hill-Match-Logs" TargetMode="External"/><Relationship Id="rId1588" Type="http://schemas.openxmlformats.org/officeDocument/2006/relationships/hyperlink" Target="https://fbref.com/en/players/6baa90d0/matchlogs/2025-2026/summary/Zachariah-Marsh-Match-Logs" TargetMode="External"/><Relationship Id="rId2435" Type="http://schemas.openxmlformats.org/officeDocument/2006/relationships/hyperlink" Target="https://fbref.com/en/players/1f019509/Jocelin-Ta-Bi" TargetMode="External"/><Relationship Id="rId1105" Type="http://schemas.openxmlformats.org/officeDocument/2006/relationships/hyperlink" Target="https://fbref.com/en/players/0c7a48f8/Piero-Hincapie" TargetMode="External"/><Relationship Id="rId1589" Type="http://schemas.openxmlformats.org/officeDocument/2006/relationships/hyperlink" Target="https://fbref.com/en/players/3a27f1bf/Callum-Marshall" TargetMode="External"/><Relationship Id="rId2436" Type="http://schemas.openxmlformats.org/officeDocument/2006/relationships/hyperlink" Target="https://fbref.com/en/country/CIV/Cote-dIvoire-Football" TargetMode="External"/><Relationship Id="rId1106" Type="http://schemas.openxmlformats.org/officeDocument/2006/relationships/hyperlink" Target="https://fbref.com/en/country/ECU/Ecuador-Football" TargetMode="External"/><Relationship Id="rId2437" Type="http://schemas.openxmlformats.org/officeDocument/2006/relationships/hyperlink" Target="https://fbref.com/en/squads/8ef52968/Sunderland-Stats" TargetMode="External"/><Relationship Id="rId1107" Type="http://schemas.openxmlformats.org/officeDocument/2006/relationships/hyperlink" Target="https://fbref.com/en/squads/18bb7c10/Arsenal-Stats" TargetMode="External"/><Relationship Id="rId2438" Type="http://schemas.openxmlformats.org/officeDocument/2006/relationships/hyperlink" Target="https://fbref.com/en/players/1f019509/matchlogs/2025-2026/summary/Jocelin-Ta-Bi-Match-Logs" TargetMode="External"/><Relationship Id="rId1108" Type="http://schemas.openxmlformats.org/officeDocument/2006/relationships/hyperlink" Target="https://fbref.com/en/players/0c7a48f8/matchlogs/2025-2026/summary/Piero-Hincapie-Match-Logs" TargetMode="External"/><Relationship Id="rId2439" Type="http://schemas.openxmlformats.org/officeDocument/2006/relationships/hyperlink" Target="https://fbref.com/en/players/9f59ff55/Kota-Takai" TargetMode="External"/><Relationship Id="rId1109" Type="http://schemas.openxmlformats.org/officeDocument/2006/relationships/hyperlink" Target="https://fbref.com/en/players/e98211e7/Jack-Hinshelwood" TargetMode="External"/><Relationship Id="rId519" Type="http://schemas.openxmlformats.org/officeDocument/2006/relationships/hyperlink" Target="https://fbref.com/en/squads/4ba7cbea/Bournemouth-Stats" TargetMode="External"/><Relationship Id="rId514" Type="http://schemas.openxmlformats.org/officeDocument/2006/relationships/hyperlink" Target="https://fbref.com/en/country/ENG/England-Football" TargetMode="External"/><Relationship Id="rId998" Type="http://schemas.openxmlformats.org/officeDocument/2006/relationships/hyperlink" Target="https://fbref.com/en/country/BRA/Brazil-Football" TargetMode="External"/><Relationship Id="rId513" Type="http://schemas.openxmlformats.org/officeDocument/2006/relationships/hyperlink" Target="https://fbref.com/en/players/700783e7/Levi-Colwill" TargetMode="External"/><Relationship Id="rId997" Type="http://schemas.openxmlformats.org/officeDocument/2006/relationships/hyperlink" Target="https://fbref.com/en/players/82518f62/Bruno-Guimaraes" TargetMode="External"/><Relationship Id="rId512" Type="http://schemas.openxmlformats.org/officeDocument/2006/relationships/hyperlink" Target="https://fbref.com/en/players/a8c19eb8/matchlogs/2025-2026/summary/Nathan-Collins-Match-Logs" TargetMode="External"/><Relationship Id="rId996" Type="http://schemas.openxmlformats.org/officeDocument/2006/relationships/hyperlink" Target="https://fbref.com/en/players/b7672d43/matchlogs/2025-2026/summary/Luis-Guilherme-Match-Logs" TargetMode="External"/><Relationship Id="rId511" Type="http://schemas.openxmlformats.org/officeDocument/2006/relationships/hyperlink" Target="https://fbref.com/en/squads/cd051869/Brentford-Stats" TargetMode="External"/><Relationship Id="rId995" Type="http://schemas.openxmlformats.org/officeDocument/2006/relationships/hyperlink" Target="https://fbref.com/en/squads/7c21e445/West-Ham-United-Stats" TargetMode="External"/><Relationship Id="rId518" Type="http://schemas.openxmlformats.org/officeDocument/2006/relationships/hyperlink" Target="https://fbref.com/en/country/ENG/England-Football" TargetMode="External"/><Relationship Id="rId517" Type="http://schemas.openxmlformats.org/officeDocument/2006/relationships/hyperlink" Target="https://fbref.com/en/players/2afc7272/Lewis-Cook" TargetMode="External"/><Relationship Id="rId516" Type="http://schemas.openxmlformats.org/officeDocument/2006/relationships/hyperlink" Target="https://fbref.com/en/players/700783e7/matchlogs/2025-2026/summary/Levi-Colwill-Match-Logs" TargetMode="External"/><Relationship Id="rId515" Type="http://schemas.openxmlformats.org/officeDocument/2006/relationships/hyperlink" Target="https://fbref.com/en/squads/cff3d9bb/Chelsea-Stats" TargetMode="External"/><Relationship Id="rId999" Type="http://schemas.openxmlformats.org/officeDocument/2006/relationships/hyperlink" Target="https://fbref.com/en/squads/b2b47a98/Newcastle-United-Stats" TargetMode="External"/><Relationship Id="rId990" Type="http://schemas.openxmlformats.org/officeDocument/2006/relationships/hyperlink" Target="https://fbref.com/en/country/CIV/Cote-dIvoire-Football" TargetMode="External"/><Relationship Id="rId1580" Type="http://schemas.openxmlformats.org/officeDocument/2006/relationships/hyperlink" Target="https://fbref.com/en/players/bb5fbd2b/matchlogs/2025-2026/summary/Solly-March-Match-Logs" TargetMode="External"/><Relationship Id="rId1581" Type="http://schemas.openxmlformats.org/officeDocument/2006/relationships/hyperlink" Target="https://fbref.com/en/players/0e0102eb/Omar-Marmoush" TargetMode="External"/><Relationship Id="rId1582" Type="http://schemas.openxmlformats.org/officeDocument/2006/relationships/hyperlink" Target="https://fbref.com/en/country/EGY/Egypt-Football" TargetMode="External"/><Relationship Id="rId510" Type="http://schemas.openxmlformats.org/officeDocument/2006/relationships/hyperlink" Target="https://fbref.com/en/country/IRL/Republic-of-Ireland-Football" TargetMode="External"/><Relationship Id="rId994" Type="http://schemas.openxmlformats.org/officeDocument/2006/relationships/hyperlink" Target="https://fbref.com/en/country/BRA/Brazil-Football" TargetMode="External"/><Relationship Id="rId1583" Type="http://schemas.openxmlformats.org/officeDocument/2006/relationships/hyperlink" Target="https://fbref.com/en/squads/b8fd03ef/Manchester-City-Stats" TargetMode="External"/><Relationship Id="rId2430" Type="http://schemas.openxmlformats.org/officeDocument/2006/relationships/hyperlink" Target="https://fbref.com/en/players/a7abd792/matchlogs/2025-2026/summary/Ethan-Sutherland-Match-Logs" TargetMode="External"/><Relationship Id="rId993" Type="http://schemas.openxmlformats.org/officeDocument/2006/relationships/hyperlink" Target="https://fbref.com/en/players/b7672d43/Luis-Guilherme" TargetMode="External"/><Relationship Id="rId1100" Type="http://schemas.openxmlformats.org/officeDocument/2006/relationships/hyperlink" Target="https://fbref.com/en/players/1780bb4a/matchlogs/2025-2026/summary/Aaron-Hickey-Match-Logs" TargetMode="External"/><Relationship Id="rId1584" Type="http://schemas.openxmlformats.org/officeDocument/2006/relationships/hyperlink" Target="https://fbref.com/en/players/0e0102eb/matchlogs/2025-2026/summary/Omar-Marmoush-Match-Logs" TargetMode="External"/><Relationship Id="rId2431" Type="http://schemas.openxmlformats.org/officeDocument/2006/relationships/hyperlink" Target="https://fbref.com/en/players/934e1968/Dominik-Szoboszlai" TargetMode="External"/><Relationship Id="rId992" Type="http://schemas.openxmlformats.org/officeDocument/2006/relationships/hyperlink" Target="https://fbref.com/en/players/b73f17f8/matchlogs/2025-2026/summary/Evann-Guessand-Match-Logs" TargetMode="External"/><Relationship Id="rId1101" Type="http://schemas.openxmlformats.org/officeDocument/2006/relationships/hyperlink" Target="https://fbref.com/en/players/69942fb3/James-Hill" TargetMode="External"/><Relationship Id="rId1585" Type="http://schemas.openxmlformats.org/officeDocument/2006/relationships/hyperlink" Target="https://fbref.com/en/players/6baa90d0/Zachariah-Marsh" TargetMode="External"/><Relationship Id="rId2432" Type="http://schemas.openxmlformats.org/officeDocument/2006/relationships/hyperlink" Target="https://fbref.com/en/country/HUN/Hungary-Football" TargetMode="External"/><Relationship Id="rId991" Type="http://schemas.openxmlformats.org/officeDocument/2006/relationships/hyperlink" Target="https://fbref.com/en/squads/8602292d/Aston-Villa-Stats" TargetMode="External"/><Relationship Id="rId1102" Type="http://schemas.openxmlformats.org/officeDocument/2006/relationships/hyperlink" Target="https://fbref.com/en/country/ENG/England-Football" TargetMode="External"/><Relationship Id="rId1586" Type="http://schemas.openxmlformats.org/officeDocument/2006/relationships/hyperlink" Target="https://fbref.com/en/country/ENG/England-Football" TargetMode="External"/><Relationship Id="rId2433" Type="http://schemas.openxmlformats.org/officeDocument/2006/relationships/hyperlink" Target="https://fbref.com/en/squads/822bd0ba/Liverpool-Stats" TargetMode="External"/><Relationship Id="rId1532" Type="http://schemas.openxmlformats.org/officeDocument/2006/relationships/hyperlink" Target="https://fbref.com/en/players/bf34eebd/matchlogs/2025-2026/summary/Noni-Madueke-Match-Logs" TargetMode="External"/><Relationship Id="rId1533" Type="http://schemas.openxmlformats.org/officeDocument/2006/relationships/hyperlink" Target="https://fbref.com/en/players/67ac5bb8/Gabriel-Magalhaes" TargetMode="External"/><Relationship Id="rId1534" Type="http://schemas.openxmlformats.org/officeDocument/2006/relationships/hyperlink" Target="https://fbref.com/en/country/BRA/Brazil-Football" TargetMode="External"/><Relationship Id="rId1535" Type="http://schemas.openxmlformats.org/officeDocument/2006/relationships/hyperlink" Target="https://fbref.com/en/squads/18bb7c10/Arsenal-Stats" TargetMode="External"/><Relationship Id="rId1536" Type="http://schemas.openxmlformats.org/officeDocument/2006/relationships/hyperlink" Target="https://fbref.com/en/players/67ac5bb8/matchlogs/2025-2026/summary/Gabriel-Magalhaes-Match-Logs" TargetMode="External"/><Relationship Id="rId1537" Type="http://schemas.openxmlformats.org/officeDocument/2006/relationships/hyperlink" Target="https://fbref.com/en/players/dfc5d4fa/Soungoutou-Magassa" TargetMode="External"/><Relationship Id="rId1538" Type="http://schemas.openxmlformats.org/officeDocument/2006/relationships/hyperlink" Target="https://fbref.com/en/country/FRA/France-Football" TargetMode="External"/><Relationship Id="rId1539" Type="http://schemas.openxmlformats.org/officeDocument/2006/relationships/hyperlink" Target="https://fbref.com/en/squads/7c21e445/West-Ham-United-Stats" TargetMode="External"/><Relationship Id="rId949" Type="http://schemas.openxmlformats.org/officeDocument/2006/relationships/hyperlink" Target="https://fbref.com/en/players/59429fa1/Charlie-Gray" TargetMode="External"/><Relationship Id="rId948" Type="http://schemas.openxmlformats.org/officeDocument/2006/relationships/hyperlink" Target="https://fbref.com/en/players/f58515f5/matchlogs/2025-2026/summary/Archie-Gray-Match-Logs" TargetMode="External"/><Relationship Id="rId943" Type="http://schemas.openxmlformats.org/officeDocument/2006/relationships/hyperlink" Target="https://fbref.com/en/squads/822bd0ba/Liverpool-Stats" TargetMode="External"/><Relationship Id="rId942" Type="http://schemas.openxmlformats.org/officeDocument/2006/relationships/hyperlink" Target="https://fbref.com/en/country/NED/Netherlands-Football" TargetMode="External"/><Relationship Id="rId941" Type="http://schemas.openxmlformats.org/officeDocument/2006/relationships/hyperlink" Target="https://fbref.com/en/players/b8e740fb/Ryan-Gravenberch" TargetMode="External"/><Relationship Id="rId940" Type="http://schemas.openxmlformats.org/officeDocument/2006/relationships/hyperlink" Target="https://fbref.com/en/players/bd1d3020/matchlogs/2025-2026/summary/Braiden-Graham-Match-Logs" TargetMode="External"/><Relationship Id="rId947" Type="http://schemas.openxmlformats.org/officeDocument/2006/relationships/hyperlink" Target="https://fbref.com/en/squads/361ca564/Tottenham-Hotspur-Stats" TargetMode="External"/><Relationship Id="rId946" Type="http://schemas.openxmlformats.org/officeDocument/2006/relationships/hyperlink" Target="https://fbref.com/en/country/ENG/England-Football" TargetMode="External"/><Relationship Id="rId945" Type="http://schemas.openxmlformats.org/officeDocument/2006/relationships/hyperlink" Target="https://fbref.com/en/players/f58515f5/Archie-Gray" TargetMode="External"/><Relationship Id="rId944" Type="http://schemas.openxmlformats.org/officeDocument/2006/relationships/hyperlink" Target="https://fbref.com/en/players/b8e740fb/matchlogs/2025-2026/summary/Ryan-Gravenberch-Match-Logs" TargetMode="External"/><Relationship Id="rId1530" Type="http://schemas.openxmlformats.org/officeDocument/2006/relationships/hyperlink" Target="https://fbref.com/en/country/ENG/England-Football" TargetMode="External"/><Relationship Id="rId1531" Type="http://schemas.openxmlformats.org/officeDocument/2006/relationships/hyperlink" Target="https://fbref.com/en/squads/18bb7c10/Arsenal-Stats" TargetMode="External"/><Relationship Id="rId1521" Type="http://schemas.openxmlformats.org/officeDocument/2006/relationships/hyperlink" Target="https://fbref.com/en/players/83d074ff/Alexis-Mac-Allister" TargetMode="External"/><Relationship Id="rId1522" Type="http://schemas.openxmlformats.org/officeDocument/2006/relationships/hyperlink" Target="https://fbref.com/en/country/ARG/Argentina-Football" TargetMode="External"/><Relationship Id="rId1523" Type="http://schemas.openxmlformats.org/officeDocument/2006/relationships/hyperlink" Target="https://fbref.com/en/squads/822bd0ba/Liverpool-Stats" TargetMode="External"/><Relationship Id="rId1524" Type="http://schemas.openxmlformats.org/officeDocument/2006/relationships/hyperlink" Target="https://fbref.com/en/players/83d074ff/matchlogs/2025-2026/summary/Alexis-Mac-Allister-Match-Logs" TargetMode="External"/><Relationship Id="rId1525" Type="http://schemas.openxmlformats.org/officeDocument/2006/relationships/hyperlink" Target="https://fbref.com/en/players/ee38d9c5/James-Maddison" TargetMode="External"/><Relationship Id="rId1526" Type="http://schemas.openxmlformats.org/officeDocument/2006/relationships/hyperlink" Target="https://fbref.com/en/country/ENG/England-Football" TargetMode="External"/><Relationship Id="rId1527" Type="http://schemas.openxmlformats.org/officeDocument/2006/relationships/hyperlink" Target="https://fbref.com/en/squads/361ca564/Tottenham-Hotspur-Stats" TargetMode="External"/><Relationship Id="rId1528" Type="http://schemas.openxmlformats.org/officeDocument/2006/relationships/hyperlink" Target="https://fbref.com/en/players/ee38d9c5/matchlogs/2025-2026/summary/James-Maddison-Match-Logs" TargetMode="External"/><Relationship Id="rId1529" Type="http://schemas.openxmlformats.org/officeDocument/2006/relationships/hyperlink" Target="https://fbref.com/en/players/bf34eebd/Noni-Madueke" TargetMode="External"/><Relationship Id="rId939" Type="http://schemas.openxmlformats.org/officeDocument/2006/relationships/hyperlink" Target="https://fbref.com/en/squads/d3fd31cc/Everton-Stats" TargetMode="External"/><Relationship Id="rId938" Type="http://schemas.openxmlformats.org/officeDocument/2006/relationships/hyperlink" Target="https://fbref.com/en/country/NIR/Northern-Ireland-Football" TargetMode="External"/><Relationship Id="rId937" Type="http://schemas.openxmlformats.org/officeDocument/2006/relationships/hyperlink" Target="https://fbref.com/en/players/bd1d3020/Braiden-Graham" TargetMode="External"/><Relationship Id="rId932" Type="http://schemas.openxmlformats.org/officeDocument/2006/relationships/hyperlink" Target="https://fbref.com/en/players/2bd83368/matchlogs/2025-2026/summary/Anthony-Gordon-Match-Logs" TargetMode="External"/><Relationship Id="rId931" Type="http://schemas.openxmlformats.org/officeDocument/2006/relationships/hyperlink" Target="https://fbref.com/en/squads/b2b47a98/Newcastle-United-Stats" TargetMode="External"/><Relationship Id="rId930" Type="http://schemas.openxmlformats.org/officeDocument/2006/relationships/hyperlink" Target="https://fbref.com/en/country/ENG/England-Football" TargetMode="External"/><Relationship Id="rId936" Type="http://schemas.openxmlformats.org/officeDocument/2006/relationships/hyperlink" Target="https://fbref.com/en/players/5f3ab4b3/matchlogs/2025-2026/summary/Josh-Gracey-Match-Logs" TargetMode="External"/><Relationship Id="rId935" Type="http://schemas.openxmlformats.org/officeDocument/2006/relationships/hyperlink" Target="https://fbref.com/en/squads/8cec06e1/Wolverhampton-Wanderers-Stats" TargetMode="External"/><Relationship Id="rId934" Type="http://schemas.openxmlformats.org/officeDocument/2006/relationships/hyperlink" Target="https://fbref.com/en/country/NIR/Northern-Ireland-Football" TargetMode="External"/><Relationship Id="rId933" Type="http://schemas.openxmlformats.org/officeDocument/2006/relationships/hyperlink" Target="https://fbref.com/en/players/5f3ab4b3/Josh-Gracey" TargetMode="External"/><Relationship Id="rId1520" Type="http://schemas.openxmlformats.org/officeDocument/2006/relationships/hyperlink" Target="https://fbref.com/en/players/cab9634e/matchlogs/2025-2026/summary/Ian-Maatsen-Match-Logs" TargetMode="External"/><Relationship Id="rId1554" Type="http://schemas.openxmlformats.org/officeDocument/2006/relationships/hyperlink" Target="https://fbref.com/en/country/NED/Netherlands-Football" TargetMode="External"/><Relationship Id="rId2401" Type="http://schemas.openxmlformats.org/officeDocument/2006/relationships/hyperlink" Target="https://fbref.com/en/squads/cd051869/Brentford-Stats" TargetMode="External"/><Relationship Id="rId1555" Type="http://schemas.openxmlformats.org/officeDocument/2006/relationships/hyperlink" Target="https://fbref.com/en/squads/8602292d/Aston-Villa-Stats" TargetMode="External"/><Relationship Id="rId2402" Type="http://schemas.openxmlformats.org/officeDocument/2006/relationships/hyperlink" Target="https://fbref.com/en/players/c9c4c85d/matchlogs/2025-2026/summary/Joshua-Stephenson-Match-Logs" TargetMode="External"/><Relationship Id="rId1556" Type="http://schemas.openxmlformats.org/officeDocument/2006/relationships/hyperlink" Target="https://fbref.com/en/players/116c35df/matchlogs/2025-2026/summary/Donyell-Malen-Match-Logs" TargetMode="External"/><Relationship Id="rId2403" Type="http://schemas.openxmlformats.org/officeDocument/2006/relationships/hyperlink" Target="https://fbref.com/en/players/6c2a4c10/Charlie-Stevens" TargetMode="External"/><Relationship Id="rId1557" Type="http://schemas.openxmlformats.org/officeDocument/2006/relationships/hyperlink" Target="https://fbref.com/en/players/d4b73232/Giorgi-Mamardashvili" TargetMode="External"/><Relationship Id="rId2404" Type="http://schemas.openxmlformats.org/officeDocument/2006/relationships/hyperlink" Target="https://fbref.com/en/country/WAL/Wales-Football" TargetMode="External"/><Relationship Id="rId1558" Type="http://schemas.openxmlformats.org/officeDocument/2006/relationships/hyperlink" Target="https://fbref.com/en/country/GEO/Georgia-Football" TargetMode="External"/><Relationship Id="rId2405" Type="http://schemas.openxmlformats.org/officeDocument/2006/relationships/hyperlink" Target="https://fbref.com/en/squads/4ba7cbea/Bournemouth-Stats" TargetMode="External"/><Relationship Id="rId1559" Type="http://schemas.openxmlformats.org/officeDocument/2006/relationships/hyperlink" Target="https://fbref.com/en/squads/822bd0ba/Liverpool-Stats" TargetMode="External"/><Relationship Id="rId2406" Type="http://schemas.openxmlformats.org/officeDocument/2006/relationships/hyperlink" Target="https://fbref.com/en/players/6c2a4c10/matchlogs/2025-2026/summary/Charlie-Stevens-Match-Logs" TargetMode="External"/><Relationship Id="rId2407" Type="http://schemas.openxmlformats.org/officeDocument/2006/relationships/hyperlink" Target="https://fbref.com/en/players/5eecec3d/John-Stones" TargetMode="External"/><Relationship Id="rId2408" Type="http://schemas.openxmlformats.org/officeDocument/2006/relationships/hyperlink" Target="https://fbref.com/en/country/ENG/England-Football" TargetMode="External"/><Relationship Id="rId2409" Type="http://schemas.openxmlformats.org/officeDocument/2006/relationships/hyperlink" Target="https://fbref.com/en/squads/b8fd03ef/Manchester-City-Stats" TargetMode="External"/><Relationship Id="rId965" Type="http://schemas.openxmlformats.org/officeDocument/2006/relationships/hyperlink" Target="https://fbref.com/en/players/ae9b998d/Brajan-Gruda" TargetMode="External"/><Relationship Id="rId964" Type="http://schemas.openxmlformats.org/officeDocument/2006/relationships/hyperlink" Target="https://fbref.com/en/players/8aec0537/matchlogs/2025-2026/summary/Pascal-Gross-Match-Logs" TargetMode="External"/><Relationship Id="rId963" Type="http://schemas.openxmlformats.org/officeDocument/2006/relationships/hyperlink" Target="https://fbref.com/en/squads/d07537b9/Brighton-and-Hove-Albion-Stats" TargetMode="External"/><Relationship Id="rId962" Type="http://schemas.openxmlformats.org/officeDocument/2006/relationships/hyperlink" Target="https://fbref.com/en/country/GER/Germany-Football" TargetMode="External"/><Relationship Id="rId969" Type="http://schemas.openxmlformats.org/officeDocument/2006/relationships/hyperlink" Target="https://fbref.com/en/players/1fc4f3d1/Ilia-Gruev" TargetMode="External"/><Relationship Id="rId968" Type="http://schemas.openxmlformats.org/officeDocument/2006/relationships/hyperlink" Target="https://fbref.com/en/players/ae9b998d/matchlogs/2025-2026/summary/Brajan-Gruda-Match-Logs" TargetMode="External"/><Relationship Id="rId967" Type="http://schemas.openxmlformats.org/officeDocument/2006/relationships/hyperlink" Target="https://fbref.com/en/squads/d07537b9/Brighton-and-Hove-Albion-Stats" TargetMode="External"/><Relationship Id="rId966" Type="http://schemas.openxmlformats.org/officeDocument/2006/relationships/hyperlink" Target="https://fbref.com/en/country/GER/Germany-Football" TargetMode="External"/><Relationship Id="rId961" Type="http://schemas.openxmlformats.org/officeDocument/2006/relationships/hyperlink" Target="https://fbref.com/en/players/8aec0537/Pascal-Gross" TargetMode="External"/><Relationship Id="rId1550" Type="http://schemas.openxmlformats.org/officeDocument/2006/relationships/hyperlink" Target="https://fbref.com/en/country/NED/Netherlands-Football" TargetMode="External"/><Relationship Id="rId960" Type="http://schemas.openxmlformats.org/officeDocument/2006/relationships/hyperlink" Target="https://fbref.com/en/players/b0b4fd3e/matchlogs/2025-2026/summary/Jack-Grealish-Match-Logs" TargetMode="External"/><Relationship Id="rId1551" Type="http://schemas.openxmlformats.org/officeDocument/2006/relationships/hyperlink" Target="https://fbref.com/en/squads/19538871/Manchester-United-Stats" TargetMode="External"/><Relationship Id="rId1552" Type="http://schemas.openxmlformats.org/officeDocument/2006/relationships/hyperlink" Target="https://fbref.com/en/players/6b6c793c/matchlogs/2025-2026/summary/Tyrell-Malacia-Match-Logs" TargetMode="External"/><Relationship Id="rId1553" Type="http://schemas.openxmlformats.org/officeDocument/2006/relationships/hyperlink" Target="https://fbref.com/en/players/116c35df/Donyell-Malen" TargetMode="External"/><Relationship Id="rId2400" Type="http://schemas.openxmlformats.org/officeDocument/2006/relationships/hyperlink" Target="https://fbref.com/en/players/c9c4c85d/Joshua-Stephenson" TargetMode="External"/><Relationship Id="rId1543" Type="http://schemas.openxmlformats.org/officeDocument/2006/relationships/hyperlink" Target="https://fbref.com/en/squads/19538871/Manchester-United-Stats" TargetMode="External"/><Relationship Id="rId1544" Type="http://schemas.openxmlformats.org/officeDocument/2006/relationships/hyperlink" Target="https://fbref.com/en/players/d8931174/matchlogs/2025-2026/summary/Harry-Maguire-Match-Logs" TargetMode="External"/><Relationship Id="rId1545" Type="http://schemas.openxmlformats.org/officeDocument/2006/relationships/hyperlink" Target="https://fbref.com/en/players/c6220452/Kobbie-Mainoo" TargetMode="External"/><Relationship Id="rId1546" Type="http://schemas.openxmlformats.org/officeDocument/2006/relationships/hyperlink" Target="https://fbref.com/en/country/ENG/England-Football" TargetMode="External"/><Relationship Id="rId1547" Type="http://schemas.openxmlformats.org/officeDocument/2006/relationships/hyperlink" Target="https://fbref.com/en/squads/19538871/Manchester-United-Stats" TargetMode="External"/><Relationship Id="rId1548" Type="http://schemas.openxmlformats.org/officeDocument/2006/relationships/hyperlink" Target="https://fbref.com/en/players/c6220452/matchlogs/2025-2026/summary/Kobbie-Mainoo-Match-Logs" TargetMode="External"/><Relationship Id="rId1549" Type="http://schemas.openxmlformats.org/officeDocument/2006/relationships/hyperlink" Target="https://fbref.com/en/players/6b6c793c/Tyrell-Malacia" TargetMode="External"/><Relationship Id="rId959" Type="http://schemas.openxmlformats.org/officeDocument/2006/relationships/hyperlink" Target="https://fbref.com/en/squads/d3fd31cc/Everton-Stats" TargetMode="External"/><Relationship Id="rId954" Type="http://schemas.openxmlformats.org/officeDocument/2006/relationships/hyperlink" Target="https://fbref.com/en/country/ENG/England-Football" TargetMode="External"/><Relationship Id="rId953" Type="http://schemas.openxmlformats.org/officeDocument/2006/relationships/hyperlink" Target="https://fbref.com/en/players/99965ed0/Harry-Gray" TargetMode="External"/><Relationship Id="rId952" Type="http://schemas.openxmlformats.org/officeDocument/2006/relationships/hyperlink" Target="https://fbref.com/en/players/59429fa1/matchlogs/2025-2026/summary/Charlie-Gray-Match-Logs" TargetMode="External"/><Relationship Id="rId951" Type="http://schemas.openxmlformats.org/officeDocument/2006/relationships/hyperlink" Target="https://fbref.com/en/squads/b8fd03ef/Manchester-City-Stats" TargetMode="External"/><Relationship Id="rId958" Type="http://schemas.openxmlformats.org/officeDocument/2006/relationships/hyperlink" Target="https://fbref.com/en/country/ENG/England-Football" TargetMode="External"/><Relationship Id="rId957" Type="http://schemas.openxmlformats.org/officeDocument/2006/relationships/hyperlink" Target="https://fbref.com/en/players/b0b4fd3e/Jack-Grealish" TargetMode="External"/><Relationship Id="rId956" Type="http://schemas.openxmlformats.org/officeDocument/2006/relationships/hyperlink" Target="https://fbref.com/en/players/99965ed0/matchlogs/2025-2026/summary/Harry-Gray-Match-Logs" TargetMode="External"/><Relationship Id="rId955" Type="http://schemas.openxmlformats.org/officeDocument/2006/relationships/hyperlink" Target="https://fbref.com/en/squads/5bfb9659/Leeds-United-Stats" TargetMode="External"/><Relationship Id="rId950" Type="http://schemas.openxmlformats.org/officeDocument/2006/relationships/hyperlink" Target="https://fbref.com/en/country/ENG/England-Football" TargetMode="External"/><Relationship Id="rId1540" Type="http://schemas.openxmlformats.org/officeDocument/2006/relationships/hyperlink" Target="https://fbref.com/en/players/dfc5d4fa/matchlogs/2025-2026/summary/Soungoutou-Magassa-Match-Logs" TargetMode="External"/><Relationship Id="rId1541" Type="http://schemas.openxmlformats.org/officeDocument/2006/relationships/hyperlink" Target="https://fbref.com/en/players/d8931174/Harry-Maguire" TargetMode="External"/><Relationship Id="rId1542" Type="http://schemas.openxmlformats.org/officeDocument/2006/relationships/hyperlink" Target="https://fbref.com/en/country/ENG/England-Football" TargetMode="External"/><Relationship Id="rId2027" Type="http://schemas.openxmlformats.org/officeDocument/2006/relationships/hyperlink" Target="https://fbref.com/en/players/039c3d96/matchlogs/2025-2026/summary/Alfie-Pond-Match-Logs" TargetMode="External"/><Relationship Id="rId2028" Type="http://schemas.openxmlformats.org/officeDocument/2006/relationships/hyperlink" Target="https://fbref.com/en/players/4b40d9ca/Nick-Pope" TargetMode="External"/><Relationship Id="rId2029" Type="http://schemas.openxmlformats.org/officeDocument/2006/relationships/hyperlink" Target="https://fbref.com/en/country/ENG/England-Football" TargetMode="External"/><Relationship Id="rId590" Type="http://schemas.openxmlformats.org/officeDocument/2006/relationships/hyperlink" Target="https://fbref.com/en/country/ENG/England-Football" TargetMode="External"/><Relationship Id="rId107" Type="http://schemas.openxmlformats.org/officeDocument/2006/relationships/hyperlink" Target="https://fbref.com/en/squads/943e8050/Burnley-Stats" TargetMode="External"/><Relationship Id="rId106" Type="http://schemas.openxmlformats.org/officeDocument/2006/relationships/hyperlink" Target="https://fbref.com/en/country/SUI/Switzerland-Football" TargetMode="External"/><Relationship Id="rId105" Type="http://schemas.openxmlformats.org/officeDocument/2006/relationships/hyperlink" Target="https://fbref.com/en/players/2ee5b0c9/Zeki-Amdouni" TargetMode="External"/><Relationship Id="rId589" Type="http://schemas.openxmlformats.org/officeDocument/2006/relationships/hyperlink" Target="https://fbref.com/en/players/d8edc4be/Will-Dennis" TargetMode="External"/><Relationship Id="rId104" Type="http://schemas.openxmlformats.org/officeDocument/2006/relationships/hyperlink" Target="https://fbref.com/en/players/98e0d76c/matchlogs/2025-2026/summary/Jaydon-Amauri-Banel-Match-Logs" TargetMode="External"/><Relationship Id="rId588" Type="http://schemas.openxmlformats.org/officeDocument/2006/relationships/hyperlink" Target="https://fbref.com/en/players/7bf9400b/matchlogs/2025-2026/summary/Sepp-van-den-Berg-Match-Logs" TargetMode="External"/><Relationship Id="rId109" Type="http://schemas.openxmlformats.org/officeDocument/2006/relationships/hyperlink" Target="https://fbref.com/en/players/2835bfe1/Samuel-Amissah" TargetMode="External"/><Relationship Id="rId1170" Type="http://schemas.openxmlformats.org/officeDocument/2006/relationships/hyperlink" Target="https://fbref.com/en/country/SWE/Sweden-Football" TargetMode="External"/><Relationship Id="rId108" Type="http://schemas.openxmlformats.org/officeDocument/2006/relationships/hyperlink" Target="https://fbref.com/en/players/2ee5b0c9/matchlogs/2025-2026/summary/Zeki-Amdouni-Match-Logs" TargetMode="External"/><Relationship Id="rId1171" Type="http://schemas.openxmlformats.org/officeDocument/2006/relationships/hyperlink" Target="https://fbref.com/en/squads/822bd0ba/Liverpool-Stats" TargetMode="External"/><Relationship Id="rId583" Type="http://schemas.openxmlformats.org/officeDocument/2006/relationships/hyperlink" Target="https://fbref.com/en/squads/cff3d9bb/Chelsea-Stats" TargetMode="External"/><Relationship Id="rId1172" Type="http://schemas.openxmlformats.org/officeDocument/2006/relationships/hyperlink" Target="https://fbref.com/en/players/8e92be30/matchlogs/2025-2026/summary/Alexander-Isak-Match-Logs" TargetMode="External"/><Relationship Id="rId582" Type="http://schemas.openxmlformats.org/officeDocument/2006/relationships/hyperlink" Target="https://fbref.com/en/country/ENG/England-Football" TargetMode="External"/><Relationship Id="rId1173" Type="http://schemas.openxmlformats.org/officeDocument/2006/relationships/hyperlink" Target="https://fbref.com/en/players/a671316d/Wilson-Isidor" TargetMode="External"/><Relationship Id="rId2020" Type="http://schemas.openxmlformats.org/officeDocument/2006/relationships/hyperlink" Target="https://fbref.com/en/players/1f0072a6/Joel-Piroe" TargetMode="External"/><Relationship Id="rId581" Type="http://schemas.openxmlformats.org/officeDocument/2006/relationships/hyperlink" Target="https://fbref.com/en/players/dd897ee7/Liam-Delap" TargetMode="External"/><Relationship Id="rId1174" Type="http://schemas.openxmlformats.org/officeDocument/2006/relationships/hyperlink" Target="https://fbref.com/en/country/HAI/Haiti-Football" TargetMode="External"/><Relationship Id="rId2021" Type="http://schemas.openxmlformats.org/officeDocument/2006/relationships/hyperlink" Target="https://fbref.com/en/country/SUR/Suriname-Football" TargetMode="External"/><Relationship Id="rId580" Type="http://schemas.openxmlformats.org/officeDocument/2006/relationships/hyperlink" Target="https://fbref.com/en/players/d494882e/matchlogs/2025-2026/summary/Maxim-De-Cuyper-Match-Logs" TargetMode="External"/><Relationship Id="rId1175" Type="http://schemas.openxmlformats.org/officeDocument/2006/relationships/hyperlink" Target="https://fbref.com/en/squads/8ef52968/Sunderland-Stats" TargetMode="External"/><Relationship Id="rId2022" Type="http://schemas.openxmlformats.org/officeDocument/2006/relationships/hyperlink" Target="https://fbref.com/en/squads/5bfb9659/Leeds-United-Stats" TargetMode="External"/><Relationship Id="rId103" Type="http://schemas.openxmlformats.org/officeDocument/2006/relationships/hyperlink" Target="https://fbref.com/en/squads/943e8050/Burnley-Stats" TargetMode="External"/><Relationship Id="rId587" Type="http://schemas.openxmlformats.org/officeDocument/2006/relationships/hyperlink" Target="https://fbref.com/en/squads/cd051869/Brentford-Stats" TargetMode="External"/><Relationship Id="rId1176" Type="http://schemas.openxmlformats.org/officeDocument/2006/relationships/hyperlink" Target="https://fbref.com/en/players/a671316d/matchlogs/2025-2026/summary/Wilson-Isidor-Match-Logs" TargetMode="External"/><Relationship Id="rId2023" Type="http://schemas.openxmlformats.org/officeDocument/2006/relationships/hyperlink" Target="https://fbref.com/en/players/1f0072a6/matchlogs/2025-2026/summary/Joel-Piroe-Match-Logs" TargetMode="External"/><Relationship Id="rId102" Type="http://schemas.openxmlformats.org/officeDocument/2006/relationships/hyperlink" Target="https://fbref.com/en/country/NED/Netherlands-Football" TargetMode="External"/><Relationship Id="rId586" Type="http://schemas.openxmlformats.org/officeDocument/2006/relationships/hyperlink" Target="https://fbref.com/en/country/NED/Netherlands-Football" TargetMode="External"/><Relationship Id="rId1177" Type="http://schemas.openxmlformats.org/officeDocument/2006/relationships/hyperlink" Target="https://fbref.com/en/players/6ca5ec4b/Alex-Iwobi" TargetMode="External"/><Relationship Id="rId2024" Type="http://schemas.openxmlformats.org/officeDocument/2006/relationships/hyperlink" Target="https://fbref.com/en/players/039c3d96/Alfie-Pond" TargetMode="External"/><Relationship Id="rId101" Type="http://schemas.openxmlformats.org/officeDocument/2006/relationships/hyperlink" Target="https://fbref.com/en/players/98e0d76c/Jaydon-Amauri-Banel" TargetMode="External"/><Relationship Id="rId585" Type="http://schemas.openxmlformats.org/officeDocument/2006/relationships/hyperlink" Target="https://fbref.com/en/players/7bf9400b/Sepp-van-den-Berg" TargetMode="External"/><Relationship Id="rId1178" Type="http://schemas.openxmlformats.org/officeDocument/2006/relationships/hyperlink" Target="https://fbref.com/en/country/NGA/Nigeria-Football" TargetMode="External"/><Relationship Id="rId2025" Type="http://schemas.openxmlformats.org/officeDocument/2006/relationships/hyperlink" Target="https://fbref.com/en/country/ENG/England-Football" TargetMode="External"/><Relationship Id="rId100" Type="http://schemas.openxmlformats.org/officeDocument/2006/relationships/hyperlink" Target="https://fbref.com/en/players/8b3ab7ad/matchlogs/2025-2026/summary/Edson-Alvarez-Match-Logs" TargetMode="External"/><Relationship Id="rId584" Type="http://schemas.openxmlformats.org/officeDocument/2006/relationships/hyperlink" Target="https://fbref.com/en/players/dd897ee7/matchlogs/2025-2026/summary/Liam-Delap-Match-Logs" TargetMode="External"/><Relationship Id="rId1179" Type="http://schemas.openxmlformats.org/officeDocument/2006/relationships/hyperlink" Target="https://fbref.com/en/squads/fd962109/Fulham-Stats" TargetMode="External"/><Relationship Id="rId2026" Type="http://schemas.openxmlformats.org/officeDocument/2006/relationships/hyperlink" Target="https://fbref.com/en/squads/8cec06e1/Wolverhampton-Wanderers-Stats" TargetMode="External"/><Relationship Id="rId1169" Type="http://schemas.openxmlformats.org/officeDocument/2006/relationships/hyperlink" Target="https://fbref.com/en/players/8e92be30/Alexander-Isak" TargetMode="External"/><Relationship Id="rId2016" Type="http://schemas.openxmlformats.org/officeDocument/2006/relationships/hyperlink" Target="https://fbref.com/en/players/540ec57b/Yeremi-Pino" TargetMode="External"/><Relationship Id="rId2017" Type="http://schemas.openxmlformats.org/officeDocument/2006/relationships/hyperlink" Target="https://fbref.com/en/country/ESP/Spain-Football" TargetMode="External"/><Relationship Id="rId2018" Type="http://schemas.openxmlformats.org/officeDocument/2006/relationships/hyperlink" Target="https://fbref.com/en/squads/47c64c55/Crystal-Palace-Stats" TargetMode="External"/><Relationship Id="rId2019" Type="http://schemas.openxmlformats.org/officeDocument/2006/relationships/hyperlink" Target="https://fbref.com/en/players/540ec57b/matchlogs/2025-2026/summary/Yeremi-Pino-Match-Logs" TargetMode="External"/><Relationship Id="rId579" Type="http://schemas.openxmlformats.org/officeDocument/2006/relationships/hyperlink" Target="https://fbref.com/en/squads/d07537b9/Brighton-and-Hove-Albion-Stats" TargetMode="External"/><Relationship Id="rId578" Type="http://schemas.openxmlformats.org/officeDocument/2006/relationships/hyperlink" Target="https://fbref.com/en/country/BEL/Belgium-Football" TargetMode="External"/><Relationship Id="rId577" Type="http://schemas.openxmlformats.org/officeDocument/2006/relationships/hyperlink" Target="https://fbref.com/en/players/d494882e/Maxim-De-Cuyper" TargetMode="External"/><Relationship Id="rId2490" Type="http://schemas.openxmlformats.org/officeDocument/2006/relationships/hyperlink" Target="https://fbref.com/en/players/1b212310/matchlogs/2025-2026/summary/Jim-Thwaites-Match-Logs" TargetMode="External"/><Relationship Id="rId1160" Type="http://schemas.openxmlformats.org/officeDocument/2006/relationships/hyperlink" Target="https://fbref.com/en/players/c1395580/matchlogs/2025-2026/summary/Danny-Imray-Match-Logs" TargetMode="External"/><Relationship Id="rId2491" Type="http://schemas.openxmlformats.org/officeDocument/2006/relationships/hyperlink" Target="https://fbref.com/en/players/56f7a928/Youri-Tielemans" TargetMode="External"/><Relationship Id="rId572" Type="http://schemas.openxmlformats.org/officeDocument/2006/relationships/hyperlink" Target="https://fbref.com/en/players/60344e4f/matchlogs/2025-2026/summary/Josh-Dasilva-Match-Logs" TargetMode="External"/><Relationship Id="rId1161" Type="http://schemas.openxmlformats.org/officeDocument/2006/relationships/hyperlink" Target="https://fbref.com/en/players/84c5ceea/Tim-Iroegbunam" TargetMode="External"/><Relationship Id="rId2492" Type="http://schemas.openxmlformats.org/officeDocument/2006/relationships/hyperlink" Target="https://fbref.com/en/country/BEL/Belgium-Football" TargetMode="External"/><Relationship Id="rId571" Type="http://schemas.openxmlformats.org/officeDocument/2006/relationships/hyperlink" Target="https://fbref.com/en/squads/cd051869/Brentford-Stats" TargetMode="External"/><Relationship Id="rId1162" Type="http://schemas.openxmlformats.org/officeDocument/2006/relationships/hyperlink" Target="https://fbref.com/en/country/ENG/England-Football" TargetMode="External"/><Relationship Id="rId2493" Type="http://schemas.openxmlformats.org/officeDocument/2006/relationships/hyperlink" Target="https://fbref.com/en/squads/8602292d/Aston-Villa-Stats" TargetMode="External"/><Relationship Id="rId570" Type="http://schemas.openxmlformats.org/officeDocument/2006/relationships/hyperlink" Target="https://fbref.com/en/country/ENG/England-Football" TargetMode="External"/><Relationship Id="rId1163" Type="http://schemas.openxmlformats.org/officeDocument/2006/relationships/hyperlink" Target="https://fbref.com/en/squads/d3fd31cc/Everton-Stats" TargetMode="External"/><Relationship Id="rId2010" Type="http://schemas.openxmlformats.org/officeDocument/2006/relationships/hyperlink" Target="https://fbref.com/en/squads/943e8050/Burnley-Stats" TargetMode="External"/><Relationship Id="rId2494" Type="http://schemas.openxmlformats.org/officeDocument/2006/relationships/hyperlink" Target="https://fbref.com/en/players/56f7a928/matchlogs/2025-2026/summary/Youri-Tielemans-Match-Logs" TargetMode="External"/><Relationship Id="rId1164" Type="http://schemas.openxmlformats.org/officeDocument/2006/relationships/hyperlink" Target="https://fbref.com/en/players/84c5ceea/matchlogs/2025-2026/summary/Tim-Iroegbunam-Match-Logs" TargetMode="External"/><Relationship Id="rId2011" Type="http://schemas.openxmlformats.org/officeDocument/2006/relationships/hyperlink" Target="https://fbref.com/en/players/b928f19e/matchlogs/2025-2026/summary/Oliver-Pimlott-Match-Logs" TargetMode="External"/><Relationship Id="rId2495" Type="http://schemas.openxmlformats.org/officeDocument/2006/relationships/hyperlink" Target="https://fbref.com/en/players/41034650/Jurrien-Timber" TargetMode="External"/><Relationship Id="rId576" Type="http://schemas.openxmlformats.org/officeDocument/2006/relationships/hyperlink" Target="https://fbref.com/en/players/44781702/matchlogs/2025-2026/summary/Ben-Davies-Match-Logs" TargetMode="External"/><Relationship Id="rId1165" Type="http://schemas.openxmlformats.org/officeDocument/2006/relationships/hyperlink" Target="https://fbref.com/en/players/b1be9fc0/Andy-Irving" TargetMode="External"/><Relationship Id="rId2012" Type="http://schemas.openxmlformats.org/officeDocument/2006/relationships/hyperlink" Target="https://fbref.com/en/players/e541326e/Ethan-Pinnock" TargetMode="External"/><Relationship Id="rId2496" Type="http://schemas.openxmlformats.org/officeDocument/2006/relationships/hyperlink" Target="https://fbref.com/en/country/NED/Netherlands-Football" TargetMode="External"/><Relationship Id="rId575" Type="http://schemas.openxmlformats.org/officeDocument/2006/relationships/hyperlink" Target="https://fbref.com/en/squads/361ca564/Tottenham-Hotspur-Stats" TargetMode="External"/><Relationship Id="rId1166" Type="http://schemas.openxmlformats.org/officeDocument/2006/relationships/hyperlink" Target="https://fbref.com/en/country/SCO/Scotland-Football" TargetMode="External"/><Relationship Id="rId2013" Type="http://schemas.openxmlformats.org/officeDocument/2006/relationships/hyperlink" Target="https://fbref.com/en/country/JAM/Jamaica-Football" TargetMode="External"/><Relationship Id="rId2497" Type="http://schemas.openxmlformats.org/officeDocument/2006/relationships/hyperlink" Target="https://fbref.com/en/squads/18bb7c10/Arsenal-Stats" TargetMode="External"/><Relationship Id="rId574" Type="http://schemas.openxmlformats.org/officeDocument/2006/relationships/hyperlink" Target="https://fbref.com/en/country/WAL/Wales-Football" TargetMode="External"/><Relationship Id="rId1167" Type="http://schemas.openxmlformats.org/officeDocument/2006/relationships/hyperlink" Target="https://fbref.com/en/squads/7c21e445/West-Ham-United-Stats" TargetMode="External"/><Relationship Id="rId2014" Type="http://schemas.openxmlformats.org/officeDocument/2006/relationships/hyperlink" Target="https://fbref.com/en/squads/cd051869/Brentford-Stats" TargetMode="External"/><Relationship Id="rId2498" Type="http://schemas.openxmlformats.org/officeDocument/2006/relationships/hyperlink" Target="https://fbref.com/en/players/41034650/matchlogs/2025-2026/summary/Jurrien-Timber-Match-Logs" TargetMode="External"/><Relationship Id="rId573" Type="http://schemas.openxmlformats.org/officeDocument/2006/relationships/hyperlink" Target="https://fbref.com/en/players/44781702/Ben-Davies" TargetMode="External"/><Relationship Id="rId1168" Type="http://schemas.openxmlformats.org/officeDocument/2006/relationships/hyperlink" Target="https://fbref.com/en/players/b1be9fc0/matchlogs/2025-2026/summary/Andy-Irving-Match-Logs" TargetMode="External"/><Relationship Id="rId2015" Type="http://schemas.openxmlformats.org/officeDocument/2006/relationships/hyperlink" Target="https://fbref.com/en/players/e541326e/matchlogs/2025-2026/summary/Ethan-Pinnock-Match-Logs" TargetMode="External"/><Relationship Id="rId2499" Type="http://schemas.openxmlformats.org/officeDocument/2006/relationships/hyperlink" Target="https://fbref.com/en/players/88f130ed/Jean-Clair-Todibo" TargetMode="External"/><Relationship Id="rId2049" Type="http://schemas.openxmlformats.org/officeDocument/2006/relationships/hyperlink" Target="https://fbref.com/en/country/BEL/Belgium-Football" TargetMode="External"/><Relationship Id="rId129" Type="http://schemas.openxmlformats.org/officeDocument/2006/relationships/hyperlink" Target="https://fbref.com/en/players/a9b9d89c/Nilson-Angulo" TargetMode="External"/><Relationship Id="rId128" Type="http://schemas.openxmlformats.org/officeDocument/2006/relationships/hyperlink" Target="https://fbref.com/en/players/ec604e2c/matchlogs/2025-2026/summary/Andre-Match-Logs" TargetMode="External"/><Relationship Id="rId127" Type="http://schemas.openxmlformats.org/officeDocument/2006/relationships/hyperlink" Target="https://fbref.com/en/squads/8cec06e1/Wolverhampton-Wanderers-Stats" TargetMode="External"/><Relationship Id="rId126" Type="http://schemas.openxmlformats.org/officeDocument/2006/relationships/hyperlink" Target="https://fbref.com/en/country/BRA/Brazil-Football" TargetMode="External"/><Relationship Id="rId1190" Type="http://schemas.openxmlformats.org/officeDocument/2006/relationships/hyperlink" Target="https://fbref.com/en/country/GER/Germany-Football" TargetMode="External"/><Relationship Id="rId1191" Type="http://schemas.openxmlformats.org/officeDocument/2006/relationships/hyperlink" Target="https://fbref.com/en/squads/cd051869/Brentford-Stats" TargetMode="External"/><Relationship Id="rId1192" Type="http://schemas.openxmlformats.org/officeDocument/2006/relationships/hyperlink" Target="https://fbref.com/en/players/8449d35e/matchlogs/2025-2026/summary/Vitaly-Janelt-Match-Logs" TargetMode="External"/><Relationship Id="rId1193" Type="http://schemas.openxmlformats.org/officeDocument/2006/relationships/hyperlink" Target="https://fbref.com/en/players/0f134faf/Mathias-Jensen" TargetMode="External"/><Relationship Id="rId2040" Type="http://schemas.openxmlformats.org/officeDocument/2006/relationships/hyperlink" Target="https://fbref.com/en/players/b96cec48/Sam-Proctor" TargetMode="External"/><Relationship Id="rId121" Type="http://schemas.openxmlformats.org/officeDocument/2006/relationships/hyperlink" Target="https://fbref.com/en/players/de31038e/Elliot-Anderson" TargetMode="External"/><Relationship Id="rId1194" Type="http://schemas.openxmlformats.org/officeDocument/2006/relationships/hyperlink" Target="https://fbref.com/en/country/DEN/Denmark-Football" TargetMode="External"/><Relationship Id="rId2041" Type="http://schemas.openxmlformats.org/officeDocument/2006/relationships/hyperlink" Target="https://fbref.com/en/country/ENG/England-Football" TargetMode="External"/><Relationship Id="rId120" Type="http://schemas.openxmlformats.org/officeDocument/2006/relationships/hyperlink" Target="https://fbref.com/en/players/e34fc66d/matchlogs/2025-2026/summary/Joachim-Andersen-Match-Logs" TargetMode="External"/><Relationship Id="rId1195" Type="http://schemas.openxmlformats.org/officeDocument/2006/relationships/hyperlink" Target="https://fbref.com/en/squads/cd051869/Brentford-Stats" TargetMode="External"/><Relationship Id="rId2042" Type="http://schemas.openxmlformats.org/officeDocument/2006/relationships/hyperlink" Target="https://fbref.com/en/squads/8602292d/Aston-Villa-Stats" TargetMode="External"/><Relationship Id="rId1196" Type="http://schemas.openxmlformats.org/officeDocument/2006/relationships/hyperlink" Target="https://fbref.com/en/players/0f134faf/matchlogs/2025-2026/summary/Mathias-Jensen-Match-Logs" TargetMode="External"/><Relationship Id="rId2043" Type="http://schemas.openxmlformats.org/officeDocument/2006/relationships/hyperlink" Target="https://fbref.com/en/players/b96cec48/matchlogs/2025-2026/summary/Sam-Proctor-Match-Logs" TargetMode="External"/><Relationship Id="rId1197" Type="http://schemas.openxmlformats.org/officeDocument/2006/relationships/hyperlink" Target="https://fbref.com/en/players/b66315ae/Gabriel-Jesus" TargetMode="External"/><Relationship Id="rId2044" Type="http://schemas.openxmlformats.org/officeDocument/2006/relationships/hyperlink" Target="https://fbref.com/en/players/45685411/Jesurun-Rak-Sakyi" TargetMode="External"/><Relationship Id="rId125" Type="http://schemas.openxmlformats.org/officeDocument/2006/relationships/hyperlink" Target="https://fbref.com/en/players/ec604e2c/Andre" TargetMode="External"/><Relationship Id="rId1198" Type="http://schemas.openxmlformats.org/officeDocument/2006/relationships/hyperlink" Target="https://fbref.com/en/country/BRA/Brazil-Football" TargetMode="External"/><Relationship Id="rId2045" Type="http://schemas.openxmlformats.org/officeDocument/2006/relationships/hyperlink" Target="https://fbref.com/en/country/GHA/Ghana-Football" TargetMode="External"/><Relationship Id="rId124" Type="http://schemas.openxmlformats.org/officeDocument/2006/relationships/hyperlink" Target="https://fbref.com/en/players/de31038e/matchlogs/2025-2026/summary/Elliot-Anderson-Match-Logs" TargetMode="External"/><Relationship Id="rId1199" Type="http://schemas.openxmlformats.org/officeDocument/2006/relationships/hyperlink" Target="https://fbref.com/en/squads/18bb7c10/Arsenal-Stats" TargetMode="External"/><Relationship Id="rId2046" Type="http://schemas.openxmlformats.org/officeDocument/2006/relationships/hyperlink" Target="https://fbref.com/en/squads/47c64c55/Crystal-Palace-Stats" TargetMode="External"/><Relationship Id="rId123" Type="http://schemas.openxmlformats.org/officeDocument/2006/relationships/hyperlink" Target="https://fbref.com/en/squads/e4a775cb/Nottingham-Forest-Stats" TargetMode="External"/><Relationship Id="rId2047" Type="http://schemas.openxmlformats.org/officeDocument/2006/relationships/hyperlink" Target="https://fbref.com/en/players/45685411/matchlogs/2025-2026/summary/Jesurun-Rak-Sakyi-Match-Logs" TargetMode="External"/><Relationship Id="rId122" Type="http://schemas.openxmlformats.org/officeDocument/2006/relationships/hyperlink" Target="https://fbref.com/en/country/ENG/England-Football" TargetMode="External"/><Relationship Id="rId2048" Type="http://schemas.openxmlformats.org/officeDocument/2006/relationships/hyperlink" Target="https://fbref.com/en/players/cc9256ef/Largie-Ramazani" TargetMode="External"/><Relationship Id="rId2038" Type="http://schemas.openxmlformats.org/officeDocument/2006/relationships/hyperlink" Target="https://fbref.com/en/squads/7c21e445/West-Ham-United-Stats" TargetMode="External"/><Relationship Id="rId2039" Type="http://schemas.openxmlformats.org/officeDocument/2006/relationships/hyperlink" Target="https://fbref.com/en/players/86bf27f0/matchlogs/2025-2026/summary/Freddie-Potts-Match-Logs" TargetMode="External"/><Relationship Id="rId118" Type="http://schemas.openxmlformats.org/officeDocument/2006/relationships/hyperlink" Target="https://fbref.com/en/country/DEN/Denmark-Football" TargetMode="External"/><Relationship Id="rId117" Type="http://schemas.openxmlformats.org/officeDocument/2006/relationships/hyperlink" Target="https://fbref.com/en/players/e34fc66d/Joachim-Andersen" TargetMode="External"/><Relationship Id="rId116" Type="http://schemas.openxmlformats.org/officeDocument/2006/relationships/hyperlink" Target="https://fbref.com/en/players/10b9fa99/matchlogs/2025-2026/summary/Ethan-Ampadu-Match-Logs" TargetMode="External"/><Relationship Id="rId115" Type="http://schemas.openxmlformats.org/officeDocument/2006/relationships/hyperlink" Target="https://fbref.com/en/squads/5bfb9659/Leeds-United-Stats" TargetMode="External"/><Relationship Id="rId599" Type="http://schemas.openxmlformats.org/officeDocument/2006/relationships/hyperlink" Target="https://fbref.com/en/squads/47c64c55/Crystal-Palace-Stats" TargetMode="External"/><Relationship Id="rId1180" Type="http://schemas.openxmlformats.org/officeDocument/2006/relationships/hyperlink" Target="https://fbref.com/en/players/6ca5ec4b/matchlogs/2025-2026/summary/Alex-Iwobi-Match-Logs" TargetMode="External"/><Relationship Id="rId1181" Type="http://schemas.openxmlformats.org/officeDocument/2006/relationships/hyperlink" Target="https://fbref.com/en/players/c931d9f9/Daniel-James" TargetMode="External"/><Relationship Id="rId119" Type="http://schemas.openxmlformats.org/officeDocument/2006/relationships/hyperlink" Target="https://fbref.com/en/squads/fd962109/Fulham-Stats" TargetMode="External"/><Relationship Id="rId1182" Type="http://schemas.openxmlformats.org/officeDocument/2006/relationships/hyperlink" Target="https://fbref.com/en/country/WAL/Wales-Football" TargetMode="External"/><Relationship Id="rId110" Type="http://schemas.openxmlformats.org/officeDocument/2006/relationships/hyperlink" Target="https://fbref.com/en/country/ENG/England-Football" TargetMode="External"/><Relationship Id="rId594" Type="http://schemas.openxmlformats.org/officeDocument/2006/relationships/hyperlink" Target="https://fbref.com/en/country/ENG/England-Football" TargetMode="External"/><Relationship Id="rId1183" Type="http://schemas.openxmlformats.org/officeDocument/2006/relationships/hyperlink" Target="https://fbref.com/en/squads/5bfb9659/Leeds-United-Stats" TargetMode="External"/><Relationship Id="rId2030" Type="http://schemas.openxmlformats.org/officeDocument/2006/relationships/hyperlink" Target="https://fbref.com/en/squads/b2b47a98/Newcastle-United-Stats" TargetMode="External"/><Relationship Id="rId593" Type="http://schemas.openxmlformats.org/officeDocument/2006/relationships/hyperlink" Target="https://fbref.com/en/players/bbfe0e5d/Jesse-Derry" TargetMode="External"/><Relationship Id="rId1184" Type="http://schemas.openxmlformats.org/officeDocument/2006/relationships/hyperlink" Target="https://fbref.com/en/players/c931d9f9/matchlogs/2025-2026/summary/Daniel-James-Match-Logs" TargetMode="External"/><Relationship Id="rId2031" Type="http://schemas.openxmlformats.org/officeDocument/2006/relationships/hyperlink" Target="https://fbref.com/en/players/4b40d9ca/matchlogs/2025-2026/summary/Nick-Pope-Match-Logs" TargetMode="External"/><Relationship Id="rId592" Type="http://schemas.openxmlformats.org/officeDocument/2006/relationships/hyperlink" Target="https://fbref.com/en/players/d8edc4be/matchlogs/2025-2026/summary/Will-Dennis-Match-Logs" TargetMode="External"/><Relationship Id="rId1185" Type="http://schemas.openxmlformats.org/officeDocument/2006/relationships/hyperlink" Target="https://fbref.com/en/players/1265a93a/Reece-James" TargetMode="External"/><Relationship Id="rId2032" Type="http://schemas.openxmlformats.org/officeDocument/2006/relationships/hyperlink" Target="https://fbref.com/en/players/27d0a506/Pedro-Porro" TargetMode="External"/><Relationship Id="rId591" Type="http://schemas.openxmlformats.org/officeDocument/2006/relationships/hyperlink" Target="https://fbref.com/en/squads/4ba7cbea/Bournemouth-Stats" TargetMode="External"/><Relationship Id="rId1186" Type="http://schemas.openxmlformats.org/officeDocument/2006/relationships/hyperlink" Target="https://fbref.com/en/country/ENG/England-Football" TargetMode="External"/><Relationship Id="rId2033" Type="http://schemas.openxmlformats.org/officeDocument/2006/relationships/hyperlink" Target="https://fbref.com/en/country/ESP/Spain-Football" TargetMode="External"/><Relationship Id="rId114" Type="http://schemas.openxmlformats.org/officeDocument/2006/relationships/hyperlink" Target="https://fbref.com/en/country/WAL/Wales-Football" TargetMode="External"/><Relationship Id="rId598" Type="http://schemas.openxmlformats.org/officeDocument/2006/relationships/hyperlink" Target="https://fbref.com/en/country/NIR/Northern-Ireland-Football" TargetMode="External"/><Relationship Id="rId1187" Type="http://schemas.openxmlformats.org/officeDocument/2006/relationships/hyperlink" Target="https://fbref.com/en/squads/cff3d9bb/Chelsea-Stats" TargetMode="External"/><Relationship Id="rId2034" Type="http://schemas.openxmlformats.org/officeDocument/2006/relationships/hyperlink" Target="https://fbref.com/en/squads/361ca564/Tottenham-Hotspur-Stats" TargetMode="External"/><Relationship Id="rId113" Type="http://schemas.openxmlformats.org/officeDocument/2006/relationships/hyperlink" Target="https://fbref.com/en/players/10b9fa99/Ethan-Ampadu" TargetMode="External"/><Relationship Id="rId597" Type="http://schemas.openxmlformats.org/officeDocument/2006/relationships/hyperlink" Target="https://fbref.com/en/players/6c2b66fc/Justin-Devenny" TargetMode="External"/><Relationship Id="rId1188" Type="http://schemas.openxmlformats.org/officeDocument/2006/relationships/hyperlink" Target="https://fbref.com/en/players/1265a93a/matchlogs/2025-2026/summary/Reece-James-Match-Logs" TargetMode="External"/><Relationship Id="rId2035" Type="http://schemas.openxmlformats.org/officeDocument/2006/relationships/hyperlink" Target="https://fbref.com/en/players/27d0a506/matchlogs/2025-2026/summary/Pedro-Porro-Match-Logs" TargetMode="External"/><Relationship Id="rId112" Type="http://schemas.openxmlformats.org/officeDocument/2006/relationships/hyperlink" Target="https://fbref.com/en/players/2835bfe1/matchlogs/2025-2026/summary/Samuel-Amissah-Match-Logs" TargetMode="External"/><Relationship Id="rId596" Type="http://schemas.openxmlformats.org/officeDocument/2006/relationships/hyperlink" Target="https://fbref.com/en/players/bbfe0e5d/matchlogs/2025-2026/summary/Jesse-Derry-Match-Logs" TargetMode="External"/><Relationship Id="rId1189" Type="http://schemas.openxmlformats.org/officeDocument/2006/relationships/hyperlink" Target="https://fbref.com/en/players/8449d35e/Vitaly-Janelt" TargetMode="External"/><Relationship Id="rId2036" Type="http://schemas.openxmlformats.org/officeDocument/2006/relationships/hyperlink" Target="https://fbref.com/en/players/86bf27f0/Freddie-Potts" TargetMode="External"/><Relationship Id="rId111" Type="http://schemas.openxmlformats.org/officeDocument/2006/relationships/hyperlink" Target="https://fbref.com/en/squads/fd962109/Fulham-Stats" TargetMode="External"/><Relationship Id="rId595" Type="http://schemas.openxmlformats.org/officeDocument/2006/relationships/hyperlink" Target="https://fbref.com/en/squads/cff3d9bb/Chelsea-Stats" TargetMode="External"/><Relationship Id="rId2037" Type="http://schemas.openxmlformats.org/officeDocument/2006/relationships/hyperlink" Target="https://fbref.com/en/country/ENG/England-Football" TargetMode="External"/><Relationship Id="rId1136" Type="http://schemas.openxmlformats.org/officeDocument/2006/relationships/hyperlink" Target="https://fbref.com/en/players/4fa3a3a4/matchlogs/2025-2026/summary/Trai-Hume-Match-Logs" TargetMode="External"/><Relationship Id="rId2467" Type="http://schemas.openxmlformats.org/officeDocument/2006/relationships/hyperlink" Target="https://fbref.com/en/players/aeca7743/Jackson-Tchatchoua" TargetMode="External"/><Relationship Id="rId1137" Type="http://schemas.openxmlformats.org/officeDocument/2006/relationships/hyperlink" Target="https://fbref.com/en/players/d2b32e91/Bashir-Humphreys" TargetMode="External"/><Relationship Id="rId2468" Type="http://schemas.openxmlformats.org/officeDocument/2006/relationships/hyperlink" Target="https://fbref.com/en/country/CMR/Cameroon-Football" TargetMode="External"/><Relationship Id="rId1138" Type="http://schemas.openxmlformats.org/officeDocument/2006/relationships/hyperlink" Target="https://fbref.com/en/country/ENG/England-Football" TargetMode="External"/><Relationship Id="rId2469" Type="http://schemas.openxmlformats.org/officeDocument/2006/relationships/hyperlink" Target="https://fbref.com/en/squads/8cec06e1/Wolverhampton-Wanderers-Stats" TargetMode="External"/><Relationship Id="rId1139" Type="http://schemas.openxmlformats.org/officeDocument/2006/relationships/hyperlink" Target="https://fbref.com/en/squads/943e8050/Burnley-Stats" TargetMode="External"/><Relationship Id="rId547" Type="http://schemas.openxmlformats.org/officeDocument/2006/relationships/hyperlink" Target="https://fbref.com/en/squads/19538871/Manchester-United-Stats" TargetMode="External"/><Relationship Id="rId546" Type="http://schemas.openxmlformats.org/officeDocument/2006/relationships/hyperlink" Target="https://fbref.com/en/country/BRA/Brazil-Football" TargetMode="External"/><Relationship Id="rId545" Type="http://schemas.openxmlformats.org/officeDocument/2006/relationships/hyperlink" Target="https://fbref.com/en/players/dc62b55d/Matheus-Cunha" TargetMode="External"/><Relationship Id="rId544" Type="http://schemas.openxmlformats.org/officeDocument/2006/relationships/hyperlink" Target="https://fbref.com/en/players/ac31d35e/matchlogs/2025-2026/summary/Jair-Cunha-Match-Logs" TargetMode="External"/><Relationship Id="rId549" Type="http://schemas.openxmlformats.org/officeDocument/2006/relationships/hyperlink" Target="https://fbref.com/en/players/c96b1407/Malcom-Dacosta" TargetMode="External"/><Relationship Id="rId548" Type="http://schemas.openxmlformats.org/officeDocument/2006/relationships/hyperlink" Target="https://fbref.com/en/players/dc62b55d/matchlogs/2025-2026/summary/Matheus-Cunha-Match-Logs" TargetMode="External"/><Relationship Id="rId2460" Type="http://schemas.openxmlformats.org/officeDocument/2006/relationships/hyperlink" Target="https://fbref.com/en/country/ENG/England-Football" TargetMode="External"/><Relationship Id="rId1130" Type="http://schemas.openxmlformats.org/officeDocument/2006/relationships/hyperlink" Target="https://fbref.com/en/country/ENG/England-Football" TargetMode="External"/><Relationship Id="rId2461" Type="http://schemas.openxmlformats.org/officeDocument/2006/relationships/hyperlink" Target="https://fbref.com/en/squads/4ba7cbea/Bournemouth-Stats" TargetMode="External"/><Relationship Id="rId1131" Type="http://schemas.openxmlformats.org/officeDocument/2006/relationships/hyperlink" Target="https://fbref.com/en/squads/47c64c55/Crystal-Palace-Stats" TargetMode="External"/><Relationship Id="rId2462" Type="http://schemas.openxmlformats.org/officeDocument/2006/relationships/hyperlink" Target="https://fbref.com/en/players/5c0da4a4/matchlogs/2025-2026/summary/Marcus-Tavernier-Match-Logs" TargetMode="External"/><Relationship Id="rId543" Type="http://schemas.openxmlformats.org/officeDocument/2006/relationships/hyperlink" Target="https://fbref.com/en/squads/e4a775cb/Nottingham-Forest-Stats" TargetMode="External"/><Relationship Id="rId1132" Type="http://schemas.openxmlformats.org/officeDocument/2006/relationships/hyperlink" Target="https://fbref.com/en/players/a0666d3e/matchlogs/2025-2026/summary/Will-Hughes-Match-Logs" TargetMode="External"/><Relationship Id="rId2463" Type="http://schemas.openxmlformats.org/officeDocument/2006/relationships/hyperlink" Target="https://fbref.com/en/players/a3c8b4d3/Loum-Tchaouna" TargetMode="External"/><Relationship Id="rId542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4fa3a3a4/Trai-Hume" TargetMode="External"/><Relationship Id="rId2464" Type="http://schemas.openxmlformats.org/officeDocument/2006/relationships/hyperlink" Target="https://fbref.com/en/country/FRA/France-Football" TargetMode="External"/><Relationship Id="rId541" Type="http://schemas.openxmlformats.org/officeDocument/2006/relationships/hyperlink" Target="https://fbref.com/en/players/ac31d35e/Jair-Cunha" TargetMode="External"/><Relationship Id="rId1134" Type="http://schemas.openxmlformats.org/officeDocument/2006/relationships/hyperlink" Target="https://fbref.com/en/country/NIR/Northern-Ireland-Football" TargetMode="External"/><Relationship Id="rId2465" Type="http://schemas.openxmlformats.org/officeDocument/2006/relationships/hyperlink" Target="https://fbref.com/en/squads/943e8050/Burnley-Stats" TargetMode="External"/><Relationship Id="rId540" Type="http://schemas.openxmlformats.org/officeDocument/2006/relationships/hyperlink" Target="https://fbref.com/en/players/f6d7d690/matchlogs/2025-2026/summary/Josh-Cullen-Match-Logs" TargetMode="External"/><Relationship Id="rId1135" Type="http://schemas.openxmlformats.org/officeDocument/2006/relationships/hyperlink" Target="https://fbref.com/en/squads/8ef52968/Sunderland-Stats" TargetMode="External"/><Relationship Id="rId2466" Type="http://schemas.openxmlformats.org/officeDocument/2006/relationships/hyperlink" Target="https://fbref.com/en/players/a3c8b4d3/matchlogs/2025-2026/summary/Loum-Tchaouna-Match-Logs" TargetMode="External"/><Relationship Id="rId1125" Type="http://schemas.openxmlformats.org/officeDocument/2006/relationships/hyperlink" Target="https://fbref.com/en/players/15f3ec41/Callum-Hudson-Odoi" TargetMode="External"/><Relationship Id="rId2456" Type="http://schemas.openxmlformats.org/officeDocument/2006/relationships/hyperlink" Target="https://fbref.com/en/country/ENG/England-Football" TargetMode="External"/><Relationship Id="rId1126" Type="http://schemas.openxmlformats.org/officeDocument/2006/relationships/hyperlink" Target="https://fbref.com/en/country/ENG/England-Football" TargetMode="External"/><Relationship Id="rId2457" Type="http://schemas.openxmlformats.org/officeDocument/2006/relationships/hyperlink" Target="https://fbref.com/en/squads/d07537b9/Brighton-and-Hove-Albion-Stats" TargetMode="External"/><Relationship Id="rId1127" Type="http://schemas.openxmlformats.org/officeDocument/2006/relationships/hyperlink" Target="https://fbref.com/en/squads/e4a775cb/Nottingham-Forest-Stats" TargetMode="External"/><Relationship Id="rId2458" Type="http://schemas.openxmlformats.org/officeDocument/2006/relationships/hyperlink" Target="https://fbref.com/en/players/c155dd7d/matchlogs/2025-2026/summary/Charlie-Tasker-Match-Logs" TargetMode="External"/><Relationship Id="rId1128" Type="http://schemas.openxmlformats.org/officeDocument/2006/relationships/hyperlink" Target="https://fbref.com/en/players/15f3ec41/matchlogs/2025-2026/summary/Callum-Hudson-Odoi-Match-Logs" TargetMode="External"/><Relationship Id="rId2459" Type="http://schemas.openxmlformats.org/officeDocument/2006/relationships/hyperlink" Target="https://fbref.com/en/players/5c0da4a4/Marcus-Tavernier" TargetMode="External"/><Relationship Id="rId1129" Type="http://schemas.openxmlformats.org/officeDocument/2006/relationships/hyperlink" Target="https://fbref.com/en/players/a0666d3e/Will-Hughes" TargetMode="External"/><Relationship Id="rId536" Type="http://schemas.openxmlformats.org/officeDocument/2006/relationships/hyperlink" Target="https://fbref.com/en/players/0abc51f2/matchlogs/2025-2026/summary/Jorge-Cuenca-Match-Logs" TargetMode="External"/><Relationship Id="rId535" Type="http://schemas.openxmlformats.org/officeDocument/2006/relationships/hyperlink" Target="https://fbref.com/en/squads/fd962109/Fulham-Stats" TargetMode="External"/><Relationship Id="rId534" Type="http://schemas.openxmlformats.org/officeDocument/2006/relationships/hyperlink" Target="https://fbref.com/en/country/ESP/Spain-Football" TargetMode="External"/><Relationship Id="rId533" Type="http://schemas.openxmlformats.org/officeDocument/2006/relationships/hyperlink" Target="https://fbref.com/en/players/0abc51f2/Jorge-Cuenca" TargetMode="External"/><Relationship Id="rId539" Type="http://schemas.openxmlformats.org/officeDocument/2006/relationships/hyperlink" Target="https://fbref.com/en/squads/943e8050/Burnley-Stats" TargetMode="External"/><Relationship Id="rId538" Type="http://schemas.openxmlformats.org/officeDocument/2006/relationships/hyperlink" Target="https://fbref.com/en/country/IRL/Republic-of-Ireland-Football" TargetMode="External"/><Relationship Id="rId537" Type="http://schemas.openxmlformats.org/officeDocument/2006/relationships/hyperlink" Target="https://fbref.com/en/players/f6d7d690/Josh-Cullen" TargetMode="External"/><Relationship Id="rId2450" Type="http://schemas.openxmlformats.org/officeDocument/2006/relationships/hyperlink" Target="https://fbref.com/en/players/1d36d6b6/matchlogs/2025-2026/summary/Ao-Tanaka-Match-Logs" TargetMode="External"/><Relationship Id="rId1120" Type="http://schemas.openxmlformats.org/officeDocument/2006/relationships/hyperlink" Target="https://fbref.com/en/players/74ab11a7/matchlogs/2025-2026/summary/Ronnie-Hollingshead-Match-Logs" TargetMode="External"/><Relationship Id="rId2451" Type="http://schemas.openxmlformats.org/officeDocument/2006/relationships/hyperlink" Target="https://fbref.com/en/players/15ea812b/James-Tarkowski" TargetMode="External"/><Relationship Id="rId532" Type="http://schemas.openxmlformats.org/officeDocument/2006/relationships/hyperlink" Target="https://fbref.com/en/players/1daec722/matchlogs/2025-2026/summary/Marc-Cucurella-Match-Logs" TargetMode="External"/><Relationship Id="rId1121" Type="http://schemas.openxmlformats.org/officeDocument/2006/relationships/hyperlink" Target="https://fbref.com/en/players/d8a7e52c/Harry-Howell" TargetMode="External"/><Relationship Id="rId2452" Type="http://schemas.openxmlformats.org/officeDocument/2006/relationships/hyperlink" Target="https://fbref.com/en/country/ENG/England-Football" TargetMode="External"/><Relationship Id="rId531" Type="http://schemas.openxmlformats.org/officeDocument/2006/relationships/hyperlink" Target="https://fbref.com/en/squads/cff3d9bb/Chelsea-Stats" TargetMode="External"/><Relationship Id="rId1122" Type="http://schemas.openxmlformats.org/officeDocument/2006/relationships/hyperlink" Target="https://fbref.com/en/country/ENG/England-Football" TargetMode="External"/><Relationship Id="rId2453" Type="http://schemas.openxmlformats.org/officeDocument/2006/relationships/hyperlink" Target="https://fbref.com/en/squads/d3fd31cc/Everton-Stats" TargetMode="External"/><Relationship Id="rId530" Type="http://schemas.openxmlformats.org/officeDocument/2006/relationships/hyperlink" Target="https://fbref.com/en/country/ESP/Spain-Football" TargetMode="External"/><Relationship Id="rId1123" Type="http://schemas.openxmlformats.org/officeDocument/2006/relationships/hyperlink" Target="https://fbref.com/en/squads/d07537b9/Brighton-and-Hove-Albion-Stats" TargetMode="External"/><Relationship Id="rId2454" Type="http://schemas.openxmlformats.org/officeDocument/2006/relationships/hyperlink" Target="https://fbref.com/en/players/15ea812b/matchlogs/2025-2026/summary/James-Tarkowski-Match-Logs" TargetMode="External"/><Relationship Id="rId1124" Type="http://schemas.openxmlformats.org/officeDocument/2006/relationships/hyperlink" Target="https://fbref.com/en/players/d8a7e52c/matchlogs/2025-2026/summary/Harry-Howell-Match-Logs" TargetMode="External"/><Relationship Id="rId2455" Type="http://schemas.openxmlformats.org/officeDocument/2006/relationships/hyperlink" Target="https://fbref.com/en/players/c155dd7d/Charlie-Tasker" TargetMode="External"/><Relationship Id="rId1158" Type="http://schemas.openxmlformats.org/officeDocument/2006/relationships/hyperlink" Target="https://fbref.com/en/country/ENG/England-Football" TargetMode="External"/><Relationship Id="rId2005" Type="http://schemas.openxmlformats.org/officeDocument/2006/relationships/hyperlink" Target="https://fbref.com/en/country/ENG/England-Football" TargetMode="External"/><Relationship Id="rId2489" Type="http://schemas.openxmlformats.org/officeDocument/2006/relationships/hyperlink" Target="https://fbref.com/en/squads/19538871/Manchester-United-Stats" TargetMode="External"/><Relationship Id="rId1159" Type="http://schemas.openxmlformats.org/officeDocument/2006/relationships/hyperlink" Target="https://fbref.com/en/squads/47c64c55/Crystal-Palace-Stats" TargetMode="External"/><Relationship Id="rId2006" Type="http://schemas.openxmlformats.org/officeDocument/2006/relationships/hyperlink" Target="https://fbref.com/en/squads/d3fd31cc/Everton-Stats" TargetMode="External"/><Relationship Id="rId2007" Type="http://schemas.openxmlformats.org/officeDocument/2006/relationships/hyperlink" Target="https://fbref.com/en/players/4806ec67/matchlogs/2025-2026/summary/Jordan-Pickford-Match-Logs" TargetMode="External"/><Relationship Id="rId2008" Type="http://schemas.openxmlformats.org/officeDocument/2006/relationships/hyperlink" Target="https://fbref.com/en/players/b928f19e/Oliver-Pimlott" TargetMode="External"/><Relationship Id="rId2009" Type="http://schemas.openxmlformats.org/officeDocument/2006/relationships/hyperlink" Target="https://fbref.com/en/country/ENG/England-Football" TargetMode="External"/><Relationship Id="rId569" Type="http://schemas.openxmlformats.org/officeDocument/2006/relationships/hyperlink" Target="https://fbref.com/en/players/60344e4f/Josh-Dasilva" TargetMode="External"/><Relationship Id="rId568" Type="http://schemas.openxmlformats.org/officeDocument/2006/relationships/hyperlink" Target="https://fbref.com/en/players/cde3309f/matchlogs/2025-2026/summary/Karl-Darlow-Match-Logs" TargetMode="External"/><Relationship Id="rId567" Type="http://schemas.openxmlformats.org/officeDocument/2006/relationships/hyperlink" Target="https://fbref.com/en/squads/5bfb9659/Leeds-United-Stats" TargetMode="External"/><Relationship Id="rId566" Type="http://schemas.openxmlformats.org/officeDocument/2006/relationships/hyperlink" Target="https://fbref.com/en/country/WAL/Wales-Football" TargetMode="External"/><Relationship Id="rId2480" Type="http://schemas.openxmlformats.org/officeDocument/2006/relationships/hyperlink" Target="https://fbref.com/en/country/BRA/Brazil-Football" TargetMode="External"/><Relationship Id="rId561" Type="http://schemas.openxmlformats.org/officeDocument/2006/relationships/hyperlink" Target="https://fbref.com/en/players/6e33125f/Kevin-Danso" TargetMode="External"/><Relationship Id="rId1150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squads/cd051869/Brentford-Stats" TargetMode="External"/><Relationship Id="rId560" Type="http://schemas.openxmlformats.org/officeDocument/2006/relationships/hyperlink" Target="https://fbref.com/en/players/215f3907/matchlogs/2025-2026/summary/Mikkel-Damsgaard-Match-Logs" TargetMode="External"/><Relationship Id="rId1151" Type="http://schemas.openxmlformats.org/officeDocument/2006/relationships/hyperlink" Target="https://fbref.com/en/squads/7c21e445/West-Ham-United-Stats" TargetMode="External"/><Relationship Id="rId2482" Type="http://schemas.openxmlformats.org/officeDocument/2006/relationships/hyperlink" Target="https://fbref.com/en/players/dc45ac24/matchlogs/2025-2026/summary/Igor-Thiago-Match-Logs" TargetMode="External"/><Relationship Id="rId1152" Type="http://schemas.openxmlformats.org/officeDocument/2006/relationships/hyperlink" Target="https://fbref.com/en/players/a4e85758/matchlogs/2025-2026/summary/Igor-Match-Logs" TargetMode="External"/><Relationship Id="rId2483" Type="http://schemas.openxmlformats.org/officeDocument/2006/relationships/hyperlink" Target="https://fbref.com/en/players/ff5ea0bf/Malick-Thiaw" TargetMode="External"/><Relationship Id="rId1153" Type="http://schemas.openxmlformats.org/officeDocument/2006/relationships/hyperlink" Target="https://fbref.com/en/players/ba492306/Samuel-Iling-Junior" TargetMode="External"/><Relationship Id="rId2000" Type="http://schemas.openxmlformats.org/officeDocument/2006/relationships/hyperlink" Target="https://fbref.com/en/players/0cf321c8/Djordje-Petrovic" TargetMode="External"/><Relationship Id="rId2484" Type="http://schemas.openxmlformats.org/officeDocument/2006/relationships/hyperlink" Target="https://fbref.com/en/country/GER/Germany-Football" TargetMode="External"/><Relationship Id="rId565" Type="http://schemas.openxmlformats.org/officeDocument/2006/relationships/hyperlink" Target="https://fbref.com/en/players/cde3309f/Karl-Darlow" TargetMode="External"/><Relationship Id="rId1154" Type="http://schemas.openxmlformats.org/officeDocument/2006/relationships/hyperlink" Target="https://fbref.com/en/country/ENG/England-Football" TargetMode="External"/><Relationship Id="rId2001" Type="http://schemas.openxmlformats.org/officeDocument/2006/relationships/hyperlink" Target="https://fbref.com/en/country/SRB/Serbia-Football" TargetMode="External"/><Relationship Id="rId2485" Type="http://schemas.openxmlformats.org/officeDocument/2006/relationships/hyperlink" Target="https://fbref.com/en/squads/b2b47a98/Newcastle-United-Stats" TargetMode="External"/><Relationship Id="rId564" Type="http://schemas.openxmlformats.org/officeDocument/2006/relationships/hyperlink" Target="https://fbref.com/en/players/6e33125f/matchlogs/2025-2026/summary/Kevin-Danso-Match-Logs" TargetMode="External"/><Relationship Id="rId1155" Type="http://schemas.openxmlformats.org/officeDocument/2006/relationships/hyperlink" Target="https://fbref.com/en/squads/8602292d/Aston-Villa-Stats" TargetMode="External"/><Relationship Id="rId2002" Type="http://schemas.openxmlformats.org/officeDocument/2006/relationships/hyperlink" Target="https://fbref.com/en/squads/4ba7cbea/Bournemouth-Stats" TargetMode="External"/><Relationship Id="rId2486" Type="http://schemas.openxmlformats.org/officeDocument/2006/relationships/hyperlink" Target="https://fbref.com/en/players/ff5ea0bf/matchlogs/2025-2026/summary/Malick-Thiaw-Match-Logs" TargetMode="External"/><Relationship Id="rId563" Type="http://schemas.openxmlformats.org/officeDocument/2006/relationships/hyperlink" Target="https://fbref.com/en/squads/361ca564/Tottenham-Hotspur-Stats" TargetMode="External"/><Relationship Id="rId1156" Type="http://schemas.openxmlformats.org/officeDocument/2006/relationships/hyperlink" Target="https://fbref.com/en/players/ba492306/matchlogs/2025-2026/summary/Samuel-Iling-Junior-Match-Logs" TargetMode="External"/><Relationship Id="rId2003" Type="http://schemas.openxmlformats.org/officeDocument/2006/relationships/hyperlink" Target="https://fbref.com/en/players/0cf321c8/matchlogs/2025-2026/summary/Djordje-Petrovic-Match-Logs" TargetMode="External"/><Relationship Id="rId2487" Type="http://schemas.openxmlformats.org/officeDocument/2006/relationships/hyperlink" Target="https://fbref.com/en/players/1b212310/Jim-Thwaites" TargetMode="External"/><Relationship Id="rId562" Type="http://schemas.openxmlformats.org/officeDocument/2006/relationships/hyperlink" Target="https://fbref.com/en/country/AUT/Austria-Football" TargetMode="External"/><Relationship Id="rId1157" Type="http://schemas.openxmlformats.org/officeDocument/2006/relationships/hyperlink" Target="https://fbref.com/en/players/c1395580/Danny-Imray" TargetMode="External"/><Relationship Id="rId2004" Type="http://schemas.openxmlformats.org/officeDocument/2006/relationships/hyperlink" Target="https://fbref.com/en/players/4806ec67/Jordan-Pickford" TargetMode="External"/><Relationship Id="rId2488" Type="http://schemas.openxmlformats.org/officeDocument/2006/relationships/hyperlink" Target="https://fbref.com/en/country/ENG/England-Football" TargetMode="External"/><Relationship Id="rId1147" Type="http://schemas.openxmlformats.org/officeDocument/2006/relationships/hyperlink" Target="https://fbref.com/en/squads/d07537b9/Brighton-and-Hove-Albion-Stats" TargetMode="External"/><Relationship Id="rId2478" Type="http://schemas.openxmlformats.org/officeDocument/2006/relationships/hyperlink" Target="https://fbref.com/en/players/77d7c96f/matchlogs/2025-2026/summary/Kenny-Tete-Match-Logs" TargetMode="External"/><Relationship Id="rId1148" Type="http://schemas.openxmlformats.org/officeDocument/2006/relationships/hyperlink" Target="https://fbref.com/en/players/a4e85758/matchlogs/2025-2026/summary/Igor-Match-Logs" TargetMode="External"/><Relationship Id="rId2479" Type="http://schemas.openxmlformats.org/officeDocument/2006/relationships/hyperlink" Target="https://fbref.com/en/players/dc45ac24/Igor-Thiago" TargetMode="External"/><Relationship Id="rId1149" Type="http://schemas.openxmlformats.org/officeDocument/2006/relationships/hyperlink" Target="https://fbref.com/en/players/a4e85758/Igor" TargetMode="External"/><Relationship Id="rId558" Type="http://schemas.openxmlformats.org/officeDocument/2006/relationships/hyperlink" Target="https://fbref.com/en/country/DEN/Denmark-Football" TargetMode="External"/><Relationship Id="rId557" Type="http://schemas.openxmlformats.org/officeDocument/2006/relationships/hyperlink" Target="https://fbref.com/en/players/215f3907/Mikkel-Damsgaard" TargetMode="External"/><Relationship Id="rId556" Type="http://schemas.openxmlformats.org/officeDocument/2006/relationships/hyperlink" Target="https://fbref.com/en/players/d9565625/matchlogs/2025-2026/summary/Diogo-Dalot-Match-Logs" TargetMode="External"/><Relationship Id="rId555" Type="http://schemas.openxmlformats.org/officeDocument/2006/relationships/hyperlink" Target="https://fbref.com/en/squads/19538871/Manchester-United-Stats" TargetMode="External"/><Relationship Id="rId559" Type="http://schemas.openxmlformats.org/officeDocument/2006/relationships/hyperlink" Target="https://fbref.com/en/squads/cd051869/Brentford-Stats" TargetMode="External"/><Relationship Id="rId550" Type="http://schemas.openxmlformats.org/officeDocument/2006/relationships/hyperlink" Target="https://fbref.com/en/country/ECU/Ecuador-Football" TargetMode="External"/><Relationship Id="rId2470" Type="http://schemas.openxmlformats.org/officeDocument/2006/relationships/hyperlink" Target="https://fbref.com/en/players/aeca7743/matchlogs/2025-2026/summary/Jackson-Tchatchoua-Match-Logs" TargetMode="External"/><Relationship Id="rId1140" Type="http://schemas.openxmlformats.org/officeDocument/2006/relationships/hyperlink" Target="https://fbref.com/en/players/d2b32e91/matchlogs/2025-2026/summary/Bashir-Humphreys-Match-Logs" TargetMode="External"/><Relationship Id="rId2471" Type="http://schemas.openxmlformats.org/officeDocument/2006/relationships/hyperlink" Target="https://fbref.com/en/players/829aa60c/Mathys-Tel" TargetMode="External"/><Relationship Id="rId1141" Type="http://schemas.openxmlformats.org/officeDocument/2006/relationships/hyperlink" Target="https://fbref.com/en/players/bd9553e6/Omari-Hutchinson" TargetMode="External"/><Relationship Id="rId2472" Type="http://schemas.openxmlformats.org/officeDocument/2006/relationships/hyperlink" Target="https://fbref.com/en/country/FRA/France-Football" TargetMode="External"/><Relationship Id="rId1142" Type="http://schemas.openxmlformats.org/officeDocument/2006/relationships/hyperlink" Target="https://fbref.com/en/country/ENG/England-Football" TargetMode="External"/><Relationship Id="rId2473" Type="http://schemas.openxmlformats.org/officeDocument/2006/relationships/hyperlink" Target="https://fbref.com/en/squads/361ca564/Tottenham-Hotspur-Stats" TargetMode="External"/><Relationship Id="rId554" Type="http://schemas.openxmlformats.org/officeDocument/2006/relationships/hyperlink" Target="https://fbref.com/en/country/POR/Portugal-Football" TargetMode="External"/><Relationship Id="rId1143" Type="http://schemas.openxmlformats.org/officeDocument/2006/relationships/hyperlink" Target="https://fbref.com/en/squads/e4a775cb/Nottingham-Forest-Stats" TargetMode="External"/><Relationship Id="rId2474" Type="http://schemas.openxmlformats.org/officeDocument/2006/relationships/hyperlink" Target="https://fbref.com/en/players/829aa60c/matchlogs/2025-2026/summary/Mathys-Tel-Match-Logs" TargetMode="External"/><Relationship Id="rId553" Type="http://schemas.openxmlformats.org/officeDocument/2006/relationships/hyperlink" Target="https://fbref.com/en/players/d9565625/Diogo-Dalot" TargetMode="External"/><Relationship Id="rId1144" Type="http://schemas.openxmlformats.org/officeDocument/2006/relationships/hyperlink" Target="https://fbref.com/en/players/bd9553e6/matchlogs/2025-2026/summary/Omari-Hutchinson-Match-Logs" TargetMode="External"/><Relationship Id="rId2475" Type="http://schemas.openxmlformats.org/officeDocument/2006/relationships/hyperlink" Target="https://fbref.com/en/players/77d7c96f/Kenny-Tete" TargetMode="External"/><Relationship Id="rId552" Type="http://schemas.openxmlformats.org/officeDocument/2006/relationships/hyperlink" Target="https://fbref.com/en/players/c96b1407/matchlogs/2025-2026/summary/Malcom-Dacosta-Match-Logs" TargetMode="External"/><Relationship Id="rId1145" Type="http://schemas.openxmlformats.org/officeDocument/2006/relationships/hyperlink" Target="https://fbref.com/en/players/a4e85758/Igor" TargetMode="External"/><Relationship Id="rId2476" Type="http://schemas.openxmlformats.org/officeDocument/2006/relationships/hyperlink" Target="https://fbref.com/en/country/NED/Netherlands-Football" TargetMode="External"/><Relationship Id="rId551" Type="http://schemas.openxmlformats.org/officeDocument/2006/relationships/hyperlink" Target="https://fbref.com/en/squads/4ba7cbea/Bournemouth-Stats" TargetMode="External"/><Relationship Id="rId1146" Type="http://schemas.openxmlformats.org/officeDocument/2006/relationships/hyperlink" Target="https://fbref.com/en/country/BRA/Brazil-Football" TargetMode="External"/><Relationship Id="rId2477" Type="http://schemas.openxmlformats.org/officeDocument/2006/relationships/hyperlink" Target="https://fbref.com/en/squads/fd962109/Fulham-Stats" TargetMode="External"/><Relationship Id="rId2090" Type="http://schemas.openxmlformats.org/officeDocument/2006/relationships/hyperlink" Target="https://fbref.com/en/squads/b8fd03ef/Manchester-City-Stats" TargetMode="External"/><Relationship Id="rId2091" Type="http://schemas.openxmlformats.org/officeDocument/2006/relationships/hyperlink" Target="https://fbref.com/en/players/afb61630/matchlogs/2025-2026/summary/Tijjani-Reijnders-Match-Logs" TargetMode="External"/><Relationship Id="rId2092" Type="http://schemas.openxmlformats.org/officeDocument/2006/relationships/hyperlink" Target="https://fbref.com/en/players/b3b9b8b8/Chadi-Riad" TargetMode="External"/><Relationship Id="rId2093" Type="http://schemas.openxmlformats.org/officeDocument/2006/relationships/hyperlink" Target="https://fbref.com/en/country/MAR/Morocco-Football" TargetMode="External"/><Relationship Id="rId2094" Type="http://schemas.openxmlformats.org/officeDocument/2006/relationships/hyperlink" Target="https://fbref.com/en/squads/47c64c55/Crystal-Palace-Stats" TargetMode="External"/><Relationship Id="rId2095" Type="http://schemas.openxmlformats.org/officeDocument/2006/relationships/hyperlink" Target="https://fbref.com/en/players/b3b9b8b8/matchlogs/2025-2026/summary/Chadi-Riad-Match-Logs" TargetMode="External"/><Relationship Id="rId2096" Type="http://schemas.openxmlformats.org/officeDocument/2006/relationships/hyperlink" Target="https://fbref.com/en/players/1c7012b8/Declan-Rice" TargetMode="External"/><Relationship Id="rId2097" Type="http://schemas.openxmlformats.org/officeDocument/2006/relationships/hyperlink" Target="https://fbref.com/en/country/ENG/England-Football" TargetMode="External"/><Relationship Id="rId2098" Type="http://schemas.openxmlformats.org/officeDocument/2006/relationships/hyperlink" Target="https://fbref.com/en/squads/18bb7c10/Arsenal-Stats" TargetMode="External"/><Relationship Id="rId2099" Type="http://schemas.openxmlformats.org/officeDocument/2006/relationships/hyperlink" Target="https://fbref.com/en/players/1c7012b8/matchlogs/2025-2026/summary/Declan-Rice-Match-Logs" TargetMode="External"/><Relationship Id="rId2060" Type="http://schemas.openxmlformats.org/officeDocument/2006/relationships/hyperlink" Target="https://fbref.com/en/players/e1618c22/Aaron-Ramsey" TargetMode="External"/><Relationship Id="rId2061" Type="http://schemas.openxmlformats.org/officeDocument/2006/relationships/hyperlink" Target="https://fbref.com/en/country/ENG/England-Football" TargetMode="External"/><Relationship Id="rId2062" Type="http://schemas.openxmlformats.org/officeDocument/2006/relationships/hyperlink" Target="https://fbref.com/en/squads/943e8050/Burnley-Stats" TargetMode="External"/><Relationship Id="rId2063" Type="http://schemas.openxmlformats.org/officeDocument/2006/relationships/hyperlink" Target="https://fbref.com/en/players/e1618c22/matchlogs/2025-2026/summary/Aaron-Ramsey-Match-Logs" TargetMode="External"/><Relationship Id="rId2064" Type="http://schemas.openxmlformats.org/officeDocument/2006/relationships/hyperlink" Target="https://fbref.com/en/players/1544f145/Jacob-Ramsey" TargetMode="External"/><Relationship Id="rId2065" Type="http://schemas.openxmlformats.org/officeDocument/2006/relationships/hyperlink" Target="https://fbref.com/en/country/ENG/England-Football" TargetMode="External"/><Relationship Id="rId2066" Type="http://schemas.openxmlformats.org/officeDocument/2006/relationships/hyperlink" Target="https://fbref.com/en/squads/b2b47a98/Newcastle-United-Stats" TargetMode="External"/><Relationship Id="rId2067" Type="http://schemas.openxmlformats.org/officeDocument/2006/relationships/hyperlink" Target="https://fbref.com/en/players/1544f145/matchlogs/2025-2026/summary/Jacob-Ramsey-Match-Logs" TargetMode="External"/><Relationship Id="rId2068" Type="http://schemas.openxmlformats.org/officeDocument/2006/relationships/hyperlink" Target="https://fbref.com/en/players/ba8a2a36/Luke-Rawlings" TargetMode="External"/><Relationship Id="rId2069" Type="http://schemas.openxmlformats.org/officeDocument/2006/relationships/hyperlink" Target="https://fbref.com/en/country/ENG/England-Football" TargetMode="External"/><Relationship Id="rId2050" Type="http://schemas.openxmlformats.org/officeDocument/2006/relationships/hyperlink" Target="https://fbref.com/en/squads/5bfb9659/Leeds-United-Stats" TargetMode="External"/><Relationship Id="rId2051" Type="http://schemas.openxmlformats.org/officeDocument/2006/relationships/hyperlink" Target="https://fbref.com/en/players/cc9256ef/matchlogs/2025-2026/summary/Largie-Ramazani-Match-Logs" TargetMode="External"/><Relationship Id="rId495" Type="http://schemas.openxmlformats.org/officeDocument/2006/relationships/hyperlink" Target="https://fbref.com/en/squads/fd962109/Fulham-Stats" TargetMode="External"/><Relationship Id="rId2052" Type="http://schemas.openxmlformats.org/officeDocument/2006/relationships/hyperlink" Target="https://fbref.com/en/players/d720e834/Calvin-Ramsay" TargetMode="External"/><Relationship Id="rId494" Type="http://schemas.openxmlformats.org/officeDocument/2006/relationships/hyperlink" Target="https://fbref.com/en/country/NGA/Nigeria-Football" TargetMode="External"/><Relationship Id="rId2053" Type="http://schemas.openxmlformats.org/officeDocument/2006/relationships/hyperlink" Target="https://fbref.com/en/country/SCO/Scotland-Football" TargetMode="External"/><Relationship Id="rId493" Type="http://schemas.openxmlformats.org/officeDocument/2006/relationships/hyperlink" Target="https://fbref.com/en/players/b8a642fc/Samuel-Chukwueze" TargetMode="External"/><Relationship Id="rId2054" Type="http://schemas.openxmlformats.org/officeDocument/2006/relationships/hyperlink" Target="https://fbref.com/en/squads/822bd0ba/Liverpool-Stats" TargetMode="External"/><Relationship Id="rId492" Type="http://schemas.openxmlformats.org/officeDocument/2006/relationships/hyperlink" Target="https://fbref.com/en/players/26ce2263/matchlogs/2025-2026/summary/Ryan-Christie-Match-Logs" TargetMode="External"/><Relationship Id="rId2055" Type="http://schemas.openxmlformats.org/officeDocument/2006/relationships/hyperlink" Target="https://fbref.com/en/players/d720e834/matchlogs/2025-2026/summary/Calvin-Ramsay-Match-Logs" TargetMode="External"/><Relationship Id="rId499" Type="http://schemas.openxmlformats.org/officeDocument/2006/relationships/hyperlink" Target="https://fbref.com/en/squads/8ef52968/Sunderland-Stats" TargetMode="External"/><Relationship Id="rId2056" Type="http://schemas.openxmlformats.org/officeDocument/2006/relationships/hyperlink" Target="https://fbref.com/en/players/466fb2c5/Aaron-Ramsdale" TargetMode="External"/><Relationship Id="rId498" Type="http://schemas.openxmlformats.org/officeDocument/2006/relationships/hyperlink" Target="https://fbref.com/en/country/LVA/Latvia-Football" TargetMode="External"/><Relationship Id="rId2057" Type="http://schemas.openxmlformats.org/officeDocument/2006/relationships/hyperlink" Target="https://fbref.com/en/country/ENG/England-Football" TargetMode="External"/><Relationship Id="rId497" Type="http://schemas.openxmlformats.org/officeDocument/2006/relationships/hyperlink" Target="https://fbref.com/en/players/307ea3b6/Dennis-Cirkin" TargetMode="External"/><Relationship Id="rId2058" Type="http://schemas.openxmlformats.org/officeDocument/2006/relationships/hyperlink" Target="https://fbref.com/en/squads/b2b47a98/Newcastle-United-Stats" TargetMode="External"/><Relationship Id="rId496" Type="http://schemas.openxmlformats.org/officeDocument/2006/relationships/hyperlink" Target="https://fbref.com/en/players/b8a642fc/matchlogs/2025-2026/summary/Samuel-Chukwueze-Match-Logs" TargetMode="External"/><Relationship Id="rId2059" Type="http://schemas.openxmlformats.org/officeDocument/2006/relationships/hyperlink" Target="https://fbref.com/en/players/466fb2c5/matchlogs/2025-2026/summary/Aaron-Ramsdale-Match-Logs" TargetMode="External"/><Relationship Id="rId2080" Type="http://schemas.openxmlformats.org/officeDocument/2006/relationships/hyperlink" Target="https://fbref.com/en/players/803ae100/Harrison-Reed" TargetMode="External"/><Relationship Id="rId2081" Type="http://schemas.openxmlformats.org/officeDocument/2006/relationships/hyperlink" Target="https://fbref.com/en/country/ENG/England-Football" TargetMode="External"/><Relationship Id="rId2082" Type="http://schemas.openxmlformats.org/officeDocument/2006/relationships/hyperlink" Target="https://fbref.com/en/squads/fd962109/Fulham-Stats" TargetMode="External"/><Relationship Id="rId2083" Type="http://schemas.openxmlformats.org/officeDocument/2006/relationships/hyperlink" Target="https://fbref.com/en/players/803ae100/matchlogs/2025-2026/summary/Harrison-Reed-Match-Logs" TargetMode="External"/><Relationship Id="rId2084" Type="http://schemas.openxmlformats.org/officeDocument/2006/relationships/hyperlink" Target="https://fbref.com/en/players/1db75ccb/Remy-Rees-Dottin" TargetMode="External"/><Relationship Id="rId2085" Type="http://schemas.openxmlformats.org/officeDocument/2006/relationships/hyperlink" Target="https://fbref.com/en/country/ENG/England-Football" TargetMode="External"/><Relationship Id="rId2086" Type="http://schemas.openxmlformats.org/officeDocument/2006/relationships/hyperlink" Target="https://fbref.com/en/squads/4ba7cbea/Bournemouth-Stats" TargetMode="External"/><Relationship Id="rId2087" Type="http://schemas.openxmlformats.org/officeDocument/2006/relationships/hyperlink" Target="https://fbref.com/en/players/1db75ccb/matchlogs/2025-2026/summary/Remy-Rees-Dottin-Match-Logs" TargetMode="External"/><Relationship Id="rId2088" Type="http://schemas.openxmlformats.org/officeDocument/2006/relationships/hyperlink" Target="https://fbref.com/en/players/afb61630/Tijjani-Reijnders" TargetMode="External"/><Relationship Id="rId2089" Type="http://schemas.openxmlformats.org/officeDocument/2006/relationships/hyperlink" Target="https://fbref.com/en/country/NED/Netherlands-Football" TargetMode="External"/><Relationship Id="rId2070" Type="http://schemas.openxmlformats.org/officeDocument/2006/relationships/hyperlink" Target="https://fbref.com/en/squads/8cec06e1/Wolverhampton-Wanderers-Stats" TargetMode="External"/><Relationship Id="rId2071" Type="http://schemas.openxmlformats.org/officeDocument/2006/relationships/hyperlink" Target="https://fbref.com/en/players/ba8a2a36/matchlogs/2025-2026/summary/Luke-Rawlings-Match-Logs" TargetMode="External"/><Relationship Id="rId2072" Type="http://schemas.openxmlformats.org/officeDocument/2006/relationships/hyperlink" Target="https://fbref.com/en/players/98ea5115/David-Raya" TargetMode="External"/><Relationship Id="rId2073" Type="http://schemas.openxmlformats.org/officeDocument/2006/relationships/hyperlink" Target="https://fbref.com/en/country/ESP/Spain-Football" TargetMode="External"/><Relationship Id="rId2074" Type="http://schemas.openxmlformats.org/officeDocument/2006/relationships/hyperlink" Target="https://fbref.com/en/squads/18bb7c10/Arsenal-Stats" TargetMode="External"/><Relationship Id="rId2075" Type="http://schemas.openxmlformats.org/officeDocument/2006/relationships/hyperlink" Target="https://fbref.com/en/players/98ea5115/matchlogs/2025-2026/summary/David-Raya-Match-Logs" TargetMode="External"/><Relationship Id="rId2076" Type="http://schemas.openxmlformats.org/officeDocument/2006/relationships/hyperlink" Target="https://fbref.com/en/players/288647fc/Rayan" TargetMode="External"/><Relationship Id="rId207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squads/4ba7cbea/Bournemouth-Stats" TargetMode="External"/><Relationship Id="rId2079" Type="http://schemas.openxmlformats.org/officeDocument/2006/relationships/hyperlink" Target="https://fbref.com/en/players/288647fc/matchlogs/2025-2026/summary/Rayan-Match-Logs" TargetMode="External"/><Relationship Id="rId1610" Type="http://schemas.openxmlformats.org/officeDocument/2006/relationships/hyperlink" Target="https://fbref.com/en/country/SEN/Senegal-Football" TargetMode="External"/><Relationship Id="rId1611" Type="http://schemas.openxmlformats.org/officeDocument/2006/relationships/hyperlink" Target="https://fbref.com/en/squads/361ca564/Tottenham-Hotspur-Stats" TargetMode="External"/><Relationship Id="rId1612" Type="http://schemas.openxmlformats.org/officeDocument/2006/relationships/hyperlink" Target="https://fbref.com/en/players/feb5d972/matchlogs/2025-2026/summary/Pape-Matar-Sarr-Match-Logs" TargetMode="External"/><Relationship Id="rId1613" Type="http://schemas.openxmlformats.org/officeDocument/2006/relationships/hyperlink" Target="https://fbref.com/en/players/50e6dc35/Jean-Philippe-Mateta" TargetMode="External"/><Relationship Id="rId1614" Type="http://schemas.openxmlformats.org/officeDocument/2006/relationships/hyperlink" Target="https://fbref.com/en/country/FRA/France-Football" TargetMode="External"/><Relationship Id="rId1615" Type="http://schemas.openxmlformats.org/officeDocument/2006/relationships/hyperlink" Target="https://fbref.com/en/squads/47c64c55/Crystal-Palace-Stats" TargetMode="External"/><Relationship Id="rId1616" Type="http://schemas.openxmlformats.org/officeDocument/2006/relationships/hyperlink" Target="https://fbref.com/en/players/50e6dc35/matchlogs/2025-2026/summary/Jean-Philippe-Mateta-Match-Logs" TargetMode="External"/><Relationship Id="rId907" Type="http://schemas.openxmlformats.org/officeDocument/2006/relationships/hyperlink" Target="https://fbref.com/en/squads/8cec06e1/Wolverhampton-Wanderers-Stats" TargetMode="External"/><Relationship Id="rId1617" Type="http://schemas.openxmlformats.org/officeDocument/2006/relationships/hyperlink" Target="https://fbref.com/en/players/27f4f772/Remi-Matthews" TargetMode="External"/><Relationship Id="rId906" Type="http://schemas.openxmlformats.org/officeDocument/2006/relationships/hyperlink" Target="https://fbref.com/en/country/POR/Portugal-Football" TargetMode="External"/><Relationship Id="rId1618" Type="http://schemas.openxmlformats.org/officeDocument/2006/relationships/hyperlink" Target="https://fbref.com/en/country/ENG/England-Football" TargetMode="External"/><Relationship Id="rId905" Type="http://schemas.openxmlformats.org/officeDocument/2006/relationships/hyperlink" Target="https://fbref.com/en/players/8dcf77c0/Rodrigo-Gomes" TargetMode="External"/><Relationship Id="rId1619" Type="http://schemas.openxmlformats.org/officeDocument/2006/relationships/hyperlink" Target="https://fbref.com/en/squads/47c64c55/Crystal-Palace-Stats" TargetMode="External"/><Relationship Id="rId904" Type="http://schemas.openxmlformats.org/officeDocument/2006/relationships/hyperlink" Target="https://fbref.com/en/players/8b57ad2c/matchlogs/2025-2026/summary/Joao-Gomes-Match-Logs" TargetMode="External"/><Relationship Id="rId909" Type="http://schemas.openxmlformats.org/officeDocument/2006/relationships/hyperlink" Target="https://fbref.com/en/players/f0caab96/Toti-Gomes" TargetMode="External"/><Relationship Id="rId908" Type="http://schemas.openxmlformats.org/officeDocument/2006/relationships/hyperlink" Target="https://fbref.com/en/players/8dcf77c0/matchlogs/2025-2026/summary/Rodrigo-Gomes-Match-Logs" TargetMode="External"/><Relationship Id="rId903" Type="http://schemas.openxmlformats.org/officeDocument/2006/relationships/hyperlink" Target="https://fbref.com/en/squads/8cec06e1/Wolverhampton-Wanderers-Stats" TargetMode="External"/><Relationship Id="rId902" Type="http://schemas.openxmlformats.org/officeDocument/2006/relationships/hyperlink" Target="https://fbref.com/en/country/BRA/Brazil-Football" TargetMode="External"/><Relationship Id="rId901" Type="http://schemas.openxmlformats.org/officeDocument/2006/relationships/hyperlink" Target="https://fbref.com/en/players/8b57ad2c/Joao-Gomes" TargetMode="External"/><Relationship Id="rId900" Type="http://schemas.openxmlformats.org/officeDocument/2006/relationships/hyperlink" Target="https://fbref.com/en/players/645a3363/matchlogs/2025-2026/summary/Angel-Gomes-Match-Logs" TargetMode="External"/><Relationship Id="rId1600" Type="http://schemas.openxmlformats.org/officeDocument/2006/relationships/hyperlink" Target="https://fbref.com/en/players/7956236f/matchlogs/2025-2026/summary/Emiliano-Martinez-Match-Logs" TargetMode="External"/><Relationship Id="rId1601" Type="http://schemas.openxmlformats.org/officeDocument/2006/relationships/hyperlink" Target="https://fbref.com/en/players/bac46a10/Lisandro-Martinez" TargetMode="External"/><Relationship Id="rId1602" Type="http://schemas.openxmlformats.org/officeDocument/2006/relationships/hyperlink" Target="https://fbref.com/en/country/ARG/Argentina-Football" TargetMode="External"/><Relationship Id="rId1603" Type="http://schemas.openxmlformats.org/officeDocument/2006/relationships/hyperlink" Target="https://fbref.com/en/squads/19538871/Manchester-United-Stats" TargetMode="External"/><Relationship Id="rId1604" Type="http://schemas.openxmlformats.org/officeDocument/2006/relationships/hyperlink" Target="https://fbref.com/en/players/bac46a10/matchlogs/2025-2026/summary/Lisandro-Martinez-Match-Logs" TargetMode="External"/><Relationship Id="rId1605" Type="http://schemas.openxmlformats.org/officeDocument/2006/relationships/hyperlink" Target="https://fbref.com/en/players/57df7a11/Arthur-Masuaku" TargetMode="External"/><Relationship Id="rId1606" Type="http://schemas.openxmlformats.org/officeDocument/2006/relationships/hyperlink" Target="https://fbref.com/en/country/COD/Congo-DR-Football" TargetMode="External"/><Relationship Id="rId1607" Type="http://schemas.openxmlformats.org/officeDocument/2006/relationships/hyperlink" Target="https://fbref.com/en/squads/8ef52968/Sunderland-Stats" TargetMode="External"/><Relationship Id="rId1608" Type="http://schemas.openxmlformats.org/officeDocument/2006/relationships/hyperlink" Target="https://fbref.com/en/players/57df7a11/matchlogs/2025-2026/summary/Arthur-Masuaku-Match-Logs" TargetMode="External"/><Relationship Id="rId1609" Type="http://schemas.openxmlformats.org/officeDocument/2006/relationships/hyperlink" Target="https://fbref.com/en/players/feb5d972/Pape-Matar-Sarr" TargetMode="External"/><Relationship Id="rId1631" Type="http://schemas.openxmlformats.org/officeDocument/2006/relationships/hyperlink" Target="https://fbref.com/en/squads/7c21e445/West-Ham-United-Stats" TargetMode="External"/><Relationship Id="rId1632" Type="http://schemas.openxmlformats.org/officeDocument/2006/relationships/hyperlink" Target="https://fbref.com/en/players/9a85a651/matchlogs/2025-2026/summary/Ezra-Mayers-Match-Logs" TargetMode="External"/><Relationship Id="rId1633" Type="http://schemas.openxmlformats.org/officeDocument/2006/relationships/hyperlink" Target="https://fbref.com/en/players/b74277a0/Noussair-Mazraoui" TargetMode="External"/><Relationship Id="rId1634" Type="http://schemas.openxmlformats.org/officeDocument/2006/relationships/hyperlink" Target="https://fbref.com/en/country/MAR/Morocco-Football" TargetMode="External"/><Relationship Id="rId1635" Type="http://schemas.openxmlformats.org/officeDocument/2006/relationships/hyperlink" Target="https://fbref.com/en/squads/19538871/Manchester-United-Stats" TargetMode="External"/><Relationship Id="rId1636" Type="http://schemas.openxmlformats.org/officeDocument/2006/relationships/hyperlink" Target="https://fbref.com/en/players/b74277a0/matchlogs/2025-2026/summary/Noussair-Mazraoui-Match-Logs" TargetMode="External"/><Relationship Id="rId1637" Type="http://schemas.openxmlformats.org/officeDocument/2006/relationships/hyperlink" Target="https://fbref.com/en/players/6afaebf2/Bryan-Mbeumo" TargetMode="External"/><Relationship Id="rId1638" Type="http://schemas.openxmlformats.org/officeDocument/2006/relationships/hyperlink" Target="https://fbref.com/en/country/CMR/Cameroon-Football" TargetMode="External"/><Relationship Id="rId929" Type="http://schemas.openxmlformats.org/officeDocument/2006/relationships/hyperlink" Target="https://fbref.com/en/players/2bd83368/Anthony-Gordon" TargetMode="External"/><Relationship Id="rId1639" Type="http://schemas.openxmlformats.org/officeDocument/2006/relationships/hyperlink" Target="https://fbref.com/en/squads/19538871/Manchester-United-Stats" TargetMode="External"/><Relationship Id="rId928" Type="http://schemas.openxmlformats.org/officeDocument/2006/relationships/hyperlink" Target="https://fbref.com/en/players/2c56a792/matchlogs/2025-2026/summary/Nicolas-Gonzalez-Match-Logs" TargetMode="External"/><Relationship Id="rId927" Type="http://schemas.openxmlformats.org/officeDocument/2006/relationships/hyperlink" Target="https://fbref.com/en/squads/b8fd03ef/Manchester-City-Stats" TargetMode="External"/><Relationship Id="rId926" Type="http://schemas.openxmlformats.org/officeDocument/2006/relationships/hyperlink" Target="https://fbref.com/en/country/ESP/Spain-Football" TargetMode="External"/><Relationship Id="rId921" Type="http://schemas.openxmlformats.org/officeDocument/2006/relationships/hyperlink" Target="https://fbref.com/en/players/7e5bebeb/Enso-Gonzalez" TargetMode="External"/><Relationship Id="rId920" Type="http://schemas.openxmlformats.org/officeDocument/2006/relationships/hyperlink" Target="https://fbref.com/en/players/7a11550b/matchlogs/2025-2026/summary/Joe-Gomez-Match-Logs" TargetMode="External"/><Relationship Id="rId925" Type="http://schemas.openxmlformats.org/officeDocument/2006/relationships/hyperlink" Target="https://fbref.com/en/players/2c56a792/Nicolas-Gonzalez" TargetMode="External"/><Relationship Id="rId924" Type="http://schemas.openxmlformats.org/officeDocument/2006/relationships/hyperlink" Target="https://fbref.com/en/players/7e5bebeb/matchlogs/2025-2026/summary/Enso-Gonzalez-Match-Logs" TargetMode="External"/><Relationship Id="rId923" Type="http://schemas.openxmlformats.org/officeDocument/2006/relationships/hyperlink" Target="https://fbref.com/en/squads/8cec06e1/Wolverhampton-Wanderers-Stats" TargetMode="External"/><Relationship Id="rId922" Type="http://schemas.openxmlformats.org/officeDocument/2006/relationships/hyperlink" Target="https://fbref.com/en/country/PAR/Paraguay-Football" TargetMode="External"/><Relationship Id="rId1630" Type="http://schemas.openxmlformats.org/officeDocument/2006/relationships/hyperlink" Target="https://fbref.com/en/country/BRB/Barbados-Football" TargetMode="External"/><Relationship Id="rId1620" Type="http://schemas.openxmlformats.org/officeDocument/2006/relationships/hyperlink" Target="https://fbref.com/en/players/27f4f772/matchlogs/2025-2026/summary/Remi-Matthews-Match-Logs" TargetMode="External"/><Relationship Id="rId1621" Type="http://schemas.openxmlformats.org/officeDocument/2006/relationships/hyperlink" Target="https://fbref.com/en/players/00963611/Konstantinos-Mavropanos" TargetMode="External"/><Relationship Id="rId1622" Type="http://schemas.openxmlformats.org/officeDocument/2006/relationships/hyperlink" Target="https://fbref.com/en/country/GRE/Greece-Football" TargetMode="External"/><Relationship Id="rId1623" Type="http://schemas.openxmlformats.org/officeDocument/2006/relationships/hyperlink" Target="https://fbref.com/en/squads/7c21e445/West-Ham-United-Stats" TargetMode="External"/><Relationship Id="rId1624" Type="http://schemas.openxmlformats.org/officeDocument/2006/relationships/hyperlink" Target="https://fbref.com/en/players/00963611/matchlogs/2025-2026/summary/Konstantinos-Mavropanos-Match-Logs" TargetMode="External"/><Relationship Id="rId1625" Type="http://schemas.openxmlformats.org/officeDocument/2006/relationships/hyperlink" Target="https://fbref.com/en/players/6a021e43/Eliezer-Mayenda" TargetMode="External"/><Relationship Id="rId1626" Type="http://schemas.openxmlformats.org/officeDocument/2006/relationships/hyperlink" Target="https://fbref.com/en/country/ESP/Spain-Football" TargetMode="External"/><Relationship Id="rId1627" Type="http://schemas.openxmlformats.org/officeDocument/2006/relationships/hyperlink" Target="https://fbref.com/en/squads/8ef52968/Sunderland-Stats" TargetMode="External"/><Relationship Id="rId918" Type="http://schemas.openxmlformats.org/officeDocument/2006/relationships/hyperlink" Target="https://fbref.com/en/country/ENG/England-Football" TargetMode="External"/><Relationship Id="rId1628" Type="http://schemas.openxmlformats.org/officeDocument/2006/relationships/hyperlink" Target="https://fbref.com/en/players/6a021e43/matchlogs/2025-2026/summary/Eliezer-Mayenda-Match-Logs" TargetMode="External"/><Relationship Id="rId917" Type="http://schemas.openxmlformats.org/officeDocument/2006/relationships/hyperlink" Target="https://fbref.com/en/players/7a11550b/Joe-Gomez" TargetMode="External"/><Relationship Id="rId1629" Type="http://schemas.openxmlformats.org/officeDocument/2006/relationships/hyperlink" Target="https://fbref.com/en/players/9a85a651/Ezra-Mayers" TargetMode="External"/><Relationship Id="rId916" Type="http://schemas.openxmlformats.org/officeDocument/2006/relationships/hyperlink" Target="https://fbref.com/en/players/916728da/matchlogs/2025-2026/summary/Diego-Gomez-Match-Logs" TargetMode="External"/><Relationship Id="rId915" Type="http://schemas.openxmlformats.org/officeDocument/2006/relationships/hyperlink" Target="https://fbref.com/en/squads/d07537b9/Brighton-and-Hove-Albion-Stats" TargetMode="External"/><Relationship Id="rId919" Type="http://schemas.openxmlformats.org/officeDocument/2006/relationships/hyperlink" Target="https://fbref.com/en/squads/822bd0ba/Liverpool-Stats" TargetMode="External"/><Relationship Id="rId910" Type="http://schemas.openxmlformats.org/officeDocument/2006/relationships/hyperlink" Target="https://fbref.com/en/country/POR/Portugal-Football" TargetMode="External"/><Relationship Id="rId914" Type="http://schemas.openxmlformats.org/officeDocument/2006/relationships/hyperlink" Target="https://fbref.com/en/country/PAR/Paraguay-Football" TargetMode="External"/><Relationship Id="rId913" Type="http://schemas.openxmlformats.org/officeDocument/2006/relationships/hyperlink" Target="https://fbref.com/en/players/916728da/Diego-Gomez" TargetMode="External"/><Relationship Id="rId912" Type="http://schemas.openxmlformats.org/officeDocument/2006/relationships/hyperlink" Target="https://fbref.com/en/players/f0caab96/matchlogs/2025-2026/summary/Toti-Gomes-Match-Logs" TargetMode="External"/><Relationship Id="rId911" Type="http://schemas.openxmlformats.org/officeDocument/2006/relationships/hyperlink" Target="https://fbref.com/en/squads/8cec06e1/Wolverhampton-Wanderers-Stats" TargetMode="External"/><Relationship Id="rId1213" Type="http://schemas.openxmlformats.org/officeDocument/2006/relationships/hyperlink" Target="https://fbref.com/en/players/1e711234/Jamaldeen-Jimoh" TargetMode="External"/><Relationship Id="rId1697" Type="http://schemas.openxmlformats.org/officeDocument/2006/relationships/hyperlink" Target="https://fbref.com/en/country/NED/Netherlands-Football" TargetMode="External"/><Relationship Id="rId2544" Type="http://schemas.openxmlformats.org/officeDocument/2006/relationships/hyperlink" Target="https://fbref.com/en/country/BEL/Belgium-Football" TargetMode="External"/><Relationship Id="rId1214" Type="http://schemas.openxmlformats.org/officeDocument/2006/relationships/hyperlink" Target="https://fbref.com/en/country/ENG/England-Football" TargetMode="External"/><Relationship Id="rId1698" Type="http://schemas.openxmlformats.org/officeDocument/2006/relationships/hyperlink" Target="https://fbref.com/en/squads/cd051869/Brentford-Stats" TargetMode="External"/><Relationship Id="rId2545" Type="http://schemas.openxmlformats.org/officeDocument/2006/relationships/hyperlink" Target="https://fbref.com/en/squads/18bb7c10/Arsenal-Stats" TargetMode="External"/><Relationship Id="rId1215" Type="http://schemas.openxmlformats.org/officeDocument/2006/relationships/hyperlink" Target="https://fbref.com/en/squads/8602292d/Aston-Villa-Stats" TargetMode="External"/><Relationship Id="rId1699" Type="http://schemas.openxmlformats.org/officeDocument/2006/relationships/hyperlink" Target="https://fbref.com/en/players/b05f4787/matchlogs/2025-2026/summary/Antoni-Milambo-Match-Logs" TargetMode="External"/><Relationship Id="rId2546" Type="http://schemas.openxmlformats.org/officeDocument/2006/relationships/hyperlink" Target="https://fbref.com/en/players/38ceb24a/matchlogs/2025-2026/summary/Leandro-Trossard-Match-Logs" TargetMode="External"/><Relationship Id="rId1216" Type="http://schemas.openxmlformats.org/officeDocument/2006/relationships/hyperlink" Target="https://fbref.com/en/players/1e711234/matchlogs/2025-2026/summary/Jamaldeen-Jimoh-Match-Logs" TargetMode="External"/><Relationship Id="rId2547" Type="http://schemas.openxmlformats.org/officeDocument/2006/relationships/hyperlink" Target="https://fbref.com/en/players/5d0e0a1f/Adrien-Truffert" TargetMode="External"/><Relationship Id="rId1217" Type="http://schemas.openxmlformats.org/officeDocument/2006/relationships/hyperlink" Target="https://fbref.com/en/players/e8832875/Joao-Pedro" TargetMode="External"/><Relationship Id="rId2548" Type="http://schemas.openxmlformats.org/officeDocument/2006/relationships/hyperlink" Target="https://fbref.com/en/country/FRA/France-Football" TargetMode="External"/><Relationship Id="rId1218" Type="http://schemas.openxmlformats.org/officeDocument/2006/relationships/hyperlink" Target="https://fbref.com/en/country/BRA/Brazil-Football" TargetMode="External"/><Relationship Id="rId2549" Type="http://schemas.openxmlformats.org/officeDocument/2006/relationships/hyperlink" Target="https://fbref.com/en/squads/4ba7cbea/Bournemouth-Stats" TargetMode="External"/><Relationship Id="rId1219" Type="http://schemas.openxmlformats.org/officeDocument/2006/relationships/hyperlink" Target="https://fbref.com/en/squads/cff3d9bb/Chelsea-Stats" TargetMode="External"/><Relationship Id="rId866" Type="http://schemas.openxmlformats.org/officeDocument/2006/relationships/hyperlink" Target="https://fbref.com/en/country/ENG/England-Football" TargetMode="External"/><Relationship Id="rId865" Type="http://schemas.openxmlformats.org/officeDocument/2006/relationships/hyperlink" Target="https://fbref.com/en/players/4e015693/James-Garner" TargetMode="External"/><Relationship Id="rId864" Type="http://schemas.openxmlformats.org/officeDocument/2006/relationships/hyperlink" Target="https://fbref.com/en/players/7aa8adfe/matchlogs/2025-2026/summary/Alejandro-Garnacho-Match-Logs" TargetMode="External"/><Relationship Id="rId863" Type="http://schemas.openxmlformats.org/officeDocument/2006/relationships/hyperlink" Target="https://fbref.com/en/squads/cff3d9bb/Chelsea-Stats" TargetMode="External"/><Relationship Id="rId869" Type="http://schemas.openxmlformats.org/officeDocument/2006/relationships/hyperlink" Target="https://fbref.com/en/players/242e1043/Lutsharel-Geertruida" TargetMode="External"/><Relationship Id="rId868" Type="http://schemas.openxmlformats.org/officeDocument/2006/relationships/hyperlink" Target="https://fbref.com/en/players/4e015693/matchlogs/2025-2026/summary/James-Garner-Match-Logs" TargetMode="External"/><Relationship Id="rId867" Type="http://schemas.openxmlformats.org/officeDocument/2006/relationships/hyperlink" Target="https://fbref.com/en/squads/d3fd31cc/Everton-Stats" TargetMode="External"/><Relationship Id="rId1690" Type="http://schemas.openxmlformats.org/officeDocument/2006/relationships/hyperlink" Target="https://fbref.com/en/squads/b8fd03ef/Manchester-City-Stats" TargetMode="External"/><Relationship Id="rId1691" Type="http://schemas.openxmlformats.org/officeDocument/2006/relationships/hyperlink" Target="https://fbref.com/en/players/c6685def/matchlogs/2025-2026/summary/Stephen-Mfuni-Match-Logs" TargetMode="External"/><Relationship Id="rId1692" Type="http://schemas.openxmlformats.org/officeDocument/2006/relationships/hyperlink" Target="https://fbref.com/en/players/43d0b694/Shumaira-Mheuka" TargetMode="External"/><Relationship Id="rId862" Type="http://schemas.openxmlformats.org/officeDocument/2006/relationships/hyperlink" Target="https://fbref.com/en/country/ARG/Argentina-Football" TargetMode="External"/><Relationship Id="rId1693" Type="http://schemas.openxmlformats.org/officeDocument/2006/relationships/hyperlink" Target="https://fbref.com/en/country/ENG/England-Football" TargetMode="External"/><Relationship Id="rId2540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players/7aa8adfe/Alejandro-Garnacho" TargetMode="External"/><Relationship Id="rId1210" Type="http://schemas.openxmlformats.org/officeDocument/2006/relationships/hyperlink" Target="https://fbref.com/en/country/MEX/Mexico-Football" TargetMode="External"/><Relationship Id="rId1694" Type="http://schemas.openxmlformats.org/officeDocument/2006/relationships/hyperlink" Target="https://fbref.com/en/squads/cff3d9bb/Chelsea-Stats" TargetMode="External"/><Relationship Id="rId2541" Type="http://schemas.openxmlformats.org/officeDocument/2006/relationships/hyperlink" Target="https://fbref.com/en/squads/b2b47a98/Newcastle-United-Stats" TargetMode="External"/><Relationship Id="rId860" Type="http://schemas.openxmlformats.org/officeDocument/2006/relationships/hyperlink" Target="https://fbref.com/en/players/40498af1/matchlogs/2025-2026/summary/Andres-Garcia-Match-Logs" TargetMode="External"/><Relationship Id="rId1211" Type="http://schemas.openxmlformats.org/officeDocument/2006/relationships/hyperlink" Target="https://fbref.com/en/squads/fd962109/Fulham-Stats" TargetMode="External"/><Relationship Id="rId1695" Type="http://schemas.openxmlformats.org/officeDocument/2006/relationships/hyperlink" Target="https://fbref.com/en/players/43d0b694/matchlogs/2025-2026/summary/Shumaira-Mheuka-Match-Logs" TargetMode="External"/><Relationship Id="rId2542" Type="http://schemas.openxmlformats.org/officeDocument/2006/relationships/hyperlink" Target="https://fbref.com/en/players/21512407/matchlogs/2025-2026/summary/Kieran-Trippier-Match-Logs" TargetMode="External"/><Relationship Id="rId1212" Type="http://schemas.openxmlformats.org/officeDocument/2006/relationships/hyperlink" Target="https://fbref.com/en/players/b561db50/matchlogs/2025-2026/summary/Raul-Jimenez-Match-Logs" TargetMode="External"/><Relationship Id="rId1696" Type="http://schemas.openxmlformats.org/officeDocument/2006/relationships/hyperlink" Target="https://fbref.com/en/players/b05f4787/Antoni-Milambo" TargetMode="External"/><Relationship Id="rId2543" Type="http://schemas.openxmlformats.org/officeDocument/2006/relationships/hyperlink" Target="https://fbref.com/en/players/38ceb24a/Leandro-Trossard" TargetMode="External"/><Relationship Id="rId1202" Type="http://schemas.openxmlformats.org/officeDocument/2006/relationships/hyperlink" Target="https://fbref.com/en/country/BRA/Brazil-Football" TargetMode="External"/><Relationship Id="rId1686" Type="http://schemas.openxmlformats.org/officeDocument/2006/relationships/hyperlink" Target="https://fbref.com/en/squads/5bfb9659/Leeds-United-Stats" TargetMode="External"/><Relationship Id="rId2533" Type="http://schemas.openxmlformats.org/officeDocument/2006/relationships/hyperlink" Target="https://fbref.com/en/squads/d3fd31cc/Everton-Stats" TargetMode="External"/><Relationship Id="rId1203" Type="http://schemas.openxmlformats.org/officeDocument/2006/relationships/hyperlink" Target="https://fbref.com/en/squads/e4a775cb/Nottingham-Forest-Stats" TargetMode="External"/><Relationship Id="rId1687" Type="http://schemas.openxmlformats.org/officeDocument/2006/relationships/hyperlink" Target="https://fbref.com/en/players/6b625ac2/matchlogs/2025-2026/summary/Illan-Meslier-Match-Logs" TargetMode="External"/><Relationship Id="rId2534" Type="http://schemas.openxmlformats.org/officeDocument/2006/relationships/hyperlink" Target="https://fbref.com/en/players/fe558029/matchlogs/2025-2026/summary/Mark-Travers-Match-Logs" TargetMode="External"/><Relationship Id="rId1204" Type="http://schemas.openxmlformats.org/officeDocument/2006/relationships/hyperlink" Target="https://fbref.com/en/players/dbe24cce/matchlogs/2025-2026/summary/Igor-Jesus-Match-Logs" TargetMode="External"/><Relationship Id="rId1688" Type="http://schemas.openxmlformats.org/officeDocument/2006/relationships/hyperlink" Target="https://fbref.com/en/players/c6685def/Stephen-Mfuni" TargetMode="External"/><Relationship Id="rId2535" Type="http://schemas.openxmlformats.org/officeDocument/2006/relationships/hyperlink" Target="https://fbref.com/en/players/b2a81fc6/Mike-Tresor" TargetMode="External"/><Relationship Id="rId1205" Type="http://schemas.openxmlformats.org/officeDocument/2006/relationships/hyperlink" Target="https://fbref.com/en/players/faa13947/Alex-Jimenez" TargetMode="External"/><Relationship Id="rId1689" Type="http://schemas.openxmlformats.org/officeDocument/2006/relationships/hyperlink" Target="https://fbref.com/en/country/ENG/England-Football" TargetMode="External"/><Relationship Id="rId2536" Type="http://schemas.openxmlformats.org/officeDocument/2006/relationships/hyperlink" Target="https://fbref.com/en/country/BEL/Belgium-Football" TargetMode="External"/><Relationship Id="rId1206" Type="http://schemas.openxmlformats.org/officeDocument/2006/relationships/hyperlink" Target="https://fbref.com/en/country/ESP/Spain-Football" TargetMode="External"/><Relationship Id="rId2537" Type="http://schemas.openxmlformats.org/officeDocument/2006/relationships/hyperlink" Target="https://fbref.com/en/squads/943e8050/Burnley-Stats" TargetMode="External"/><Relationship Id="rId1207" Type="http://schemas.openxmlformats.org/officeDocument/2006/relationships/hyperlink" Target="https://fbref.com/en/squads/4ba7cbea/Bournemouth-Stats" TargetMode="External"/><Relationship Id="rId2538" Type="http://schemas.openxmlformats.org/officeDocument/2006/relationships/hyperlink" Target="https://fbref.com/en/players/b2a81fc6/matchlogs/2025-2026/summary/Mike-Tresor-Match-Logs" TargetMode="External"/><Relationship Id="rId1208" Type="http://schemas.openxmlformats.org/officeDocument/2006/relationships/hyperlink" Target="https://fbref.com/en/players/faa13947/matchlogs/2025-2026/summary/Alex-Jimenez-Match-Logs" TargetMode="External"/><Relationship Id="rId2539" Type="http://schemas.openxmlformats.org/officeDocument/2006/relationships/hyperlink" Target="https://fbref.com/en/players/21512407/Kieran-Trippier" TargetMode="External"/><Relationship Id="rId1209" Type="http://schemas.openxmlformats.org/officeDocument/2006/relationships/hyperlink" Target="https://fbref.com/en/players/b561db50/Raul-Jimenez" TargetMode="External"/><Relationship Id="rId855" Type="http://schemas.openxmlformats.org/officeDocument/2006/relationships/hyperlink" Target="https://fbref.com/en/squads/4ba7cbea/Bournemouth-Stats" TargetMode="External"/><Relationship Id="rId854" Type="http://schemas.openxmlformats.org/officeDocument/2006/relationships/hyperlink" Target="https://fbref.com/en/country/SCO/Scotland-Football" TargetMode="External"/><Relationship Id="rId853" Type="http://schemas.openxmlformats.org/officeDocument/2006/relationships/hyperlink" Target="https://fbref.com/en/players/733f1a7d/Ben-Gannon-Doak" TargetMode="External"/><Relationship Id="rId852" Type="http://schemas.openxmlformats.org/officeDocument/2006/relationships/hyperlink" Target="https://fbref.com/en/players/72c812f3/matchlogs/2025-2026/summary/Idrissa-Gana-Gueye-Match-Logs" TargetMode="External"/><Relationship Id="rId859" Type="http://schemas.openxmlformats.org/officeDocument/2006/relationships/hyperlink" Target="https://fbref.com/en/squads/8602292d/Aston-Villa-Stats" TargetMode="External"/><Relationship Id="rId858" Type="http://schemas.openxmlformats.org/officeDocument/2006/relationships/hyperlink" Target="https://fbref.com/en/country/ESP/Spain-Football" TargetMode="External"/><Relationship Id="rId857" Type="http://schemas.openxmlformats.org/officeDocument/2006/relationships/hyperlink" Target="https://fbref.com/en/players/40498af1/Andres-Garcia" TargetMode="External"/><Relationship Id="rId856" Type="http://schemas.openxmlformats.org/officeDocument/2006/relationships/hyperlink" Target="https://fbref.com/en/players/733f1a7d/matchlogs/2025-2026/summary/Ben-Gannon-Doak-Match-Logs" TargetMode="External"/><Relationship Id="rId1680" Type="http://schemas.openxmlformats.org/officeDocument/2006/relationships/hyperlink" Target="https://fbref.com/en/players/420d18fe/Max-Merrick" TargetMode="External"/><Relationship Id="rId1681" Type="http://schemas.openxmlformats.org/officeDocument/2006/relationships/hyperlink" Target="https://fbref.com/en/country/ENG/England-Football" TargetMode="External"/><Relationship Id="rId851" Type="http://schemas.openxmlformats.org/officeDocument/2006/relationships/hyperlink" Target="https://fbref.com/en/squads/d3fd31cc/Everton-Stats" TargetMode="External"/><Relationship Id="rId1682" Type="http://schemas.openxmlformats.org/officeDocument/2006/relationships/hyperlink" Target="https://fbref.com/en/squads/cff3d9bb/Chelsea-Stats" TargetMode="External"/><Relationship Id="rId850" Type="http://schemas.openxmlformats.org/officeDocument/2006/relationships/hyperlink" Target="https://fbref.com/en/country/SEN/Senegal-Football" TargetMode="External"/><Relationship Id="rId1683" Type="http://schemas.openxmlformats.org/officeDocument/2006/relationships/hyperlink" Target="https://fbref.com/en/players/420d18fe/matchlogs/2025-2026/summary/Max-Merrick-Match-Logs" TargetMode="External"/><Relationship Id="rId2530" Type="http://schemas.openxmlformats.org/officeDocument/2006/relationships/hyperlink" Target="https://fbref.com/en/players/c47541e0/matchlogs/2025-2026/summary/Bertrand-Traore-Match-Logs" TargetMode="External"/><Relationship Id="rId1200" Type="http://schemas.openxmlformats.org/officeDocument/2006/relationships/hyperlink" Target="https://fbref.com/en/players/b66315ae/matchlogs/2025-2026/summary/Gabriel-Jesus-Match-Logs" TargetMode="External"/><Relationship Id="rId1684" Type="http://schemas.openxmlformats.org/officeDocument/2006/relationships/hyperlink" Target="https://fbref.com/en/players/6b625ac2/Illan-Meslier" TargetMode="External"/><Relationship Id="rId2531" Type="http://schemas.openxmlformats.org/officeDocument/2006/relationships/hyperlink" Target="https://fbref.com/en/players/fe558029/Mark-Travers" TargetMode="External"/><Relationship Id="rId1201" Type="http://schemas.openxmlformats.org/officeDocument/2006/relationships/hyperlink" Target="https://fbref.com/en/players/dbe24cce/Igor-Jesus" TargetMode="External"/><Relationship Id="rId1685" Type="http://schemas.openxmlformats.org/officeDocument/2006/relationships/hyperlink" Target="https://fbref.com/en/country/FRA/France-Football" TargetMode="External"/><Relationship Id="rId2532" Type="http://schemas.openxmlformats.org/officeDocument/2006/relationships/hyperlink" Target="https://fbref.com/en/country/IRL/Republic-of-Ireland-Football" TargetMode="External"/><Relationship Id="rId1235" Type="http://schemas.openxmlformats.org/officeDocument/2006/relationships/hyperlink" Target="https://fbref.com/en/squads/47c64c55/Crystal-Palace-Stats" TargetMode="External"/><Relationship Id="rId2566" Type="http://schemas.openxmlformats.org/officeDocument/2006/relationships/hyperlink" Target="https://fbref.com/en/players/a497130f/matchlogs/2025-2026/summary/Stefanos-Tzimas-Match-Logs" TargetMode="External"/><Relationship Id="rId1236" Type="http://schemas.openxmlformats.org/officeDocument/2006/relationships/hyperlink" Target="https://fbref.com/en/players/0cd31129/matchlogs/2025-2026/summary/Brennan-Johnson-Match-Logs" TargetMode="External"/><Relationship Id="rId2567" Type="http://schemas.openxmlformats.org/officeDocument/2006/relationships/hyperlink" Target="https://fbref.com/en/players/87941696/Christantus-Uche" TargetMode="External"/><Relationship Id="rId1237" Type="http://schemas.openxmlformats.org/officeDocument/2006/relationships/hyperlink" Target="https://fbref.com/en/players/9e5708be/Sam-Johnstone" TargetMode="External"/><Relationship Id="rId2568" Type="http://schemas.openxmlformats.org/officeDocument/2006/relationships/hyperlink" Target="https://fbref.com/en/country/NGA/Nigeria-Football" TargetMode="External"/><Relationship Id="rId1238" Type="http://schemas.openxmlformats.org/officeDocument/2006/relationships/hyperlink" Target="https://fbref.com/en/country/ENG/England-Football" TargetMode="External"/><Relationship Id="rId2569" Type="http://schemas.openxmlformats.org/officeDocument/2006/relationships/hyperlink" Target="https://fbref.com/en/squads/47c64c55/Crystal-Palace-Stats" TargetMode="External"/><Relationship Id="rId1239" Type="http://schemas.openxmlformats.org/officeDocument/2006/relationships/hyperlink" Target="https://fbref.com/en/squads/8cec06e1/Wolverhampton-Wanderers-Stats" TargetMode="External"/><Relationship Id="rId409" Type="http://schemas.openxmlformats.org/officeDocument/2006/relationships/hyperlink" Target="https://fbref.com/en/players/a8748947/Tom-Cairney" TargetMode="External"/><Relationship Id="rId404" Type="http://schemas.openxmlformats.org/officeDocument/2006/relationships/hyperlink" Target="https://fbref.com/en/players/1bf811d4/matchlogs/2025-2026/summary/Sam-Byram-Match-Logs" TargetMode="External"/><Relationship Id="rId888" Type="http://schemas.openxmlformats.org/officeDocument/2006/relationships/hyperlink" Target="https://fbref.com/en/players/10745192/matchlogs/2025-2026/summary/Jamie-Gittens-Match-Logs" TargetMode="External"/><Relationship Id="rId403" Type="http://schemas.openxmlformats.org/officeDocument/2006/relationships/hyperlink" Target="https://fbref.com/en/squads/5bfb9659/Leeds-United-Stats" TargetMode="External"/><Relationship Id="rId887" Type="http://schemas.openxmlformats.org/officeDocument/2006/relationships/hyperlink" Target="https://fbref.com/en/squads/cff3d9bb/Chelsea-Stats" TargetMode="External"/><Relationship Id="rId402" Type="http://schemas.openxmlformats.org/officeDocument/2006/relationships/hyperlink" Target="https://fbref.com/en/country/ENG/England-Football" TargetMode="External"/><Relationship Id="rId886" Type="http://schemas.openxmlformats.org/officeDocument/2006/relationships/hyperlink" Target="https://fbref.com/en/country/ENG/England-Football" TargetMode="External"/><Relationship Id="rId401" Type="http://schemas.openxmlformats.org/officeDocument/2006/relationships/hyperlink" Target="https://fbref.com/en/players/1bf811d4/Sam-Byram" TargetMode="External"/><Relationship Id="rId885" Type="http://schemas.openxmlformats.org/officeDocument/2006/relationships/hyperlink" Target="https://fbref.com/en/players/10745192/Jamie-Gittens" TargetMode="External"/><Relationship Id="rId408" Type="http://schemas.openxmlformats.org/officeDocument/2006/relationships/hyperlink" Target="https://fbref.com/en/players/16264a81/matchlogs/2025-2026/summary/Moises-Caicedo-Match-Logs" TargetMode="External"/><Relationship Id="rId407" Type="http://schemas.openxmlformats.org/officeDocument/2006/relationships/hyperlink" Target="https://fbref.com/en/squads/cff3d9bb/Chelsea-Stats" TargetMode="External"/><Relationship Id="rId406" Type="http://schemas.openxmlformats.org/officeDocument/2006/relationships/hyperlink" Target="https://fbref.com/en/country/ECU/Ecuador-Football" TargetMode="External"/><Relationship Id="rId405" Type="http://schemas.openxmlformats.org/officeDocument/2006/relationships/hyperlink" Target="https://fbref.com/en/players/16264a81/Moises-Caicedo" TargetMode="External"/><Relationship Id="rId889" Type="http://schemas.openxmlformats.org/officeDocument/2006/relationships/hyperlink" Target="https://fbref.com/en/players/75fdd638/Wilfried-Gnonto" TargetMode="External"/><Relationship Id="rId880" Type="http://schemas.openxmlformats.org/officeDocument/2006/relationships/hyperlink" Target="https://fbref.com/en/players/e6f7797e/matchlogs/2025-2026/summary/Tyrique-George-Match-Logs" TargetMode="External"/><Relationship Id="rId2560" Type="http://schemas.openxmlformats.org/officeDocument/2006/relationships/hyperlink" Target="https://fbref.com/en/country/ENG/England-Football" TargetMode="External"/><Relationship Id="rId1230" Type="http://schemas.openxmlformats.org/officeDocument/2006/relationships/hyperlink" Target="https://fbref.com/en/country/WAL/Wales-Football" TargetMode="External"/><Relationship Id="rId2561" Type="http://schemas.openxmlformats.org/officeDocument/2006/relationships/hyperlink" Target="https://fbref.com/en/squads/d3fd31cc/Everton-Stats" TargetMode="External"/><Relationship Id="rId400" Type="http://schemas.openxmlformats.org/officeDocument/2006/relationships/hyperlink" Target="https://fbref.com/en/players/0312881b/matchlogs/2025-2026/summary/Junai-Byfield-Match-Logs" TargetMode="External"/><Relationship Id="rId884" Type="http://schemas.openxmlformats.org/officeDocument/2006/relationships/hyperlink" Target="https://fbref.com/en/players/32f60ed8/matchlogs/2025-2026/summary/Morgan-Gibbs-White-Match-Logs" TargetMode="External"/><Relationship Id="rId1231" Type="http://schemas.openxmlformats.org/officeDocument/2006/relationships/hyperlink" Target="https://fbref.com/en/squads/361ca564/Tottenham-Hotspur-Stats" TargetMode="External"/><Relationship Id="rId2562" Type="http://schemas.openxmlformats.org/officeDocument/2006/relationships/hyperlink" Target="https://fbref.com/en/players/af49fb14/matchlogs/2025-2026/summary/Harry-Tyrer-Match-Logs" TargetMode="External"/><Relationship Id="rId883" Type="http://schemas.openxmlformats.org/officeDocument/2006/relationships/hyperlink" Target="https://fbref.com/en/squads/e4a775cb/Nottingham-Forest-Stats" TargetMode="External"/><Relationship Id="rId1232" Type="http://schemas.openxmlformats.org/officeDocument/2006/relationships/hyperlink" Target="https://fbref.com/en/players/0cd31129/matchlogs/2025-2026/summary/Brennan-Johnson-Match-Logs" TargetMode="External"/><Relationship Id="rId2563" Type="http://schemas.openxmlformats.org/officeDocument/2006/relationships/hyperlink" Target="https://fbref.com/en/players/a497130f/Stefanos-Tzimas" TargetMode="External"/><Relationship Id="rId882" Type="http://schemas.openxmlformats.org/officeDocument/2006/relationships/hyperlink" Target="https://fbref.com/en/country/ENG/England-Football" TargetMode="External"/><Relationship Id="rId1233" Type="http://schemas.openxmlformats.org/officeDocument/2006/relationships/hyperlink" Target="https://fbref.com/en/players/0cd31129/Brennan-Johnson" TargetMode="External"/><Relationship Id="rId2564" Type="http://schemas.openxmlformats.org/officeDocument/2006/relationships/hyperlink" Target="https://fbref.com/en/country/GRE/Greece-Football" TargetMode="External"/><Relationship Id="rId881" Type="http://schemas.openxmlformats.org/officeDocument/2006/relationships/hyperlink" Target="https://fbref.com/en/players/32f60ed8/Morgan-Gibbs-White" TargetMode="External"/><Relationship Id="rId1234" Type="http://schemas.openxmlformats.org/officeDocument/2006/relationships/hyperlink" Target="https://fbref.com/en/country/WAL/Wales-Football" TargetMode="External"/><Relationship Id="rId2565" Type="http://schemas.openxmlformats.org/officeDocument/2006/relationships/hyperlink" Target="https://fbref.com/en/squads/d07537b9/Brighton-and-Hove-Albion-Stats" TargetMode="External"/><Relationship Id="rId1224" Type="http://schemas.openxmlformats.org/officeDocument/2006/relationships/hyperlink" Target="https://fbref.com/en/players/c17bfb65/matchlogs/2025-2026/summary/Joelinton-Match-Logs" TargetMode="External"/><Relationship Id="rId2555" Type="http://schemas.openxmlformats.org/officeDocument/2006/relationships/hyperlink" Target="https://fbref.com/en/players/7ba5d93b/Timur-Tuterov" TargetMode="External"/><Relationship Id="rId1225" Type="http://schemas.openxmlformats.org/officeDocument/2006/relationships/hyperlink" Target="https://fbref.com/en/players/33a235af/John" TargetMode="External"/><Relationship Id="rId2556" Type="http://schemas.openxmlformats.org/officeDocument/2006/relationships/hyperlink" Target="https://fbref.com/en/country/UKR/Ukraine-Football" TargetMode="External"/><Relationship Id="rId1226" Type="http://schemas.openxmlformats.org/officeDocument/2006/relationships/hyperlink" Target="https://fbref.com/en/country/BRA/Brazil-Football" TargetMode="External"/><Relationship Id="rId2557" Type="http://schemas.openxmlformats.org/officeDocument/2006/relationships/hyperlink" Target="https://fbref.com/en/squads/8ef52968/Sunderland-Stats" TargetMode="External"/><Relationship Id="rId1227" Type="http://schemas.openxmlformats.org/officeDocument/2006/relationships/hyperlink" Target="https://fbref.com/en/squads/e4a775cb/Nottingham-Forest-Stats" TargetMode="External"/><Relationship Id="rId2558" Type="http://schemas.openxmlformats.org/officeDocument/2006/relationships/hyperlink" Target="https://fbref.com/en/players/7ba5d93b/matchlogs/2025-2026/summary/Timur-Tuterov-Match-Logs" TargetMode="External"/><Relationship Id="rId1228" Type="http://schemas.openxmlformats.org/officeDocument/2006/relationships/hyperlink" Target="https://fbref.com/en/players/33a235af/matchlogs/2025-2026/summary/John-Match-Logs" TargetMode="External"/><Relationship Id="rId2559" Type="http://schemas.openxmlformats.org/officeDocument/2006/relationships/hyperlink" Target="https://fbref.com/en/players/af49fb14/Harry-Tyrer" TargetMode="External"/><Relationship Id="rId1229" Type="http://schemas.openxmlformats.org/officeDocument/2006/relationships/hyperlink" Target="https://fbref.com/en/players/0cd31129/Brennan-Johnson" TargetMode="External"/><Relationship Id="rId877" Type="http://schemas.openxmlformats.org/officeDocument/2006/relationships/hyperlink" Target="https://fbref.com/en/players/e6f7797e/Tyrique-George" TargetMode="External"/><Relationship Id="rId876" Type="http://schemas.openxmlformats.org/officeDocument/2006/relationships/hyperlink" Target="https://fbref.com/en/players/e6f7797e/matchlogs/2025-2026/summary/Tyrique-George-Match-Logs" TargetMode="External"/><Relationship Id="rId875" Type="http://schemas.openxmlformats.org/officeDocument/2006/relationships/hyperlink" Target="https://fbref.com/en/squads/cff3d9bb/Chelsea-Stats" TargetMode="External"/><Relationship Id="rId874" Type="http://schemas.openxmlformats.org/officeDocument/2006/relationships/hyperlink" Target="https://fbref.com/en/country/ENG/England-Football" TargetMode="External"/><Relationship Id="rId879" Type="http://schemas.openxmlformats.org/officeDocument/2006/relationships/hyperlink" Target="https://fbref.com/en/squads/d3fd31cc/Everton-Stats" TargetMode="External"/><Relationship Id="rId878" Type="http://schemas.openxmlformats.org/officeDocument/2006/relationships/hyperlink" Target="https://fbref.com/en/country/ENG/England-Football" TargetMode="External"/><Relationship Id="rId2550" Type="http://schemas.openxmlformats.org/officeDocument/2006/relationships/hyperlink" Target="https://fbref.com/en/players/5d0e0a1f/matchlogs/2025-2026/summary/Adrien-Truffert-Match-Logs" TargetMode="External"/><Relationship Id="rId873" Type="http://schemas.openxmlformats.org/officeDocument/2006/relationships/hyperlink" Target="https://fbref.com/en/players/e6f7797e/Tyrique-George" TargetMode="External"/><Relationship Id="rId1220" Type="http://schemas.openxmlformats.org/officeDocument/2006/relationships/hyperlink" Target="https://fbref.com/en/players/e8832875/matchlogs/2025-2026/summary/Joao-Pedro-Match-Logs" TargetMode="External"/><Relationship Id="rId2551" Type="http://schemas.openxmlformats.org/officeDocument/2006/relationships/hyperlink" Target="https://fbref.com/en/players/2baec6ce/Axel-Tuanzebe" TargetMode="External"/><Relationship Id="rId872" Type="http://schemas.openxmlformats.org/officeDocument/2006/relationships/hyperlink" Target="https://fbref.com/en/players/242e1043/matchlogs/2025-2026/summary/Lutsharel-Geertruida-Match-Logs" TargetMode="External"/><Relationship Id="rId1221" Type="http://schemas.openxmlformats.org/officeDocument/2006/relationships/hyperlink" Target="https://fbref.com/en/players/c17bfb65/Joelinton" TargetMode="External"/><Relationship Id="rId2552" Type="http://schemas.openxmlformats.org/officeDocument/2006/relationships/hyperlink" Target="https://fbref.com/en/country/COD/Congo-DR-Football" TargetMode="External"/><Relationship Id="rId871" Type="http://schemas.openxmlformats.org/officeDocument/2006/relationships/hyperlink" Target="https://fbref.com/en/squads/8ef52968/Sunderland-Stats" TargetMode="External"/><Relationship Id="rId1222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squads/943e8050/Burnley-Stats" TargetMode="External"/><Relationship Id="rId870" Type="http://schemas.openxmlformats.org/officeDocument/2006/relationships/hyperlink" Target="https://fbref.com/en/country/NED/Netherlands-Football" TargetMode="External"/><Relationship Id="rId1223" Type="http://schemas.openxmlformats.org/officeDocument/2006/relationships/hyperlink" Target="https://fbref.com/en/squads/b2b47a98/Newcastle-United-Stats" TargetMode="External"/><Relationship Id="rId2554" Type="http://schemas.openxmlformats.org/officeDocument/2006/relationships/hyperlink" Target="https://fbref.com/en/players/2baec6ce/matchlogs/2025-2026/summary/Axel-Tuanzebe-Match-Logs" TargetMode="External"/><Relationship Id="rId1653" Type="http://schemas.openxmlformats.org/officeDocument/2006/relationships/hyperlink" Target="https://fbref.com/en/players/90f91999/John-McGinn" TargetMode="External"/><Relationship Id="rId2500" Type="http://schemas.openxmlformats.org/officeDocument/2006/relationships/hyperlink" Target="https://fbref.com/en/country/FRA/France-Football" TargetMode="External"/><Relationship Id="rId1654" Type="http://schemas.openxmlformats.org/officeDocument/2006/relationships/hyperlink" Target="https://fbref.com/en/country/SCO/Scotland-Football" TargetMode="External"/><Relationship Id="rId2501" Type="http://schemas.openxmlformats.org/officeDocument/2006/relationships/hyperlink" Target="https://fbref.com/en/squads/7c21e445/West-Ham-United-Stats" TargetMode="External"/><Relationship Id="rId1655" Type="http://schemas.openxmlformats.org/officeDocument/2006/relationships/hyperlink" Target="https://fbref.com/en/squads/8602292d/Aston-Villa-Stats" TargetMode="External"/><Relationship Id="rId2502" Type="http://schemas.openxmlformats.org/officeDocument/2006/relationships/hyperlink" Target="https://fbref.com/en/players/88f130ed/matchlogs/2025-2026/summary/Jean-Clair-Todibo-Match-Logs" TargetMode="External"/><Relationship Id="rId1656" Type="http://schemas.openxmlformats.org/officeDocument/2006/relationships/hyperlink" Target="https://fbref.com/en/players/90f91999/matchlogs/2025-2026/summary/John-McGinn-Match-Logs" TargetMode="External"/><Relationship Id="rId2503" Type="http://schemas.openxmlformats.org/officeDocument/2006/relationships/hyperlink" Target="https://fbref.com/en/players/0db169ae/Sandro-Tonali" TargetMode="External"/><Relationship Id="rId1657" Type="http://schemas.openxmlformats.org/officeDocument/2006/relationships/hyperlink" Target="https://fbref.com/en/players/643dadae/Kian-McMahon-Brown" TargetMode="External"/><Relationship Id="rId2504" Type="http://schemas.openxmlformats.org/officeDocument/2006/relationships/hyperlink" Target="https://fbref.com/en/country/ITA/Italy-Football" TargetMode="External"/><Relationship Id="rId1658" Type="http://schemas.openxmlformats.org/officeDocument/2006/relationships/hyperlink" Target="https://fbref.com/en/country/IRL/Republic-of-Ireland-Football" TargetMode="External"/><Relationship Id="rId2505" Type="http://schemas.openxmlformats.org/officeDocument/2006/relationships/hyperlink" Target="https://fbref.com/en/squads/b2b47a98/Newcastle-United-Stats" TargetMode="External"/><Relationship Id="rId1659" Type="http://schemas.openxmlformats.org/officeDocument/2006/relationships/hyperlink" Target="https://fbref.com/en/squads/943e8050/Burnley-Stats" TargetMode="External"/><Relationship Id="rId2506" Type="http://schemas.openxmlformats.org/officeDocument/2006/relationships/hyperlink" Target="https://fbref.com/en/players/0db169ae/matchlogs/2025-2026/summary/Sandro-Tonali-Match-Logs" TargetMode="External"/><Relationship Id="rId2507" Type="http://schemas.openxmlformats.org/officeDocument/2006/relationships/hyperlink" Target="https://fbref.com/en/players/532e1e4f/Pau-Torres" TargetMode="External"/><Relationship Id="rId2508" Type="http://schemas.openxmlformats.org/officeDocument/2006/relationships/hyperlink" Target="https://fbref.com/en/country/ESP/Spain-Football" TargetMode="External"/><Relationship Id="rId829" Type="http://schemas.openxmlformats.org/officeDocument/2006/relationships/hyperlink" Target="https://fbref.com/en/players/d102b8a2/Leo-Fuhr-Hjelde" TargetMode="External"/><Relationship Id="rId2509" Type="http://schemas.openxmlformats.org/officeDocument/2006/relationships/hyperlink" Target="https://fbref.com/en/squads/8602292d/Aston-Villa-Stats" TargetMode="External"/><Relationship Id="rId828" Type="http://schemas.openxmlformats.org/officeDocument/2006/relationships/hyperlink" Target="https://fbref.com/en/players/74f2e748/matchlogs/2025-2026/summary/Jeremie-Frimpong-Match-Logs" TargetMode="External"/><Relationship Id="rId827" Type="http://schemas.openxmlformats.org/officeDocument/2006/relationships/hyperlink" Target="https://fbref.com/en/squads/822bd0ba/Liverpool-Stats" TargetMode="External"/><Relationship Id="rId822" Type="http://schemas.openxmlformats.org/officeDocument/2006/relationships/hyperlink" Target="https://fbref.com/en/country/ENG/England-Football" TargetMode="External"/><Relationship Id="rId821" Type="http://schemas.openxmlformats.org/officeDocument/2006/relationships/hyperlink" Target="https://fbref.com/en/players/58630379/Tyler-Fredricson" TargetMode="External"/><Relationship Id="rId820" Type="http://schemas.openxmlformats.org/officeDocument/2006/relationships/hyperlink" Target="https://fbref.com/en/players/f84a807c/matchlogs/2025-2026/summary/Lyle-Foster-Match-Logs" TargetMode="External"/><Relationship Id="rId826" Type="http://schemas.openxmlformats.org/officeDocument/2006/relationships/hyperlink" Target="https://fbref.com/en/country/NED/Netherlands-Football" TargetMode="External"/><Relationship Id="rId825" Type="http://schemas.openxmlformats.org/officeDocument/2006/relationships/hyperlink" Target="https://fbref.com/en/players/74f2e748/Jeremie-Frimpong" TargetMode="External"/><Relationship Id="rId824" Type="http://schemas.openxmlformats.org/officeDocument/2006/relationships/hyperlink" Target="https://fbref.com/en/players/58630379/matchlogs/2025-2026/summary/Tyler-Fredricson-Match-Logs" TargetMode="External"/><Relationship Id="rId823" Type="http://schemas.openxmlformats.org/officeDocument/2006/relationships/hyperlink" Target="https://fbref.com/en/squads/19538871/Manchester-United-Stats" TargetMode="External"/><Relationship Id="rId1650" Type="http://schemas.openxmlformats.org/officeDocument/2006/relationships/hyperlink" Target="https://fbref.com/en/country/ENG/England-Football" TargetMode="External"/><Relationship Id="rId1651" Type="http://schemas.openxmlformats.org/officeDocument/2006/relationships/hyperlink" Target="https://fbref.com/en/squads/822bd0ba/Liverpool-Stats" TargetMode="External"/><Relationship Id="rId1652" Type="http://schemas.openxmlformats.org/officeDocument/2006/relationships/hyperlink" Target="https://fbref.com/en/players/bf973eeb/matchlogs/2025-2026/summary/James-McConnell-Match-Logs" TargetMode="External"/><Relationship Id="rId1642" Type="http://schemas.openxmlformats.org/officeDocument/2006/relationships/hyperlink" Target="https://fbref.com/en/country/ENG/England-Football" TargetMode="External"/><Relationship Id="rId1643" Type="http://schemas.openxmlformats.org/officeDocument/2006/relationships/hyperlink" Target="https://fbref.com/en/squads/b8fd03ef/Manchester-City-Stats" TargetMode="External"/><Relationship Id="rId1644" Type="http://schemas.openxmlformats.org/officeDocument/2006/relationships/hyperlink" Target="https://fbref.com/en/players/8dd0d7c5/matchlogs/2025-2026/summary/Ryan-Mcaidoo-Match-Logs" TargetMode="External"/><Relationship Id="rId1645" Type="http://schemas.openxmlformats.org/officeDocument/2006/relationships/hyperlink" Target="https://fbref.com/en/players/96593e89/James-Mcatee" TargetMode="External"/><Relationship Id="rId1646" Type="http://schemas.openxmlformats.org/officeDocument/2006/relationships/hyperlink" Target="https://fbref.com/en/country/ENG/England-Football" TargetMode="External"/><Relationship Id="rId1647" Type="http://schemas.openxmlformats.org/officeDocument/2006/relationships/hyperlink" Target="https://fbref.com/en/squads/e4a775cb/Nottingham-Forest-Stats" TargetMode="External"/><Relationship Id="rId1648" Type="http://schemas.openxmlformats.org/officeDocument/2006/relationships/hyperlink" Target="https://fbref.com/en/players/96593e89/matchlogs/2025-2026/summary/James-Mcatee-Match-Logs" TargetMode="External"/><Relationship Id="rId1649" Type="http://schemas.openxmlformats.org/officeDocument/2006/relationships/hyperlink" Target="https://fbref.com/en/players/bf973eeb/James-McConnell" TargetMode="External"/><Relationship Id="rId819" Type="http://schemas.openxmlformats.org/officeDocument/2006/relationships/hyperlink" Target="https://fbref.com/en/squads/943e8050/Burnley-Stats" TargetMode="External"/><Relationship Id="rId818" Type="http://schemas.openxmlformats.org/officeDocument/2006/relationships/hyperlink" Target="https://fbref.com/en/country/RSA/South-Africa-Football" TargetMode="External"/><Relationship Id="rId817" Type="http://schemas.openxmlformats.org/officeDocument/2006/relationships/hyperlink" Target="https://fbref.com/en/players/f84a807c/Lyle-Foster" TargetMode="External"/><Relationship Id="rId816" Type="http://schemas.openxmlformats.org/officeDocument/2006/relationships/hyperlink" Target="https://fbref.com/en/players/c3e39f12/matchlogs/2025-2026/summary/Fraser-Forster-Match-Logs" TargetMode="External"/><Relationship Id="rId811" Type="http://schemas.openxmlformats.org/officeDocument/2006/relationships/hyperlink" Target="https://fbref.com/en/squads/cff3d9bb/Chelsea-Stats" TargetMode="External"/><Relationship Id="rId810" Type="http://schemas.openxmlformats.org/officeDocument/2006/relationships/hyperlink" Target="https://fbref.com/en/country/FRA/France-Football" TargetMode="External"/><Relationship Id="rId815" Type="http://schemas.openxmlformats.org/officeDocument/2006/relationships/hyperlink" Target="https://fbref.com/en/squads/4ba7cbea/Bournemouth-Stats" TargetMode="External"/><Relationship Id="rId814" Type="http://schemas.openxmlformats.org/officeDocument/2006/relationships/hyperlink" Target="https://fbref.com/en/country/ENG/England-Football" TargetMode="External"/><Relationship Id="rId813" Type="http://schemas.openxmlformats.org/officeDocument/2006/relationships/hyperlink" Target="https://fbref.com/en/players/c3e39f12/Fraser-Forster" TargetMode="External"/><Relationship Id="rId812" Type="http://schemas.openxmlformats.org/officeDocument/2006/relationships/hyperlink" Target="https://fbref.com/en/players/132a82f1/matchlogs/2025-2026/summary/Wesley-Fofana-Match-Logs" TargetMode="External"/><Relationship Id="rId1640" Type="http://schemas.openxmlformats.org/officeDocument/2006/relationships/hyperlink" Target="https://fbref.com/en/players/6afaebf2/matchlogs/2025-2026/summary/Bryan-Mbeumo-Match-Logs" TargetMode="External"/><Relationship Id="rId1641" Type="http://schemas.openxmlformats.org/officeDocument/2006/relationships/hyperlink" Target="https://fbref.com/en/players/8dd0d7c5/Ryan-Mcaidoo" TargetMode="External"/><Relationship Id="rId1675" Type="http://schemas.openxmlformats.org/officeDocument/2006/relationships/hyperlink" Target="https://fbref.com/en/players/ca22ccb0/matchlogs/2025-2026/summary/Hannibal-Mejbri-Match-Logs" TargetMode="External"/><Relationship Id="rId2522" Type="http://schemas.openxmlformats.org/officeDocument/2006/relationships/hyperlink" Target="https://fbref.com/en/players/9a28eba4/matchlogs/2025-2026/summary/Adama-Traore-Match-Logs" TargetMode="External"/><Relationship Id="rId1676" Type="http://schemas.openxmlformats.org/officeDocument/2006/relationships/hyperlink" Target="https://fbref.com/en/players/d080ed5e/Mikel-Merino" TargetMode="External"/><Relationship Id="rId2523" Type="http://schemas.openxmlformats.org/officeDocument/2006/relationships/hyperlink" Target="https://fbref.com/en/players/9a28eba4/Adama-Traore" TargetMode="External"/><Relationship Id="rId1677" Type="http://schemas.openxmlformats.org/officeDocument/2006/relationships/hyperlink" Target="https://fbref.com/en/country/ESP/Spain-Football" TargetMode="External"/><Relationship Id="rId2524" Type="http://schemas.openxmlformats.org/officeDocument/2006/relationships/hyperlink" Target="https://fbref.com/en/country/ESP/Spain-Football" TargetMode="External"/><Relationship Id="rId1678" Type="http://schemas.openxmlformats.org/officeDocument/2006/relationships/hyperlink" Target="https://fbref.com/en/squads/18bb7c10/Arsenal-Stats" TargetMode="External"/><Relationship Id="rId2525" Type="http://schemas.openxmlformats.org/officeDocument/2006/relationships/hyperlink" Target="https://fbref.com/en/squads/7c21e445/West-Ham-United-Stats" TargetMode="External"/><Relationship Id="rId1679" Type="http://schemas.openxmlformats.org/officeDocument/2006/relationships/hyperlink" Target="https://fbref.com/en/players/d080ed5e/matchlogs/2025-2026/summary/Mikel-Merino-Match-Logs" TargetMode="External"/><Relationship Id="rId2526" Type="http://schemas.openxmlformats.org/officeDocument/2006/relationships/hyperlink" Target="https://fbref.com/en/players/9a28eba4/matchlogs/2025-2026/summary/Adama-Traore-Match-Logs" TargetMode="External"/><Relationship Id="rId2527" Type="http://schemas.openxmlformats.org/officeDocument/2006/relationships/hyperlink" Target="https://fbref.com/en/players/c47541e0/Bertrand-Traore" TargetMode="External"/><Relationship Id="rId2528" Type="http://schemas.openxmlformats.org/officeDocument/2006/relationships/hyperlink" Target="https://fbref.com/en/country/BFA/Burkina-Faso-Football" TargetMode="External"/><Relationship Id="rId2529" Type="http://schemas.openxmlformats.org/officeDocument/2006/relationships/hyperlink" Target="https://fbref.com/en/squads/8ef52968/Sunderland-Stats" TargetMode="External"/><Relationship Id="rId849" Type="http://schemas.openxmlformats.org/officeDocument/2006/relationships/hyperlink" Target="https://fbref.com/en/players/72c812f3/Idrissa-Gana-Gueye" TargetMode="External"/><Relationship Id="rId844" Type="http://schemas.openxmlformats.org/officeDocument/2006/relationships/hyperlink" Target="https://fbref.com/en/players/1971591f/matchlogs/2025-2026/summary/Cody-Gakpo-Match-Logs" TargetMode="External"/><Relationship Id="rId843" Type="http://schemas.openxmlformats.org/officeDocument/2006/relationships/hyperlink" Target="https://fbref.com/en/squads/822bd0ba/Liverpool-Stats" TargetMode="External"/><Relationship Id="rId842" Type="http://schemas.openxmlformats.org/officeDocument/2006/relationships/hyperlink" Target="https://fbref.com/en/country/NED/Netherlands-Football" TargetMode="External"/><Relationship Id="rId841" Type="http://schemas.openxmlformats.org/officeDocument/2006/relationships/hyperlink" Target="https://fbref.com/en/players/1971591f/Cody-Gakpo" TargetMode="External"/><Relationship Id="rId848" Type="http://schemas.openxmlformats.org/officeDocument/2006/relationships/hyperlink" Target="https://fbref.com/en/players/c2731c10/matchlogs/2025-2026/summary/Conor-Gallagher-Match-Logs" TargetMode="External"/><Relationship Id="rId847" Type="http://schemas.openxmlformats.org/officeDocument/2006/relationships/hyperlink" Target="https://fbref.com/en/squads/361ca564/Tottenham-Hotspur-Stats" TargetMode="External"/><Relationship Id="rId846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players/c2731c10/Conor-Gallagher" TargetMode="External"/><Relationship Id="rId1670" Type="http://schemas.openxmlformats.org/officeDocument/2006/relationships/hyperlink" Target="https://fbref.com/en/squads/d3fd31cc/Everton-Stats" TargetMode="External"/><Relationship Id="rId840" Type="http://schemas.openxmlformats.org/officeDocument/2006/relationships/hyperlink" Target="https://fbref.com/en/players/9fea2579/matchlogs/2025-2026/summary/Kaye-Furo-Match-Logs" TargetMode="External"/><Relationship Id="rId1671" Type="http://schemas.openxmlformats.org/officeDocument/2006/relationships/hyperlink" Target="https://fbref.com/en/players/fc15fb84/matchlogs/2025-2026/summary/Dwight-McNeil-Match-Logs" TargetMode="External"/><Relationship Id="rId1672" Type="http://schemas.openxmlformats.org/officeDocument/2006/relationships/hyperlink" Target="https://fbref.com/en/players/ca22ccb0/Hannibal-Mejbri" TargetMode="External"/><Relationship Id="rId1673" Type="http://schemas.openxmlformats.org/officeDocument/2006/relationships/hyperlink" Target="https://fbref.com/en/country/TUN/Tunisia-Football" TargetMode="External"/><Relationship Id="rId2520" Type="http://schemas.openxmlformats.org/officeDocument/2006/relationships/hyperlink" Target="https://fbref.com/en/country/ESP/Spain-Football" TargetMode="External"/><Relationship Id="rId1674" Type="http://schemas.openxmlformats.org/officeDocument/2006/relationships/hyperlink" Target="https://fbref.com/en/squads/943e8050/Burnley-Stats" TargetMode="External"/><Relationship Id="rId2521" Type="http://schemas.openxmlformats.org/officeDocument/2006/relationships/hyperlink" Target="https://fbref.com/en/squads/fd962109/Fulham-Stats" TargetMode="External"/><Relationship Id="rId1664" Type="http://schemas.openxmlformats.org/officeDocument/2006/relationships/hyperlink" Target="https://fbref.com/en/players/419fba9c/Alfie-McNally" TargetMode="External"/><Relationship Id="rId2511" Type="http://schemas.openxmlformats.org/officeDocument/2006/relationships/hyperlink" Target="https://fbref.com/en/players/5e18c6f4/Alex-Toth" TargetMode="External"/><Relationship Id="rId1665" Type="http://schemas.openxmlformats.org/officeDocument/2006/relationships/hyperlink" Target="https://fbref.com/en/country/ENG/England-Football" TargetMode="External"/><Relationship Id="rId2512" Type="http://schemas.openxmlformats.org/officeDocument/2006/relationships/hyperlink" Target="https://fbref.com/en/country/HUN/Hungary-Football" TargetMode="External"/><Relationship Id="rId1666" Type="http://schemas.openxmlformats.org/officeDocument/2006/relationships/hyperlink" Target="https://fbref.com/en/squads/fd962109/Fulham-Stats" TargetMode="External"/><Relationship Id="rId2513" Type="http://schemas.openxmlformats.org/officeDocument/2006/relationships/hyperlink" Target="https://fbref.com/en/squads/4ba7cbea/Bournemouth-Stats" TargetMode="External"/><Relationship Id="rId1667" Type="http://schemas.openxmlformats.org/officeDocument/2006/relationships/hyperlink" Target="https://fbref.com/en/players/419fba9c/matchlogs/2025-2026/summary/Alfie-McNally-Match-Logs" TargetMode="External"/><Relationship Id="rId2514" Type="http://schemas.openxmlformats.org/officeDocument/2006/relationships/hyperlink" Target="https://fbref.com/en/players/5e18c6f4/matchlogs/2025-2026/summary/Alex-Toth-Match-Logs" TargetMode="External"/><Relationship Id="rId1668" Type="http://schemas.openxmlformats.org/officeDocument/2006/relationships/hyperlink" Target="https://fbref.com/en/players/fc15fb84/Dwight-McNeil" TargetMode="External"/><Relationship Id="rId2515" Type="http://schemas.openxmlformats.org/officeDocument/2006/relationships/hyperlink" Target="https://fbref.com/en/players/259fea27/James-Trafford" TargetMode="External"/><Relationship Id="rId1669" Type="http://schemas.openxmlformats.org/officeDocument/2006/relationships/hyperlink" Target="https://fbref.com/en/country/ENG/England-Football" TargetMode="External"/><Relationship Id="rId2516" Type="http://schemas.openxmlformats.org/officeDocument/2006/relationships/hyperlink" Target="https://fbref.com/en/country/ENG/England-Football" TargetMode="External"/><Relationship Id="rId2517" Type="http://schemas.openxmlformats.org/officeDocument/2006/relationships/hyperlink" Target="https://fbref.com/en/squads/b8fd03ef/Manchester-City-Stats" TargetMode="External"/><Relationship Id="rId2518" Type="http://schemas.openxmlformats.org/officeDocument/2006/relationships/hyperlink" Target="https://fbref.com/en/players/259fea27/matchlogs/2025-2026/summary/James-Trafford-Match-Logs" TargetMode="External"/><Relationship Id="rId2519" Type="http://schemas.openxmlformats.org/officeDocument/2006/relationships/hyperlink" Target="https://fbref.com/en/players/9a28eba4/Adama-Traore" TargetMode="External"/><Relationship Id="rId839" Type="http://schemas.openxmlformats.org/officeDocument/2006/relationships/hyperlink" Target="https://fbref.com/en/squads/cd051869/Brentford-Stats" TargetMode="External"/><Relationship Id="rId838" Type="http://schemas.openxmlformats.org/officeDocument/2006/relationships/hyperlink" Target="https://fbref.com/en/country/BEL/Belgium-Football" TargetMode="External"/><Relationship Id="rId833" Type="http://schemas.openxmlformats.org/officeDocument/2006/relationships/hyperlink" Target="https://fbref.com/en/players/4f16405e/Niclas-Fullkrug" TargetMode="External"/><Relationship Id="rId832" Type="http://schemas.openxmlformats.org/officeDocument/2006/relationships/hyperlink" Target="https://fbref.com/en/players/d102b8a2/matchlogs/2025-2026/summary/Leo-Fuhr-Hjelde-Match-Logs" TargetMode="External"/><Relationship Id="rId831" Type="http://schemas.openxmlformats.org/officeDocument/2006/relationships/hyperlink" Target="https://fbref.com/en/squads/8ef52968/Sunderland-Stats" TargetMode="External"/><Relationship Id="rId830" Type="http://schemas.openxmlformats.org/officeDocument/2006/relationships/hyperlink" Target="https://fbref.com/en/country/NOR/Norway-Football" TargetMode="External"/><Relationship Id="rId837" Type="http://schemas.openxmlformats.org/officeDocument/2006/relationships/hyperlink" Target="https://fbref.com/en/players/9fea2579/Kaye-Furo" TargetMode="External"/><Relationship Id="rId836" Type="http://schemas.openxmlformats.org/officeDocument/2006/relationships/hyperlink" Target="https://fbref.com/en/players/4f16405e/matchlogs/2025-2026/summary/Niclas-Fullkrug-Match-Logs" TargetMode="External"/><Relationship Id="rId835" Type="http://schemas.openxmlformats.org/officeDocument/2006/relationships/hyperlink" Target="https://fbref.com/en/squads/7c21e445/West-Ham-United-Stats" TargetMode="External"/><Relationship Id="rId834" Type="http://schemas.openxmlformats.org/officeDocument/2006/relationships/hyperlink" Target="https://fbref.com/en/country/GER/Germany-Football" TargetMode="External"/><Relationship Id="rId1660" Type="http://schemas.openxmlformats.org/officeDocument/2006/relationships/hyperlink" Target="https://fbref.com/en/players/643dadae/matchlogs/2025-2026/summary/Kian-McMahon-Brown-Match-Logs" TargetMode="External"/><Relationship Id="rId1661" Type="http://schemas.openxmlformats.org/officeDocument/2006/relationships/hyperlink" Target="https://fbref.com/en/players/d80e9e0e/Conor-McManus" TargetMode="External"/><Relationship Id="rId1662" Type="http://schemas.openxmlformats.org/officeDocument/2006/relationships/hyperlink" Target="https://fbref.com/en/squads/cd051869/Brentford-Stats" TargetMode="External"/><Relationship Id="rId1663" Type="http://schemas.openxmlformats.org/officeDocument/2006/relationships/hyperlink" Target="https://fbref.com/en/players/d80e9e0e/matchlogs/2025-2026/summary/Conor-McManus-Match-Logs" TargetMode="External"/><Relationship Id="rId2510" Type="http://schemas.openxmlformats.org/officeDocument/2006/relationships/hyperlink" Target="https://fbref.com/en/players/532e1e4f/matchlogs/2025-2026/summary/Pau-Torres-Match-Logs" TargetMode="External"/><Relationship Id="rId2148" Type="http://schemas.openxmlformats.org/officeDocument/2006/relationships/hyperlink" Target="https://fbref.com/en/players/349fa918/Robin-Roefs" TargetMode="External"/><Relationship Id="rId2149" Type="http://schemas.openxmlformats.org/officeDocument/2006/relationships/hyperlink" Target="https://fbref.com/en/country/NED/Netherlands-Football" TargetMode="External"/><Relationship Id="rId469" Type="http://schemas.openxmlformats.org/officeDocument/2006/relationships/hyperlink" Target="https://fbref.com/en/players/30b33655/Samuel-Chambers" TargetMode="External"/><Relationship Id="rId468" Type="http://schemas.openxmlformats.org/officeDocument/2006/relationships/hyperlink" Target="https://fbref.com/en/players/5515376c/matchlogs/2025-2026/summary/Trevoh-Chalobah-Match-Logs" TargetMode="External"/><Relationship Id="rId467" Type="http://schemas.openxmlformats.org/officeDocument/2006/relationships/hyperlink" Target="https://fbref.com/en/squads/cff3d9bb/Chelsea-Stats" TargetMode="External"/><Relationship Id="rId1290" Type="http://schemas.openxmlformats.org/officeDocument/2006/relationships/hyperlink" Target="https://fbref.com/en/country/FRA/France-Football" TargetMode="External"/><Relationship Id="rId1291" Type="http://schemas.openxmlformats.org/officeDocument/2006/relationships/hyperlink" Target="https://fbref.com/en/squads/8602292d/Aston-Villa-Stats" TargetMode="External"/><Relationship Id="rId1292" Type="http://schemas.openxmlformats.org/officeDocument/2006/relationships/hyperlink" Target="https://fbref.com/en/players/cc77354e/matchlogs/2025-2026/summary/Boubacar-Kamara-Match-Logs" TargetMode="External"/><Relationship Id="rId462" Type="http://schemas.openxmlformats.org/officeDocument/2006/relationships/hyperlink" Target="https://fbref.com/en/country/ENG/England-Football" TargetMode="External"/><Relationship Id="rId1293" Type="http://schemas.openxmlformats.org/officeDocument/2006/relationships/hyperlink" Target="https://fbref.com/en/players/0041f3e6/Mohamadou-Kante" TargetMode="External"/><Relationship Id="rId2140" Type="http://schemas.openxmlformats.org/officeDocument/2006/relationships/hyperlink" Target="https://fbref.com/en/players/6434f10d/Rodri" TargetMode="External"/><Relationship Id="rId461" Type="http://schemas.openxmlformats.org/officeDocument/2006/relationships/hyperlink" Target="https://fbref.com/en/players/1fb22c14/Rhys-Chadwick-Chaplin" TargetMode="External"/><Relationship Id="rId1294" Type="http://schemas.openxmlformats.org/officeDocument/2006/relationships/hyperlink" Target="https://fbref.com/en/country/FRA/France-Football" TargetMode="External"/><Relationship Id="rId2141" Type="http://schemas.openxmlformats.org/officeDocument/2006/relationships/hyperlink" Target="https://fbref.com/en/country/ESP/Spain-Football" TargetMode="External"/><Relationship Id="rId460" Type="http://schemas.openxmlformats.org/officeDocument/2006/relationships/hyperlink" Target="https://fbref.com/en/players/da76bab4/matchlogs/2025-2026/summary/Valentin-Castellanos-Match-Logs" TargetMode="External"/><Relationship Id="rId1295" Type="http://schemas.openxmlformats.org/officeDocument/2006/relationships/hyperlink" Target="https://fbref.com/en/squads/7c21e445/West-Ham-United-Stats" TargetMode="External"/><Relationship Id="rId2142" Type="http://schemas.openxmlformats.org/officeDocument/2006/relationships/hyperlink" Target="https://fbref.com/en/squads/b8fd03ef/Manchester-City-Stats" TargetMode="External"/><Relationship Id="rId1296" Type="http://schemas.openxmlformats.org/officeDocument/2006/relationships/hyperlink" Target="https://fbref.com/en/players/0041f3e6/matchlogs/2025-2026/summary/Mohamadou-Kante-Match-Logs" TargetMode="External"/><Relationship Id="rId2143" Type="http://schemas.openxmlformats.org/officeDocument/2006/relationships/hyperlink" Target="https://fbref.com/en/players/6434f10d/matchlogs/2025-2026/summary/Rodri-Match-Logs" TargetMode="External"/><Relationship Id="rId466" Type="http://schemas.openxmlformats.org/officeDocument/2006/relationships/hyperlink" Target="https://fbref.com/en/country/ENG/England-Football" TargetMode="External"/><Relationship Id="rId1297" Type="http://schemas.openxmlformats.org/officeDocument/2006/relationships/hyperlink" Target="https://fbref.com/en/players/e82e145e/Ryan-Kavuma-McQueen" TargetMode="External"/><Relationship Id="rId2144" Type="http://schemas.openxmlformats.org/officeDocument/2006/relationships/hyperlink" Target="https://fbref.com/en/players/34e393f2/Guido-Rodriguez" TargetMode="External"/><Relationship Id="rId465" Type="http://schemas.openxmlformats.org/officeDocument/2006/relationships/hyperlink" Target="https://fbref.com/en/players/5515376c/Trevoh-Chalobah" TargetMode="External"/><Relationship Id="rId1298" Type="http://schemas.openxmlformats.org/officeDocument/2006/relationships/hyperlink" Target="https://fbref.com/en/country/ENG/England-Football" TargetMode="External"/><Relationship Id="rId2145" Type="http://schemas.openxmlformats.org/officeDocument/2006/relationships/hyperlink" Target="https://fbref.com/en/country/ARG/Argentina-Football" TargetMode="External"/><Relationship Id="rId464" Type="http://schemas.openxmlformats.org/officeDocument/2006/relationships/hyperlink" Target="https://fbref.com/en/players/1fb22c14/matchlogs/2025-2026/summary/Rhys-Chadwick-Chaplin-Match-Logs" TargetMode="External"/><Relationship Id="rId1299" Type="http://schemas.openxmlformats.org/officeDocument/2006/relationships/hyperlink" Target="https://fbref.com/en/squads/cff3d9bb/Chelsea-Stats" TargetMode="External"/><Relationship Id="rId2146" Type="http://schemas.openxmlformats.org/officeDocument/2006/relationships/hyperlink" Target="https://fbref.com/en/squads/7c21e445/West-Ham-United-Stats" TargetMode="External"/><Relationship Id="rId463" Type="http://schemas.openxmlformats.org/officeDocument/2006/relationships/hyperlink" Target="https://fbref.com/en/squads/5bfb9659/Leeds-United-Stats" TargetMode="External"/><Relationship Id="rId2147" Type="http://schemas.openxmlformats.org/officeDocument/2006/relationships/hyperlink" Target="https://fbref.com/en/players/34e393f2/matchlogs/2025-2026/summary/Guido-Rodriguez-Match-Logs" TargetMode="External"/><Relationship Id="rId2137" Type="http://schemas.openxmlformats.org/officeDocument/2006/relationships/hyperlink" Target="https://fbref.com/en/country/WAL/Wales-Football" TargetMode="External"/><Relationship Id="rId2138" Type="http://schemas.openxmlformats.org/officeDocument/2006/relationships/hyperlink" Target="https://fbref.com/en/squads/5bfb9659/Leeds-United-Stats" TargetMode="External"/><Relationship Id="rId2139" Type="http://schemas.openxmlformats.org/officeDocument/2006/relationships/hyperlink" Target="https://fbref.com/en/players/8d62d31a/matchlogs/2025-2026/summary/Joe-Rodon-Match-Logs" TargetMode="External"/><Relationship Id="rId459" Type="http://schemas.openxmlformats.org/officeDocument/2006/relationships/hyperlink" Target="https://fbref.com/en/squads/7c21e445/West-Ham-United-Stats" TargetMode="External"/><Relationship Id="rId458" Type="http://schemas.openxmlformats.org/officeDocument/2006/relationships/hyperlink" Target="https://fbref.com/en/country/ARG/Argentina-Football" TargetMode="External"/><Relationship Id="rId457" Type="http://schemas.openxmlformats.org/officeDocument/2006/relationships/hyperlink" Target="https://fbref.com/en/players/da76bab4/Valentin-Castellanos" TargetMode="External"/><Relationship Id="rId456" Type="http://schemas.openxmlformats.org/officeDocument/2006/relationships/hyperlink" Target="https://fbref.com/en/players/197640fd/matchlogs/2025-2026/summary/Timothy-Castagne-Match-Logs" TargetMode="External"/><Relationship Id="rId1280" Type="http://schemas.openxmlformats.org/officeDocument/2006/relationships/hyperlink" Target="https://fbref.com/en/players/15f24fe7/matchlogs/2025-2026/summary/Sasa-Kalajdzic-Match-Logs" TargetMode="External"/><Relationship Id="rId1281" Type="http://schemas.openxmlformats.org/officeDocument/2006/relationships/hyperlink" Target="https://fbref.com/en/players/bf4c41f9/Arnaud-Kalimuendo" TargetMode="External"/><Relationship Id="rId451" Type="http://schemas.openxmlformats.org/officeDocument/2006/relationships/hyperlink" Target="https://fbref.com/en/squads/8602292d/Aston-Villa-Stats" TargetMode="External"/><Relationship Id="rId1282" Type="http://schemas.openxmlformats.org/officeDocument/2006/relationships/hyperlink" Target="https://fbref.com/en/country/FRA/France-Football" TargetMode="External"/><Relationship Id="rId450" Type="http://schemas.openxmlformats.org/officeDocument/2006/relationships/hyperlink" Target="https://fbref.com/en/country/POL/Poland-Football" TargetMode="External"/><Relationship Id="rId1283" Type="http://schemas.openxmlformats.org/officeDocument/2006/relationships/hyperlink" Target="https://fbref.com/en/squads/e4a775cb/Nottingham-Forest-Stats" TargetMode="External"/><Relationship Id="rId2130" Type="http://schemas.openxmlformats.org/officeDocument/2006/relationships/hyperlink" Target="https://fbref.com/en/squads/fd962109/Fulham-Stats" TargetMode="External"/><Relationship Id="rId1284" Type="http://schemas.openxmlformats.org/officeDocument/2006/relationships/hyperlink" Target="https://fbref.com/en/players/bf4c41f9/matchlogs/2025-2026/summary/Arnaud-Kalimuendo-Match-Logs" TargetMode="External"/><Relationship Id="rId2131" Type="http://schemas.openxmlformats.org/officeDocument/2006/relationships/hyperlink" Target="https://fbref.com/en/players/289601e6/matchlogs/2025-2026/summary/Antonee-Robinson-Match-Logs" TargetMode="External"/><Relationship Id="rId1285" Type="http://schemas.openxmlformats.org/officeDocument/2006/relationships/hyperlink" Target="https://fbref.com/en/players/15b287da/Daichi-Kamada" TargetMode="External"/><Relationship Id="rId2132" Type="http://schemas.openxmlformats.org/officeDocument/2006/relationships/hyperlink" Target="https://fbref.com/en/players/49375cdd/Kaden-Rodney" TargetMode="External"/><Relationship Id="rId455" Type="http://schemas.openxmlformats.org/officeDocument/2006/relationships/hyperlink" Target="https://fbref.com/en/squads/fd962109/Fulham-Stats" TargetMode="External"/><Relationship Id="rId1286" Type="http://schemas.openxmlformats.org/officeDocument/2006/relationships/hyperlink" Target="https://fbref.com/en/country/JPN/Japan-Football" TargetMode="External"/><Relationship Id="rId2133" Type="http://schemas.openxmlformats.org/officeDocument/2006/relationships/hyperlink" Target="https://fbref.com/en/country/ENG/England-Football" TargetMode="External"/><Relationship Id="rId454" Type="http://schemas.openxmlformats.org/officeDocument/2006/relationships/hyperlink" Target="https://fbref.com/en/country/BEL/Belgium-Football" TargetMode="External"/><Relationship Id="rId1287" Type="http://schemas.openxmlformats.org/officeDocument/2006/relationships/hyperlink" Target="https://fbref.com/en/squads/47c64c55/Crystal-Palace-Stats" TargetMode="External"/><Relationship Id="rId2134" Type="http://schemas.openxmlformats.org/officeDocument/2006/relationships/hyperlink" Target="https://fbref.com/en/squads/47c64c55/Crystal-Palace-Stats" TargetMode="External"/><Relationship Id="rId453" Type="http://schemas.openxmlformats.org/officeDocument/2006/relationships/hyperlink" Target="https://fbref.com/en/players/197640fd/Timothy-Castagne" TargetMode="External"/><Relationship Id="rId1288" Type="http://schemas.openxmlformats.org/officeDocument/2006/relationships/hyperlink" Target="https://fbref.com/en/players/15b287da/matchlogs/2025-2026/summary/Daichi-Kamada-Match-Logs" TargetMode="External"/><Relationship Id="rId2135" Type="http://schemas.openxmlformats.org/officeDocument/2006/relationships/hyperlink" Target="https://fbref.com/en/players/49375cdd/matchlogs/2025-2026/summary/Kaden-Rodney-Match-Logs" TargetMode="External"/><Relationship Id="rId452" Type="http://schemas.openxmlformats.org/officeDocument/2006/relationships/hyperlink" Target="https://fbref.com/en/players/2389cdc2/matchlogs/2025-2026/summary/Matty-Cash-Match-Logs" TargetMode="External"/><Relationship Id="rId1289" Type="http://schemas.openxmlformats.org/officeDocument/2006/relationships/hyperlink" Target="https://fbref.com/en/players/cc77354e/Boubacar-Kamara" TargetMode="External"/><Relationship Id="rId2136" Type="http://schemas.openxmlformats.org/officeDocument/2006/relationships/hyperlink" Target="https://fbref.com/en/players/8d62d31a/Joe-Rodon" TargetMode="External"/><Relationship Id="rId491" Type="http://schemas.openxmlformats.org/officeDocument/2006/relationships/hyperlink" Target="https://fbref.com/en/squads/4ba7cbea/Bournemouth-Stats" TargetMode="External"/><Relationship Id="rId490" Type="http://schemas.openxmlformats.org/officeDocument/2006/relationships/hyperlink" Target="https://fbref.com/en/country/SCO/Scotland-Football" TargetMode="External"/><Relationship Id="rId489" Type="http://schemas.openxmlformats.org/officeDocument/2006/relationships/hyperlink" Target="https://fbref.com/en/players/26ce2263/Ryan-Christie" TargetMode="External"/><Relationship Id="rId2160" Type="http://schemas.openxmlformats.org/officeDocument/2006/relationships/hyperlink" Target="https://fbref.com/en/players/1f2c7b55/Merlin-Rohl" TargetMode="External"/><Relationship Id="rId2161" Type="http://schemas.openxmlformats.org/officeDocument/2006/relationships/hyperlink" Target="https://fbref.com/en/country/GER/Germany-Football" TargetMode="External"/><Relationship Id="rId484" Type="http://schemas.openxmlformats.org/officeDocument/2006/relationships/hyperlink" Target="https://fbref.com/en/players/b0f7e36c/matchlogs/2025-2026/summary/Federico-Chiesa-Match-Logs" TargetMode="External"/><Relationship Id="rId2162" Type="http://schemas.openxmlformats.org/officeDocument/2006/relationships/hyperlink" Target="https://fbref.com/en/squads/d3fd31cc/Everton-Stats" TargetMode="External"/><Relationship Id="rId483" Type="http://schemas.openxmlformats.org/officeDocument/2006/relationships/hyperlink" Target="https://fbref.com/en/squads/822bd0ba/Liverpool-Stats" TargetMode="External"/><Relationship Id="rId2163" Type="http://schemas.openxmlformats.org/officeDocument/2006/relationships/hyperlink" Target="https://fbref.com/en/players/1f2c7b55/matchlogs/2025-2026/summary/Merlin-Rohl-Match-Logs" TargetMode="External"/><Relationship Id="rId482" Type="http://schemas.openxmlformats.org/officeDocument/2006/relationships/hyperlink" Target="https://fbref.com/en/country/ITA/Italy-Football" TargetMode="External"/><Relationship Id="rId2164" Type="http://schemas.openxmlformats.org/officeDocument/2006/relationships/hyperlink" Target="https://fbref.com/en/players/a3d94a58/Cristian-Romero" TargetMode="External"/><Relationship Id="rId481" Type="http://schemas.openxmlformats.org/officeDocument/2006/relationships/hyperlink" Target="https://fbref.com/en/players/b0f7e36c/Federico-Chiesa" TargetMode="External"/><Relationship Id="rId2165" Type="http://schemas.openxmlformats.org/officeDocument/2006/relationships/hyperlink" Target="https://fbref.com/en/country/ARG/Argentina-Football" TargetMode="External"/><Relationship Id="rId488" Type="http://schemas.openxmlformats.org/officeDocument/2006/relationships/hyperlink" Target="https://fbref.com/en/players/34721c11/matchlogs/2025-2026/summary/Tawanda-Chirewa-Match-Logs" TargetMode="External"/><Relationship Id="rId2166" Type="http://schemas.openxmlformats.org/officeDocument/2006/relationships/hyperlink" Target="https://fbref.com/en/squads/361ca564/Tottenham-Hotspur-Stats" TargetMode="External"/><Relationship Id="rId487" Type="http://schemas.openxmlformats.org/officeDocument/2006/relationships/hyperlink" Target="https://fbref.com/en/squads/8cec06e1/Wolverhampton-Wanderers-Stats" TargetMode="External"/><Relationship Id="rId2167" Type="http://schemas.openxmlformats.org/officeDocument/2006/relationships/hyperlink" Target="https://fbref.com/en/players/a3d94a58/matchlogs/2025-2026/summary/Cristian-Romero-Match-Logs" TargetMode="External"/><Relationship Id="rId486" Type="http://schemas.openxmlformats.org/officeDocument/2006/relationships/hyperlink" Target="https://fbref.com/en/country/ZIM/Zimbabwe-Football" TargetMode="External"/><Relationship Id="rId2168" Type="http://schemas.openxmlformats.org/officeDocument/2006/relationships/hyperlink" Target="https://fbref.com/en/players/e2177db5/Leon-Routh" TargetMode="External"/><Relationship Id="rId485" Type="http://schemas.openxmlformats.org/officeDocument/2006/relationships/hyperlink" Target="https://fbref.com/en/players/34721c11/Tawanda-Chirewa" TargetMode="External"/><Relationship Id="rId2169" Type="http://schemas.openxmlformats.org/officeDocument/2006/relationships/hyperlink" Target="https://fbref.com/en/country/ENG/England-Football" TargetMode="External"/><Relationship Id="rId2159" Type="http://schemas.openxmlformats.org/officeDocument/2006/relationships/hyperlink" Target="https://fbref.com/en/players/2e5915f1/matchlogs/2025-2026/summary/Morgan-Rogers-Match-Logs" TargetMode="External"/><Relationship Id="rId480" Type="http://schemas.openxmlformats.org/officeDocument/2006/relationships/hyperlink" Target="https://fbref.com/en/players/890f108d/matchlogs/2025-2026/summary/Youssef-Chermiti-Match-Logs" TargetMode="External"/><Relationship Id="rId479" Type="http://schemas.openxmlformats.org/officeDocument/2006/relationships/hyperlink" Target="https://fbref.com/en/squads/d3fd31cc/Everton-Stats" TargetMode="External"/><Relationship Id="rId478" Type="http://schemas.openxmlformats.org/officeDocument/2006/relationships/hyperlink" Target="https://fbref.com/en/country/POR/Portugal-Football" TargetMode="External"/><Relationship Id="rId2150" Type="http://schemas.openxmlformats.org/officeDocument/2006/relationships/hyperlink" Target="https://fbref.com/en/squads/8ef52968/Sunderland-Stats" TargetMode="External"/><Relationship Id="rId473" Type="http://schemas.openxmlformats.org/officeDocument/2006/relationships/hyperlink" Target="https://fbref.com/en/players/b34c63a5/Rayan-Cherki" TargetMode="External"/><Relationship Id="rId2151" Type="http://schemas.openxmlformats.org/officeDocument/2006/relationships/hyperlink" Target="https://fbref.com/en/players/349fa918/matchlogs/2025-2026/summary/Robin-Roefs-Match-Logs" TargetMode="External"/><Relationship Id="rId472" Type="http://schemas.openxmlformats.org/officeDocument/2006/relationships/hyperlink" Target="https://fbref.com/en/players/30b33655/matchlogs/2025-2026/summary/Samuel-Chambers-Match-Logs" TargetMode="External"/><Relationship Id="rId2152" Type="http://schemas.openxmlformats.org/officeDocument/2006/relationships/hyperlink" Target="https://fbref.com/en/players/57c94db2/Mads-Roerslev" TargetMode="External"/><Relationship Id="rId471" Type="http://schemas.openxmlformats.org/officeDocument/2006/relationships/hyperlink" Target="https://fbref.com/en/squads/5bfb9659/Leeds-United-Stats" TargetMode="External"/><Relationship Id="rId2153" Type="http://schemas.openxmlformats.org/officeDocument/2006/relationships/hyperlink" Target="https://fbref.com/en/country/DEN/Denmark-Football" TargetMode="External"/><Relationship Id="rId470" Type="http://schemas.openxmlformats.org/officeDocument/2006/relationships/hyperlink" Target="https://fbref.com/en/country/ENG/England-Football" TargetMode="External"/><Relationship Id="rId2154" Type="http://schemas.openxmlformats.org/officeDocument/2006/relationships/hyperlink" Target="https://fbref.com/en/squads/cd051869/Brentford-Stats" TargetMode="External"/><Relationship Id="rId477" Type="http://schemas.openxmlformats.org/officeDocument/2006/relationships/hyperlink" Target="https://fbref.com/en/players/890f108d/Youssef-Chermiti" TargetMode="External"/><Relationship Id="rId2155" Type="http://schemas.openxmlformats.org/officeDocument/2006/relationships/hyperlink" Target="https://fbref.com/en/players/57c94db2/matchlogs/2025-2026/summary/Mads-Roerslev-Match-Logs" TargetMode="External"/><Relationship Id="rId476" Type="http://schemas.openxmlformats.org/officeDocument/2006/relationships/hyperlink" Target="https://fbref.com/en/players/b34c63a5/matchlogs/2025-2026/summary/Rayan-Cherki-Match-Logs" TargetMode="External"/><Relationship Id="rId2156" Type="http://schemas.openxmlformats.org/officeDocument/2006/relationships/hyperlink" Target="https://fbref.com/en/players/2e5915f1/Morgan-Rogers" TargetMode="External"/><Relationship Id="rId475" Type="http://schemas.openxmlformats.org/officeDocument/2006/relationships/hyperlink" Target="https://fbref.com/en/squads/b8fd03ef/Manchester-City-Stats" TargetMode="External"/><Relationship Id="rId2157" Type="http://schemas.openxmlformats.org/officeDocument/2006/relationships/hyperlink" Target="https://fbref.com/en/country/ENG/England-Football" TargetMode="External"/><Relationship Id="rId474" Type="http://schemas.openxmlformats.org/officeDocument/2006/relationships/hyperlink" Target="https://fbref.com/en/country/FRA/France-Football" TargetMode="External"/><Relationship Id="rId2158" Type="http://schemas.openxmlformats.org/officeDocument/2006/relationships/hyperlink" Target="https://fbref.com/en/squads/8602292d/Aston-Villa-Stats" TargetMode="External"/><Relationship Id="rId1257" Type="http://schemas.openxmlformats.org/officeDocument/2006/relationships/hyperlink" Target="https://fbref.com/en/players/b2fe86e5/Eli-Junior-Kroupi" TargetMode="External"/><Relationship Id="rId2104" Type="http://schemas.openxmlformats.org/officeDocument/2006/relationships/hyperlink" Target="https://fbref.com/en/players/fa031b34/Richarlison" TargetMode="External"/><Relationship Id="rId2588" Type="http://schemas.openxmlformats.org/officeDocument/2006/relationships/hyperlink" Target="https://fbref.com/en/country/ISL/Iceland-Football" TargetMode="External"/><Relationship Id="rId1258" Type="http://schemas.openxmlformats.org/officeDocument/2006/relationships/hyperlink" Target="https://fbref.com/en/country/FRA/France-Football" TargetMode="External"/><Relationship Id="rId2105" Type="http://schemas.openxmlformats.org/officeDocument/2006/relationships/hyperlink" Target="https://fbref.com/en/country/BRA/Brazil-Football" TargetMode="External"/><Relationship Id="rId2589" Type="http://schemas.openxmlformats.org/officeDocument/2006/relationships/hyperlink" Target="https://fbref.com/en/squads/cd051869/Brentford-Stats" TargetMode="External"/><Relationship Id="rId1259" Type="http://schemas.openxmlformats.org/officeDocument/2006/relationships/hyperlink" Target="https://fbref.com/en/squads/4ba7cbea/Bournemouth-Stats" TargetMode="External"/><Relationship Id="rId2106" Type="http://schemas.openxmlformats.org/officeDocument/2006/relationships/hyperlink" Target="https://fbref.com/en/squads/361ca564/Tottenham-Hotspur-Stats" TargetMode="External"/><Relationship Id="rId2107" Type="http://schemas.openxmlformats.org/officeDocument/2006/relationships/hyperlink" Target="https://fbref.com/en/players/fa031b34/matchlogs/2025-2026/summary/Richarlison-Match-Logs" TargetMode="External"/><Relationship Id="rId2108" Type="http://schemas.openxmlformats.org/officeDocument/2006/relationships/hyperlink" Target="https://fbref.com/en/players/b12ba5d9/Seth-Ridgeon" TargetMode="External"/><Relationship Id="rId2109" Type="http://schemas.openxmlformats.org/officeDocument/2006/relationships/hyperlink" Target="https://fbref.com/en/country/ENG/England-Football" TargetMode="External"/><Relationship Id="rId426" Type="http://schemas.openxmlformats.org/officeDocument/2006/relationships/hyperlink" Target="https://fbref.com/en/country/FRA/France-Football" TargetMode="External"/><Relationship Id="rId425" Type="http://schemas.openxmlformats.org/officeDocument/2006/relationships/hyperlink" Target="https://fbref.com/en/players/3684108d/Jaydee-Canvot" TargetMode="External"/><Relationship Id="rId424" Type="http://schemas.openxmlformats.org/officeDocument/2006/relationships/hyperlink" Target="https://fbref.com/en/players/48ba3f58/matchlogs/2025-2026/summary/Elijah-Campbell-Match-Logs" TargetMode="External"/><Relationship Id="rId423" Type="http://schemas.openxmlformats.org/officeDocument/2006/relationships/hyperlink" Target="https://fbref.com/en/squads/d3fd31cc/Everton-Stats" TargetMode="External"/><Relationship Id="rId429" Type="http://schemas.openxmlformats.org/officeDocument/2006/relationships/hyperlink" Target="https://fbref.com/en/players/702812fe/Rio-Cardines" TargetMode="External"/><Relationship Id="rId428" Type="http://schemas.openxmlformats.org/officeDocument/2006/relationships/hyperlink" Target="https://fbref.com/en/players/3684108d/matchlogs/2025-2026/summary/Jaydee-Canvot-Match-Logs" TargetMode="External"/><Relationship Id="rId427" Type="http://schemas.openxmlformats.org/officeDocument/2006/relationships/hyperlink" Target="https://fbref.com/en/squads/47c64c55/Crystal-Palace-Stats" TargetMode="External"/><Relationship Id="rId2580" Type="http://schemas.openxmlformats.org/officeDocument/2006/relationships/hyperlink" Target="https://fbref.com/en/country/FRA/France-Football" TargetMode="External"/><Relationship Id="rId1250" Type="http://schemas.openxmlformats.org/officeDocument/2006/relationships/hyperlink" Target="https://fbref.com/en/country/ENG/England-Football" TargetMode="External"/><Relationship Id="rId2581" Type="http://schemas.openxmlformats.org/officeDocument/2006/relationships/hyperlink" Target="https://fbref.com/en/squads/943e8050/Burnley-Stats" TargetMode="External"/><Relationship Id="rId1251" Type="http://schemas.openxmlformats.org/officeDocument/2006/relationships/hyperlink" Target="https://fbref.com/en/squads/8ef52968/Sunderland-Stats" TargetMode="External"/><Relationship Id="rId2582" Type="http://schemas.openxmlformats.org/officeDocument/2006/relationships/hyperlink" Target="https://fbref.com/en/players/1df4a109/matchlogs/2025-2026/summary/Lesley-Ugochukwu-Match-Logs" TargetMode="External"/><Relationship Id="rId1252" Type="http://schemas.openxmlformats.org/officeDocument/2006/relationships/hyperlink" Target="https://fbref.com/en/players/3ad7599b/matchlogs/2025-2026/summary/Jaydon-Jones-Match-Logs" TargetMode="External"/><Relationship Id="rId2583" Type="http://schemas.openxmlformats.org/officeDocument/2006/relationships/hyperlink" Target="https://fbref.com/en/players/f8eca1b6/Enes-Unal" TargetMode="External"/><Relationship Id="rId422" Type="http://schemas.openxmlformats.org/officeDocument/2006/relationships/hyperlink" Target="https://fbref.com/en/country/ENG/England-Football" TargetMode="External"/><Relationship Id="rId1253" Type="http://schemas.openxmlformats.org/officeDocument/2006/relationships/hyperlink" Target="https://fbref.com/en/players/4776da26/Jenson-Jones" TargetMode="External"/><Relationship Id="rId2100" Type="http://schemas.openxmlformats.org/officeDocument/2006/relationships/hyperlink" Target="https://fbref.com/en/players/0a3d6d2b/Chris-Richards" TargetMode="External"/><Relationship Id="rId2584" Type="http://schemas.openxmlformats.org/officeDocument/2006/relationships/hyperlink" Target="https://fbref.com/en/country/TUR/Turkey-Football" TargetMode="External"/><Relationship Id="rId421" Type="http://schemas.openxmlformats.org/officeDocument/2006/relationships/hyperlink" Target="https://fbref.com/en/players/48ba3f58/Elijah-Campbell" TargetMode="External"/><Relationship Id="rId1254" Type="http://schemas.openxmlformats.org/officeDocument/2006/relationships/hyperlink" Target="https://fbref.com/en/country/ENG/England-Football" TargetMode="External"/><Relationship Id="rId2101" Type="http://schemas.openxmlformats.org/officeDocument/2006/relationships/hyperlink" Target="https://fbref.com/en/country/USA/United-States-Football" TargetMode="External"/><Relationship Id="rId2585" Type="http://schemas.openxmlformats.org/officeDocument/2006/relationships/hyperlink" Target="https://fbref.com/en/squads/4ba7cbea/Bournemouth-Stats" TargetMode="External"/><Relationship Id="rId420" Type="http://schemas.openxmlformats.org/officeDocument/2006/relationships/hyperlink" Target="https://fbref.com/en/players/59e6e5bf/matchlogs/2025-2026/summary/Dominic-Calvert-Lewin-Match-Logs" TargetMode="External"/><Relationship Id="rId1255" Type="http://schemas.openxmlformats.org/officeDocument/2006/relationships/hyperlink" Target="https://fbref.com/en/squads/8ef52968/Sunderland-Stats" TargetMode="External"/><Relationship Id="rId2102" Type="http://schemas.openxmlformats.org/officeDocument/2006/relationships/hyperlink" Target="https://fbref.com/en/squads/47c64c55/Crystal-Palace-Stats" TargetMode="External"/><Relationship Id="rId2586" Type="http://schemas.openxmlformats.org/officeDocument/2006/relationships/hyperlink" Target="https://fbref.com/en/players/f8eca1b6/matchlogs/2025-2026/summary/Enes-Unal-Match-Logs" TargetMode="External"/><Relationship Id="rId1256" Type="http://schemas.openxmlformats.org/officeDocument/2006/relationships/hyperlink" Target="https://fbref.com/en/players/4776da26/matchlogs/2025-2026/summary/Jenson-Jones-Match-Logs" TargetMode="External"/><Relationship Id="rId2103" Type="http://schemas.openxmlformats.org/officeDocument/2006/relationships/hyperlink" Target="https://fbref.com/en/players/0a3d6d2b/matchlogs/2025-2026/summary/Chris-Richards-Match-Logs" TargetMode="External"/><Relationship Id="rId2587" Type="http://schemas.openxmlformats.org/officeDocument/2006/relationships/hyperlink" Target="https://fbref.com/en/players/57a34cf4/Hakon-Valdimarsson" TargetMode="External"/><Relationship Id="rId1246" Type="http://schemas.openxmlformats.org/officeDocument/2006/relationships/hyperlink" Target="https://fbref.com/en/country/ENG/England-Football" TargetMode="External"/><Relationship Id="rId2577" Type="http://schemas.openxmlformats.org/officeDocument/2006/relationships/hyperlink" Target="https://fbref.com/en/squads/19538871/Manchester-United-Stats" TargetMode="External"/><Relationship Id="rId1247" Type="http://schemas.openxmlformats.org/officeDocument/2006/relationships/hyperlink" Target="https://fbref.com/en/squads/8ef52968/Sunderland-Stats" TargetMode="External"/><Relationship Id="rId2578" Type="http://schemas.openxmlformats.org/officeDocument/2006/relationships/hyperlink" Target="https://fbref.com/en/players/c9817014/matchlogs/2025-2026/summary/Manuel-Ugarte-Match-Logs" TargetMode="External"/><Relationship Id="rId1248" Type="http://schemas.openxmlformats.org/officeDocument/2006/relationships/hyperlink" Target="https://fbref.com/en/players/2a78981b/matchlogs/2025-2026/summary/Harrison-Jones-Match-Logs" TargetMode="External"/><Relationship Id="rId2579" Type="http://schemas.openxmlformats.org/officeDocument/2006/relationships/hyperlink" Target="https://fbref.com/en/players/1df4a109/Lesley-Ugochukwu" TargetMode="External"/><Relationship Id="rId1249" Type="http://schemas.openxmlformats.org/officeDocument/2006/relationships/hyperlink" Target="https://fbref.com/en/players/3ad7599b/Jaydon-Jones" TargetMode="External"/><Relationship Id="rId415" Type="http://schemas.openxmlformats.org/officeDocument/2006/relationships/hyperlink" Target="https://fbref.com/en/squads/18bb7c10/Arsenal-Stats" TargetMode="External"/><Relationship Id="rId899" Type="http://schemas.openxmlformats.org/officeDocument/2006/relationships/hyperlink" Target="https://fbref.com/en/squads/8cec06e1/Wolverhampton-Wanderers-Stats" TargetMode="External"/><Relationship Id="rId414" Type="http://schemas.openxmlformats.org/officeDocument/2006/relationships/hyperlink" Target="https://fbref.com/en/country/ITA/Italy-Football" TargetMode="External"/><Relationship Id="rId898" Type="http://schemas.openxmlformats.org/officeDocument/2006/relationships/hyperlink" Target="https://fbref.com/en/country/ENG/England-Football" TargetMode="External"/><Relationship Id="rId413" Type="http://schemas.openxmlformats.org/officeDocument/2006/relationships/hyperlink" Target="https://fbref.com/en/players/aded8e6f/Riccardo-Calafiori" TargetMode="External"/><Relationship Id="rId897" Type="http://schemas.openxmlformats.org/officeDocument/2006/relationships/hyperlink" Target="https://fbref.com/en/players/645a3363/Angel-Gomes" TargetMode="External"/><Relationship Id="rId412" Type="http://schemas.openxmlformats.org/officeDocument/2006/relationships/hyperlink" Target="https://fbref.com/en/players/a8748947/matchlogs/2025-2026/summary/Tom-Cairney-Match-Logs" TargetMode="External"/><Relationship Id="rId896" Type="http://schemas.openxmlformats.org/officeDocument/2006/relationships/hyperlink" Target="https://fbref.com/en/players/59149473/matchlogs/2025-2026/summary/Airidas-Golambeckis-Match-Logs" TargetMode="External"/><Relationship Id="rId419" Type="http://schemas.openxmlformats.org/officeDocument/2006/relationships/hyperlink" Target="https://fbref.com/en/squads/5bfb9659/Leeds-United-Stats" TargetMode="External"/><Relationship Id="rId418" Type="http://schemas.openxmlformats.org/officeDocument/2006/relationships/hyperlink" Target="https://fbref.com/en/country/ENG/England-Football" TargetMode="External"/><Relationship Id="rId417" Type="http://schemas.openxmlformats.org/officeDocument/2006/relationships/hyperlink" Target="https://fbref.com/en/players/59e6e5bf/Dominic-Calvert-Lewin" TargetMode="External"/><Relationship Id="rId416" Type="http://schemas.openxmlformats.org/officeDocument/2006/relationships/hyperlink" Target="https://fbref.com/en/players/aded8e6f/matchlogs/2025-2026/summary/Riccardo-Calafiori-Match-Logs" TargetMode="External"/><Relationship Id="rId891" Type="http://schemas.openxmlformats.org/officeDocument/2006/relationships/hyperlink" Target="https://fbref.com/en/squads/5bfb9659/Leeds-United-Stats" TargetMode="External"/><Relationship Id="rId890" Type="http://schemas.openxmlformats.org/officeDocument/2006/relationships/hyperlink" Target="https://fbref.com/en/country/ITA/Italy-Football" TargetMode="External"/><Relationship Id="rId2570" Type="http://schemas.openxmlformats.org/officeDocument/2006/relationships/hyperlink" Target="https://fbref.com/en/players/87941696/matchlogs/2025-2026/summary/Christantus-Uche-Match-Logs" TargetMode="External"/><Relationship Id="rId1240" Type="http://schemas.openxmlformats.org/officeDocument/2006/relationships/hyperlink" Target="https://fbref.com/en/players/9e5708be/matchlogs/2025-2026/summary/Sam-Johnstone-Match-Logs" TargetMode="External"/><Relationship Id="rId2571" Type="http://schemas.openxmlformats.org/officeDocument/2006/relationships/hyperlink" Target="https://fbref.com/en/players/7cd520e8/Destiny-Udogie" TargetMode="External"/><Relationship Id="rId1241" Type="http://schemas.openxmlformats.org/officeDocument/2006/relationships/hyperlink" Target="https://fbref.com/en/players/4fb9c88f/Curtis-Jones" TargetMode="External"/><Relationship Id="rId2572" Type="http://schemas.openxmlformats.org/officeDocument/2006/relationships/hyperlink" Target="https://fbref.com/en/country/ITA/Italy-Football" TargetMode="External"/><Relationship Id="rId411" Type="http://schemas.openxmlformats.org/officeDocument/2006/relationships/hyperlink" Target="https://fbref.com/en/squads/fd962109/Fulham-Stats" TargetMode="External"/><Relationship Id="rId895" Type="http://schemas.openxmlformats.org/officeDocument/2006/relationships/hyperlink" Target="https://fbref.com/en/squads/7c21e445/West-Ham-United-Stats" TargetMode="External"/><Relationship Id="rId1242" Type="http://schemas.openxmlformats.org/officeDocument/2006/relationships/hyperlink" Target="https://fbref.com/en/country/ENG/England-Football" TargetMode="External"/><Relationship Id="rId2573" Type="http://schemas.openxmlformats.org/officeDocument/2006/relationships/hyperlink" Target="https://fbref.com/en/squads/361ca564/Tottenham-Hotspur-Stats" TargetMode="External"/><Relationship Id="rId410" Type="http://schemas.openxmlformats.org/officeDocument/2006/relationships/hyperlink" Target="https://fbref.com/en/country/SCO/Scotland-Football" TargetMode="External"/><Relationship Id="rId894" Type="http://schemas.openxmlformats.org/officeDocument/2006/relationships/hyperlink" Target="https://fbref.com/en/country/ENG/England-Football" TargetMode="External"/><Relationship Id="rId1243" Type="http://schemas.openxmlformats.org/officeDocument/2006/relationships/hyperlink" Target="https://fbref.com/en/squads/822bd0ba/Liverpool-Stats" TargetMode="External"/><Relationship Id="rId2574" Type="http://schemas.openxmlformats.org/officeDocument/2006/relationships/hyperlink" Target="https://fbref.com/en/players/7cd520e8/matchlogs/2025-2026/summary/Destiny-Udogie-Match-Logs" TargetMode="External"/><Relationship Id="rId893" Type="http://schemas.openxmlformats.org/officeDocument/2006/relationships/hyperlink" Target="https://fbref.com/en/players/59149473/Airidas-Golambeckis" TargetMode="External"/><Relationship Id="rId1244" Type="http://schemas.openxmlformats.org/officeDocument/2006/relationships/hyperlink" Target="https://fbref.com/en/players/4fb9c88f/matchlogs/2025-2026/summary/Curtis-Jones-Match-Logs" TargetMode="External"/><Relationship Id="rId2575" Type="http://schemas.openxmlformats.org/officeDocument/2006/relationships/hyperlink" Target="https://fbref.com/en/players/c9817014/Manuel-Ugarte" TargetMode="External"/><Relationship Id="rId892" Type="http://schemas.openxmlformats.org/officeDocument/2006/relationships/hyperlink" Target="https://fbref.com/en/players/75fdd638/matchlogs/2025-2026/summary/Wilfried-Gnonto-Match-Logs" TargetMode="External"/><Relationship Id="rId1245" Type="http://schemas.openxmlformats.org/officeDocument/2006/relationships/hyperlink" Target="https://fbref.com/en/players/2a78981b/Harrison-Jones" TargetMode="External"/><Relationship Id="rId2576" Type="http://schemas.openxmlformats.org/officeDocument/2006/relationships/hyperlink" Target="https://fbref.com/en/country/URU/Uruguay-Football" TargetMode="External"/><Relationship Id="rId1279" Type="http://schemas.openxmlformats.org/officeDocument/2006/relationships/hyperlink" Target="https://fbref.com/en/squads/8cec06e1/Wolverhampton-Wanderers-Stats" TargetMode="External"/><Relationship Id="rId2126" Type="http://schemas.openxmlformats.org/officeDocument/2006/relationships/hyperlink" Target="https://fbref.com/en/squads/822bd0ba/Liverpool-Stats" TargetMode="External"/><Relationship Id="rId2127" Type="http://schemas.openxmlformats.org/officeDocument/2006/relationships/hyperlink" Target="https://fbref.com/en/players/2e4f5f03/matchlogs/2025-2026/summary/Andrew-Robertson-Match-Logs" TargetMode="External"/><Relationship Id="rId2128" Type="http://schemas.openxmlformats.org/officeDocument/2006/relationships/hyperlink" Target="https://fbref.com/en/players/289601e6/Antonee-Robinson" TargetMode="External"/><Relationship Id="rId2129" Type="http://schemas.openxmlformats.org/officeDocument/2006/relationships/hyperlink" Target="https://fbref.com/en/country/USA/United-States-Football" TargetMode="External"/><Relationship Id="rId448" Type="http://schemas.openxmlformats.org/officeDocument/2006/relationships/hyperlink" Target="https://fbref.com/en/players/39f7c6fe/matchlogs/2025-2026/summary/Ben-Casey-Match-Logs" TargetMode="External"/><Relationship Id="rId447" Type="http://schemas.openxmlformats.org/officeDocument/2006/relationships/hyperlink" Target="https://fbref.com/en/squads/47c64c55/Crystal-Palace-Stats" TargetMode="External"/><Relationship Id="rId446" Type="http://schemas.openxmlformats.org/officeDocument/2006/relationships/hyperlink" Target="https://fbref.com/en/country/ENG/England-Football" TargetMode="External"/><Relationship Id="rId445" Type="http://schemas.openxmlformats.org/officeDocument/2006/relationships/hyperlink" Target="https://fbref.com/en/players/39f7c6fe/Ben-Casey" TargetMode="External"/><Relationship Id="rId449" Type="http://schemas.openxmlformats.org/officeDocument/2006/relationships/hyperlink" Target="https://fbref.com/en/players/2389cdc2/Matty-Cash" TargetMode="External"/><Relationship Id="rId1270" Type="http://schemas.openxmlformats.org/officeDocument/2006/relationships/hyperlink" Target="https://fbref.com/en/country/DEN/Denmark-Football" TargetMode="External"/><Relationship Id="rId440" Type="http://schemas.openxmlformats.org/officeDocument/2006/relationships/hyperlink" Target="https://fbref.com/en/players/966e28d0/matchlogs/2025-2026/summary/Fabio-Carvalho-Match-Logs" TargetMode="External"/><Relationship Id="rId1271" Type="http://schemas.openxmlformats.org/officeDocument/2006/relationships/hyperlink" Target="https://fbref.com/en/squads/cff3d9bb/Chelsea-Stats" TargetMode="External"/><Relationship Id="rId1272" Type="http://schemas.openxmlformats.org/officeDocument/2006/relationships/hyperlink" Target="https://fbref.com/en/players/0107757e/matchlogs/2025-2026/summary/Filip-Jorgensen-Match-Logs" TargetMode="External"/><Relationship Id="rId1273" Type="http://schemas.openxmlformats.org/officeDocument/2006/relationships/hyperlink" Target="https://fbref.com/en/players/66c52a77/Ferdi-Kadioglu" TargetMode="External"/><Relationship Id="rId2120" Type="http://schemas.openxmlformats.org/officeDocument/2006/relationships/hyperlink" Target="https://fbref.com/en/players/59d93937/Patrick-Roberts" TargetMode="External"/><Relationship Id="rId1274" Type="http://schemas.openxmlformats.org/officeDocument/2006/relationships/hyperlink" Target="https://fbref.com/en/country/TUR/Turkey-Football" TargetMode="External"/><Relationship Id="rId2121" Type="http://schemas.openxmlformats.org/officeDocument/2006/relationships/hyperlink" Target="https://fbref.com/en/country/ENG/England-Football" TargetMode="External"/><Relationship Id="rId444" Type="http://schemas.openxmlformats.org/officeDocument/2006/relationships/hyperlink" Target="https://fbref.com/en/players/4d224fe8/matchlogs/2025-2026/summary/Casemiro-Match-Logs" TargetMode="External"/><Relationship Id="rId1275" Type="http://schemas.openxmlformats.org/officeDocument/2006/relationships/hyperlink" Target="https://fbref.com/en/squads/d07537b9/Brighton-and-Hove-Albion-Stats" TargetMode="External"/><Relationship Id="rId2122" Type="http://schemas.openxmlformats.org/officeDocument/2006/relationships/hyperlink" Target="https://fbref.com/en/squads/8ef52968/Sunderland-Stats" TargetMode="External"/><Relationship Id="rId443" Type="http://schemas.openxmlformats.org/officeDocument/2006/relationships/hyperlink" Target="https://fbref.com/en/squads/19538871/Manchester-United-Stats" TargetMode="External"/><Relationship Id="rId1276" Type="http://schemas.openxmlformats.org/officeDocument/2006/relationships/hyperlink" Target="https://fbref.com/en/players/66c52a77/matchlogs/2025-2026/summary/Ferdi-Kadioglu-Match-Logs" TargetMode="External"/><Relationship Id="rId2123" Type="http://schemas.openxmlformats.org/officeDocument/2006/relationships/hyperlink" Target="https://fbref.com/en/players/59d93937/matchlogs/2025-2026/summary/Patrick-Roberts-Match-Logs" TargetMode="External"/><Relationship Id="rId442" Type="http://schemas.openxmlformats.org/officeDocument/2006/relationships/hyperlink" Target="https://fbref.com/en/country/BRA/Brazil-Football" TargetMode="External"/><Relationship Id="rId1277" Type="http://schemas.openxmlformats.org/officeDocument/2006/relationships/hyperlink" Target="https://fbref.com/en/players/15f24fe7/Sasa-Kalajdzic" TargetMode="External"/><Relationship Id="rId2124" Type="http://schemas.openxmlformats.org/officeDocument/2006/relationships/hyperlink" Target="https://fbref.com/en/players/2e4f5f03/Andrew-Robertson" TargetMode="External"/><Relationship Id="rId441" Type="http://schemas.openxmlformats.org/officeDocument/2006/relationships/hyperlink" Target="https://fbref.com/en/players/4d224fe8/Casemiro" TargetMode="External"/><Relationship Id="rId1278" Type="http://schemas.openxmlformats.org/officeDocument/2006/relationships/hyperlink" Target="https://fbref.com/en/country/AUT/Austria-Football" TargetMode="External"/><Relationship Id="rId2125" Type="http://schemas.openxmlformats.org/officeDocument/2006/relationships/hyperlink" Target="https://fbref.com/en/country/SCO/Scotland-Football" TargetMode="External"/><Relationship Id="rId1268" Type="http://schemas.openxmlformats.org/officeDocument/2006/relationships/hyperlink" Target="https://fbref.com/en/players/fb614c44/matchlogs/2025-2026/summary/James-Justin-Match-Logs" TargetMode="External"/><Relationship Id="rId2115" Type="http://schemas.openxmlformats.org/officeDocument/2006/relationships/hyperlink" Target="https://fbref.com/en/players/35741fe2/matchlogs/2025-2026/summary/Chris-Rigg-Match-Logs" TargetMode="External"/><Relationship Id="rId2599" Type="http://schemas.openxmlformats.org/officeDocument/2006/relationships/hyperlink" Target="https://fbref.com/en/players/8fe2a392/Micky-van-de-Ven" TargetMode="External"/><Relationship Id="rId1269" Type="http://schemas.openxmlformats.org/officeDocument/2006/relationships/hyperlink" Target="https://fbref.com/en/players/0107757e/Filip-Jorgensen" TargetMode="External"/><Relationship Id="rId2116" Type="http://schemas.openxmlformats.org/officeDocument/2006/relationships/hyperlink" Target="https://fbref.com/en/players/24fae784/Connor-Roberts" TargetMode="External"/><Relationship Id="rId2117" Type="http://schemas.openxmlformats.org/officeDocument/2006/relationships/hyperlink" Target="https://fbref.com/en/country/WAL/Wales-Football" TargetMode="External"/><Relationship Id="rId2118" Type="http://schemas.openxmlformats.org/officeDocument/2006/relationships/hyperlink" Target="https://fbref.com/en/squads/943e8050/Burnley-Stats" TargetMode="External"/><Relationship Id="rId2119" Type="http://schemas.openxmlformats.org/officeDocument/2006/relationships/hyperlink" Target="https://fbref.com/en/players/24fae784/matchlogs/2025-2026/summary/Connor-Roberts-Match-Logs" TargetMode="External"/><Relationship Id="rId437" Type="http://schemas.openxmlformats.org/officeDocument/2006/relationships/hyperlink" Target="https://fbref.com/en/players/966e28d0/Fabio-Carvalho" TargetMode="External"/><Relationship Id="rId436" Type="http://schemas.openxmlformats.org/officeDocument/2006/relationships/hyperlink" Target="https://fbref.com/en/players/88bf137b/matchlogs/2025-2026/summary/Theodore-Carroll-Match-Logs" TargetMode="External"/><Relationship Id="rId435" Type="http://schemas.openxmlformats.org/officeDocument/2006/relationships/hyperlink" Target="https://fbref.com/en/squads/8602292d/Aston-Villa-Stats" TargetMode="External"/><Relationship Id="rId434" Type="http://schemas.openxmlformats.org/officeDocument/2006/relationships/hyperlink" Target="https://fbref.com/en/country/ENG/England-Football" TargetMode="External"/><Relationship Id="rId439" Type="http://schemas.openxmlformats.org/officeDocument/2006/relationships/hyperlink" Target="https://fbref.com/en/squads/cd051869/Brentford-Stats" TargetMode="External"/><Relationship Id="rId438" Type="http://schemas.openxmlformats.org/officeDocument/2006/relationships/hyperlink" Target="https://fbref.com/en/country/POR/Portugal-Football" TargetMode="External"/><Relationship Id="rId2590" Type="http://schemas.openxmlformats.org/officeDocument/2006/relationships/hyperlink" Target="https://fbref.com/en/players/57a34cf4/matchlogs/2025-2026/summary/Hakon-Valdimarsson-Match-Logs" TargetMode="External"/><Relationship Id="rId1260" Type="http://schemas.openxmlformats.org/officeDocument/2006/relationships/hyperlink" Target="https://fbref.com/en/players/b2fe86e5/matchlogs/2025-2026/summary/Eli-Junior-Kroupi-Match-Logs" TargetMode="External"/><Relationship Id="rId2591" Type="http://schemas.openxmlformats.org/officeDocument/2006/relationships/hyperlink" Target="https://fbref.com/en/players/e06683ca/Virgil-van-Dijk" TargetMode="External"/><Relationship Id="rId1261" Type="http://schemas.openxmlformats.org/officeDocument/2006/relationships/hyperlink" Target="https://fbref.com/en/players/570bb4b9/Hamed-Junior-Traore" TargetMode="External"/><Relationship Id="rId2592" Type="http://schemas.openxmlformats.org/officeDocument/2006/relationships/hyperlink" Target="https://fbref.com/en/country/NED/Netherlands-Football" TargetMode="External"/><Relationship Id="rId1262" Type="http://schemas.openxmlformats.org/officeDocument/2006/relationships/hyperlink" Target="https://fbref.com/en/country/CIV/Cote-dIvoire-Football" TargetMode="External"/><Relationship Id="rId2593" Type="http://schemas.openxmlformats.org/officeDocument/2006/relationships/hyperlink" Target="https://fbref.com/en/squads/822bd0ba/Liverpool-Stats" TargetMode="External"/><Relationship Id="rId1263" Type="http://schemas.openxmlformats.org/officeDocument/2006/relationships/hyperlink" Target="https://fbref.com/en/squads/4ba7cbea/Bournemouth-Stats" TargetMode="External"/><Relationship Id="rId2110" Type="http://schemas.openxmlformats.org/officeDocument/2006/relationships/hyperlink" Target="https://fbref.com/en/squads/fd962109/Fulham-Stats" TargetMode="External"/><Relationship Id="rId2594" Type="http://schemas.openxmlformats.org/officeDocument/2006/relationships/hyperlink" Target="https://fbref.com/en/players/e06683ca/matchlogs/2025-2026/summary/Virgil-van-Dijk-Match-Logs" TargetMode="External"/><Relationship Id="rId433" Type="http://schemas.openxmlformats.org/officeDocument/2006/relationships/hyperlink" Target="https://fbref.com/en/players/88bf137b/Theodore-Carroll" TargetMode="External"/><Relationship Id="rId1264" Type="http://schemas.openxmlformats.org/officeDocument/2006/relationships/hyperlink" Target="https://fbref.com/en/players/570bb4b9/matchlogs/2025-2026/summary/Hamed-Junior-Traore-Match-Logs" TargetMode="External"/><Relationship Id="rId2111" Type="http://schemas.openxmlformats.org/officeDocument/2006/relationships/hyperlink" Target="https://fbref.com/en/players/b12ba5d9/matchlogs/2025-2026/summary/Seth-Ridgeon-Match-Logs" TargetMode="External"/><Relationship Id="rId2595" Type="http://schemas.openxmlformats.org/officeDocument/2006/relationships/hyperlink" Target="https://fbref.com/en/players/dad4b285/Joel-Veltman" TargetMode="External"/><Relationship Id="rId432" Type="http://schemas.openxmlformats.org/officeDocument/2006/relationships/hyperlink" Target="https://fbref.com/en/players/702812fe/matchlogs/2025-2026/summary/Rio-Cardines-Match-Logs" TargetMode="External"/><Relationship Id="rId1265" Type="http://schemas.openxmlformats.org/officeDocument/2006/relationships/hyperlink" Target="https://fbref.com/en/players/fb614c44/James-Justin" TargetMode="External"/><Relationship Id="rId2112" Type="http://schemas.openxmlformats.org/officeDocument/2006/relationships/hyperlink" Target="https://fbref.com/en/players/35741fe2/Chris-Rigg" TargetMode="External"/><Relationship Id="rId2596" Type="http://schemas.openxmlformats.org/officeDocument/2006/relationships/hyperlink" Target="https://fbref.com/en/country/NED/Netherlands-Football" TargetMode="External"/><Relationship Id="rId431" Type="http://schemas.openxmlformats.org/officeDocument/2006/relationships/hyperlink" Target="https://fbref.com/en/squads/47c64c55/Crystal-Palace-Stats" TargetMode="External"/><Relationship Id="rId1266" Type="http://schemas.openxmlformats.org/officeDocument/2006/relationships/hyperlink" Target="https://fbref.com/en/country/ENG/England-Football" TargetMode="External"/><Relationship Id="rId2113" Type="http://schemas.openxmlformats.org/officeDocument/2006/relationships/hyperlink" Target="https://fbref.com/en/country/ENG/England-Football" TargetMode="External"/><Relationship Id="rId2597" Type="http://schemas.openxmlformats.org/officeDocument/2006/relationships/hyperlink" Target="https://fbref.com/en/squads/d07537b9/Brighton-and-Hove-Albion-Stats" TargetMode="External"/><Relationship Id="rId430" Type="http://schemas.openxmlformats.org/officeDocument/2006/relationships/hyperlink" Target="https://fbref.com/en/country/TRI/Trinidad-and-Tobago-Football" TargetMode="External"/><Relationship Id="rId1267" Type="http://schemas.openxmlformats.org/officeDocument/2006/relationships/hyperlink" Target="https://fbref.com/en/squads/5bfb9659/Leeds-United-Stats" TargetMode="External"/><Relationship Id="rId2114" Type="http://schemas.openxmlformats.org/officeDocument/2006/relationships/hyperlink" Target="https://fbref.com/en/squads/8ef52968/Sunderland-Stats" TargetMode="External"/><Relationship Id="rId2598" Type="http://schemas.openxmlformats.org/officeDocument/2006/relationships/hyperlink" Target="https://fbref.com/en/players/dad4b285/matchlogs/2025-2026/summary/Joel-Veltman-Match-Logs" TargetMode="External"/></Relationships>
</file>

<file path=xl/worksheets/_rels/sheet6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country/UKR/Ukraine-Football" TargetMode="External"/><Relationship Id="rId391" Type="http://schemas.openxmlformats.org/officeDocument/2006/relationships/hyperlink" Target="https://fbref.com/en/players/049a888d/Mykhailo-Mudryk" TargetMode="External"/><Relationship Id="rId390" Type="http://schemas.openxmlformats.org/officeDocument/2006/relationships/hyperlink" Target="https://fbref.com/en/squads/cff3d9bb/2025-2026/wages/Chelsea-Wage-Details" TargetMode="External"/><Relationship Id="rId1" Type="http://schemas.openxmlformats.org/officeDocument/2006/relationships/hyperlink" Target="https://fbref.com/en/players/1f44ac21/Erling-Haaland" TargetMode="External"/><Relationship Id="rId2" Type="http://schemas.openxmlformats.org/officeDocument/2006/relationships/hyperlink" Target="https://fbref.com/en/country/NOR/Norway-Football" TargetMode="External"/><Relationship Id="rId3" Type="http://schemas.openxmlformats.org/officeDocument/2006/relationships/hyperlink" Target="https://fbref.com/en/squads/b8fd03ef/2025-2026/wages/Manchester-City-Wage-Details" TargetMode="External"/><Relationship Id="rId4" Type="http://schemas.openxmlformats.org/officeDocument/2006/relationships/hyperlink" Target="https://fbref.com/en/players/e342ad68/Mohamed-Salah" TargetMode="External"/><Relationship Id="rId9" Type="http://schemas.openxmlformats.org/officeDocument/2006/relationships/hyperlink" Target="https://fbref.com/en/squads/19538871/2025-2026/wages/Manchester-United-Wage-Details" TargetMode="External"/><Relationship Id="rId385" Type="http://schemas.openxmlformats.org/officeDocument/2006/relationships/hyperlink" Target="https://fbref.com/en/players/700783e7/Levi-Colwill" TargetMode="External"/><Relationship Id="rId384" Type="http://schemas.openxmlformats.org/officeDocument/2006/relationships/hyperlink" Target="https://fbref.com/en/squads/b2b47a98/2025-2026/wages/Newcastle-United-Wage-Details" TargetMode="External"/><Relationship Id="rId383" Type="http://schemas.openxmlformats.org/officeDocument/2006/relationships/hyperlink" Target="https://fbref.com/en/country/SWE/Sweden-Football" TargetMode="External"/><Relationship Id="rId382" Type="http://schemas.openxmlformats.org/officeDocument/2006/relationships/hyperlink" Target="https://fbref.com/en/players/2fba6108/Anthony-Elanga" TargetMode="External"/><Relationship Id="rId5" Type="http://schemas.openxmlformats.org/officeDocument/2006/relationships/hyperlink" Target="https://fbref.com/en/country/EGY/Egypt-Football" TargetMode="External"/><Relationship Id="rId389" Type="http://schemas.openxmlformats.org/officeDocument/2006/relationships/hyperlink" Target="https://fbref.com/en/country/ENG/England-Football" TargetMode="External"/><Relationship Id="rId6" Type="http://schemas.openxmlformats.org/officeDocument/2006/relationships/hyperlink" Target="https://fbref.com/en/squads/822bd0ba/2025-2026/wages/Liverpool-Wage-Details" TargetMode="External"/><Relationship Id="rId388" Type="http://schemas.openxmlformats.org/officeDocument/2006/relationships/hyperlink" Target="https://fbref.com/en/players/dd897ee7/Liam-Delap" TargetMode="External"/><Relationship Id="rId7" Type="http://schemas.openxmlformats.org/officeDocument/2006/relationships/hyperlink" Target="https://fbref.com/en/players/4d224fe8/Casemiro" TargetMode="External"/><Relationship Id="rId387" Type="http://schemas.openxmlformats.org/officeDocument/2006/relationships/hyperlink" Target="https://fbref.com/en/squads/cff3d9bb/2025-2026/wages/Chelsea-Wage-Details" TargetMode="External"/><Relationship Id="rId8" Type="http://schemas.openxmlformats.org/officeDocument/2006/relationships/hyperlink" Target="https://fbref.com/en/country/BRA/Brazil-Football" TargetMode="External"/><Relationship Id="rId386" Type="http://schemas.openxmlformats.org/officeDocument/2006/relationships/hyperlink" Target="https://fbref.com/en/country/ENG/England-Football" TargetMode="External"/><Relationship Id="rId381" Type="http://schemas.openxmlformats.org/officeDocument/2006/relationships/hyperlink" Target="https://fbref.com/en/squads/8ef52968/2025-2026/wages/Sunderland-Wage-Details" TargetMode="External"/><Relationship Id="rId380" Type="http://schemas.openxmlformats.org/officeDocument/2006/relationships/hyperlink" Target="https://fbref.com/en/country/FRA/France-Football" TargetMode="External"/><Relationship Id="rId379" Type="http://schemas.openxmlformats.org/officeDocument/2006/relationships/hyperlink" Target="https://fbref.com/en/players/ac73ec79/Nordi-Mukiele" TargetMode="External"/><Relationship Id="rId374" Type="http://schemas.openxmlformats.org/officeDocument/2006/relationships/hyperlink" Target="https://fbref.com/en/country/POL/Poland-Football" TargetMode="External"/><Relationship Id="rId373" Type="http://schemas.openxmlformats.org/officeDocument/2006/relationships/hyperlink" Target="https://fbref.com/en/players/2389cdc2/Matty-Cash" TargetMode="External"/><Relationship Id="rId372" Type="http://schemas.openxmlformats.org/officeDocument/2006/relationships/hyperlink" Target="https://fbref.com/en/squads/8602292d/2025-2026/wages/Aston-Villa-Wage-Details" TargetMode="External"/><Relationship Id="rId371" Type="http://schemas.openxmlformats.org/officeDocument/2006/relationships/hyperlink" Target="https://fbref.com/en/country/NED/Netherlands-Football" TargetMode="External"/><Relationship Id="rId378" Type="http://schemas.openxmlformats.org/officeDocument/2006/relationships/hyperlink" Target="https://fbref.com/en/squads/8602292d/2025-2026/wages/Aston-Villa-Wage-Details" TargetMode="External"/><Relationship Id="rId377" Type="http://schemas.openxmlformats.org/officeDocument/2006/relationships/hyperlink" Target="https://fbref.com/en/country/ESP/Spain-Football" TargetMode="External"/><Relationship Id="rId376" Type="http://schemas.openxmlformats.org/officeDocument/2006/relationships/hyperlink" Target="https://fbref.com/en/players/532e1e4f/Pau-Torres" TargetMode="External"/><Relationship Id="rId375" Type="http://schemas.openxmlformats.org/officeDocument/2006/relationships/hyperlink" Target="https://fbref.com/en/squads/8602292d/2025-2026/wages/Aston-Villa-Wage-Details" TargetMode="External"/><Relationship Id="rId396" Type="http://schemas.openxmlformats.org/officeDocument/2006/relationships/hyperlink" Target="https://fbref.com/en/squads/fd962109/2025-2026/wages/Fulham-Wage-Details" TargetMode="External"/><Relationship Id="rId395" Type="http://schemas.openxmlformats.org/officeDocument/2006/relationships/hyperlink" Target="https://fbref.com/en/country/MEX/Mexico-Football" TargetMode="External"/><Relationship Id="rId394" Type="http://schemas.openxmlformats.org/officeDocument/2006/relationships/hyperlink" Target="https://fbref.com/en/players/b561db50/Raul-Jimenez" TargetMode="External"/><Relationship Id="rId393" Type="http://schemas.openxmlformats.org/officeDocument/2006/relationships/hyperlink" Target="https://fbref.com/en/squads/cff3d9bb/2025-2026/wages/Chelsea-Wage-Details" TargetMode="External"/><Relationship Id="rId399" Type="http://schemas.openxmlformats.org/officeDocument/2006/relationships/hyperlink" Target="https://fbref.com/en/squads/18bb7c10/2025-2026/wages/Arsenal-Wage-Details" TargetMode="External"/><Relationship Id="rId398" Type="http://schemas.openxmlformats.org/officeDocument/2006/relationships/hyperlink" Target="https://fbref.com/en/country/ESP/Spain-Football" TargetMode="External"/><Relationship Id="rId397" Type="http://schemas.openxmlformats.org/officeDocument/2006/relationships/hyperlink" Target="https://fbref.com/en/players/98ea5115/David-Raya" TargetMode="External"/><Relationship Id="rId1730" Type="http://schemas.openxmlformats.org/officeDocument/2006/relationships/hyperlink" Target="https://fbref.com/en/country/ENG/England-Football" TargetMode="External"/><Relationship Id="rId1731" Type="http://schemas.openxmlformats.org/officeDocument/2006/relationships/hyperlink" Target="https://fbref.com/en/squads/822bd0ba/2025-2026/wages/Liverpool-Wage-Details" TargetMode="External"/><Relationship Id="rId1732" Type="http://schemas.openxmlformats.org/officeDocument/2006/relationships/hyperlink" Target="https://fbref.com/en/squads/361ca564/2025-2026/wages/Tottenham-Hotspur-Wage-Details" TargetMode="External"/><Relationship Id="rId1733" Type="http://schemas.openxmlformats.org/officeDocument/2006/relationships/hyperlink" Target="https://fbref.com/en/players/92df535b/Will-Lankshear" TargetMode="External"/><Relationship Id="rId1734" Type="http://schemas.openxmlformats.org/officeDocument/2006/relationships/hyperlink" Target="https://fbref.com/en/country/ENG/England-Football" TargetMode="External"/><Relationship Id="rId1735" Type="http://schemas.openxmlformats.org/officeDocument/2006/relationships/hyperlink" Target="https://fbref.com/en/squads/361ca564/2025-2026/wages/Tottenham-Hotspur-Wage-Details" TargetMode="External"/><Relationship Id="rId1736" Type="http://schemas.openxmlformats.org/officeDocument/2006/relationships/hyperlink" Target="https://fbref.com/en/players/b8ef2272/Jemiah-Umolu" TargetMode="External"/><Relationship Id="rId1737" Type="http://schemas.openxmlformats.org/officeDocument/2006/relationships/hyperlink" Target="https://fbref.com/en/country/ENG/England-Football" TargetMode="External"/><Relationship Id="rId1738" Type="http://schemas.openxmlformats.org/officeDocument/2006/relationships/hyperlink" Target="https://fbref.com/en/squads/47c64c55/2025-2026/wages/Crystal-Palace-Wage-Details" TargetMode="External"/><Relationship Id="rId1739" Type="http://schemas.openxmlformats.org/officeDocument/2006/relationships/hyperlink" Target="https://fbref.com/en/players/6d646ff7/Niall-Huggins" TargetMode="External"/><Relationship Id="rId1720" Type="http://schemas.openxmlformats.org/officeDocument/2006/relationships/hyperlink" Target="https://fbref.com/en/squads/cff3d9bb/2025-2026/wages/Chelsea-Wage-Details" TargetMode="External"/><Relationship Id="rId1721" Type="http://schemas.openxmlformats.org/officeDocument/2006/relationships/hyperlink" Target="https://fbref.com/en/players/64796fe0/Caleb-Wiley" TargetMode="External"/><Relationship Id="rId1722" Type="http://schemas.openxmlformats.org/officeDocument/2006/relationships/hyperlink" Target="https://fbref.com/en/country/USA/United-States-Football" TargetMode="External"/><Relationship Id="rId1723" Type="http://schemas.openxmlformats.org/officeDocument/2006/relationships/hyperlink" Target="https://fbref.com/en/squads/cff3d9bb/2025-2026/wages/Chelsea-Wage-Details" TargetMode="External"/><Relationship Id="rId1724" Type="http://schemas.openxmlformats.org/officeDocument/2006/relationships/hyperlink" Target="https://fbref.com/en/squads/cff3d9bb/2025-2026/wages/Chelsea-Wage-Details" TargetMode="External"/><Relationship Id="rId1725" Type="http://schemas.openxmlformats.org/officeDocument/2006/relationships/hyperlink" Target="https://fbref.com/en/players/04eb7d82/Amario-Cozier-Duberry" TargetMode="External"/><Relationship Id="rId1726" Type="http://schemas.openxmlformats.org/officeDocument/2006/relationships/hyperlink" Target="https://fbref.com/en/country/ENG/England-Football" TargetMode="External"/><Relationship Id="rId1727" Type="http://schemas.openxmlformats.org/officeDocument/2006/relationships/hyperlink" Target="https://fbref.com/en/squads/d07537b9/2025-2026/wages/Brighton-and-Hove-Albion-Wage-Details" TargetMode="External"/><Relationship Id="rId1728" Type="http://schemas.openxmlformats.org/officeDocument/2006/relationships/hyperlink" Target="https://fbref.com/en/squads/e4a775cb/2025-2026/wages/Nottingham-Forest-Wage-Details" TargetMode="External"/><Relationship Id="rId1729" Type="http://schemas.openxmlformats.org/officeDocument/2006/relationships/hyperlink" Target="https://fbref.com/en/players/7d6af698/Luke-Chambers" TargetMode="External"/><Relationship Id="rId1752" Type="http://schemas.openxmlformats.org/officeDocument/2006/relationships/hyperlink" Target="https://fbref.com/en/squads/b8fd03ef/2025-2026/wages/Manchester-City-Wage-Details" TargetMode="External"/><Relationship Id="rId1753" Type="http://schemas.openxmlformats.org/officeDocument/2006/relationships/hyperlink" Target="https://fbref.com/en/squads/cd051869/2025-2026/wages/Brentford-Wage-Details" TargetMode="External"/><Relationship Id="rId1754" Type="http://schemas.openxmlformats.org/officeDocument/2006/relationships/hyperlink" Target="https://fbref.com/en/squads/4ba7cbea/2025-2026/wages/Bournemouth-Wage-Details" TargetMode="External"/><Relationship Id="rId1755" Type="http://schemas.openxmlformats.org/officeDocument/2006/relationships/hyperlink" Target="https://fbref.com/en/players/fd08a24b/Harvey-Davies" TargetMode="External"/><Relationship Id="rId1756" Type="http://schemas.openxmlformats.org/officeDocument/2006/relationships/hyperlink" Target="https://fbref.com/en/country/ENG/England-Football" TargetMode="External"/><Relationship Id="rId1757" Type="http://schemas.openxmlformats.org/officeDocument/2006/relationships/hyperlink" Target="https://fbref.com/en/squads/822bd0ba/2025-2026/wages/Liverpool-Wage-Details" TargetMode="External"/><Relationship Id="rId1758" Type="http://schemas.openxmlformats.org/officeDocument/2006/relationships/hyperlink" Target="https://fbref.com/en/players/185321d3/Josh-Feeney" TargetMode="External"/><Relationship Id="rId1759" Type="http://schemas.openxmlformats.org/officeDocument/2006/relationships/hyperlink" Target="https://fbref.com/en/country/ENG/England-Football" TargetMode="External"/><Relationship Id="rId808" Type="http://schemas.openxmlformats.org/officeDocument/2006/relationships/hyperlink" Target="https://fbref.com/en/squads/b2b47a98/2025-2026/wages/Newcastle-United-Wage-Details" TargetMode="External"/><Relationship Id="rId807" Type="http://schemas.openxmlformats.org/officeDocument/2006/relationships/hyperlink" Target="https://fbref.com/en/country/SWE/Sweden-Football" TargetMode="External"/><Relationship Id="rId806" Type="http://schemas.openxmlformats.org/officeDocument/2006/relationships/hyperlink" Target="https://fbref.com/en/players/77cf6852/Emil-Krafth" TargetMode="External"/><Relationship Id="rId805" Type="http://schemas.openxmlformats.org/officeDocument/2006/relationships/hyperlink" Target="https://fbref.com/en/squads/943e8050/2025-2026/wages/Burnley-Wage-Details" TargetMode="External"/><Relationship Id="rId809" Type="http://schemas.openxmlformats.org/officeDocument/2006/relationships/hyperlink" Target="https://fbref.com/en/players/62d7ef38/Caoimhin-Kelleher" TargetMode="External"/><Relationship Id="rId800" Type="http://schemas.openxmlformats.org/officeDocument/2006/relationships/hyperlink" Target="https://fbref.com/en/players/f6d7d690/Josh-Cullen" TargetMode="External"/><Relationship Id="rId804" Type="http://schemas.openxmlformats.org/officeDocument/2006/relationships/hyperlink" Target="https://fbref.com/en/country/FRA/France-Football" TargetMode="External"/><Relationship Id="rId803" Type="http://schemas.openxmlformats.org/officeDocument/2006/relationships/hyperlink" Target="https://fbref.com/en/players/1df4a109/Lesley-Ugochukwu" TargetMode="External"/><Relationship Id="rId802" Type="http://schemas.openxmlformats.org/officeDocument/2006/relationships/hyperlink" Target="https://fbref.com/en/squads/943e8050/2025-2026/wages/Burnley-Wage-Details" TargetMode="External"/><Relationship Id="rId801" Type="http://schemas.openxmlformats.org/officeDocument/2006/relationships/hyperlink" Target="https://fbref.com/en/country/IRL/Republic-of-Ireland-Football" TargetMode="External"/><Relationship Id="rId1750" Type="http://schemas.openxmlformats.org/officeDocument/2006/relationships/hyperlink" Target="https://fbref.com/en/squads/b8fd03ef/2025-2026/wages/Manchester-City-Wage-Details" TargetMode="External"/><Relationship Id="rId1751" Type="http://schemas.openxmlformats.org/officeDocument/2006/relationships/hyperlink" Target="https://fbref.com/en/squads/b8fd03ef/2025-2026/wages/Manchester-City-Wage-Details" TargetMode="External"/><Relationship Id="rId1741" Type="http://schemas.openxmlformats.org/officeDocument/2006/relationships/hyperlink" Target="https://fbref.com/en/squads/8ef52968/2025-2026/wages/Sunderland-Wage-Details" TargetMode="External"/><Relationship Id="rId1742" Type="http://schemas.openxmlformats.org/officeDocument/2006/relationships/hyperlink" Target="https://fbref.com/en/players/bebe4df1/Finley-Burns" TargetMode="External"/><Relationship Id="rId1743" Type="http://schemas.openxmlformats.org/officeDocument/2006/relationships/hyperlink" Target="https://fbref.com/en/country/ENG/England-Football" TargetMode="External"/><Relationship Id="rId1744" Type="http://schemas.openxmlformats.org/officeDocument/2006/relationships/hyperlink" Target="https://fbref.com/en/squads/b8fd03ef/2025-2026/wages/Manchester-City-Wage-Details" TargetMode="External"/><Relationship Id="rId1745" Type="http://schemas.openxmlformats.org/officeDocument/2006/relationships/hyperlink" Target="https://fbref.com/en/squads/b8fd03ef/2025-2026/wages/Manchester-City-Wage-Details" TargetMode="External"/><Relationship Id="rId1746" Type="http://schemas.openxmlformats.org/officeDocument/2006/relationships/hyperlink" Target="https://fbref.com/en/squads/cff3d9bb/2025-2026/wages/Chelsea-Wage-Details" TargetMode="External"/><Relationship Id="rId1747" Type="http://schemas.openxmlformats.org/officeDocument/2006/relationships/hyperlink" Target="https://fbref.com/en/players/37739c71/Calum-Scanlon" TargetMode="External"/><Relationship Id="rId1748" Type="http://schemas.openxmlformats.org/officeDocument/2006/relationships/hyperlink" Target="https://fbref.com/en/country/ENG/England-Football" TargetMode="External"/><Relationship Id="rId1749" Type="http://schemas.openxmlformats.org/officeDocument/2006/relationships/hyperlink" Target="https://fbref.com/en/squads/822bd0ba/2025-2026/wages/Liverpool-Wage-Details" TargetMode="External"/><Relationship Id="rId1740" Type="http://schemas.openxmlformats.org/officeDocument/2006/relationships/hyperlink" Target="https://fbref.com/en/country/WAL/Wales-Football" TargetMode="External"/><Relationship Id="rId1710" Type="http://schemas.openxmlformats.org/officeDocument/2006/relationships/hyperlink" Target="https://fbref.com/en/country/IRL/Republic-of-Ireland-Football" TargetMode="External"/><Relationship Id="rId1711" Type="http://schemas.openxmlformats.org/officeDocument/2006/relationships/hyperlink" Target="https://fbref.com/en/squads/8ef52968/2025-2026/wages/Sunderland-Wage-Details" TargetMode="External"/><Relationship Id="rId1712" Type="http://schemas.openxmlformats.org/officeDocument/2006/relationships/hyperlink" Target="https://fbref.com/en/players/6cdd9d3d/Mahamadou-Susoho" TargetMode="External"/><Relationship Id="rId1713" Type="http://schemas.openxmlformats.org/officeDocument/2006/relationships/hyperlink" Target="https://fbref.com/en/country/ESP/Spain-Football" TargetMode="External"/><Relationship Id="rId1714" Type="http://schemas.openxmlformats.org/officeDocument/2006/relationships/hyperlink" Target="https://fbref.com/en/squads/b8fd03ef/2025-2026/wages/Manchester-City-Wage-Details" TargetMode="External"/><Relationship Id="rId1715" Type="http://schemas.openxmlformats.org/officeDocument/2006/relationships/hyperlink" Target="https://fbref.com/en/squads/19538871/2025-2026/wages/Manchester-United-Wage-Details" TargetMode="External"/><Relationship Id="rId1716" Type="http://schemas.openxmlformats.org/officeDocument/2006/relationships/hyperlink" Target="https://fbref.com/en/squads/822bd0ba/2025-2026/wages/Liverpool-Wage-Details" TargetMode="External"/><Relationship Id="rId1717" Type="http://schemas.openxmlformats.org/officeDocument/2006/relationships/hyperlink" Target="https://fbref.com/en/players/bd885979/Louie-Barry" TargetMode="External"/><Relationship Id="rId1718" Type="http://schemas.openxmlformats.org/officeDocument/2006/relationships/hyperlink" Target="https://fbref.com/en/country/ENG/England-Football" TargetMode="External"/><Relationship Id="rId1719" Type="http://schemas.openxmlformats.org/officeDocument/2006/relationships/hyperlink" Target="https://fbref.com/en/squads/8602292d/2025-2026/wages/Aston-Villa-Wage-Details" TargetMode="External"/><Relationship Id="rId1700" Type="http://schemas.openxmlformats.org/officeDocument/2006/relationships/hyperlink" Target="https://fbref.com/en/country/ENG/England-Football" TargetMode="External"/><Relationship Id="rId1701" Type="http://schemas.openxmlformats.org/officeDocument/2006/relationships/hyperlink" Target="https://fbref.com/en/squads/8602292d/2025-2026/wages/Aston-Villa-Wage-Details" TargetMode="External"/><Relationship Id="rId1702" Type="http://schemas.openxmlformats.org/officeDocument/2006/relationships/hyperlink" Target="https://fbref.com/en/squads/cff3d9bb/2025-2026/wages/Chelsea-Wage-Details" TargetMode="External"/><Relationship Id="rId1703" Type="http://schemas.openxmlformats.org/officeDocument/2006/relationships/hyperlink" Target="https://fbref.com/en/players/cfed08d5/Matai-Akinmboni" TargetMode="External"/><Relationship Id="rId1704" Type="http://schemas.openxmlformats.org/officeDocument/2006/relationships/hyperlink" Target="https://fbref.com/en/country/USA/United-States-Football" TargetMode="External"/><Relationship Id="rId1705" Type="http://schemas.openxmlformats.org/officeDocument/2006/relationships/hyperlink" Target="https://fbref.com/en/squads/4ba7cbea/2025-2026/wages/Bournemouth-Wage-Details" TargetMode="External"/><Relationship Id="rId1706" Type="http://schemas.openxmlformats.org/officeDocument/2006/relationships/hyperlink" Target="https://fbref.com/en/players/a8e35a4f/Kerr-Smith" TargetMode="External"/><Relationship Id="rId1707" Type="http://schemas.openxmlformats.org/officeDocument/2006/relationships/hyperlink" Target="https://fbref.com/en/country/SCO/Scotland-Football" TargetMode="External"/><Relationship Id="rId1708" Type="http://schemas.openxmlformats.org/officeDocument/2006/relationships/hyperlink" Target="https://fbref.com/en/squads/8602292d/2025-2026/wages/Aston-Villa-Wage-Details" TargetMode="External"/><Relationship Id="rId1709" Type="http://schemas.openxmlformats.org/officeDocument/2006/relationships/hyperlink" Target="https://fbref.com/en/players/25dea15a/Alan-Browne" TargetMode="External"/><Relationship Id="rId40" Type="http://schemas.openxmlformats.org/officeDocument/2006/relationships/hyperlink" Target="https://fbref.com/en/players/5eecec3d/John-Stones" TargetMode="External"/><Relationship Id="rId1334" Type="http://schemas.openxmlformats.org/officeDocument/2006/relationships/hyperlink" Target="https://fbref.com/en/players/8f4541c2/Julian-Araujo" TargetMode="External"/><Relationship Id="rId1335" Type="http://schemas.openxmlformats.org/officeDocument/2006/relationships/hyperlink" Target="https://fbref.com/en/country/MEX/Mexico-Football" TargetMode="External"/><Relationship Id="rId42" Type="http://schemas.openxmlformats.org/officeDocument/2006/relationships/hyperlink" Target="https://fbref.com/en/squads/b8fd03ef/2025-2026/wages/Manchester-City-Wage-Details" TargetMode="External"/><Relationship Id="rId1336" Type="http://schemas.openxmlformats.org/officeDocument/2006/relationships/hyperlink" Target="https://fbref.com/en/squads/4ba7cbea/2025-2026/wages/Bournemouth-Wage-Details" TargetMode="External"/><Relationship Id="rId41" Type="http://schemas.openxmlformats.org/officeDocument/2006/relationships/hyperlink" Target="https://fbref.com/en/country/ENG/England-Football" TargetMode="External"/><Relationship Id="rId1337" Type="http://schemas.openxmlformats.org/officeDocument/2006/relationships/hyperlink" Target="https://fbref.com/en/players/c478319d/Veljko-Milosavljevic" TargetMode="External"/><Relationship Id="rId44" Type="http://schemas.openxmlformats.org/officeDocument/2006/relationships/hyperlink" Target="https://fbref.com/en/country/POR/Portugal-Football" TargetMode="External"/><Relationship Id="rId1338" Type="http://schemas.openxmlformats.org/officeDocument/2006/relationships/hyperlink" Target="https://fbref.com/en/country/SRB/Serbia-Football" TargetMode="External"/><Relationship Id="rId43" Type="http://schemas.openxmlformats.org/officeDocument/2006/relationships/hyperlink" Target="https://fbref.com/en/players/31c69ef1/Ruben-Dias" TargetMode="External"/><Relationship Id="rId1339" Type="http://schemas.openxmlformats.org/officeDocument/2006/relationships/hyperlink" Target="https://fbref.com/en/squads/4ba7cbea/2025-2026/wages/Bournemouth-Wage-Details" TargetMode="External"/><Relationship Id="rId46" Type="http://schemas.openxmlformats.org/officeDocument/2006/relationships/hyperlink" Target="https://fbref.com/en/players/1265a93a/Reece-James" TargetMode="External"/><Relationship Id="rId45" Type="http://schemas.openxmlformats.org/officeDocument/2006/relationships/hyperlink" Target="https://fbref.com/en/squads/b8fd03ef/2025-2026/wages/Manchester-City-Wage-Details" TargetMode="External"/><Relationship Id="rId745" Type="http://schemas.openxmlformats.org/officeDocument/2006/relationships/hyperlink" Target="https://fbref.com/en/squads/cff3d9bb/2025-2026/wages/Chelsea-Wage-Details" TargetMode="External"/><Relationship Id="rId744" Type="http://schemas.openxmlformats.org/officeDocument/2006/relationships/hyperlink" Target="https://fbref.com/en/country/ESP/Spain-Football" TargetMode="External"/><Relationship Id="rId743" Type="http://schemas.openxmlformats.org/officeDocument/2006/relationships/hyperlink" Target="https://fbref.com/en/players/6a713852/Robert-Sanchez" TargetMode="External"/><Relationship Id="rId742" Type="http://schemas.openxmlformats.org/officeDocument/2006/relationships/hyperlink" Target="https://fbref.com/en/squads/cff3d9bb/2025-2026/wages/Chelsea-Wage-Details" TargetMode="External"/><Relationship Id="rId749" Type="http://schemas.openxmlformats.org/officeDocument/2006/relationships/hyperlink" Target="https://fbref.com/en/players/2f90f6b8/James-Milner" TargetMode="External"/><Relationship Id="rId748" Type="http://schemas.openxmlformats.org/officeDocument/2006/relationships/hyperlink" Target="https://fbref.com/en/squads/d07537b9/2025-2026/wages/Brighton-and-Hove-Albion-Wage-Details" TargetMode="External"/><Relationship Id="rId747" Type="http://schemas.openxmlformats.org/officeDocument/2006/relationships/hyperlink" Target="https://fbref.com/en/country/ENG/England-Football" TargetMode="External"/><Relationship Id="rId746" Type="http://schemas.openxmlformats.org/officeDocument/2006/relationships/hyperlink" Target="https://fbref.com/en/players/ce5143da/Danny-Welbeck" TargetMode="External"/><Relationship Id="rId48" Type="http://schemas.openxmlformats.org/officeDocument/2006/relationships/hyperlink" Target="https://fbref.com/en/squads/cff3d9bb/2025-2026/wages/Chelsea-Wage-Details" TargetMode="External"/><Relationship Id="rId47" Type="http://schemas.openxmlformats.org/officeDocument/2006/relationships/hyperlink" Target="https://fbref.com/en/country/ENG/England-Football" TargetMode="External"/><Relationship Id="rId49" Type="http://schemas.openxmlformats.org/officeDocument/2006/relationships/hyperlink" Target="https://fbref.com/en/players/972aeb2a/William-Saliba" TargetMode="External"/><Relationship Id="rId741" Type="http://schemas.openxmlformats.org/officeDocument/2006/relationships/hyperlink" Target="https://fbref.com/en/squads/b2b47a98/2025-2026/wages/Newcastle-United-Wage-Details" TargetMode="External"/><Relationship Id="rId1330" Type="http://schemas.openxmlformats.org/officeDocument/2006/relationships/hyperlink" Target="https://fbref.com/en/squads/47c64c55/2025-2026/wages/Crystal-Palace-Wage-Details" TargetMode="External"/><Relationship Id="rId740" Type="http://schemas.openxmlformats.org/officeDocument/2006/relationships/hyperlink" Target="https://fbref.com/en/country/ENG/England-Football" TargetMode="External"/><Relationship Id="rId1331" Type="http://schemas.openxmlformats.org/officeDocument/2006/relationships/hyperlink" Target="https://fbref.com/en/players/69942fb3/James-Hill" TargetMode="External"/><Relationship Id="rId1332" Type="http://schemas.openxmlformats.org/officeDocument/2006/relationships/hyperlink" Target="https://fbref.com/en/country/ENG/England-Football" TargetMode="External"/><Relationship Id="rId1333" Type="http://schemas.openxmlformats.org/officeDocument/2006/relationships/hyperlink" Target="https://fbref.com/en/squads/4ba7cbea/2025-2026/wages/Bournemouth-Wage-Details" TargetMode="External"/><Relationship Id="rId1323" Type="http://schemas.openxmlformats.org/officeDocument/2006/relationships/hyperlink" Target="https://fbref.com/en/country/ENG/England-Football" TargetMode="External"/><Relationship Id="rId1324" Type="http://schemas.openxmlformats.org/officeDocument/2006/relationships/hyperlink" Target="https://fbref.com/en/squads/19538871/2025-2026/wages/Manchester-United-Wage-Details" TargetMode="External"/><Relationship Id="rId31" Type="http://schemas.openxmlformats.org/officeDocument/2006/relationships/hyperlink" Target="https://fbref.com/en/players/d0706b27/Marc-Guehi" TargetMode="External"/><Relationship Id="rId1325" Type="http://schemas.openxmlformats.org/officeDocument/2006/relationships/hyperlink" Target="https://fbref.com/en/players/9f59ff55/Kota-Takai" TargetMode="External"/><Relationship Id="rId30" Type="http://schemas.openxmlformats.org/officeDocument/2006/relationships/hyperlink" Target="https://fbref.com/en/squads/18bb7c10/2025-2026/wages/Arsenal-Wage-Details" TargetMode="External"/><Relationship Id="rId1326" Type="http://schemas.openxmlformats.org/officeDocument/2006/relationships/hyperlink" Target="https://fbref.com/en/country/JPN/Japan-Football" TargetMode="External"/><Relationship Id="rId33" Type="http://schemas.openxmlformats.org/officeDocument/2006/relationships/hyperlink" Target="https://fbref.com/en/squads/b8fd03ef/2025-2026/wages/Manchester-City-Wage-Details" TargetMode="External"/><Relationship Id="rId1327" Type="http://schemas.openxmlformats.org/officeDocument/2006/relationships/hyperlink" Target="https://fbref.com/en/squads/361ca564/2025-2026/wages/Tottenham-Hotspur-Wage-Details" TargetMode="External"/><Relationship Id="rId32" Type="http://schemas.openxmlformats.org/officeDocument/2006/relationships/hyperlink" Target="https://fbref.com/en/country/ENG/England-Football" TargetMode="External"/><Relationship Id="rId1328" Type="http://schemas.openxmlformats.org/officeDocument/2006/relationships/hyperlink" Target="https://fbref.com/en/players/3684108d/Jaydee-Canvot" TargetMode="External"/><Relationship Id="rId35" Type="http://schemas.openxmlformats.org/officeDocument/2006/relationships/hyperlink" Target="https://fbref.com/en/country/NED/Netherlands-Football" TargetMode="External"/><Relationship Id="rId1329" Type="http://schemas.openxmlformats.org/officeDocument/2006/relationships/hyperlink" Target="https://fbref.com/en/country/FRA/France-Football" TargetMode="External"/><Relationship Id="rId34" Type="http://schemas.openxmlformats.org/officeDocument/2006/relationships/hyperlink" Target="https://fbref.com/en/players/1971591f/Cody-Gakpo" TargetMode="External"/><Relationship Id="rId739" Type="http://schemas.openxmlformats.org/officeDocument/2006/relationships/hyperlink" Target="https://fbref.com/en/players/4b40d9ca/Nick-Pope" TargetMode="External"/><Relationship Id="rId734" Type="http://schemas.openxmlformats.org/officeDocument/2006/relationships/hyperlink" Target="https://fbref.com/en/country/POR/Portugal-Football" TargetMode="External"/><Relationship Id="rId733" Type="http://schemas.openxmlformats.org/officeDocument/2006/relationships/hyperlink" Target="https://fbref.com/en/players/903b6e8b/Jose-Sa" TargetMode="External"/><Relationship Id="rId732" Type="http://schemas.openxmlformats.org/officeDocument/2006/relationships/hyperlink" Target="https://fbref.com/en/squads/8cec06e1/2025-2026/wages/Wolverhampton-Wanderers-Wage-Details" TargetMode="External"/><Relationship Id="rId731" Type="http://schemas.openxmlformats.org/officeDocument/2006/relationships/hyperlink" Target="https://fbref.com/en/country/BRA/Brazil-Football" TargetMode="External"/><Relationship Id="rId738" Type="http://schemas.openxmlformats.org/officeDocument/2006/relationships/hyperlink" Target="https://fbref.com/en/squads/8ef52968/2025-2026/wages/Sunderland-Wage-Details" TargetMode="External"/><Relationship Id="rId737" Type="http://schemas.openxmlformats.org/officeDocument/2006/relationships/hyperlink" Target="https://fbref.com/en/country/NED/Netherlands-Football" TargetMode="External"/><Relationship Id="rId736" Type="http://schemas.openxmlformats.org/officeDocument/2006/relationships/hyperlink" Target="https://fbref.com/en/players/4c184730/Brian-Brobbey" TargetMode="External"/><Relationship Id="rId735" Type="http://schemas.openxmlformats.org/officeDocument/2006/relationships/hyperlink" Target="https://fbref.com/en/squads/8cec06e1/2025-2026/wages/Wolverhampton-Wanderers-Wage-Details" TargetMode="External"/><Relationship Id="rId37" Type="http://schemas.openxmlformats.org/officeDocument/2006/relationships/hyperlink" Target="https://fbref.com/en/players/08f5afaa/Gianluigi-Donnarumma" TargetMode="External"/><Relationship Id="rId36" Type="http://schemas.openxmlformats.org/officeDocument/2006/relationships/hyperlink" Target="https://fbref.com/en/squads/822bd0ba/2025-2026/wages/Liverpool-Wage-Details" TargetMode="External"/><Relationship Id="rId39" Type="http://schemas.openxmlformats.org/officeDocument/2006/relationships/hyperlink" Target="https://fbref.com/en/squads/b8fd03ef/2025-2026/wages/Manchester-City-Wage-Details" TargetMode="External"/><Relationship Id="rId38" Type="http://schemas.openxmlformats.org/officeDocument/2006/relationships/hyperlink" Target="https://fbref.com/en/country/ITA/Italy-Football" TargetMode="External"/><Relationship Id="rId730" Type="http://schemas.openxmlformats.org/officeDocument/2006/relationships/hyperlink" Target="https://fbref.com/en/players/ec604e2c/Andre" TargetMode="External"/><Relationship Id="rId1320" Type="http://schemas.openxmlformats.org/officeDocument/2006/relationships/hyperlink" Target="https://fbref.com/en/country/ENG/England-Football" TargetMode="External"/><Relationship Id="rId1321" Type="http://schemas.openxmlformats.org/officeDocument/2006/relationships/hyperlink" Target="https://fbref.com/en/squads/19538871/2025-2026/wages/Manchester-United-Wage-Details" TargetMode="External"/><Relationship Id="rId1322" Type="http://schemas.openxmlformats.org/officeDocument/2006/relationships/hyperlink" Target="https://fbref.com/en/players/58630379/Tyler-Fredricson" TargetMode="External"/><Relationship Id="rId1356" Type="http://schemas.openxmlformats.org/officeDocument/2006/relationships/hyperlink" Target="https://fbref.com/en/players/bfc3b3a0/Hugo-Bueno" TargetMode="External"/><Relationship Id="rId135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country/EGY/Egypt-Football" TargetMode="External"/><Relationship Id="rId1358" Type="http://schemas.openxmlformats.org/officeDocument/2006/relationships/hyperlink" Target="https://fbref.com/en/squads/8cec06e1/2025-2026/wages/Wolverhampton-Wanderers-Wage-Details" TargetMode="External"/><Relationship Id="rId1359" Type="http://schemas.openxmlformats.org/officeDocument/2006/relationships/hyperlink" Target="https://fbref.com/en/players/8dcf77c0/Rodrigo-Gomes" TargetMode="External"/><Relationship Id="rId22" Type="http://schemas.openxmlformats.org/officeDocument/2006/relationships/hyperlink" Target="https://fbref.com/en/players/8e92be30/Alexander-Isak" TargetMode="External"/><Relationship Id="rId21" Type="http://schemas.openxmlformats.org/officeDocument/2006/relationships/hyperlink" Target="https://fbref.com/en/squads/b8fd03ef/2025-2026/wages/Manchester-City-Wage-Details" TargetMode="External"/><Relationship Id="rId24" Type="http://schemas.openxmlformats.org/officeDocument/2006/relationships/hyperlink" Target="https://fbref.com/en/squads/822bd0ba/2025-2026/wages/Liverpool-Wage-Details" TargetMode="External"/><Relationship Id="rId23" Type="http://schemas.openxmlformats.org/officeDocument/2006/relationships/hyperlink" Target="https://fbref.com/en/country/SWE/Sweden-Football" TargetMode="External"/><Relationship Id="rId767" Type="http://schemas.openxmlformats.org/officeDocument/2006/relationships/hyperlink" Target="https://fbref.com/en/players/289601e6/Antonee-Robinson" TargetMode="External"/><Relationship Id="rId766" Type="http://schemas.openxmlformats.org/officeDocument/2006/relationships/hyperlink" Target="https://fbref.com/en/squads/e4a775cb/2025-2026/wages/Nottingham-Forest-Wage-Details" TargetMode="External"/><Relationship Id="rId765" Type="http://schemas.openxmlformats.org/officeDocument/2006/relationships/hyperlink" Target="https://fbref.com/en/country/NGA/Nigeria-Football" TargetMode="External"/><Relationship Id="rId764" Type="http://schemas.openxmlformats.org/officeDocument/2006/relationships/hyperlink" Target="https://fbref.com/en/players/246d153b/Ola-Aina" TargetMode="External"/><Relationship Id="rId769" Type="http://schemas.openxmlformats.org/officeDocument/2006/relationships/hyperlink" Target="https://fbref.com/en/squads/fd962109/2025-2026/wages/Fulham-Wage-Details" TargetMode="External"/><Relationship Id="rId768" Type="http://schemas.openxmlformats.org/officeDocument/2006/relationships/hyperlink" Target="https://fbref.com/en/country/USA/United-States-Football" TargetMode="External"/><Relationship Id="rId26" Type="http://schemas.openxmlformats.org/officeDocument/2006/relationships/hyperlink" Target="https://fbref.com/en/country/GER/Germany-Football" TargetMode="External"/><Relationship Id="rId25" Type="http://schemas.openxmlformats.org/officeDocument/2006/relationships/hyperlink" Target="https://fbref.com/en/players/fed7cb61/Kai-Havertz" TargetMode="External"/><Relationship Id="rId28" Type="http://schemas.openxmlformats.org/officeDocument/2006/relationships/hyperlink" Target="https://fbref.com/en/players/b66315ae/Gabriel-Jesus" TargetMode="External"/><Relationship Id="rId1350" Type="http://schemas.openxmlformats.org/officeDocument/2006/relationships/hyperlink" Target="https://fbref.com/en/country/ENG/England-Football" TargetMode="External"/><Relationship Id="rId27" Type="http://schemas.openxmlformats.org/officeDocument/2006/relationships/hyperlink" Target="https://fbref.com/en/squads/18bb7c10/2025-2026/wages/Arsenal-Wage-Details" TargetMode="External"/><Relationship Id="rId1351" Type="http://schemas.openxmlformats.org/officeDocument/2006/relationships/hyperlink" Target="https://fbref.com/en/squads/822bd0ba/2025-2026/wages/Liverpool-Wage-Details" TargetMode="External"/><Relationship Id="rId763" Type="http://schemas.openxmlformats.org/officeDocument/2006/relationships/hyperlink" Target="https://fbref.com/en/squads/e4a775cb/2025-2026/wages/Nottingham-Forest-Wage-Details" TargetMode="External"/><Relationship Id="rId1352" Type="http://schemas.openxmlformats.org/officeDocument/2006/relationships/hyperlink" Target="https://fbref.com/en/players/1d3b3d77/Trey-Nyoni" TargetMode="External"/><Relationship Id="rId29" Type="http://schemas.openxmlformats.org/officeDocument/2006/relationships/hyperlink" Target="https://fbref.com/en/country/BRA/Brazil-Football" TargetMode="External"/><Relationship Id="rId762" Type="http://schemas.openxmlformats.org/officeDocument/2006/relationships/hyperlink" Target="https://fbref.com/en/country/FRA/France-Football" TargetMode="External"/><Relationship Id="rId1353" Type="http://schemas.openxmlformats.org/officeDocument/2006/relationships/hyperlink" Target="https://fbref.com/en/country/ENG/England-Football" TargetMode="External"/><Relationship Id="rId761" Type="http://schemas.openxmlformats.org/officeDocument/2006/relationships/hyperlink" Target="https://fbref.com/en/players/bf4c41f9/Arnaud-Kalimuendo" TargetMode="External"/><Relationship Id="rId1354" Type="http://schemas.openxmlformats.org/officeDocument/2006/relationships/hyperlink" Target="https://fbref.com/en/squads/822bd0ba/2025-2026/wages/Liverpool-Wage-Details" TargetMode="External"/><Relationship Id="rId760" Type="http://schemas.openxmlformats.org/officeDocument/2006/relationships/hyperlink" Target="https://fbref.com/en/squads/d3fd31cc/2025-2026/wages/Everton-Wage-Details" TargetMode="External"/><Relationship Id="rId1355" Type="http://schemas.openxmlformats.org/officeDocument/2006/relationships/hyperlink" Target="https://fbref.com/en/squads/8cec06e1/2025-2026/wages/Wolverhampton-Wanderers-Wage-Details" TargetMode="External"/><Relationship Id="rId1345" Type="http://schemas.openxmlformats.org/officeDocument/2006/relationships/hyperlink" Target="https://fbref.com/en/squads/5bfb9659/2025-2026/wages/Leeds-United-Wage-Details" TargetMode="External"/><Relationship Id="rId1346" Type="http://schemas.openxmlformats.org/officeDocument/2006/relationships/hyperlink" Target="https://fbref.com/en/players/19e50035/Freddie-Woodman" TargetMode="External"/><Relationship Id="rId1347" Type="http://schemas.openxmlformats.org/officeDocument/2006/relationships/hyperlink" Target="https://fbref.com/en/country/ENG/England-Football" TargetMode="External"/><Relationship Id="rId1348" Type="http://schemas.openxmlformats.org/officeDocument/2006/relationships/hyperlink" Target="https://fbref.com/en/squads/822bd0ba/2025-2026/wages/Liverpool-Wage-Details" TargetMode="External"/><Relationship Id="rId11" Type="http://schemas.openxmlformats.org/officeDocument/2006/relationships/hyperlink" Target="https://fbref.com/en/country/NED/Netherlands-Football" TargetMode="External"/><Relationship Id="rId1349" Type="http://schemas.openxmlformats.org/officeDocument/2006/relationships/hyperlink" Target="https://fbref.com/en/players/022eca88/Rio-Ngumoha" TargetMode="External"/><Relationship Id="rId10" Type="http://schemas.openxmlformats.org/officeDocument/2006/relationships/hyperlink" Target="https://fbref.com/en/players/e06683ca/Virgil-van-Dijk" TargetMode="External"/><Relationship Id="rId13" Type="http://schemas.openxmlformats.org/officeDocument/2006/relationships/hyperlink" Target="https://fbref.com/en/players/507c7bdf/Bruno-Fernandes" TargetMode="External"/><Relationship Id="rId12" Type="http://schemas.openxmlformats.org/officeDocument/2006/relationships/hyperlink" Target="https://fbref.com/en/squads/822bd0ba/2025-2026/wages/Liverpool-Wage-Details" TargetMode="External"/><Relationship Id="rId756" Type="http://schemas.openxmlformats.org/officeDocument/2006/relationships/hyperlink" Target="https://fbref.com/en/country/FRA/France-Football" TargetMode="External"/><Relationship Id="rId755" Type="http://schemas.openxmlformats.org/officeDocument/2006/relationships/hyperlink" Target="https://fbref.com/en/players/403f5d20/Olivier-Boscagli" TargetMode="External"/><Relationship Id="rId754" Type="http://schemas.openxmlformats.org/officeDocument/2006/relationships/hyperlink" Target="https://fbref.com/en/squads/d07537b9/2025-2026/wages/Brighton-and-Hove-Albion-Wage-Details" TargetMode="External"/><Relationship Id="rId753" Type="http://schemas.openxmlformats.org/officeDocument/2006/relationships/hyperlink" Target="https://fbref.com/en/country/NED/Netherlands-Football" TargetMode="External"/><Relationship Id="rId759" Type="http://schemas.openxmlformats.org/officeDocument/2006/relationships/hyperlink" Target="https://fbref.com/en/country/GNB/Guinea-Bissau-Football" TargetMode="External"/><Relationship Id="rId758" Type="http://schemas.openxmlformats.org/officeDocument/2006/relationships/hyperlink" Target="https://fbref.com/en/players/ed5c0319/Beto" TargetMode="External"/><Relationship Id="rId757" Type="http://schemas.openxmlformats.org/officeDocument/2006/relationships/hyperlink" Target="https://fbref.com/en/squads/d07537b9/2025-2026/wages/Brighton-and-Hove-Albion-Wage-Details" TargetMode="External"/><Relationship Id="rId15" Type="http://schemas.openxmlformats.org/officeDocument/2006/relationships/hyperlink" Target="https://fbref.com/en/squads/19538871/2025-2026/wages/Manchester-United-Wage-Details" TargetMode="External"/><Relationship Id="rId14" Type="http://schemas.openxmlformats.org/officeDocument/2006/relationships/hyperlink" Target="https://fbref.com/en/country/POR/Portugal-Football" TargetMode="External"/><Relationship Id="rId17" Type="http://schemas.openxmlformats.org/officeDocument/2006/relationships/hyperlink" Target="https://fbref.com/en/country/POR/Portugal-Football" TargetMode="External"/><Relationship Id="rId16" Type="http://schemas.openxmlformats.org/officeDocument/2006/relationships/hyperlink" Target="https://fbref.com/en/players/3eb22ec9/Bernardo-Silva" TargetMode="External"/><Relationship Id="rId1340" Type="http://schemas.openxmlformats.org/officeDocument/2006/relationships/hyperlink" Target="https://fbref.com/en/players/1d36d6b6/Ao-Tanaka" TargetMode="External"/><Relationship Id="rId19" Type="http://schemas.openxmlformats.org/officeDocument/2006/relationships/hyperlink" Target="https://fbref.com/en/players/0e0102eb/Omar-Marmoush" TargetMode="External"/><Relationship Id="rId752" Type="http://schemas.openxmlformats.org/officeDocument/2006/relationships/hyperlink" Target="https://fbref.com/en/players/4876c9ab/Mats-Wieffer" TargetMode="External"/><Relationship Id="rId1341" Type="http://schemas.openxmlformats.org/officeDocument/2006/relationships/hyperlink" Target="https://fbref.com/en/country/JPN/Japan-Football" TargetMode="External"/><Relationship Id="rId18" Type="http://schemas.openxmlformats.org/officeDocument/2006/relationships/hyperlink" Target="https://fbref.com/en/squads/b8fd03ef/2025-2026/wages/Manchester-City-Wage-Details" TargetMode="External"/><Relationship Id="rId751" Type="http://schemas.openxmlformats.org/officeDocument/2006/relationships/hyperlink" Target="https://fbref.com/en/squads/d07537b9/2025-2026/wages/Brighton-and-Hove-Albion-Wage-Details" TargetMode="External"/><Relationship Id="rId1342" Type="http://schemas.openxmlformats.org/officeDocument/2006/relationships/hyperlink" Target="https://fbref.com/en/squads/5bfb9659/2025-2026/wages/Leeds-United-Wage-Details" TargetMode="External"/><Relationship Id="rId750" Type="http://schemas.openxmlformats.org/officeDocument/2006/relationships/hyperlink" Target="https://fbref.com/en/country/ENG/England-Football" TargetMode="External"/><Relationship Id="rId1343" Type="http://schemas.openxmlformats.org/officeDocument/2006/relationships/hyperlink" Target="https://fbref.com/en/players/1bf811d4/Sam-Byram" TargetMode="External"/><Relationship Id="rId1344" Type="http://schemas.openxmlformats.org/officeDocument/2006/relationships/hyperlink" Target="https://fbref.com/en/country/ENG/England-Football" TargetMode="External"/><Relationship Id="rId84" Type="http://schemas.openxmlformats.org/officeDocument/2006/relationships/hyperlink" Target="https://fbref.com/en/squads/19538871/2025-2026/wages/Manchester-United-Wage-Details" TargetMode="External"/><Relationship Id="rId1774" Type="http://schemas.openxmlformats.org/officeDocument/2006/relationships/hyperlink" Target="https://fbref.com/en/squads/8ef52968/2025-2026/wages/Sunderland-Wage-Details" TargetMode="External"/><Relationship Id="rId83" Type="http://schemas.openxmlformats.org/officeDocument/2006/relationships/hyperlink" Target="https://fbref.com/en/country/NED/Netherlands-Football" TargetMode="External"/><Relationship Id="rId1775" Type="http://schemas.openxmlformats.org/officeDocument/2006/relationships/hyperlink" Target="https://fbref.com/en/squads/19538871/2025-2026/wages/Manchester-United-Wage-Details" TargetMode="External"/><Relationship Id="rId86" Type="http://schemas.openxmlformats.org/officeDocument/2006/relationships/hyperlink" Target="https://fbref.com/en/country/ARG/Argentina-Football" TargetMode="External"/><Relationship Id="rId1776" Type="http://schemas.openxmlformats.org/officeDocument/2006/relationships/hyperlink" Target="https://fbref.com/en/players/a42f6058/Sil-Swinkels" TargetMode="External"/><Relationship Id="rId85" Type="http://schemas.openxmlformats.org/officeDocument/2006/relationships/hyperlink" Target="https://fbref.com/en/players/a3d94a58/Cristian-Romero" TargetMode="External"/><Relationship Id="rId1777" Type="http://schemas.openxmlformats.org/officeDocument/2006/relationships/hyperlink" Target="https://fbref.com/en/country/NED/Netherlands-Football" TargetMode="External"/><Relationship Id="rId88" Type="http://schemas.openxmlformats.org/officeDocument/2006/relationships/hyperlink" Target="https://fbref.com/en/players/da4d670f/Xavi-Simons" TargetMode="External"/><Relationship Id="rId1778" Type="http://schemas.openxmlformats.org/officeDocument/2006/relationships/hyperlink" Target="https://fbref.com/en/squads/8602292d/2025-2026/wages/Aston-Villa-Wage-Details" TargetMode="External"/><Relationship Id="rId87" Type="http://schemas.openxmlformats.org/officeDocument/2006/relationships/hyperlink" Target="https://fbref.com/en/squads/361ca564/2025-2026/wages/Tottenham-Hotspur-Wage-Details" TargetMode="External"/><Relationship Id="rId1779" Type="http://schemas.openxmlformats.org/officeDocument/2006/relationships/hyperlink" Target="https://fbref.com/en/squads/943e8050/2025-2026/wages/Burnley-Wage-Details" TargetMode="External"/><Relationship Id="rId89" Type="http://schemas.openxmlformats.org/officeDocument/2006/relationships/hyperlink" Target="https://fbref.com/en/country/NED/Netherlands-Football" TargetMode="External"/><Relationship Id="rId709" Type="http://schemas.openxmlformats.org/officeDocument/2006/relationships/hyperlink" Target="https://fbref.com/en/players/540ec57b/Yeremi-Pino" TargetMode="External"/><Relationship Id="rId708" Type="http://schemas.openxmlformats.org/officeDocument/2006/relationships/hyperlink" Target="https://fbref.com/en/squads/47c64c55/2025-2026/wages/Crystal-Palace-Wage-Details" TargetMode="External"/><Relationship Id="rId707" Type="http://schemas.openxmlformats.org/officeDocument/2006/relationships/hyperlink" Target="https://fbref.com/en/country/ENG/England-Football" TargetMode="External"/><Relationship Id="rId706" Type="http://schemas.openxmlformats.org/officeDocument/2006/relationships/hyperlink" Target="https://fbref.com/en/players/a0666d3e/Will-Hughes" TargetMode="External"/><Relationship Id="rId80" Type="http://schemas.openxmlformats.org/officeDocument/2006/relationships/hyperlink" Target="https://fbref.com/en/country/SWE/Sweden-Football" TargetMode="External"/><Relationship Id="rId82" Type="http://schemas.openxmlformats.org/officeDocument/2006/relationships/hyperlink" Target="https://fbref.com/en/players/d6e53a3a/Matthijs-de-Ligt" TargetMode="External"/><Relationship Id="rId81" Type="http://schemas.openxmlformats.org/officeDocument/2006/relationships/hyperlink" Target="https://fbref.com/en/squads/18bb7c10/2025-2026/wages/Arsenal-Wage-Details" TargetMode="External"/><Relationship Id="rId701" Type="http://schemas.openxmlformats.org/officeDocument/2006/relationships/hyperlink" Target="https://fbref.com/en/country/SWE/Sweden-Football" TargetMode="External"/><Relationship Id="rId700" Type="http://schemas.openxmlformats.org/officeDocument/2006/relationships/hyperlink" Target="https://fbref.com/en/players/a109e5c8/Lucas-Bergvall" TargetMode="External"/><Relationship Id="rId705" Type="http://schemas.openxmlformats.org/officeDocument/2006/relationships/hyperlink" Target="https://fbref.com/en/squads/47c64c55/2025-2026/wages/Crystal-Palace-Wage-Details" TargetMode="External"/><Relationship Id="rId704" Type="http://schemas.openxmlformats.org/officeDocument/2006/relationships/hyperlink" Target="https://fbref.com/en/country/COL/Colombia-Football" TargetMode="External"/><Relationship Id="rId703" Type="http://schemas.openxmlformats.org/officeDocument/2006/relationships/hyperlink" Target="https://fbref.com/en/players/778ef829/Daniel-Munoz" TargetMode="External"/><Relationship Id="rId702" Type="http://schemas.openxmlformats.org/officeDocument/2006/relationships/hyperlink" Target="https://fbref.com/en/squads/361ca564/2025-2026/wages/Tottenham-Hotspur-Wage-Details" TargetMode="External"/><Relationship Id="rId1770" Type="http://schemas.openxmlformats.org/officeDocument/2006/relationships/hyperlink" Target="https://fbref.com/en/squads/8602292d/2025-2026/wages/Aston-Villa-Wage-Details" TargetMode="External"/><Relationship Id="rId1771" Type="http://schemas.openxmlformats.org/officeDocument/2006/relationships/hyperlink" Target="https://fbref.com/en/players/039c3d96/Alfie-Pond" TargetMode="External"/><Relationship Id="rId1772" Type="http://schemas.openxmlformats.org/officeDocument/2006/relationships/hyperlink" Target="https://fbref.com/en/country/ENG/England-Football" TargetMode="External"/><Relationship Id="rId1773" Type="http://schemas.openxmlformats.org/officeDocument/2006/relationships/hyperlink" Target="https://fbref.com/en/squads/8cec06e1/2025-2026/wages/Wolverhampton-Wanderers-Wage-Details" TargetMode="External"/><Relationship Id="rId73" Type="http://schemas.openxmlformats.org/officeDocument/2006/relationships/hyperlink" Target="https://fbref.com/en/players/5ad50391/Josko-Gvardiol" TargetMode="External"/><Relationship Id="rId1763" Type="http://schemas.openxmlformats.org/officeDocument/2006/relationships/hyperlink" Target="https://fbref.com/en/squads/b8fd03ef/2025-2026/wages/Manchester-City-Wage-Details" TargetMode="External"/><Relationship Id="rId72" Type="http://schemas.openxmlformats.org/officeDocument/2006/relationships/hyperlink" Target="https://fbref.com/en/squads/822bd0ba/2025-2026/wages/Liverpool-Wage-Details" TargetMode="External"/><Relationship Id="rId1764" Type="http://schemas.openxmlformats.org/officeDocument/2006/relationships/hyperlink" Target="https://fbref.com/en/squads/b8fd03ef/2025-2026/wages/Manchester-City-Wage-Details" TargetMode="External"/><Relationship Id="rId75" Type="http://schemas.openxmlformats.org/officeDocument/2006/relationships/hyperlink" Target="https://fbref.com/en/squads/b8fd03ef/2025-2026/wages/Manchester-City-Wage-Details" TargetMode="External"/><Relationship Id="rId1765" Type="http://schemas.openxmlformats.org/officeDocument/2006/relationships/hyperlink" Target="https://fbref.com/en/squads/cff3d9bb/2025-2026/wages/Chelsea-Wage-Details" TargetMode="External"/><Relationship Id="rId74" Type="http://schemas.openxmlformats.org/officeDocument/2006/relationships/hyperlink" Target="https://fbref.com/en/country/CRO/Croatia-Football" TargetMode="External"/><Relationship Id="rId1766" Type="http://schemas.openxmlformats.org/officeDocument/2006/relationships/hyperlink" Target="https://fbref.com/en/squads/d07537b9/2025-2026/wages/Brighton-and-Hove-Albion-Wage-Details" TargetMode="External"/><Relationship Id="rId77" Type="http://schemas.openxmlformats.org/officeDocument/2006/relationships/hyperlink" Target="https://fbref.com/en/country/FRA/France-Football" TargetMode="External"/><Relationship Id="rId1767" Type="http://schemas.openxmlformats.org/officeDocument/2006/relationships/hyperlink" Target="https://fbref.com/en/squads/fd962109/2025-2026/wages/Fulham-Wage-Details" TargetMode="External"/><Relationship Id="rId76" Type="http://schemas.openxmlformats.org/officeDocument/2006/relationships/hyperlink" Target="https://fbref.com/en/players/132a82f1/Wesley-Fofana" TargetMode="External"/><Relationship Id="rId1768" Type="http://schemas.openxmlformats.org/officeDocument/2006/relationships/hyperlink" Target="https://fbref.com/en/squads/b8fd03ef/2025-2026/wages/Manchester-City-Wage-Details" TargetMode="External"/><Relationship Id="rId79" Type="http://schemas.openxmlformats.org/officeDocument/2006/relationships/hyperlink" Target="https://fbref.com/en/players/4d5a9185/Viktor-Gyokeres" TargetMode="External"/><Relationship Id="rId1769" Type="http://schemas.openxmlformats.org/officeDocument/2006/relationships/hyperlink" Target="https://fbref.com/en/squads/19538871/2025-2026/wages/Manchester-United-Wage-Details" TargetMode="External"/><Relationship Id="rId78" Type="http://schemas.openxmlformats.org/officeDocument/2006/relationships/hyperlink" Target="https://fbref.com/en/squads/cff3d9bb/2025-2026/wages/Chelsea-Wage-Details" TargetMode="External"/><Relationship Id="rId71" Type="http://schemas.openxmlformats.org/officeDocument/2006/relationships/hyperlink" Target="https://fbref.com/en/country/FRA/France-Football" TargetMode="External"/><Relationship Id="rId70" Type="http://schemas.openxmlformats.org/officeDocument/2006/relationships/hyperlink" Target="https://fbref.com/en/players/5b92d896/Hugo-Ekitike" TargetMode="External"/><Relationship Id="rId1760" Type="http://schemas.openxmlformats.org/officeDocument/2006/relationships/hyperlink" Target="https://fbref.com/en/squads/8602292d/2025-2026/wages/Aston-Villa-Wage-Details" TargetMode="External"/><Relationship Id="rId1761" Type="http://schemas.openxmlformats.org/officeDocument/2006/relationships/hyperlink" Target="https://fbref.com/en/players/92868cb5/Divin-Mubama" TargetMode="External"/><Relationship Id="rId1762" Type="http://schemas.openxmlformats.org/officeDocument/2006/relationships/hyperlink" Target="https://fbref.com/en/country/ENG/England-Football" TargetMode="External"/><Relationship Id="rId62" Type="http://schemas.openxmlformats.org/officeDocument/2006/relationships/hyperlink" Target="https://fbref.com/en/country/ENG/England-Football" TargetMode="External"/><Relationship Id="rId1312" Type="http://schemas.openxmlformats.org/officeDocument/2006/relationships/hyperlink" Target="https://fbref.com/en/squads/8ef52968/2025-2026/wages/Sunderland-Wage-Details" TargetMode="External"/><Relationship Id="rId1796" Type="http://schemas.openxmlformats.org/officeDocument/2006/relationships/hyperlink" Target="https://fbref.com/en/squads/19538871/2025-2026/wages/Manchester-United-Wage-Details" TargetMode="External"/><Relationship Id="rId61" Type="http://schemas.openxmlformats.org/officeDocument/2006/relationships/hyperlink" Target="https://fbref.com/en/players/ed1e53f3/Phil-Foden" TargetMode="External"/><Relationship Id="rId1313" Type="http://schemas.openxmlformats.org/officeDocument/2006/relationships/hyperlink" Target="https://fbref.com/en/players/64e17fab/Ayden-Heaven" TargetMode="External"/><Relationship Id="rId1797" Type="http://schemas.openxmlformats.org/officeDocument/2006/relationships/hyperlink" Target="https://fbref.com/en/players/143c022e/Ethan-Ennis" TargetMode="External"/><Relationship Id="rId64" Type="http://schemas.openxmlformats.org/officeDocument/2006/relationships/hyperlink" Target="https://fbref.com/en/players/6434f10d/Rodri" TargetMode="External"/><Relationship Id="rId1314" Type="http://schemas.openxmlformats.org/officeDocument/2006/relationships/hyperlink" Target="https://fbref.com/en/country/ENG/England-Football" TargetMode="External"/><Relationship Id="rId1798" Type="http://schemas.openxmlformats.org/officeDocument/2006/relationships/hyperlink" Target="https://fbref.com/en/country/ENG/England-Football" TargetMode="External"/><Relationship Id="rId63" Type="http://schemas.openxmlformats.org/officeDocument/2006/relationships/hyperlink" Target="https://fbref.com/en/squads/b8fd03ef/2025-2026/wages/Manchester-City-Wage-Details" TargetMode="External"/><Relationship Id="rId1315" Type="http://schemas.openxmlformats.org/officeDocument/2006/relationships/hyperlink" Target="https://fbref.com/en/squads/19538871/2025-2026/wages/Manchester-United-Wage-Details" TargetMode="External"/><Relationship Id="rId1799" Type="http://schemas.openxmlformats.org/officeDocument/2006/relationships/hyperlink" Target="https://fbref.com/en/squads/19538871/2025-2026/wages/Manchester-United-Wage-Details" TargetMode="External"/><Relationship Id="rId66" Type="http://schemas.openxmlformats.org/officeDocument/2006/relationships/hyperlink" Target="https://fbref.com/en/squads/b8fd03ef/2025-2026/wages/Manchester-City-Wage-Details" TargetMode="External"/><Relationship Id="rId1316" Type="http://schemas.openxmlformats.org/officeDocument/2006/relationships/hyperlink" Target="https://fbref.com/en/players/69ea448b/Diego-Leon" TargetMode="External"/><Relationship Id="rId65" Type="http://schemas.openxmlformats.org/officeDocument/2006/relationships/hyperlink" Target="https://fbref.com/en/country/ESP/Spain-Football" TargetMode="External"/><Relationship Id="rId1317" Type="http://schemas.openxmlformats.org/officeDocument/2006/relationships/hyperlink" Target="https://fbref.com/en/country/PAR/Paraguay-Football" TargetMode="External"/><Relationship Id="rId68" Type="http://schemas.openxmlformats.org/officeDocument/2006/relationships/hyperlink" Target="https://fbref.com/en/country/GER/Germany-Football" TargetMode="External"/><Relationship Id="rId1318" Type="http://schemas.openxmlformats.org/officeDocument/2006/relationships/hyperlink" Target="https://fbref.com/en/squads/19538871/2025-2026/wages/Manchester-United-Wage-Details" TargetMode="External"/><Relationship Id="rId67" Type="http://schemas.openxmlformats.org/officeDocument/2006/relationships/hyperlink" Target="https://fbref.com/en/players/e7fcf289/Florian-Wirtz" TargetMode="External"/><Relationship Id="rId1319" Type="http://schemas.openxmlformats.org/officeDocument/2006/relationships/hyperlink" Target="https://fbref.com/en/players/c6220452/Kobbie-Mainoo" TargetMode="External"/><Relationship Id="rId729" Type="http://schemas.openxmlformats.org/officeDocument/2006/relationships/hyperlink" Target="https://fbref.com/en/squads/8602292d/2025-2026/wages/Aston-Villa-Wage-Details" TargetMode="External"/><Relationship Id="rId728" Type="http://schemas.openxmlformats.org/officeDocument/2006/relationships/hyperlink" Target="https://fbref.com/en/country/ENG/England-Football" TargetMode="External"/><Relationship Id="rId60" Type="http://schemas.openxmlformats.org/officeDocument/2006/relationships/hyperlink" Target="https://fbref.com/en/squads/b8fd03ef/2025-2026/wages/Manchester-City-Wage-Details" TargetMode="External"/><Relationship Id="rId723" Type="http://schemas.openxmlformats.org/officeDocument/2006/relationships/hyperlink" Target="https://fbref.com/en/squads/4ba7cbea/2025-2026/wages/Bournemouth-Wage-Details" TargetMode="External"/><Relationship Id="rId722" Type="http://schemas.openxmlformats.org/officeDocument/2006/relationships/hyperlink" Target="https://fbref.com/en/country/USA/United-States-Football" TargetMode="External"/><Relationship Id="rId721" Type="http://schemas.openxmlformats.org/officeDocument/2006/relationships/hyperlink" Target="https://fbref.com/en/players/2b09d998/Tyler-Adams" TargetMode="External"/><Relationship Id="rId720" Type="http://schemas.openxmlformats.org/officeDocument/2006/relationships/hyperlink" Target="https://fbref.com/en/squads/4ba7cbea/2025-2026/wages/Bournemouth-Wage-Details" TargetMode="External"/><Relationship Id="rId727" Type="http://schemas.openxmlformats.org/officeDocument/2006/relationships/hyperlink" Target="https://fbref.com/en/players/3a24769f/Ross-Barkley" TargetMode="External"/><Relationship Id="rId726" Type="http://schemas.openxmlformats.org/officeDocument/2006/relationships/hyperlink" Target="https://fbref.com/en/squads/7c21e445/2025-2026/wages/West-Ham-United-Wage-Details" TargetMode="External"/><Relationship Id="rId725" Type="http://schemas.openxmlformats.org/officeDocument/2006/relationships/hyperlink" Target="https://fbref.com/en/country/POR/Portugal-Football" TargetMode="External"/><Relationship Id="rId724" Type="http://schemas.openxmlformats.org/officeDocument/2006/relationships/hyperlink" Target="https://fbref.com/en/players/ef491564/Mateus-Fernandes" TargetMode="External"/><Relationship Id="rId69" Type="http://schemas.openxmlformats.org/officeDocument/2006/relationships/hyperlink" Target="https://fbref.com/en/squads/822bd0ba/2025-2026/wages/Liverpool-Wage-Details" TargetMode="External"/><Relationship Id="rId1790" Type="http://schemas.openxmlformats.org/officeDocument/2006/relationships/hyperlink" Target="https://fbref.com/en/squads/b8fd03ef/2025-2026/wages/Manchester-City-Wage-Details" TargetMode="External"/><Relationship Id="rId1791" Type="http://schemas.openxmlformats.org/officeDocument/2006/relationships/hyperlink" Target="https://fbref.com/en/players/48ba3f58/Elijah-Campbell" TargetMode="External"/><Relationship Id="rId1792" Type="http://schemas.openxmlformats.org/officeDocument/2006/relationships/hyperlink" Target="https://fbref.com/en/country/ENG/England-Football" TargetMode="External"/><Relationship Id="rId1793" Type="http://schemas.openxmlformats.org/officeDocument/2006/relationships/hyperlink" Target="https://fbref.com/en/squads/d3fd31cc/2025-2026/wages/Everton-Wage-Details" TargetMode="External"/><Relationship Id="rId1310" Type="http://schemas.openxmlformats.org/officeDocument/2006/relationships/hyperlink" Target="https://fbref.com/en/players/a9b9d89c/Nilson-Angulo" TargetMode="External"/><Relationship Id="rId1794" Type="http://schemas.openxmlformats.org/officeDocument/2006/relationships/hyperlink" Target="https://fbref.com/en/squads/d3fd31cc/2025-2026/wages/Everton-Wage-Details" TargetMode="External"/><Relationship Id="rId1311" Type="http://schemas.openxmlformats.org/officeDocument/2006/relationships/hyperlink" Target="https://fbref.com/en/country/ECU/Ecuador-Football" TargetMode="External"/><Relationship Id="rId1795" Type="http://schemas.openxmlformats.org/officeDocument/2006/relationships/hyperlink" Target="https://fbref.com/en/squads/e4a775cb/2025-2026/wages/Nottingham-Forest-Wage-Details" TargetMode="External"/><Relationship Id="rId51" Type="http://schemas.openxmlformats.org/officeDocument/2006/relationships/hyperlink" Target="https://fbref.com/en/squads/18bb7c10/2025-2026/wages/Arsenal-Wage-Details" TargetMode="External"/><Relationship Id="rId1301" Type="http://schemas.openxmlformats.org/officeDocument/2006/relationships/hyperlink" Target="https://fbref.com/en/country/SCO/Scotland-Football" TargetMode="External"/><Relationship Id="rId1785" Type="http://schemas.openxmlformats.org/officeDocument/2006/relationships/hyperlink" Target="https://fbref.com/en/players/3a904f11/Kamari-Doyle" TargetMode="External"/><Relationship Id="rId50" Type="http://schemas.openxmlformats.org/officeDocument/2006/relationships/hyperlink" Target="https://fbref.com/en/country/FRA/France-Football" TargetMode="External"/><Relationship Id="rId1302" Type="http://schemas.openxmlformats.org/officeDocument/2006/relationships/hyperlink" Target="https://fbref.com/en/squads/d3fd31cc/2025-2026/wages/Everton-Wage-Details" TargetMode="External"/><Relationship Id="rId1786" Type="http://schemas.openxmlformats.org/officeDocument/2006/relationships/hyperlink" Target="https://fbref.com/en/country/ENG/England-Football" TargetMode="External"/><Relationship Id="rId53" Type="http://schemas.openxmlformats.org/officeDocument/2006/relationships/hyperlink" Target="https://fbref.com/en/country/ENG/England-Football" TargetMode="External"/><Relationship Id="rId1303" Type="http://schemas.openxmlformats.org/officeDocument/2006/relationships/hyperlink" Target="https://fbref.com/en/players/999ceb5f/Boubacar-Traore" TargetMode="External"/><Relationship Id="rId1787" Type="http://schemas.openxmlformats.org/officeDocument/2006/relationships/hyperlink" Target="https://fbref.com/en/squads/d07537b9/2025-2026/wages/Brighton-and-Hove-Albion-Wage-Details" TargetMode="External"/><Relationship Id="rId52" Type="http://schemas.openxmlformats.org/officeDocument/2006/relationships/hyperlink" Target="https://fbref.com/en/players/1c7012b8/Declan-Rice" TargetMode="External"/><Relationship Id="rId1304" Type="http://schemas.openxmlformats.org/officeDocument/2006/relationships/hyperlink" Target="https://fbref.com/en/country/MLI/Mali-Football" TargetMode="External"/><Relationship Id="rId1788" Type="http://schemas.openxmlformats.org/officeDocument/2006/relationships/hyperlink" Target="https://fbref.com/en/squads/19538871/2025-2026/wages/Manchester-United-Wage-Details" TargetMode="External"/><Relationship Id="rId55" Type="http://schemas.openxmlformats.org/officeDocument/2006/relationships/hyperlink" Target="https://fbref.com/en/players/79300479/Martin-Odegaard" TargetMode="External"/><Relationship Id="rId1305" Type="http://schemas.openxmlformats.org/officeDocument/2006/relationships/hyperlink" Target="https://fbref.com/en/squads/8cec06e1/2025-2026/wages/Wolverhampton-Wanderers-Wage-Details" TargetMode="External"/><Relationship Id="rId1789" Type="http://schemas.openxmlformats.org/officeDocument/2006/relationships/hyperlink" Target="https://fbref.com/en/squads/8602292d/2025-2026/wages/Aston-Villa-Wage-Details" TargetMode="External"/><Relationship Id="rId54" Type="http://schemas.openxmlformats.org/officeDocument/2006/relationships/hyperlink" Target="https://fbref.com/en/squads/18bb7c10/2025-2026/wages/Arsenal-Wage-Details" TargetMode="External"/><Relationship Id="rId1306" Type="http://schemas.openxmlformats.org/officeDocument/2006/relationships/hyperlink" Target="https://fbref.com/en/squads/361ca564/2025-2026/wages/Tottenham-Hotspur-Wage-Details" TargetMode="External"/><Relationship Id="rId57" Type="http://schemas.openxmlformats.org/officeDocument/2006/relationships/hyperlink" Target="https://fbref.com/en/squads/18bb7c10/2025-2026/wages/Arsenal-Wage-Details" TargetMode="External"/><Relationship Id="rId1307" Type="http://schemas.openxmlformats.org/officeDocument/2006/relationships/hyperlink" Target="https://fbref.com/en/players/866ba412/Pablo" TargetMode="External"/><Relationship Id="rId56" Type="http://schemas.openxmlformats.org/officeDocument/2006/relationships/hyperlink" Target="https://fbref.com/en/country/NOR/Norway-Football" TargetMode="External"/><Relationship Id="rId1308" Type="http://schemas.openxmlformats.org/officeDocument/2006/relationships/hyperlink" Target="https://fbref.com/en/country/BRA/Brazil-Football" TargetMode="External"/><Relationship Id="rId1309" Type="http://schemas.openxmlformats.org/officeDocument/2006/relationships/hyperlink" Target="https://fbref.com/en/squads/7c21e445/2025-2026/wages/West-Ham-United-Wage-Details" TargetMode="External"/><Relationship Id="rId719" Type="http://schemas.openxmlformats.org/officeDocument/2006/relationships/hyperlink" Target="https://fbref.com/en/country/ENG/England-Football" TargetMode="External"/><Relationship Id="rId718" Type="http://schemas.openxmlformats.org/officeDocument/2006/relationships/hyperlink" Target="https://fbref.com/en/players/2afc7272/Lewis-Cook" TargetMode="External"/><Relationship Id="rId717" Type="http://schemas.openxmlformats.org/officeDocument/2006/relationships/hyperlink" Target="https://fbref.com/en/squads/4ba7cbea/2025-2026/wages/Bournemouth-Wage-Details" TargetMode="External"/><Relationship Id="rId712" Type="http://schemas.openxmlformats.org/officeDocument/2006/relationships/hyperlink" Target="https://fbref.com/en/players/dcfb17f4/Amine-Adli" TargetMode="External"/><Relationship Id="rId711" Type="http://schemas.openxmlformats.org/officeDocument/2006/relationships/hyperlink" Target="https://fbref.com/en/squads/47c64c55/2025-2026/wages/Crystal-Palace-Wage-Details" TargetMode="External"/><Relationship Id="rId710" Type="http://schemas.openxmlformats.org/officeDocument/2006/relationships/hyperlink" Target="https://fbref.com/en/country/ESP/Spain-Football" TargetMode="External"/><Relationship Id="rId716" Type="http://schemas.openxmlformats.org/officeDocument/2006/relationships/hyperlink" Target="https://fbref.com/en/country/SRB/Serbia-Football" TargetMode="External"/><Relationship Id="rId715" Type="http://schemas.openxmlformats.org/officeDocument/2006/relationships/hyperlink" Target="https://fbref.com/en/players/0cf321c8/Djordje-Petrovic" TargetMode="External"/><Relationship Id="rId714" Type="http://schemas.openxmlformats.org/officeDocument/2006/relationships/hyperlink" Target="https://fbref.com/en/squads/4ba7cbea/2025-2026/wages/Bournemouth-Wage-Details" TargetMode="External"/><Relationship Id="rId713" Type="http://schemas.openxmlformats.org/officeDocument/2006/relationships/hyperlink" Target="https://fbref.com/en/country/MAR/Morocco-Football" TargetMode="External"/><Relationship Id="rId59" Type="http://schemas.openxmlformats.org/officeDocument/2006/relationships/hyperlink" Target="https://fbref.com/en/country/NED/Netherlands-Football" TargetMode="External"/><Relationship Id="rId58" Type="http://schemas.openxmlformats.org/officeDocument/2006/relationships/hyperlink" Target="https://fbref.com/en/players/afb61630/Tijjani-Reijnders" TargetMode="External"/><Relationship Id="rId1780" Type="http://schemas.openxmlformats.org/officeDocument/2006/relationships/hyperlink" Target="https://fbref.com/en/squads/943e8050/2025-2026/wages/Burnley-Wage-Details" TargetMode="External"/><Relationship Id="rId1781" Type="http://schemas.openxmlformats.org/officeDocument/2006/relationships/hyperlink" Target="https://fbref.com/en/players/d60c03a9/Joe-White" TargetMode="External"/><Relationship Id="rId1782" Type="http://schemas.openxmlformats.org/officeDocument/2006/relationships/hyperlink" Target="https://fbref.com/en/country/ENG/England-Football" TargetMode="External"/><Relationship Id="rId1783" Type="http://schemas.openxmlformats.org/officeDocument/2006/relationships/hyperlink" Target="https://fbref.com/en/squads/b2b47a98/2025-2026/wages/Newcastle-United-Wage-Details" TargetMode="External"/><Relationship Id="rId1300" Type="http://schemas.openxmlformats.org/officeDocument/2006/relationships/hyperlink" Target="https://fbref.com/en/players/230f0471/Nathan-Patterson" TargetMode="External"/><Relationship Id="rId1784" Type="http://schemas.openxmlformats.org/officeDocument/2006/relationships/hyperlink" Target="https://fbref.com/en/squads/cd051869/2025-2026/wages/Brentford-Wage-Details" TargetMode="External"/><Relationship Id="rId349" Type="http://schemas.openxmlformats.org/officeDocument/2006/relationships/hyperlink" Target="https://fbref.com/en/players/15b287da/Daichi-Kamada" TargetMode="External"/><Relationship Id="rId348" Type="http://schemas.openxmlformats.org/officeDocument/2006/relationships/hyperlink" Target="https://fbref.com/en/squads/19538871/2025-2026/wages/Manchester-United-Wage-Details" TargetMode="External"/><Relationship Id="rId347" Type="http://schemas.openxmlformats.org/officeDocument/2006/relationships/hyperlink" Target="https://fbref.com/en/country/NED/Netherlands-Football" TargetMode="External"/><Relationship Id="rId346" Type="http://schemas.openxmlformats.org/officeDocument/2006/relationships/hyperlink" Target="https://fbref.com/en/players/028e70b9/Joshua-Zirkzee" TargetMode="External"/><Relationship Id="rId341" Type="http://schemas.openxmlformats.org/officeDocument/2006/relationships/hyperlink" Target="https://fbref.com/en/country/ENG/England-Football" TargetMode="External"/><Relationship Id="rId340" Type="http://schemas.openxmlformats.org/officeDocument/2006/relationships/hyperlink" Target="https://fbref.com/en/players/32f60ed8/Morgan-Gibbs-White" TargetMode="External"/><Relationship Id="rId345" Type="http://schemas.openxmlformats.org/officeDocument/2006/relationships/hyperlink" Target="https://fbref.com/en/squads/cff3d9bb/2025-2026/wages/Chelsea-Wage-Details" TargetMode="External"/><Relationship Id="rId344" Type="http://schemas.openxmlformats.org/officeDocument/2006/relationships/hyperlink" Target="https://fbref.com/en/country/ENG/England-Football" TargetMode="External"/><Relationship Id="rId343" Type="http://schemas.openxmlformats.org/officeDocument/2006/relationships/hyperlink" Target="https://fbref.com/en/players/10745192/Jamie-Gittens" TargetMode="External"/><Relationship Id="rId342" Type="http://schemas.openxmlformats.org/officeDocument/2006/relationships/hyperlink" Target="https://fbref.com/en/squads/e4a775cb/2025-2026/wages/Nottingham-Forest-Wage-Details" TargetMode="External"/><Relationship Id="rId338" Type="http://schemas.openxmlformats.org/officeDocument/2006/relationships/hyperlink" Target="https://fbref.com/en/country/ARG/Argentina-Football" TargetMode="External"/><Relationship Id="rId337" Type="http://schemas.openxmlformats.org/officeDocument/2006/relationships/hyperlink" Target="https://fbref.com/en/players/7aa8adfe/Alejandro-Garnacho" TargetMode="External"/><Relationship Id="rId336" Type="http://schemas.openxmlformats.org/officeDocument/2006/relationships/hyperlink" Target="https://fbref.com/en/squads/8ef52968/2025-2026/wages/Sunderland-Wage-Details" TargetMode="External"/><Relationship Id="rId335" Type="http://schemas.openxmlformats.org/officeDocument/2006/relationships/hyperlink" Target="https://fbref.com/en/country/SUI/Switzerland-Football" TargetMode="External"/><Relationship Id="rId339" Type="http://schemas.openxmlformats.org/officeDocument/2006/relationships/hyperlink" Target="https://fbref.com/en/squads/cff3d9bb/2025-2026/wages/Chelsea-Wage-Details" TargetMode="External"/><Relationship Id="rId330" Type="http://schemas.openxmlformats.org/officeDocument/2006/relationships/hyperlink" Target="https://fbref.com/en/squads/361ca564/2025-2026/wages/Tottenham-Hotspur-Wage-Details" TargetMode="External"/><Relationship Id="rId334" Type="http://schemas.openxmlformats.org/officeDocument/2006/relationships/hyperlink" Target="https://fbref.com/en/players/e61b8aee/Granit-Xhaka" TargetMode="External"/><Relationship Id="rId333" Type="http://schemas.openxmlformats.org/officeDocument/2006/relationships/hyperlink" Target="https://fbref.com/en/squads/8602292d/2025-2026/wages/Aston-Villa-Wage-Details" TargetMode="External"/><Relationship Id="rId332" Type="http://schemas.openxmlformats.org/officeDocument/2006/relationships/hyperlink" Target="https://fbref.com/en/country/ENG/England-Football" TargetMode="External"/><Relationship Id="rId331" Type="http://schemas.openxmlformats.org/officeDocument/2006/relationships/hyperlink" Target="https://fbref.com/en/players/8397a50c/Tyrone-Mings" TargetMode="External"/><Relationship Id="rId370" Type="http://schemas.openxmlformats.org/officeDocument/2006/relationships/hyperlink" Target="https://fbref.com/en/players/cab9634e/Ian-Maatsen" TargetMode="External"/><Relationship Id="rId369" Type="http://schemas.openxmlformats.org/officeDocument/2006/relationships/hyperlink" Target="https://fbref.com/en/squads/822bd0ba/2025-2026/wages/Liverpool-Wage-Details" TargetMode="External"/><Relationship Id="rId368" Type="http://schemas.openxmlformats.org/officeDocument/2006/relationships/hyperlink" Target="https://fbref.com/en/country/NED/Netherlands-Football" TargetMode="External"/><Relationship Id="rId363" Type="http://schemas.openxmlformats.org/officeDocument/2006/relationships/hyperlink" Target="https://fbref.com/en/squads/5bfb9659/2025-2026/wages/Leeds-United-Wage-Details" TargetMode="External"/><Relationship Id="rId362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59e6e5bf/Dominic-Calvert-Lewin" TargetMode="External"/><Relationship Id="rId360" Type="http://schemas.openxmlformats.org/officeDocument/2006/relationships/hyperlink" Target="https://fbref.com/en/squads/47c64c55/2025-2026/wages/Crystal-Palace-Wage-Details" TargetMode="External"/><Relationship Id="rId367" Type="http://schemas.openxmlformats.org/officeDocument/2006/relationships/hyperlink" Target="https://fbref.com/en/players/74f2e748/Jeremie-Frimpong" TargetMode="External"/><Relationship Id="rId366" Type="http://schemas.openxmlformats.org/officeDocument/2006/relationships/hyperlink" Target="https://fbref.com/en/squads/7c21e445/2025-2026/wages/West-Ham-United-Wage-Details" TargetMode="External"/><Relationship Id="rId365" Type="http://schemas.openxmlformats.org/officeDocument/2006/relationships/hyperlink" Target="https://fbref.com/en/country/ENG/England-Football" TargetMode="External"/><Relationship Id="rId364" Type="http://schemas.openxmlformats.org/officeDocument/2006/relationships/hyperlink" Target="https://fbref.com/en/players/d0f72bf1/Max-Kilman" TargetMode="External"/><Relationship Id="rId95" Type="http://schemas.openxmlformats.org/officeDocument/2006/relationships/hyperlink" Target="https://fbref.com/en/country/ENG/England-Football" TargetMode="External"/><Relationship Id="rId94" Type="http://schemas.openxmlformats.org/officeDocument/2006/relationships/hyperlink" Target="https://fbref.com/en/players/d8931174/Harry-Maguire" TargetMode="External"/><Relationship Id="rId97" Type="http://schemas.openxmlformats.org/officeDocument/2006/relationships/hyperlink" Target="https://fbref.com/en/players/dc62b55d/Matheus-Cunha" TargetMode="External"/><Relationship Id="rId96" Type="http://schemas.openxmlformats.org/officeDocument/2006/relationships/hyperlink" Target="https://fbref.com/en/squads/19538871/2025-2026/wages/Manchester-United-Wage-Details" TargetMode="External"/><Relationship Id="rId99" Type="http://schemas.openxmlformats.org/officeDocument/2006/relationships/hyperlink" Target="https://fbref.com/en/squads/19538871/2025-2026/wages/Manchester-United-Wage-Details" TargetMode="External"/><Relationship Id="rId98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players/bc7dc64d/Bukayo-Saka" TargetMode="External"/><Relationship Id="rId90" Type="http://schemas.openxmlformats.org/officeDocument/2006/relationships/hyperlink" Target="https://fbref.com/en/squads/361ca564/2025-2026/wages/Tottenham-Hotspur-Wage-Details" TargetMode="External"/><Relationship Id="rId93" Type="http://schemas.openxmlformats.org/officeDocument/2006/relationships/hyperlink" Target="https://fbref.com/en/squads/18bb7c10/2025-2026/wages/Arsenal-Wage-Details" TargetMode="External"/><Relationship Id="rId92" Type="http://schemas.openxmlformats.org/officeDocument/2006/relationships/hyperlink" Target="https://fbref.com/en/country/ENG/England-Football" TargetMode="External"/><Relationship Id="rId359" Type="http://schemas.openxmlformats.org/officeDocument/2006/relationships/hyperlink" Target="https://fbref.com/en/country/ENG/England-Football" TargetMode="External"/><Relationship Id="rId358" Type="http://schemas.openxmlformats.org/officeDocument/2006/relationships/hyperlink" Target="https://fbref.com/en/players/e5a76dfe/Dean-Henderson" TargetMode="External"/><Relationship Id="rId357" Type="http://schemas.openxmlformats.org/officeDocument/2006/relationships/hyperlink" Target="https://fbref.com/en/squads/e4a775cb/2025-2026/wages/Nottingham-Forest-Wage-Details" TargetMode="External"/><Relationship Id="rId352" Type="http://schemas.openxmlformats.org/officeDocument/2006/relationships/hyperlink" Target="https://fbref.com/en/players/8b57ad2c/Joao-Gomes" TargetMode="External"/><Relationship Id="rId351" Type="http://schemas.openxmlformats.org/officeDocument/2006/relationships/hyperlink" Target="https://fbref.com/en/squads/47c64c55/2025-2026/wages/Crystal-Palace-Wage-Details" TargetMode="External"/><Relationship Id="rId350" Type="http://schemas.openxmlformats.org/officeDocument/2006/relationships/hyperlink" Target="https://fbref.com/en/country/JPN/Japan-Football" TargetMode="External"/><Relationship Id="rId356" Type="http://schemas.openxmlformats.org/officeDocument/2006/relationships/hyperlink" Target="https://fbref.com/en/country/SRB/Serbia-Football" TargetMode="External"/><Relationship Id="rId355" Type="http://schemas.openxmlformats.org/officeDocument/2006/relationships/hyperlink" Target="https://fbref.com/en/players/bee704fc/Nikola-Milenkovic" TargetMode="External"/><Relationship Id="rId354" Type="http://schemas.openxmlformats.org/officeDocument/2006/relationships/hyperlink" Target="https://fbref.com/en/squads/8cec06e1/2025-2026/wages/Wolverhampton-Wanderers-Wage-Details" TargetMode="External"/><Relationship Id="rId353" Type="http://schemas.openxmlformats.org/officeDocument/2006/relationships/hyperlink" Target="https://fbref.com/en/country/BRA/Brazil-Football" TargetMode="External"/><Relationship Id="rId1378" Type="http://schemas.openxmlformats.org/officeDocument/2006/relationships/hyperlink" Target="https://fbref.com/en/country/DEN/Denmark-Football" TargetMode="External"/><Relationship Id="rId1379" Type="http://schemas.openxmlformats.org/officeDocument/2006/relationships/hyperlink" Target="https://fbref.com/en/squads/b2b47a98/2025-2026/wages/Newcastle-United-Wage-Details" TargetMode="External"/><Relationship Id="rId305" Type="http://schemas.openxmlformats.org/officeDocument/2006/relationships/hyperlink" Target="https://fbref.com/en/country/ENG/England-Football" TargetMode="External"/><Relationship Id="rId789" Type="http://schemas.openxmlformats.org/officeDocument/2006/relationships/hyperlink" Target="https://fbref.com/en/country/USA/United-States-Football" TargetMode="External"/><Relationship Id="rId304" Type="http://schemas.openxmlformats.org/officeDocument/2006/relationships/hyperlink" Target="https://fbref.com/en/players/c81d773d/Tosin-Adarabioyo" TargetMode="External"/><Relationship Id="rId788" Type="http://schemas.openxmlformats.org/officeDocument/2006/relationships/hyperlink" Target="https://fbref.com/en/players/0a3d6d2b/Chris-Richards" TargetMode="External"/><Relationship Id="rId303" Type="http://schemas.openxmlformats.org/officeDocument/2006/relationships/hyperlink" Target="https://fbref.com/en/squads/cff3d9bb/2025-2026/wages/Chelsea-Wage-Details" TargetMode="External"/><Relationship Id="rId787" Type="http://schemas.openxmlformats.org/officeDocument/2006/relationships/hyperlink" Target="https://fbref.com/en/squads/361ca564/2025-2026/wages/Tottenham-Hotspur-Wage-Details" TargetMode="External"/><Relationship Id="rId302" Type="http://schemas.openxmlformats.org/officeDocument/2006/relationships/hyperlink" Target="https://fbref.com/en/country/NED/Netherlands-Football" TargetMode="External"/><Relationship Id="rId786" Type="http://schemas.openxmlformats.org/officeDocument/2006/relationships/hyperlink" Target="https://fbref.com/en/country/MLI/Mali-Football" TargetMode="External"/><Relationship Id="rId309" Type="http://schemas.openxmlformats.org/officeDocument/2006/relationships/hyperlink" Target="https://fbref.com/en/squads/d3fd31cc/2025-2026/wages/Everton-Wage-Details" TargetMode="External"/><Relationship Id="rId308" Type="http://schemas.openxmlformats.org/officeDocument/2006/relationships/hyperlink" Target="https://fbref.com/en/country/SEN/Senegal-Football" TargetMode="External"/><Relationship Id="rId307" Type="http://schemas.openxmlformats.org/officeDocument/2006/relationships/hyperlink" Target="https://fbref.com/en/players/72c812f3/Idrissa-Gana-Gueye" TargetMode="External"/><Relationship Id="rId306" Type="http://schemas.openxmlformats.org/officeDocument/2006/relationships/hyperlink" Target="https://fbref.com/en/squads/cff3d9bb/2025-2026/wages/Chelsea-Wage-Details" TargetMode="External"/><Relationship Id="rId781" Type="http://schemas.openxmlformats.org/officeDocument/2006/relationships/hyperlink" Target="https://fbref.com/en/squads/19538871/2025-2026/wages/Manchester-United-Wage-Details" TargetMode="External"/><Relationship Id="rId1370" Type="http://schemas.openxmlformats.org/officeDocument/2006/relationships/hyperlink" Target="https://fbref.com/en/squads/943e8050/2025-2026/wages/Burnley-Wage-Details" TargetMode="External"/><Relationship Id="rId780" Type="http://schemas.openxmlformats.org/officeDocument/2006/relationships/hyperlink" Target="https://fbref.com/en/country/CMR/Cameroon-Football" TargetMode="External"/><Relationship Id="rId1371" Type="http://schemas.openxmlformats.org/officeDocument/2006/relationships/hyperlink" Target="https://fbref.com/en/players/9af1f9ff/Jordan-Beyer" TargetMode="External"/><Relationship Id="rId1372" Type="http://schemas.openxmlformats.org/officeDocument/2006/relationships/hyperlink" Target="https://fbref.com/en/country/GER/Germany-Football" TargetMode="External"/><Relationship Id="rId1373" Type="http://schemas.openxmlformats.org/officeDocument/2006/relationships/hyperlink" Target="https://fbref.com/en/squads/943e8050/2025-2026/wages/Burnley-Wage-Details" TargetMode="External"/><Relationship Id="rId301" Type="http://schemas.openxmlformats.org/officeDocument/2006/relationships/hyperlink" Target="https://fbref.com/en/players/bde35051/Jorrel-Hato" TargetMode="External"/><Relationship Id="rId785" Type="http://schemas.openxmlformats.org/officeDocument/2006/relationships/hyperlink" Target="https://fbref.com/en/players/6c203af0/Yves-Bissouma" TargetMode="External"/><Relationship Id="rId1374" Type="http://schemas.openxmlformats.org/officeDocument/2006/relationships/hyperlink" Target="https://fbref.com/en/players/882228c2/Max-Weiss" TargetMode="External"/><Relationship Id="rId300" Type="http://schemas.openxmlformats.org/officeDocument/2006/relationships/hyperlink" Target="https://fbref.com/en/squads/b8fd03ef/2025-2026/wages/Manchester-City-Wage-Details" TargetMode="External"/><Relationship Id="rId784" Type="http://schemas.openxmlformats.org/officeDocument/2006/relationships/hyperlink" Target="https://fbref.com/en/squads/361ca564/2025-2026/wages/Tottenham-Hotspur-Wage-Details" TargetMode="External"/><Relationship Id="rId1375" Type="http://schemas.openxmlformats.org/officeDocument/2006/relationships/hyperlink" Target="https://fbref.com/en/country/GER/Germany-Football" TargetMode="External"/><Relationship Id="rId783" Type="http://schemas.openxmlformats.org/officeDocument/2006/relationships/hyperlink" Target="https://fbref.com/en/country/FRA/France-Football" TargetMode="External"/><Relationship Id="rId1376" Type="http://schemas.openxmlformats.org/officeDocument/2006/relationships/hyperlink" Target="https://fbref.com/en/squads/943e8050/2025-2026/wages/Burnley-Wage-Details" TargetMode="External"/><Relationship Id="rId782" Type="http://schemas.openxmlformats.org/officeDocument/2006/relationships/hyperlink" Target="https://fbref.com/en/players/829aa60c/Mathys-Tel" TargetMode="External"/><Relationship Id="rId1377" Type="http://schemas.openxmlformats.org/officeDocument/2006/relationships/hyperlink" Target="https://fbref.com/en/players/7b355808/William-Osula" TargetMode="External"/><Relationship Id="rId1367" Type="http://schemas.openxmlformats.org/officeDocument/2006/relationships/hyperlink" Target="https://fbref.com/en/squads/943e8050/2025-2026/wages/Burnley-Wage-Details" TargetMode="External"/><Relationship Id="rId1368" Type="http://schemas.openxmlformats.org/officeDocument/2006/relationships/hyperlink" Target="https://fbref.com/en/players/3d554589/Hjalmar-Ekdal" TargetMode="External"/><Relationship Id="rId1369" Type="http://schemas.openxmlformats.org/officeDocument/2006/relationships/hyperlink" Target="https://fbref.com/en/country/SWE/Sweden-Football" TargetMode="External"/><Relationship Id="rId778" Type="http://schemas.openxmlformats.org/officeDocument/2006/relationships/hyperlink" Target="https://fbref.com/en/squads/d3fd31cc/2025-2026/wages/Everton-Wage-Details" TargetMode="External"/><Relationship Id="rId777" Type="http://schemas.openxmlformats.org/officeDocument/2006/relationships/hyperlink" Target="https://fbref.com/en/country/UKR/Ukraine-Football" TargetMode="External"/><Relationship Id="rId776" Type="http://schemas.openxmlformats.org/officeDocument/2006/relationships/hyperlink" Target="https://fbref.com/en/players/30d4a2e5/Vitaliy-Mykolenko" TargetMode="External"/><Relationship Id="rId775" Type="http://schemas.openxmlformats.org/officeDocument/2006/relationships/hyperlink" Target="https://fbref.com/en/squads/18bb7c10/2025-2026/wages/Arsenal-Wage-Details" TargetMode="External"/><Relationship Id="rId779" Type="http://schemas.openxmlformats.org/officeDocument/2006/relationships/hyperlink" Target="https://fbref.com/en/players/e9c0c1b2/Andre-Onana" TargetMode="External"/><Relationship Id="rId770" Type="http://schemas.openxmlformats.org/officeDocument/2006/relationships/hyperlink" Target="https://fbref.com/en/players/a755db8c/Rodrigo-Muniz" TargetMode="External"/><Relationship Id="rId1360" Type="http://schemas.openxmlformats.org/officeDocument/2006/relationships/hyperlink" Target="https://fbref.com/en/country/POR/Portugal-Football" TargetMode="External"/><Relationship Id="rId1361" Type="http://schemas.openxmlformats.org/officeDocument/2006/relationships/hyperlink" Target="https://fbref.com/en/squads/8cec06e1/2025-2026/wages/Wolverhampton-Wanderers-Wage-Details" TargetMode="External"/><Relationship Id="rId1362" Type="http://schemas.openxmlformats.org/officeDocument/2006/relationships/hyperlink" Target="https://fbref.com/en/players/a671316d/Wilson-Isidor" TargetMode="External"/><Relationship Id="rId774" Type="http://schemas.openxmlformats.org/officeDocument/2006/relationships/hyperlink" Target="https://fbref.com/en/country/ESP/Spain-Football" TargetMode="External"/><Relationship Id="rId1363" Type="http://schemas.openxmlformats.org/officeDocument/2006/relationships/hyperlink" Target="https://fbref.com/en/country/HAI/Haiti-Football" TargetMode="External"/><Relationship Id="rId773" Type="http://schemas.openxmlformats.org/officeDocument/2006/relationships/hyperlink" Target="https://fbref.com/en/players/28d596a0/Kepa-Arrizabalaga" TargetMode="External"/><Relationship Id="rId1364" Type="http://schemas.openxmlformats.org/officeDocument/2006/relationships/hyperlink" Target="https://fbref.com/en/squads/8ef52968/2025-2026/wages/Sunderland-Wage-Details" TargetMode="External"/><Relationship Id="rId772" Type="http://schemas.openxmlformats.org/officeDocument/2006/relationships/hyperlink" Target="https://fbref.com/en/squads/fd962109/2025-2026/wages/Fulham-Wage-Details" TargetMode="External"/><Relationship Id="rId1365" Type="http://schemas.openxmlformats.org/officeDocument/2006/relationships/hyperlink" Target="https://fbref.com/en/players/2691c772/Ashley-Barnes" TargetMode="External"/><Relationship Id="rId771" Type="http://schemas.openxmlformats.org/officeDocument/2006/relationships/hyperlink" Target="https://fbref.com/en/country/BRA/Brazil-Football" TargetMode="External"/><Relationship Id="rId1366" Type="http://schemas.openxmlformats.org/officeDocument/2006/relationships/hyperlink" Target="https://fbref.com/en/country/ENG/England-Football" TargetMode="External"/><Relationship Id="rId327" Type="http://schemas.openxmlformats.org/officeDocument/2006/relationships/hyperlink" Target="https://fbref.com/en/squads/47c64c55/2025-2026/wages/Crystal-Palace-Wage-Details" TargetMode="External"/><Relationship Id="rId326" Type="http://schemas.openxmlformats.org/officeDocument/2006/relationships/hyperlink" Target="https://fbref.com/en/country/WAL/Wales-Football" TargetMode="External"/><Relationship Id="rId325" Type="http://schemas.openxmlformats.org/officeDocument/2006/relationships/hyperlink" Target="https://fbref.com/en/players/0cd31129/Brennan-Johnson" TargetMode="External"/><Relationship Id="rId324" Type="http://schemas.openxmlformats.org/officeDocument/2006/relationships/hyperlink" Target="https://fbref.com/en/squads/7c21e445/2025-2026/wages/West-Ham-United-Wage-Details" TargetMode="External"/><Relationship Id="rId329" Type="http://schemas.openxmlformats.org/officeDocument/2006/relationships/hyperlink" Target="https://fbref.com/en/country/SWE/Sweden-Football" TargetMode="External"/><Relationship Id="rId1390" Type="http://schemas.openxmlformats.org/officeDocument/2006/relationships/hyperlink" Target="https://fbref.com/en/players/916728da/Diego-Gomez" TargetMode="External"/><Relationship Id="rId328" Type="http://schemas.openxmlformats.org/officeDocument/2006/relationships/hyperlink" Target="https://fbref.com/en/players/df3cda47/Dejan-Kulusevski" TargetMode="External"/><Relationship Id="rId1391" Type="http://schemas.openxmlformats.org/officeDocument/2006/relationships/hyperlink" Target="https://fbref.com/en/country/PAR/Paraguay-Football" TargetMode="External"/><Relationship Id="rId1392" Type="http://schemas.openxmlformats.org/officeDocument/2006/relationships/hyperlink" Target="https://fbref.com/en/squads/d07537b9/2025-2026/wages/Brighton-and-Hove-Albion-Wage-Details" TargetMode="External"/><Relationship Id="rId1393" Type="http://schemas.openxmlformats.org/officeDocument/2006/relationships/hyperlink" Target="https://fbref.com/en/players/e98211e7/Jack-Hinshelwood" TargetMode="External"/><Relationship Id="rId1394" Type="http://schemas.openxmlformats.org/officeDocument/2006/relationships/hyperlink" Target="https://fbref.com/en/country/ENG/England-Football" TargetMode="External"/><Relationship Id="rId1395" Type="http://schemas.openxmlformats.org/officeDocument/2006/relationships/hyperlink" Target="https://fbref.com/en/squads/d07537b9/2025-2026/wages/Brighton-and-Hove-Albion-Wage-Details" TargetMode="External"/><Relationship Id="rId323" Type="http://schemas.openxmlformats.org/officeDocument/2006/relationships/hyperlink" Target="https://fbref.com/en/country/ENG/England-Football" TargetMode="External"/><Relationship Id="rId1396" Type="http://schemas.openxmlformats.org/officeDocument/2006/relationships/hyperlink" Target="https://fbref.com/en/players/e678d983/Adam-Aznou" TargetMode="External"/><Relationship Id="rId322" Type="http://schemas.openxmlformats.org/officeDocument/2006/relationships/hyperlink" Target="https://fbref.com/en/players/3515d404/James-Ward-Prowse" TargetMode="External"/><Relationship Id="rId1397" Type="http://schemas.openxmlformats.org/officeDocument/2006/relationships/hyperlink" Target="https://fbref.com/en/country/MAR/Morocco-Football" TargetMode="External"/><Relationship Id="rId321" Type="http://schemas.openxmlformats.org/officeDocument/2006/relationships/hyperlink" Target="https://fbref.com/en/squads/19538871/2025-2026/wages/Manchester-United-Wage-Details" TargetMode="External"/><Relationship Id="rId1398" Type="http://schemas.openxmlformats.org/officeDocument/2006/relationships/hyperlink" Target="https://fbref.com/en/squads/d3fd31cc/2025-2026/wages/Everton-Wage-Details" TargetMode="External"/><Relationship Id="rId320" Type="http://schemas.openxmlformats.org/officeDocument/2006/relationships/hyperlink" Target="https://fbref.com/en/country/FRA/France-Football" TargetMode="External"/><Relationship Id="rId1399" Type="http://schemas.openxmlformats.org/officeDocument/2006/relationships/hyperlink" Target="https://fbref.com/en/players/fc15fb84/Dwight-McNeil" TargetMode="External"/><Relationship Id="rId1389" Type="http://schemas.openxmlformats.org/officeDocument/2006/relationships/hyperlink" Target="https://fbref.com/en/squads/d07537b9/2025-2026/wages/Brighton-and-Hove-Albion-Wage-Details" TargetMode="External"/><Relationship Id="rId316" Type="http://schemas.openxmlformats.org/officeDocument/2006/relationships/hyperlink" Target="https://fbref.com/en/players/aded8e6f/Riccardo-Calafiori" TargetMode="External"/><Relationship Id="rId315" Type="http://schemas.openxmlformats.org/officeDocument/2006/relationships/hyperlink" Target="https://fbref.com/en/squads/d3fd31cc/2025-2026/wages/Everton-Wage-Details" TargetMode="External"/><Relationship Id="rId799" Type="http://schemas.openxmlformats.org/officeDocument/2006/relationships/hyperlink" Target="https://fbref.com/en/squads/8ef52968/2025-2026/wages/Sunderland-Wage-Details" TargetMode="External"/><Relationship Id="rId314" Type="http://schemas.openxmlformats.org/officeDocument/2006/relationships/hyperlink" Target="https://fbref.com/en/country/ENG/England-Football" TargetMode="External"/><Relationship Id="rId798" Type="http://schemas.openxmlformats.org/officeDocument/2006/relationships/hyperlink" Target="https://fbref.com/en/country/COD/Congo-DR-Football" TargetMode="External"/><Relationship Id="rId313" Type="http://schemas.openxmlformats.org/officeDocument/2006/relationships/hyperlink" Target="https://fbref.com/en/players/c1949191/Jarrad-Branthwaite" TargetMode="External"/><Relationship Id="rId797" Type="http://schemas.openxmlformats.org/officeDocument/2006/relationships/hyperlink" Target="https://fbref.com/en/players/57df7a11/Arthur-Masuaku" TargetMode="External"/><Relationship Id="rId319" Type="http://schemas.openxmlformats.org/officeDocument/2006/relationships/hyperlink" Target="https://fbref.com/en/players/6763f716/Leny-Yoro" TargetMode="External"/><Relationship Id="rId318" Type="http://schemas.openxmlformats.org/officeDocument/2006/relationships/hyperlink" Target="https://fbref.com/en/squads/18bb7c10/2025-2026/wages/Arsenal-Wage-Details" TargetMode="External"/><Relationship Id="rId317" Type="http://schemas.openxmlformats.org/officeDocument/2006/relationships/hyperlink" Target="https://fbref.com/en/country/ITA/Italy-Football" TargetMode="External"/><Relationship Id="rId1380" Type="http://schemas.openxmlformats.org/officeDocument/2006/relationships/hyperlink" Target="https://fbref.com/en/players/b57e066e/Rico-Lewis" TargetMode="External"/><Relationship Id="rId792" Type="http://schemas.openxmlformats.org/officeDocument/2006/relationships/hyperlink" Target="https://fbref.com/en/country/ENG/England-Football" TargetMode="External"/><Relationship Id="rId1381" Type="http://schemas.openxmlformats.org/officeDocument/2006/relationships/hyperlink" Target="https://fbref.com/en/country/ENG/England-Football" TargetMode="External"/><Relationship Id="rId791" Type="http://schemas.openxmlformats.org/officeDocument/2006/relationships/hyperlink" Target="https://fbref.com/en/players/984a5a64/Kyle-Walker-Peters" TargetMode="External"/><Relationship Id="rId1382" Type="http://schemas.openxmlformats.org/officeDocument/2006/relationships/hyperlink" Target="https://fbref.com/en/squads/b8fd03ef/2025-2026/wages/Manchester-City-Wage-Details" TargetMode="External"/><Relationship Id="rId790" Type="http://schemas.openxmlformats.org/officeDocument/2006/relationships/hyperlink" Target="https://fbref.com/en/squads/47c64c55/2025-2026/wages/Crystal-Palace-Wage-Details" TargetMode="External"/><Relationship Id="rId1383" Type="http://schemas.openxmlformats.org/officeDocument/2006/relationships/hyperlink" Target="https://fbref.com/en/players/e504780f/Gustavo-Nunes" TargetMode="External"/><Relationship Id="rId1384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squads/d3fd31cc/2025-2026/wages/Everton-Wage-Details" TargetMode="External"/><Relationship Id="rId796" Type="http://schemas.openxmlformats.org/officeDocument/2006/relationships/hyperlink" Target="https://fbref.com/en/squads/822bd0ba/2025-2026/wages/Liverpool-Wage-Details" TargetMode="External"/><Relationship Id="rId1385" Type="http://schemas.openxmlformats.org/officeDocument/2006/relationships/hyperlink" Target="https://fbref.com/en/squads/cd051869/2025-2026/wages/Brentford-Wage-Details" TargetMode="External"/><Relationship Id="rId311" Type="http://schemas.openxmlformats.org/officeDocument/2006/relationships/hyperlink" Target="https://fbref.com/en/country/ENG/England-Football" TargetMode="External"/><Relationship Id="rId795" Type="http://schemas.openxmlformats.org/officeDocument/2006/relationships/hyperlink" Target="https://fbref.com/en/country/ITA/Italy-Football" TargetMode="External"/><Relationship Id="rId1386" Type="http://schemas.openxmlformats.org/officeDocument/2006/relationships/hyperlink" Target="https://fbref.com/en/squads/cd051869/2025-2026/wages/Brentford-Wage-Details" TargetMode="External"/><Relationship Id="rId310" Type="http://schemas.openxmlformats.org/officeDocument/2006/relationships/hyperlink" Target="https://fbref.com/en/players/15ea812b/James-Tarkowski" TargetMode="External"/><Relationship Id="rId794" Type="http://schemas.openxmlformats.org/officeDocument/2006/relationships/hyperlink" Target="https://fbref.com/en/players/570888ce/Giovanni-Leoni" TargetMode="External"/><Relationship Id="rId1387" Type="http://schemas.openxmlformats.org/officeDocument/2006/relationships/hyperlink" Target="https://fbref.com/en/players/22ae86f9/Diego-Coppola" TargetMode="External"/><Relationship Id="rId793" Type="http://schemas.openxmlformats.org/officeDocument/2006/relationships/hyperlink" Target="https://fbref.com/en/squads/7c21e445/2025-2026/wages/West-Ham-United-Wage-Details" TargetMode="External"/><Relationship Id="rId1388" Type="http://schemas.openxmlformats.org/officeDocument/2006/relationships/hyperlink" Target="https://fbref.com/en/country/ITA/Italy-Football" TargetMode="External"/><Relationship Id="rId297" Type="http://schemas.openxmlformats.org/officeDocument/2006/relationships/hyperlink" Target="https://fbref.com/en/squads/b2b47a98/2025-2026/wages/Newcastle-United-Wage-Details" TargetMode="External"/><Relationship Id="rId296" Type="http://schemas.openxmlformats.org/officeDocument/2006/relationships/hyperlink" Target="https://fbref.com/en/country/ENG/England-Football" TargetMode="External"/><Relationship Id="rId295" Type="http://schemas.openxmlformats.org/officeDocument/2006/relationships/hyperlink" Target="https://fbref.com/en/players/21512407/Kieran-Trippier" TargetMode="External"/><Relationship Id="rId294" Type="http://schemas.openxmlformats.org/officeDocument/2006/relationships/hyperlink" Target="https://fbref.com/en/squads/b2b47a98/2025-2026/wages/Newcastle-United-Wage-Details" TargetMode="External"/><Relationship Id="rId299" Type="http://schemas.openxmlformats.org/officeDocument/2006/relationships/hyperlink" Target="https://fbref.com/en/country/ALG/Algeria-Football" TargetMode="External"/><Relationship Id="rId298" Type="http://schemas.openxmlformats.org/officeDocument/2006/relationships/hyperlink" Target="https://fbref.com/en/players/9b398aea/Rayan-Ait-Nouri" TargetMode="External"/><Relationship Id="rId271" Type="http://schemas.openxmlformats.org/officeDocument/2006/relationships/hyperlink" Target="https://fbref.com/en/players/9dc96f10/Amad-Diallo" TargetMode="External"/><Relationship Id="rId270" Type="http://schemas.openxmlformats.org/officeDocument/2006/relationships/hyperlink" Target="https://fbref.com/en/squads/fd962109/2025-2026/wages/Fulham-Wage-Details" TargetMode="External"/><Relationship Id="rId269" Type="http://schemas.openxmlformats.org/officeDocument/2006/relationships/hyperlink" Target="https://fbref.com/en/country/NGA/Nigeria-Football" TargetMode="External"/><Relationship Id="rId264" Type="http://schemas.openxmlformats.org/officeDocument/2006/relationships/hyperlink" Target="https://fbref.com/en/squads/47c64c55/2025-2026/wages/Crystal-Palace-Wage-Details" TargetMode="External"/><Relationship Id="rId263" Type="http://schemas.openxmlformats.org/officeDocument/2006/relationships/hyperlink" Target="https://fbref.com/en/country/NOR/Norway-Football" TargetMode="External"/><Relationship Id="rId262" Type="http://schemas.openxmlformats.org/officeDocument/2006/relationships/hyperlink" Target="https://fbref.com/en/players/f553b2b3/Jorgen-Strand-Larsen" TargetMode="External"/><Relationship Id="rId261" Type="http://schemas.openxmlformats.org/officeDocument/2006/relationships/hyperlink" Target="https://fbref.com/en/squads/cff3d9bb/2025-2026/wages/Chelsea-Wage-Details" TargetMode="External"/><Relationship Id="rId268" Type="http://schemas.openxmlformats.org/officeDocument/2006/relationships/hyperlink" Target="https://fbref.com/en/players/b8a642fc/Samuel-Chukwueze" TargetMode="External"/><Relationship Id="rId267" Type="http://schemas.openxmlformats.org/officeDocument/2006/relationships/hyperlink" Target="https://fbref.com/en/squads/8602292d/2025-2026/wages/Aston-Villa-Wage-Details" TargetMode="External"/><Relationship Id="rId266" Type="http://schemas.openxmlformats.org/officeDocument/2006/relationships/hyperlink" Target="https://fbref.com/en/country/JAM/Jamaica-Football" TargetMode="External"/><Relationship Id="rId265" Type="http://schemas.openxmlformats.org/officeDocument/2006/relationships/hyperlink" Target="https://fbref.com/en/players/3a233281/Leon-Bailey" TargetMode="External"/><Relationship Id="rId260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players/e8832875/Joao-Pedro" TargetMode="External"/><Relationship Id="rId258" Type="http://schemas.openxmlformats.org/officeDocument/2006/relationships/hyperlink" Target="https://fbref.com/en/squads/18bb7c10/2025-2026/wages/Arsenal-Wage-Details" TargetMode="External"/><Relationship Id="rId253" Type="http://schemas.openxmlformats.org/officeDocument/2006/relationships/hyperlink" Target="https://fbref.com/en/players/2628fd2b/Bernd-Leno" TargetMode="External"/><Relationship Id="rId252" Type="http://schemas.openxmlformats.org/officeDocument/2006/relationships/hyperlink" Target="https://fbref.com/en/squads/cff3d9bb/2025-2026/wages/Chelsea-Wage-Details" TargetMode="External"/><Relationship Id="rId251" Type="http://schemas.openxmlformats.org/officeDocument/2006/relationships/hyperlink" Target="https://fbref.com/en/country/ENG/England-Football" TargetMode="External"/><Relationship Id="rId250" Type="http://schemas.openxmlformats.org/officeDocument/2006/relationships/hyperlink" Target="https://fbref.com/en/players/dc7f8a28/Cole-Palmer" TargetMode="External"/><Relationship Id="rId257" Type="http://schemas.openxmlformats.org/officeDocument/2006/relationships/hyperlink" Target="https://fbref.com/en/country/ESP/Spain-Football" TargetMode="External"/><Relationship Id="rId256" Type="http://schemas.openxmlformats.org/officeDocument/2006/relationships/hyperlink" Target="https://fbref.com/en/players/d080ed5e/Mikel-Merino" TargetMode="External"/><Relationship Id="rId255" Type="http://schemas.openxmlformats.org/officeDocument/2006/relationships/hyperlink" Target="https://fbref.com/en/squads/fd962109/2025-2026/wages/Fulham-Wage-Details" TargetMode="External"/><Relationship Id="rId254" Type="http://schemas.openxmlformats.org/officeDocument/2006/relationships/hyperlink" Target="https://fbref.com/en/country/GER/Germany-Football" TargetMode="External"/><Relationship Id="rId293" Type="http://schemas.openxmlformats.org/officeDocument/2006/relationships/hyperlink" Target="https://fbref.com/en/country/ENG/England-Football" TargetMode="External"/><Relationship Id="rId292" Type="http://schemas.openxmlformats.org/officeDocument/2006/relationships/hyperlink" Target="https://fbref.com/en/players/1544f145/Jacob-Ramsey" TargetMode="External"/><Relationship Id="rId291" Type="http://schemas.openxmlformats.org/officeDocument/2006/relationships/hyperlink" Target="https://fbref.com/en/squads/b2b47a98/2025-2026/wages/Newcastle-United-Wage-Details" TargetMode="External"/><Relationship Id="rId290" Type="http://schemas.openxmlformats.org/officeDocument/2006/relationships/hyperlink" Target="https://fbref.com/en/country/ENG/England-Football" TargetMode="External"/><Relationship Id="rId286" Type="http://schemas.openxmlformats.org/officeDocument/2006/relationships/hyperlink" Target="https://fbref.com/en/players/f5deef4c/Victor-Lindelof" TargetMode="External"/><Relationship Id="rId285" Type="http://schemas.openxmlformats.org/officeDocument/2006/relationships/hyperlink" Target="https://fbref.com/en/squads/822bd0ba/2025-2026/wages/Liverpool-Wage-Details" TargetMode="External"/><Relationship Id="rId284" Type="http://schemas.openxmlformats.org/officeDocument/2006/relationships/hyperlink" Target="https://fbref.com/en/country/HUN/Hungary-Football" TargetMode="External"/><Relationship Id="rId283" Type="http://schemas.openxmlformats.org/officeDocument/2006/relationships/hyperlink" Target="https://fbref.com/en/players/934e1968/Dominik-Szoboszlai" TargetMode="External"/><Relationship Id="rId289" Type="http://schemas.openxmlformats.org/officeDocument/2006/relationships/hyperlink" Target="https://fbref.com/en/players/466fb2c5/Aaron-Ramsdale" TargetMode="External"/><Relationship Id="rId288" Type="http://schemas.openxmlformats.org/officeDocument/2006/relationships/hyperlink" Target="https://fbref.com/en/squads/8602292d/2025-2026/wages/Aston-Villa-Wage-Details" TargetMode="External"/><Relationship Id="rId28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squads/7c21e445/2025-2026/wages/West-Ham-United-Wage-Details" TargetMode="External"/><Relationship Id="rId281" Type="http://schemas.openxmlformats.org/officeDocument/2006/relationships/hyperlink" Target="https://fbref.com/en/country/FRA/France-Football" TargetMode="External"/><Relationship Id="rId280" Type="http://schemas.openxmlformats.org/officeDocument/2006/relationships/hyperlink" Target="https://fbref.com/en/players/2f965a72/Alphonse-Areola" TargetMode="External"/><Relationship Id="rId275" Type="http://schemas.openxmlformats.org/officeDocument/2006/relationships/hyperlink" Target="https://fbref.com/en/country/ARG/Argentina-Football" TargetMode="External"/><Relationship Id="rId274" Type="http://schemas.openxmlformats.org/officeDocument/2006/relationships/hyperlink" Target="https://fbref.com/en/players/bac46a10/Lisandro-Martinez" TargetMode="External"/><Relationship Id="rId273" Type="http://schemas.openxmlformats.org/officeDocument/2006/relationships/hyperlink" Target="https://fbref.com/en/squads/19538871/2025-2026/wages/Manchester-United-Wage-Details" TargetMode="External"/><Relationship Id="rId272" Type="http://schemas.openxmlformats.org/officeDocument/2006/relationships/hyperlink" Target="https://fbref.com/en/country/CIV/Cote-dIvoire-Football" TargetMode="External"/><Relationship Id="rId279" Type="http://schemas.openxmlformats.org/officeDocument/2006/relationships/hyperlink" Target="https://fbref.com/en/squads/19538871/2025-2026/wages/Manchester-United-Wage-Details" TargetMode="External"/><Relationship Id="rId278" Type="http://schemas.openxmlformats.org/officeDocument/2006/relationships/hyperlink" Target="https://fbref.com/en/country/URU/Uruguay-Football" TargetMode="External"/><Relationship Id="rId277" Type="http://schemas.openxmlformats.org/officeDocument/2006/relationships/hyperlink" Target="https://fbref.com/en/players/c9817014/Manuel-Ugarte" TargetMode="External"/><Relationship Id="rId276" Type="http://schemas.openxmlformats.org/officeDocument/2006/relationships/hyperlink" Target="https://fbref.com/en/squads/19538871/2025-2026/wages/Manchester-United-Wage-Details" TargetMode="External"/><Relationship Id="rId1851" Type="http://schemas.openxmlformats.org/officeDocument/2006/relationships/drawing" Target="../drawings/drawing6.xml"/><Relationship Id="rId1850" Type="http://schemas.openxmlformats.org/officeDocument/2006/relationships/hyperlink" Target="https://fbref.com/en/squads/822bd0ba/2025-2026/wages/Liverpool-Wage-Details" TargetMode="External"/><Relationship Id="rId1840" Type="http://schemas.openxmlformats.org/officeDocument/2006/relationships/hyperlink" Target="https://fbref.com/en/players/56628958/George-Abbott" TargetMode="External"/><Relationship Id="rId1841" Type="http://schemas.openxmlformats.org/officeDocument/2006/relationships/hyperlink" Target="https://fbref.com/en/country/ENG/England-Football" TargetMode="External"/><Relationship Id="rId1842" Type="http://schemas.openxmlformats.org/officeDocument/2006/relationships/hyperlink" Target="https://fbref.com/en/squads/361ca564/2025-2026/wages/Tottenham-Hotspur-Wage-Details" TargetMode="External"/><Relationship Id="rId1843" Type="http://schemas.openxmlformats.org/officeDocument/2006/relationships/hyperlink" Target="https://fbref.com/en/squads/361ca564/2025-2026/wages/Tottenham-Hotspur-Wage-Details" TargetMode="External"/><Relationship Id="rId1844" Type="http://schemas.openxmlformats.org/officeDocument/2006/relationships/hyperlink" Target="https://fbref.com/en/squads/8ef52968/2025-2026/wages/Sunderland-Wage-Details" TargetMode="External"/><Relationship Id="rId1845" Type="http://schemas.openxmlformats.org/officeDocument/2006/relationships/hyperlink" Target="https://fbref.com/en/players/c1395580/Danny-Imray" TargetMode="External"/><Relationship Id="rId1846" Type="http://schemas.openxmlformats.org/officeDocument/2006/relationships/hyperlink" Target="https://fbref.com/en/country/ENG/England-Football" TargetMode="External"/><Relationship Id="rId1847" Type="http://schemas.openxmlformats.org/officeDocument/2006/relationships/hyperlink" Target="https://fbref.com/en/squads/47c64c55/2025-2026/wages/Crystal-Palace-Wage-Details" TargetMode="External"/><Relationship Id="rId1848" Type="http://schemas.openxmlformats.org/officeDocument/2006/relationships/hyperlink" Target="https://fbref.com/en/players/b8b07a17/Luca-Stephenson" TargetMode="External"/><Relationship Id="rId1849" Type="http://schemas.openxmlformats.org/officeDocument/2006/relationships/hyperlink" Target="https://fbref.com/en/country/ENG/England-Football" TargetMode="External"/><Relationship Id="rId1810" Type="http://schemas.openxmlformats.org/officeDocument/2006/relationships/hyperlink" Target="https://fbref.com/en/squads/b8fd03ef/2025-2026/wages/Manchester-City-Wage-Details" TargetMode="External"/><Relationship Id="rId1811" Type="http://schemas.openxmlformats.org/officeDocument/2006/relationships/hyperlink" Target="https://fbref.com/en/players/c2c5ecda/Ethan-Brierley" TargetMode="External"/><Relationship Id="rId1812" Type="http://schemas.openxmlformats.org/officeDocument/2006/relationships/hyperlink" Target="https://fbref.com/en/country/ENG/England-Football" TargetMode="External"/><Relationship Id="rId1813" Type="http://schemas.openxmlformats.org/officeDocument/2006/relationships/hyperlink" Target="https://fbref.com/en/squads/cd051869/2025-2026/wages/Brentford-Wage-Details" TargetMode="External"/><Relationship Id="rId1814" Type="http://schemas.openxmlformats.org/officeDocument/2006/relationships/hyperlink" Target="https://fbref.com/en/squads/d07537b9/2025-2026/wages/Brighton-and-Hove-Albion-Wage-Details" TargetMode="External"/><Relationship Id="rId1815" Type="http://schemas.openxmlformats.org/officeDocument/2006/relationships/hyperlink" Target="https://fbref.com/en/players/44270870/Francis-Okoronkwo" TargetMode="External"/><Relationship Id="rId1816" Type="http://schemas.openxmlformats.org/officeDocument/2006/relationships/hyperlink" Target="https://fbref.com/en/country/ENG/England-Football" TargetMode="External"/><Relationship Id="rId1817" Type="http://schemas.openxmlformats.org/officeDocument/2006/relationships/hyperlink" Target="https://fbref.com/en/squads/d3fd31cc/2025-2026/wages/Everton-Wage-Details" TargetMode="External"/><Relationship Id="rId1818" Type="http://schemas.openxmlformats.org/officeDocument/2006/relationships/hyperlink" Target="https://fbref.com/en/squads/e4a775cb/2025-2026/wages/Nottingham-Forest-Wage-Details" TargetMode="External"/><Relationship Id="rId1819" Type="http://schemas.openxmlformats.org/officeDocument/2006/relationships/hyperlink" Target="https://fbref.com/en/squads/18bb7c10/2025-2026/wages/Arsenal-Wage-Details" TargetMode="External"/><Relationship Id="rId1800" Type="http://schemas.openxmlformats.org/officeDocument/2006/relationships/hyperlink" Target="https://fbref.com/en/players/d8b9fc76/Ethan-Williams" TargetMode="External"/><Relationship Id="rId1801" Type="http://schemas.openxmlformats.org/officeDocument/2006/relationships/hyperlink" Target="https://fbref.com/en/country/ENG/England-Football" TargetMode="External"/><Relationship Id="rId1802" Type="http://schemas.openxmlformats.org/officeDocument/2006/relationships/hyperlink" Target="https://fbref.com/en/squads/19538871/2025-2026/wages/Manchester-United-Wage-Details" TargetMode="External"/><Relationship Id="rId1803" Type="http://schemas.openxmlformats.org/officeDocument/2006/relationships/hyperlink" Target="https://fbref.com/en/squads/19538871/2025-2026/wages/Manchester-United-Wage-Details" TargetMode="External"/><Relationship Id="rId1804" Type="http://schemas.openxmlformats.org/officeDocument/2006/relationships/hyperlink" Target="https://fbref.com/en/players/8074e66f/Owen-Goodman" TargetMode="External"/><Relationship Id="rId1805" Type="http://schemas.openxmlformats.org/officeDocument/2006/relationships/hyperlink" Target="https://fbref.com/en/country/CAN/Canada-Football" TargetMode="External"/><Relationship Id="rId1806" Type="http://schemas.openxmlformats.org/officeDocument/2006/relationships/hyperlink" Target="https://fbref.com/en/squads/47c64c55/2025-2026/wages/Crystal-Palace-Wage-Details" TargetMode="External"/><Relationship Id="rId1807" Type="http://schemas.openxmlformats.org/officeDocument/2006/relationships/hyperlink" Target="https://fbref.com/en/squads/7c21e445/2025-2026/wages/West-Ham-United-Wage-Details" TargetMode="External"/><Relationship Id="rId1808" Type="http://schemas.openxmlformats.org/officeDocument/2006/relationships/hyperlink" Target="https://fbref.com/en/squads/943e8050/2025-2026/wages/Burnley-Wage-Details" TargetMode="External"/><Relationship Id="rId1809" Type="http://schemas.openxmlformats.org/officeDocument/2006/relationships/hyperlink" Target="https://fbref.com/en/squads/943e8050/2025-2026/wages/Burnley-Wage-Details" TargetMode="External"/><Relationship Id="rId1830" Type="http://schemas.openxmlformats.org/officeDocument/2006/relationships/hyperlink" Target="https://fbref.com/en/squads/cd051869/2025-2026/wages/Brentford-Wage-Details" TargetMode="External"/><Relationship Id="rId1831" Type="http://schemas.openxmlformats.org/officeDocument/2006/relationships/hyperlink" Target="https://fbref.com/en/players/a3afdd69/Mark-OMahony" TargetMode="External"/><Relationship Id="rId1832" Type="http://schemas.openxmlformats.org/officeDocument/2006/relationships/hyperlink" Target="https://fbref.com/en/country/IRL/Republic-of-Ireland-Football" TargetMode="External"/><Relationship Id="rId1833" Type="http://schemas.openxmlformats.org/officeDocument/2006/relationships/hyperlink" Target="https://fbref.com/en/squads/d07537b9/2025-2026/wages/Brighton-and-Hove-Albion-Wage-Details" TargetMode="External"/><Relationship Id="rId1834" Type="http://schemas.openxmlformats.org/officeDocument/2006/relationships/hyperlink" Target="https://fbref.com/en/squads/e4a775cb/2025-2026/wages/Nottingham-Forest-Wage-Details" TargetMode="External"/><Relationship Id="rId1835" Type="http://schemas.openxmlformats.org/officeDocument/2006/relationships/hyperlink" Target="https://fbref.com/en/squads/fd962109/2025-2026/wages/Fulham-Wage-Details" TargetMode="External"/><Relationship Id="rId1836" Type="http://schemas.openxmlformats.org/officeDocument/2006/relationships/hyperlink" Target="https://fbref.com/en/squads/7c21e445/2025-2026/wages/West-Ham-United-Wage-Details" TargetMode="External"/><Relationship Id="rId1837" Type="http://schemas.openxmlformats.org/officeDocument/2006/relationships/hyperlink" Target="https://fbref.com/en/squads/d3fd31cc/2025-2026/wages/Everton-Wage-Details" TargetMode="External"/><Relationship Id="rId1838" Type="http://schemas.openxmlformats.org/officeDocument/2006/relationships/hyperlink" Target="https://fbref.com/en/squads/943e8050/2025-2026/wages/Burnley-Wage-Details" TargetMode="External"/><Relationship Id="rId1839" Type="http://schemas.openxmlformats.org/officeDocument/2006/relationships/hyperlink" Target="https://fbref.com/en/squads/5bfb9659/2025-2026/wages/Leeds-United-Wage-Details" TargetMode="External"/><Relationship Id="rId1820" Type="http://schemas.openxmlformats.org/officeDocument/2006/relationships/hyperlink" Target="https://fbref.com/en/players/f84a807c/Lyle-Foster" TargetMode="External"/><Relationship Id="rId1821" Type="http://schemas.openxmlformats.org/officeDocument/2006/relationships/hyperlink" Target="https://fbref.com/en/country/RSA/South-Africa-Football" TargetMode="External"/><Relationship Id="rId1822" Type="http://schemas.openxmlformats.org/officeDocument/2006/relationships/hyperlink" Target="https://fbref.com/en/squads/943e8050/2025-2026/wages/Burnley-Wage-Details" TargetMode="External"/><Relationship Id="rId1823" Type="http://schemas.openxmlformats.org/officeDocument/2006/relationships/hyperlink" Target="https://fbref.com/en/squads/8cec06e1/2025-2026/wages/Wolverhampton-Wanderers-Wage-Details" TargetMode="External"/><Relationship Id="rId1824" Type="http://schemas.openxmlformats.org/officeDocument/2006/relationships/hyperlink" Target="https://fbref.com/en/squads/fd962109/2025-2026/wages/Fulham-Wage-Details" TargetMode="External"/><Relationship Id="rId1825" Type="http://schemas.openxmlformats.org/officeDocument/2006/relationships/hyperlink" Target="https://fbref.com/en/players/bd44b52f/Sonny-Aljofree" TargetMode="External"/><Relationship Id="rId1826" Type="http://schemas.openxmlformats.org/officeDocument/2006/relationships/hyperlink" Target="https://fbref.com/en/country/ENG/England-Football" TargetMode="External"/><Relationship Id="rId1827" Type="http://schemas.openxmlformats.org/officeDocument/2006/relationships/hyperlink" Target="https://fbref.com/en/squads/19538871/2025-2026/wages/Manchester-United-Wage-Details" TargetMode="External"/><Relationship Id="rId1828" Type="http://schemas.openxmlformats.org/officeDocument/2006/relationships/hyperlink" Target="https://fbref.com/en/players/4cccbed1/Tony-Yogane" TargetMode="External"/><Relationship Id="rId1829" Type="http://schemas.openxmlformats.org/officeDocument/2006/relationships/hyperlink" Target="https://fbref.com/en/country/ENG/England-Football" TargetMode="External"/><Relationship Id="rId1455" Type="http://schemas.openxmlformats.org/officeDocument/2006/relationships/hyperlink" Target="https://fbref.com/en/squads/d07537b9/2025-2026/wages/Brighton-and-Hove-Albion-Wage-Details" TargetMode="External"/><Relationship Id="rId1456" Type="http://schemas.openxmlformats.org/officeDocument/2006/relationships/hyperlink" Target="https://fbref.com/en/players/a497130f/Stefanos-Tzimas" TargetMode="External"/><Relationship Id="rId1457" Type="http://schemas.openxmlformats.org/officeDocument/2006/relationships/hyperlink" Target="https://fbref.com/en/country/GRE/Greece-Football" TargetMode="External"/><Relationship Id="rId1458" Type="http://schemas.openxmlformats.org/officeDocument/2006/relationships/hyperlink" Target="https://fbref.com/en/squads/d07537b9/2025-2026/wages/Brighton-and-Hove-Albion-Wage-Details" TargetMode="External"/><Relationship Id="rId1459" Type="http://schemas.openxmlformats.org/officeDocument/2006/relationships/hyperlink" Target="https://fbref.com/en/players/9886c32e/Tom-Watson" TargetMode="External"/><Relationship Id="rId629" Type="http://schemas.openxmlformats.org/officeDocument/2006/relationships/hyperlink" Target="https://fbref.com/en/country/SCO/Scotland-Football" TargetMode="External"/><Relationship Id="rId624" Type="http://schemas.openxmlformats.org/officeDocument/2006/relationships/hyperlink" Target="https://fbref.com/en/squads/b2b47a98/2025-2026/wages/Newcastle-United-Wage-Details" TargetMode="External"/><Relationship Id="rId623" Type="http://schemas.openxmlformats.org/officeDocument/2006/relationships/hyperlink" Target="https://fbref.com/en/country/ENG/England-Football" TargetMode="External"/><Relationship Id="rId622" Type="http://schemas.openxmlformats.org/officeDocument/2006/relationships/hyperlink" Target="https://fbref.com/en/players/b2d31e83/Dan-Burn" TargetMode="External"/><Relationship Id="rId621" Type="http://schemas.openxmlformats.org/officeDocument/2006/relationships/hyperlink" Target="https://fbref.com/en/squads/8ef52968/2025-2026/wages/Sunderland-Wage-Details" TargetMode="External"/><Relationship Id="rId628" Type="http://schemas.openxmlformats.org/officeDocument/2006/relationships/hyperlink" Target="https://fbref.com/en/players/1780bb4a/Aaron-Hickey" TargetMode="External"/><Relationship Id="rId627" Type="http://schemas.openxmlformats.org/officeDocument/2006/relationships/hyperlink" Target="https://fbref.com/en/squads/b2b47a98/2025-2026/wages/Newcastle-United-Wage-Details" TargetMode="External"/><Relationship Id="rId626" Type="http://schemas.openxmlformats.org/officeDocument/2006/relationships/hyperlink" Target="https://fbref.com/en/country/SUI/Switzerland-Football" TargetMode="External"/><Relationship Id="rId625" Type="http://schemas.openxmlformats.org/officeDocument/2006/relationships/hyperlink" Target="https://fbref.com/en/players/c8aa95da/Fabian-Schar" TargetMode="External"/><Relationship Id="rId1450" Type="http://schemas.openxmlformats.org/officeDocument/2006/relationships/hyperlink" Target="https://fbref.com/en/players/7bf9400b/Sepp-van-den-Berg" TargetMode="External"/><Relationship Id="rId620" Type="http://schemas.openxmlformats.org/officeDocument/2006/relationships/hyperlink" Target="https://fbref.com/en/country/CIV/Cote-dIvoire-Football" TargetMode="External"/><Relationship Id="rId1451" Type="http://schemas.openxmlformats.org/officeDocument/2006/relationships/hyperlink" Target="https://fbref.com/en/country/NED/Netherlands-Football" TargetMode="External"/><Relationship Id="rId1452" Type="http://schemas.openxmlformats.org/officeDocument/2006/relationships/hyperlink" Target="https://fbref.com/en/squads/cd051869/2025-2026/wages/Brentford-Wage-Details" TargetMode="External"/><Relationship Id="rId1453" Type="http://schemas.openxmlformats.org/officeDocument/2006/relationships/hyperlink" Target="https://fbref.com/en/players/28300a16/Jason-Steele" TargetMode="External"/><Relationship Id="rId1454" Type="http://schemas.openxmlformats.org/officeDocument/2006/relationships/hyperlink" Target="https://fbref.com/en/country/ENG/England-Football" TargetMode="External"/><Relationship Id="rId1444" Type="http://schemas.openxmlformats.org/officeDocument/2006/relationships/hyperlink" Target="https://fbref.com/en/country/ENG/England-Football" TargetMode="External"/><Relationship Id="rId1445" Type="http://schemas.openxmlformats.org/officeDocument/2006/relationships/hyperlink" Target="https://fbref.com/en/squads/943e8050/2025-2026/wages/Burnley-Wage-Details" TargetMode="External"/><Relationship Id="rId1446" Type="http://schemas.openxmlformats.org/officeDocument/2006/relationships/hyperlink" Target="https://fbref.com/en/squads/943e8050/2025-2026/wages/Burnley-Wage-Details" TargetMode="External"/><Relationship Id="rId1447" Type="http://schemas.openxmlformats.org/officeDocument/2006/relationships/hyperlink" Target="https://fbref.com/en/players/b3f36e72/Zian-Flemming" TargetMode="External"/><Relationship Id="rId1448" Type="http://schemas.openxmlformats.org/officeDocument/2006/relationships/hyperlink" Target="https://fbref.com/en/country/NED/Netherlands-Football" TargetMode="External"/><Relationship Id="rId1449" Type="http://schemas.openxmlformats.org/officeDocument/2006/relationships/hyperlink" Target="https://fbref.com/en/squads/943e8050/2025-2026/wages/Burnley-Wage-Details" TargetMode="External"/><Relationship Id="rId619" Type="http://schemas.openxmlformats.org/officeDocument/2006/relationships/hyperlink" Target="https://fbref.com/en/players/4dcec659/Simon-Adingra" TargetMode="External"/><Relationship Id="rId618" Type="http://schemas.openxmlformats.org/officeDocument/2006/relationships/hyperlink" Target="https://fbref.com/en/squads/8cec06e1/2025-2026/wages/Wolverhampton-Wanderers-Wage-Details" TargetMode="External"/><Relationship Id="rId613" Type="http://schemas.openxmlformats.org/officeDocument/2006/relationships/hyperlink" Target="https://fbref.com/en/players/169fd162/Hwang-Hee-chan" TargetMode="External"/><Relationship Id="rId612" Type="http://schemas.openxmlformats.org/officeDocument/2006/relationships/hyperlink" Target="https://fbref.com/en/squads/822bd0ba/2025-2026/wages/Liverpool-Wage-Details" TargetMode="External"/><Relationship Id="rId611" Type="http://schemas.openxmlformats.org/officeDocument/2006/relationships/hyperlink" Target="https://fbref.com/en/country/FRA/France-Football" TargetMode="External"/><Relationship Id="rId610" Type="http://schemas.openxmlformats.org/officeDocument/2006/relationships/hyperlink" Target="https://fbref.com/en/players/5ed9b537/Ibrahima-Konate" TargetMode="External"/><Relationship Id="rId617" Type="http://schemas.openxmlformats.org/officeDocument/2006/relationships/hyperlink" Target="https://fbref.com/en/country/ZIM/Zimbabwe-Football" TargetMode="External"/><Relationship Id="rId616" Type="http://schemas.openxmlformats.org/officeDocument/2006/relationships/hyperlink" Target="https://fbref.com/en/players/2acf0cd7/Marshall-Munetsi" TargetMode="External"/><Relationship Id="rId615" Type="http://schemas.openxmlformats.org/officeDocument/2006/relationships/hyperlink" Target="https://fbref.com/en/squads/8cec06e1/2025-2026/wages/Wolverhampton-Wanderers-Wage-Details" TargetMode="External"/><Relationship Id="rId614" Type="http://schemas.openxmlformats.org/officeDocument/2006/relationships/hyperlink" Target="https://fbref.com/en/country/KOR/Korea-Republic-Football" TargetMode="External"/><Relationship Id="rId1440" Type="http://schemas.openxmlformats.org/officeDocument/2006/relationships/hyperlink" Target="https://fbref.com/en/players/8092d497/Luke-ONien" TargetMode="External"/><Relationship Id="rId1441" Type="http://schemas.openxmlformats.org/officeDocument/2006/relationships/hyperlink" Target="https://fbref.com/en/country/ENG/England-Football" TargetMode="External"/><Relationship Id="rId1442" Type="http://schemas.openxmlformats.org/officeDocument/2006/relationships/hyperlink" Target="https://fbref.com/en/squads/8ef52968/2025-2026/wages/Sunderland-Wage-Details" TargetMode="External"/><Relationship Id="rId1443" Type="http://schemas.openxmlformats.org/officeDocument/2006/relationships/hyperlink" Target="https://fbref.com/en/players/f0068e0f/Josh-Laurent" TargetMode="External"/><Relationship Id="rId1477" Type="http://schemas.openxmlformats.org/officeDocument/2006/relationships/hyperlink" Target="https://fbref.com/en/squads/8cec06e1/2025-2026/wages/Wolverhampton-Wanderers-Wage-Details" TargetMode="External"/><Relationship Id="rId1478" Type="http://schemas.openxmlformats.org/officeDocument/2006/relationships/hyperlink" Target="https://fbref.com/en/squads/19538871/2025-2026/wages/Manchester-United-Wage-Details" TargetMode="External"/><Relationship Id="rId1479" Type="http://schemas.openxmlformats.org/officeDocument/2006/relationships/hyperlink" Target="https://fbref.com/en/players/5e253986/Brandon-Austin" TargetMode="External"/><Relationship Id="rId646" Type="http://schemas.openxmlformats.org/officeDocument/2006/relationships/hyperlink" Target="https://fbref.com/en/players/68c720b5/Adam-Armstrong" TargetMode="External"/><Relationship Id="rId645" Type="http://schemas.openxmlformats.org/officeDocument/2006/relationships/hyperlink" Target="https://fbref.com/en/squads/8602292d/2025-2026/wages/Aston-Villa-Wage-Details" TargetMode="External"/><Relationship Id="rId644" Type="http://schemas.openxmlformats.org/officeDocument/2006/relationships/hyperlink" Target="https://fbref.com/en/country/BRA/Brazil-Football" TargetMode="External"/><Relationship Id="rId643" Type="http://schemas.openxmlformats.org/officeDocument/2006/relationships/hyperlink" Target="https://fbref.com/en/players/6f7d826d/Douglas-Luiz" TargetMode="External"/><Relationship Id="rId649" Type="http://schemas.openxmlformats.org/officeDocument/2006/relationships/hyperlink" Target="https://fbref.com/en/players/fb495bb8/Matt-ORiley" TargetMode="External"/><Relationship Id="rId648" Type="http://schemas.openxmlformats.org/officeDocument/2006/relationships/hyperlink" Target="https://fbref.com/en/squads/8cec06e1/2025-2026/wages/Wolverhampton-Wanderers-Wage-Details" TargetMode="External"/><Relationship Id="rId647" Type="http://schemas.openxmlformats.org/officeDocument/2006/relationships/hyperlink" Target="https://fbref.com/en/country/ENG/England-Football" TargetMode="External"/><Relationship Id="rId1470" Type="http://schemas.openxmlformats.org/officeDocument/2006/relationships/hyperlink" Target="https://fbref.com/en/country/ESP/Spain-Football" TargetMode="External"/><Relationship Id="rId1471" Type="http://schemas.openxmlformats.org/officeDocument/2006/relationships/hyperlink" Target="https://fbref.com/en/squads/4ba7cbea/2025-2026/wages/Bournemouth-Wage-Details" TargetMode="External"/><Relationship Id="rId1472" Type="http://schemas.openxmlformats.org/officeDocument/2006/relationships/hyperlink" Target="https://fbref.com/en/players/1f2c7b55/Merlin-Rohl" TargetMode="External"/><Relationship Id="rId642" Type="http://schemas.openxmlformats.org/officeDocument/2006/relationships/hyperlink" Target="https://fbref.com/en/squads/fd962109/2025-2026/wages/Fulham-Wage-Details" TargetMode="External"/><Relationship Id="rId1473" Type="http://schemas.openxmlformats.org/officeDocument/2006/relationships/hyperlink" Target="https://fbref.com/en/country/GER/Germany-Football" TargetMode="External"/><Relationship Id="rId641" Type="http://schemas.openxmlformats.org/officeDocument/2006/relationships/hyperlink" Target="https://fbref.com/en/country/MAR/Morocco-Football" TargetMode="External"/><Relationship Id="rId1474" Type="http://schemas.openxmlformats.org/officeDocument/2006/relationships/hyperlink" Target="https://fbref.com/en/squads/d3fd31cc/2025-2026/wages/Everton-Wage-Details" TargetMode="External"/><Relationship Id="rId640" Type="http://schemas.openxmlformats.org/officeDocument/2006/relationships/hyperlink" Target="https://fbref.com/en/players/a712ca2b/Issa-Diop" TargetMode="External"/><Relationship Id="rId1475" Type="http://schemas.openxmlformats.org/officeDocument/2006/relationships/hyperlink" Target="https://fbref.com/en/players/b2f4cad5/Pedro-Lima" TargetMode="External"/><Relationship Id="rId1476" Type="http://schemas.openxmlformats.org/officeDocument/2006/relationships/hyperlink" Target="https://fbref.com/en/country/BRA/Brazil-Football" TargetMode="External"/><Relationship Id="rId1466" Type="http://schemas.openxmlformats.org/officeDocument/2006/relationships/hyperlink" Target="https://fbref.com/en/country/ENG/England-Football" TargetMode="External"/><Relationship Id="rId1467" Type="http://schemas.openxmlformats.org/officeDocument/2006/relationships/hyperlink" Target="https://fbref.com/en/squads/d3fd31cc/2025-2026/wages/Everton-Wage-Details" TargetMode="External"/><Relationship Id="rId1468" Type="http://schemas.openxmlformats.org/officeDocument/2006/relationships/hyperlink" Target="https://fbref.com/en/squads/fd962109/2025-2026/wages/Fulham-Wage-Details" TargetMode="External"/><Relationship Id="rId1469" Type="http://schemas.openxmlformats.org/officeDocument/2006/relationships/hyperlink" Target="https://fbref.com/en/players/faa13947/Alex-Jimenez" TargetMode="External"/><Relationship Id="rId635" Type="http://schemas.openxmlformats.org/officeDocument/2006/relationships/hyperlink" Target="https://fbref.com/en/country/FRA/France-Football" TargetMode="External"/><Relationship Id="rId634" Type="http://schemas.openxmlformats.org/officeDocument/2006/relationships/hyperlink" Target="https://fbref.com/en/players/2b5a35e5/Dilane-Bakwa" TargetMode="External"/><Relationship Id="rId633" Type="http://schemas.openxmlformats.org/officeDocument/2006/relationships/hyperlink" Target="https://fbref.com/en/squads/cd051869/2025-2026/wages/Brentford-Wage-Details" TargetMode="External"/><Relationship Id="rId632" Type="http://schemas.openxmlformats.org/officeDocument/2006/relationships/hyperlink" Target="https://fbref.com/en/country/ENG/England-Football" TargetMode="External"/><Relationship Id="rId639" Type="http://schemas.openxmlformats.org/officeDocument/2006/relationships/hyperlink" Target="https://fbref.com/en/squads/fd962109/2025-2026/wages/Fulham-Wage-Details" TargetMode="External"/><Relationship Id="rId638" Type="http://schemas.openxmlformats.org/officeDocument/2006/relationships/hyperlink" Target="https://fbref.com/en/country/ENG/England-Football" TargetMode="External"/><Relationship Id="rId637" Type="http://schemas.openxmlformats.org/officeDocument/2006/relationships/hyperlink" Target="https://fbref.com/en/players/17695062/Emile-Smith-Rowe" TargetMode="External"/><Relationship Id="rId636" Type="http://schemas.openxmlformats.org/officeDocument/2006/relationships/hyperlink" Target="https://fbref.com/en/squads/e4a775cb/2025-2026/wages/Nottingham-Forest-Wage-Details" TargetMode="External"/><Relationship Id="rId1460" Type="http://schemas.openxmlformats.org/officeDocument/2006/relationships/hyperlink" Target="https://fbref.com/en/country/ENG/England-Football" TargetMode="External"/><Relationship Id="rId1461" Type="http://schemas.openxmlformats.org/officeDocument/2006/relationships/hyperlink" Target="https://fbref.com/en/squads/d07537b9/2025-2026/wages/Brighton-and-Hove-Albion-Wage-Details" TargetMode="External"/><Relationship Id="rId631" Type="http://schemas.openxmlformats.org/officeDocument/2006/relationships/hyperlink" Target="https://fbref.com/en/players/c5bdb6e3/Reiss-Nelson" TargetMode="External"/><Relationship Id="rId1462" Type="http://schemas.openxmlformats.org/officeDocument/2006/relationships/hyperlink" Target="https://fbref.com/en/players/4abac767/Carlos-Alcaraz" TargetMode="External"/><Relationship Id="rId630" Type="http://schemas.openxmlformats.org/officeDocument/2006/relationships/hyperlink" Target="https://fbref.com/en/squads/cd051869/2025-2026/wages/Brentford-Wage-Details" TargetMode="External"/><Relationship Id="rId1463" Type="http://schemas.openxmlformats.org/officeDocument/2006/relationships/hyperlink" Target="https://fbref.com/en/country/ARG/Argentina-Football" TargetMode="External"/><Relationship Id="rId1464" Type="http://schemas.openxmlformats.org/officeDocument/2006/relationships/hyperlink" Target="https://fbref.com/en/squads/d3fd31cc/2025-2026/wages/Everton-Wage-Details" TargetMode="External"/><Relationship Id="rId1465" Type="http://schemas.openxmlformats.org/officeDocument/2006/relationships/hyperlink" Target="https://fbref.com/en/players/84c5ceea/Tim-Iroegbunam" TargetMode="External"/><Relationship Id="rId1411" Type="http://schemas.openxmlformats.org/officeDocument/2006/relationships/hyperlink" Target="https://fbref.com/en/squads/8602292d/2025-2026/wages/Aston-Villa-Wage-Details" TargetMode="External"/><Relationship Id="rId1412" Type="http://schemas.openxmlformats.org/officeDocument/2006/relationships/hyperlink" Target="https://fbref.com/en/squads/cd051869/2025-2026/wages/Brentford-Wage-Details" TargetMode="External"/><Relationship Id="rId1413" Type="http://schemas.openxmlformats.org/officeDocument/2006/relationships/hyperlink" Target="https://fbref.com/en/players/6c2b66fc/Justin-Devenny" TargetMode="External"/><Relationship Id="rId1414" Type="http://schemas.openxmlformats.org/officeDocument/2006/relationships/hyperlink" Target="https://fbref.com/en/country/NIR/Northern-Ireland-Football" TargetMode="External"/><Relationship Id="rId1415" Type="http://schemas.openxmlformats.org/officeDocument/2006/relationships/hyperlink" Target="https://fbref.com/en/squads/47c64c55/2025-2026/wages/Crystal-Palace-Wage-Details" TargetMode="External"/><Relationship Id="rId1416" Type="http://schemas.openxmlformats.org/officeDocument/2006/relationships/hyperlink" Target="https://fbref.com/en/players/b2fe86e5/Eli-Junior-Kroupi" TargetMode="External"/><Relationship Id="rId1417" Type="http://schemas.openxmlformats.org/officeDocument/2006/relationships/hyperlink" Target="https://fbref.com/en/country/FRA/France-Football" TargetMode="External"/><Relationship Id="rId1418" Type="http://schemas.openxmlformats.org/officeDocument/2006/relationships/hyperlink" Target="https://fbref.com/en/squads/4ba7cbea/2025-2026/wages/Bournemouth-Wage-Details" TargetMode="External"/><Relationship Id="rId1419" Type="http://schemas.openxmlformats.org/officeDocument/2006/relationships/hyperlink" Target="https://fbref.com/en/players/98c8559a/Julio-Soler" TargetMode="External"/><Relationship Id="rId1410" Type="http://schemas.openxmlformats.org/officeDocument/2006/relationships/hyperlink" Target="https://fbref.com/en/squads/fd962109/2025-2026/wages/Fulham-Wage-Details" TargetMode="External"/><Relationship Id="rId1400" Type="http://schemas.openxmlformats.org/officeDocument/2006/relationships/hyperlink" Target="https://fbref.com/en/country/ENG/England-Football" TargetMode="External"/><Relationship Id="rId1401" Type="http://schemas.openxmlformats.org/officeDocument/2006/relationships/hyperlink" Target="https://fbref.com/en/squads/d3fd31cc/2025-2026/wages/Everton-Wage-Details" TargetMode="External"/><Relationship Id="rId1402" Type="http://schemas.openxmlformats.org/officeDocument/2006/relationships/hyperlink" Target="https://fbref.com/en/players/fe558029/Mark-Travers" TargetMode="External"/><Relationship Id="rId1403" Type="http://schemas.openxmlformats.org/officeDocument/2006/relationships/hyperlink" Target="https://fbref.com/en/country/IRL/Republic-of-Ireland-Football" TargetMode="External"/><Relationship Id="rId1404" Type="http://schemas.openxmlformats.org/officeDocument/2006/relationships/hyperlink" Target="https://fbref.com/en/squads/d3fd31cc/2025-2026/wages/Everton-Wage-Details" TargetMode="External"/><Relationship Id="rId1405" Type="http://schemas.openxmlformats.org/officeDocument/2006/relationships/hyperlink" Target="https://fbref.com/en/players/c7c26e61/Jonah-Kusi-Asare" TargetMode="External"/><Relationship Id="rId1406" Type="http://schemas.openxmlformats.org/officeDocument/2006/relationships/hyperlink" Target="https://fbref.com/en/country/SWE/Sweden-Football" TargetMode="External"/><Relationship Id="rId1407" Type="http://schemas.openxmlformats.org/officeDocument/2006/relationships/hyperlink" Target="https://fbref.com/en/squads/fd962109/2025-2026/wages/Fulham-Wage-Details" TargetMode="External"/><Relationship Id="rId1408" Type="http://schemas.openxmlformats.org/officeDocument/2006/relationships/hyperlink" Target="https://fbref.com/en/players/0abc51f2/Jorge-Cuenca" TargetMode="External"/><Relationship Id="rId1409" Type="http://schemas.openxmlformats.org/officeDocument/2006/relationships/hyperlink" Target="https://fbref.com/en/country/ESP/Spain-Football" TargetMode="External"/><Relationship Id="rId1433" Type="http://schemas.openxmlformats.org/officeDocument/2006/relationships/hyperlink" Target="https://fbref.com/en/squads/8ef52968/2025-2026/wages/Sunderland-Wage-Details" TargetMode="External"/><Relationship Id="rId1434" Type="http://schemas.openxmlformats.org/officeDocument/2006/relationships/hyperlink" Target="https://fbref.com/en/players/307ea3b6/Dennis-Cirkin" TargetMode="External"/><Relationship Id="rId1435" Type="http://schemas.openxmlformats.org/officeDocument/2006/relationships/hyperlink" Target="https://fbref.com/en/country/LVA/Latvia-Football" TargetMode="External"/><Relationship Id="rId1436" Type="http://schemas.openxmlformats.org/officeDocument/2006/relationships/hyperlink" Target="https://fbref.com/en/squads/8ef52968/2025-2026/wages/Sunderland-Wage-Details" TargetMode="External"/><Relationship Id="rId1437" Type="http://schemas.openxmlformats.org/officeDocument/2006/relationships/hyperlink" Target="https://fbref.com/en/players/55b4f1d6/Ian-Poveda" TargetMode="External"/><Relationship Id="rId1438" Type="http://schemas.openxmlformats.org/officeDocument/2006/relationships/hyperlink" Target="https://fbref.com/en/country/ENG/England-Football" TargetMode="External"/><Relationship Id="rId1439" Type="http://schemas.openxmlformats.org/officeDocument/2006/relationships/hyperlink" Target="https://fbref.com/en/squads/8ef52968/2025-2026/wages/Sunderland-Wage-Details" TargetMode="External"/><Relationship Id="rId609" Type="http://schemas.openxmlformats.org/officeDocument/2006/relationships/hyperlink" Target="https://fbref.com/en/squads/4ba7cbea/2025-2026/wages/Bournemouth-Wage-Details" TargetMode="External"/><Relationship Id="rId608" Type="http://schemas.openxmlformats.org/officeDocument/2006/relationships/hyperlink" Target="https://fbref.com/en/country/SCO/Scotland-Football" TargetMode="External"/><Relationship Id="rId607" Type="http://schemas.openxmlformats.org/officeDocument/2006/relationships/hyperlink" Target="https://fbref.com/en/players/26ce2263/Ryan-Christie" TargetMode="External"/><Relationship Id="rId602" Type="http://schemas.openxmlformats.org/officeDocument/2006/relationships/hyperlink" Target="https://fbref.com/en/country/COL/Colombia-Football" TargetMode="External"/><Relationship Id="rId601" Type="http://schemas.openxmlformats.org/officeDocument/2006/relationships/hyperlink" Target="https://fbref.com/en/players/9b5ce51a/Jefferson-Lerma" TargetMode="External"/><Relationship Id="rId600" Type="http://schemas.openxmlformats.org/officeDocument/2006/relationships/hyperlink" Target="https://fbref.com/en/squads/47c64c55/2025-2026/wages/Crystal-Palace-Wage-Details" TargetMode="External"/><Relationship Id="rId606" Type="http://schemas.openxmlformats.org/officeDocument/2006/relationships/hyperlink" Target="https://fbref.com/en/squads/4ba7cbea/2025-2026/wages/Bournemouth-Wage-Details" TargetMode="External"/><Relationship Id="rId605" Type="http://schemas.openxmlformats.org/officeDocument/2006/relationships/hyperlink" Target="https://fbref.com/en/country/FRA/France-Football" TargetMode="External"/><Relationship Id="rId604" Type="http://schemas.openxmlformats.org/officeDocument/2006/relationships/hyperlink" Target="https://fbref.com/en/players/1bfb6fef/Bafode-Diakite" TargetMode="External"/><Relationship Id="rId603" Type="http://schemas.openxmlformats.org/officeDocument/2006/relationships/hyperlink" Target="https://fbref.com/en/squads/47c64c55/2025-2026/wages/Crystal-Palace-Wage-Details" TargetMode="External"/><Relationship Id="rId1430" Type="http://schemas.openxmlformats.org/officeDocument/2006/relationships/hyperlink" Target="https://fbref.com/en/squads/8cec06e1/2025-2026/wages/Wolverhampton-Wanderers-Wage-Details" TargetMode="External"/><Relationship Id="rId1431" Type="http://schemas.openxmlformats.org/officeDocument/2006/relationships/hyperlink" Target="https://fbref.com/en/players/b2470c6f/Anthony-Patterson" TargetMode="External"/><Relationship Id="rId1432" Type="http://schemas.openxmlformats.org/officeDocument/2006/relationships/hyperlink" Target="https://fbref.com/en/country/ENG/England-Football" TargetMode="External"/><Relationship Id="rId1422" Type="http://schemas.openxmlformats.org/officeDocument/2006/relationships/hyperlink" Target="https://fbref.com/en/players/242e5e6d/Oliver-Scarles" TargetMode="External"/><Relationship Id="rId1423" Type="http://schemas.openxmlformats.org/officeDocument/2006/relationships/hyperlink" Target="https://fbref.com/en/country/ENG/England-Football" TargetMode="External"/><Relationship Id="rId1424" Type="http://schemas.openxmlformats.org/officeDocument/2006/relationships/hyperlink" Target="https://fbref.com/en/squads/7c21e445/2025-2026/wages/West-Ham-United-Wage-Details" TargetMode="External"/><Relationship Id="rId1425" Type="http://schemas.openxmlformats.org/officeDocument/2006/relationships/hyperlink" Target="https://fbref.com/en/players/68db6358/Daniel-Bentley" TargetMode="External"/><Relationship Id="rId1426" Type="http://schemas.openxmlformats.org/officeDocument/2006/relationships/hyperlink" Target="https://fbref.com/en/country/ENG/England-Football" TargetMode="External"/><Relationship Id="rId1427" Type="http://schemas.openxmlformats.org/officeDocument/2006/relationships/hyperlink" Target="https://fbref.com/en/squads/8cec06e1/2025-2026/wages/Wolverhampton-Wanderers-Wage-Details" TargetMode="External"/><Relationship Id="rId1428" Type="http://schemas.openxmlformats.org/officeDocument/2006/relationships/hyperlink" Target="https://fbref.com/en/players/15f24fe7/Sasa-Kalajdzic" TargetMode="External"/><Relationship Id="rId1429" Type="http://schemas.openxmlformats.org/officeDocument/2006/relationships/hyperlink" Target="https://fbref.com/en/country/AUT/Austria-Football" TargetMode="External"/><Relationship Id="rId1420" Type="http://schemas.openxmlformats.org/officeDocument/2006/relationships/hyperlink" Target="https://fbref.com/en/country/ARG/Argentina-Football" TargetMode="External"/><Relationship Id="rId1421" Type="http://schemas.openxmlformats.org/officeDocument/2006/relationships/hyperlink" Target="https://fbref.com/en/squads/4ba7cbea/2025-2026/wages/Bournemouth-Wage-Details" TargetMode="External"/><Relationship Id="rId1059" Type="http://schemas.openxmlformats.org/officeDocument/2006/relationships/hyperlink" Target="https://fbref.com/en/squads/5bfb9659/2025-2026/wages/Leeds-United-Wage-Details" TargetMode="External"/><Relationship Id="rId228" Type="http://schemas.openxmlformats.org/officeDocument/2006/relationships/hyperlink" Target="https://fbref.com/en/squads/b2b47a98/2025-2026/wages/Newcastle-United-Wage-Details" TargetMode="External"/><Relationship Id="rId227" Type="http://schemas.openxmlformats.org/officeDocument/2006/relationships/hyperlink" Target="https://fbref.com/en/country/COD/Congo-DR-Football" TargetMode="External"/><Relationship Id="rId226" Type="http://schemas.openxmlformats.org/officeDocument/2006/relationships/hyperlink" Target="https://fbref.com/en/players/2500cef9/Yoane-Wissa" TargetMode="External"/><Relationship Id="rId225" Type="http://schemas.openxmlformats.org/officeDocument/2006/relationships/hyperlink" Target="https://fbref.com/en/squads/8602292d/2025-2026/wages/Aston-Villa-Wage-Details" TargetMode="External"/><Relationship Id="rId229" Type="http://schemas.openxmlformats.org/officeDocument/2006/relationships/hyperlink" Target="https://fbref.com/en/players/a78ff07f/Joao-Palhinha" TargetMode="External"/><Relationship Id="rId1050" Type="http://schemas.openxmlformats.org/officeDocument/2006/relationships/hyperlink" Target="https://fbref.com/en/squads/4ba7cbea/2025-2026/wages/Bournemouth-Wage-Details" TargetMode="External"/><Relationship Id="rId220" Type="http://schemas.openxmlformats.org/officeDocument/2006/relationships/hyperlink" Target="https://fbref.com/en/players/828657ff/Amadou-Onana" TargetMode="External"/><Relationship Id="rId1051" Type="http://schemas.openxmlformats.org/officeDocument/2006/relationships/hyperlink" Target="https://fbref.com/en/players/104d0bb8/Alex-Scott" TargetMode="External"/><Relationship Id="rId1052" Type="http://schemas.openxmlformats.org/officeDocument/2006/relationships/hyperlink" Target="https://fbref.com/en/country/ENG/England-Football" TargetMode="External"/><Relationship Id="rId1053" Type="http://schemas.openxmlformats.org/officeDocument/2006/relationships/hyperlink" Target="https://fbref.com/en/squads/4ba7cbea/2025-2026/wages/Bournemouth-Wage-Details" TargetMode="External"/><Relationship Id="rId1054" Type="http://schemas.openxmlformats.org/officeDocument/2006/relationships/hyperlink" Target="https://fbref.com/en/players/10b9fa99/Ethan-Ampadu" TargetMode="External"/><Relationship Id="rId224" Type="http://schemas.openxmlformats.org/officeDocument/2006/relationships/hyperlink" Target="https://fbref.com/en/country/NED/Netherlands-Football" TargetMode="External"/><Relationship Id="rId1055" Type="http://schemas.openxmlformats.org/officeDocument/2006/relationships/hyperlink" Target="https://fbref.com/en/country/WAL/Wales-Football" TargetMode="External"/><Relationship Id="rId223" Type="http://schemas.openxmlformats.org/officeDocument/2006/relationships/hyperlink" Target="https://fbref.com/en/players/116c35df/Donyell-Malen" TargetMode="External"/><Relationship Id="rId1056" Type="http://schemas.openxmlformats.org/officeDocument/2006/relationships/hyperlink" Target="https://fbref.com/en/squads/5bfb9659/2025-2026/wages/Leeds-United-Wage-Details" TargetMode="External"/><Relationship Id="rId222" Type="http://schemas.openxmlformats.org/officeDocument/2006/relationships/hyperlink" Target="https://fbref.com/en/squads/8602292d/2025-2026/wages/Aston-Villa-Wage-Details" TargetMode="External"/><Relationship Id="rId1057" Type="http://schemas.openxmlformats.org/officeDocument/2006/relationships/hyperlink" Target="https://fbref.com/en/players/d5d22a58/Gabriel-Gudmundsson" TargetMode="External"/><Relationship Id="rId221" Type="http://schemas.openxmlformats.org/officeDocument/2006/relationships/hyperlink" Target="https://fbref.com/en/country/BEL/Belgium-Football" TargetMode="External"/><Relationship Id="rId1058" Type="http://schemas.openxmlformats.org/officeDocument/2006/relationships/hyperlink" Target="https://fbref.com/en/country/SWE/Sweden-Football" TargetMode="External"/><Relationship Id="rId1048" Type="http://schemas.openxmlformats.org/officeDocument/2006/relationships/hyperlink" Target="https://fbref.com/en/players/20b104bc/Adam-Smith" TargetMode="External"/><Relationship Id="rId1049" Type="http://schemas.openxmlformats.org/officeDocument/2006/relationships/hyperlink" Target="https://fbref.com/en/country/ENG/England-Football" TargetMode="External"/><Relationship Id="rId217" Type="http://schemas.openxmlformats.org/officeDocument/2006/relationships/hyperlink" Target="https://fbref.com/en/players/e77dc3b2/Dominic-Solanke" TargetMode="External"/><Relationship Id="rId216" Type="http://schemas.openxmlformats.org/officeDocument/2006/relationships/hyperlink" Target="https://fbref.com/en/squads/8602292d/2025-2026/wages/Aston-Villa-Wage-Details" TargetMode="External"/><Relationship Id="rId215" Type="http://schemas.openxmlformats.org/officeDocument/2006/relationships/hyperlink" Target="https://fbref.com/en/country/ENG/England-Football" TargetMode="External"/><Relationship Id="rId699" Type="http://schemas.openxmlformats.org/officeDocument/2006/relationships/hyperlink" Target="https://fbref.com/en/squads/19538871/2025-2026/wages/Manchester-United-Wage-Details" TargetMode="External"/><Relationship Id="rId214" Type="http://schemas.openxmlformats.org/officeDocument/2006/relationships/hyperlink" Target="https://fbref.com/en/players/f586779e/Tammy-Abraham" TargetMode="External"/><Relationship Id="rId698" Type="http://schemas.openxmlformats.org/officeDocument/2006/relationships/hyperlink" Target="https://fbref.com/en/country/BEL/Belgium-Football" TargetMode="External"/><Relationship Id="rId219" Type="http://schemas.openxmlformats.org/officeDocument/2006/relationships/hyperlink" Target="https://fbref.com/en/squads/361ca564/2025-2026/wages/Tottenham-Hotspur-Wage-Details" TargetMode="External"/><Relationship Id="rId218" Type="http://schemas.openxmlformats.org/officeDocument/2006/relationships/hyperlink" Target="https://fbref.com/en/country/ENG/England-Football" TargetMode="External"/><Relationship Id="rId693" Type="http://schemas.openxmlformats.org/officeDocument/2006/relationships/hyperlink" Target="https://fbref.com/en/squads/18bb7c10/2025-2026/wages/Arsenal-Wage-Details" TargetMode="External"/><Relationship Id="rId1040" Type="http://schemas.openxmlformats.org/officeDocument/2006/relationships/hyperlink" Target="https://fbref.com/en/country/ENG/England-Football" TargetMode="External"/><Relationship Id="rId692" Type="http://schemas.openxmlformats.org/officeDocument/2006/relationships/hyperlink" Target="https://fbref.com/en/country/ECU/Ecuador-Football" TargetMode="External"/><Relationship Id="rId1041" Type="http://schemas.openxmlformats.org/officeDocument/2006/relationships/hyperlink" Target="https://fbref.com/en/squads/361ca564/2025-2026/wages/Tottenham-Hotspur-Wage-Details" TargetMode="External"/><Relationship Id="rId691" Type="http://schemas.openxmlformats.org/officeDocument/2006/relationships/hyperlink" Target="https://fbref.com/en/players/0c7a48f8/Piero-Hincapie" TargetMode="External"/><Relationship Id="rId1042" Type="http://schemas.openxmlformats.org/officeDocument/2006/relationships/hyperlink" Target="https://fbref.com/en/players/35516eac/Wilson-Odobert" TargetMode="External"/><Relationship Id="rId690" Type="http://schemas.openxmlformats.org/officeDocument/2006/relationships/hyperlink" Target="https://fbref.com/en/squads/18bb7c10/2025-2026/wages/Arsenal-Wage-Details" TargetMode="External"/><Relationship Id="rId1043" Type="http://schemas.openxmlformats.org/officeDocument/2006/relationships/hyperlink" Target="https://fbref.com/en/country/FRA/France-Football" TargetMode="External"/><Relationship Id="rId213" Type="http://schemas.openxmlformats.org/officeDocument/2006/relationships/hyperlink" Target="https://fbref.com/en/squads/18bb7c10/2025-2026/wages/Arsenal-Wage-Details" TargetMode="External"/><Relationship Id="rId697" Type="http://schemas.openxmlformats.org/officeDocument/2006/relationships/hyperlink" Target="https://fbref.com/en/players/8e6d2fcd/Senne-Lammens" TargetMode="External"/><Relationship Id="rId1044" Type="http://schemas.openxmlformats.org/officeDocument/2006/relationships/hyperlink" Target="https://fbref.com/en/squads/361ca564/2025-2026/wages/Tottenham-Hotspur-Wage-Details" TargetMode="External"/><Relationship Id="rId212" Type="http://schemas.openxmlformats.org/officeDocument/2006/relationships/hyperlink" Target="https://fbref.com/en/country/ENG/England-Football" TargetMode="External"/><Relationship Id="rId696" Type="http://schemas.openxmlformats.org/officeDocument/2006/relationships/hyperlink" Target="https://fbref.com/en/squads/fd962109/2025-2026/wages/Fulham-Wage-Details" TargetMode="External"/><Relationship Id="rId1045" Type="http://schemas.openxmlformats.org/officeDocument/2006/relationships/hyperlink" Target="https://fbref.com/en/players/5cbd1eb0/Tyrick-Mitchell" TargetMode="External"/><Relationship Id="rId211" Type="http://schemas.openxmlformats.org/officeDocument/2006/relationships/hyperlink" Target="https://fbref.com/en/players/bf34eebd/Noni-Madueke" TargetMode="External"/><Relationship Id="rId695" Type="http://schemas.openxmlformats.org/officeDocument/2006/relationships/hyperlink" Target="https://fbref.com/en/country/SRB/Serbia-Football" TargetMode="External"/><Relationship Id="rId1046" Type="http://schemas.openxmlformats.org/officeDocument/2006/relationships/hyperlink" Target="https://fbref.com/en/country/ENG/England-Football" TargetMode="External"/><Relationship Id="rId210" Type="http://schemas.openxmlformats.org/officeDocument/2006/relationships/hyperlink" Target="https://fbref.com/en/squads/18bb7c10/2025-2026/wages/Arsenal-Wage-Details" TargetMode="External"/><Relationship Id="rId694" Type="http://schemas.openxmlformats.org/officeDocument/2006/relationships/hyperlink" Target="https://fbref.com/en/players/c6e8cf1f/Sasa-Lukic" TargetMode="External"/><Relationship Id="rId1047" Type="http://schemas.openxmlformats.org/officeDocument/2006/relationships/hyperlink" Target="https://fbref.com/en/squads/47c64c55/2025-2026/wages/Crystal-Palace-Wage-Details" TargetMode="External"/><Relationship Id="rId249" Type="http://schemas.openxmlformats.org/officeDocument/2006/relationships/hyperlink" Target="https://fbref.com/en/squads/b8fd03ef/2025-2026/wages/Manchester-City-Wage-Details" TargetMode="External"/><Relationship Id="rId248" Type="http://schemas.openxmlformats.org/officeDocument/2006/relationships/hyperlink" Target="https://fbref.com/en/country/POR/Portugal-Football" TargetMode="External"/><Relationship Id="rId247" Type="http://schemas.openxmlformats.org/officeDocument/2006/relationships/hyperlink" Target="https://fbref.com/en/players/e6af02e0/Matheus-Nunes" TargetMode="External"/><Relationship Id="rId1070" Type="http://schemas.openxmlformats.org/officeDocument/2006/relationships/hyperlink" Target="https://fbref.com/en/country/ESP/Spain-Football" TargetMode="External"/><Relationship Id="rId1071" Type="http://schemas.openxmlformats.org/officeDocument/2006/relationships/hyperlink" Target="https://fbref.com/en/squads/822bd0ba/2025-2026/wages/Liverpool-Wage-Details" TargetMode="External"/><Relationship Id="rId1072" Type="http://schemas.openxmlformats.org/officeDocument/2006/relationships/hyperlink" Target="https://fbref.com/en/players/9a71e978/Ki-Jana-Hoever" TargetMode="External"/><Relationship Id="rId242" Type="http://schemas.openxmlformats.org/officeDocument/2006/relationships/hyperlink" Target="https://fbref.com/en/country/SCO/Scotland-Football" TargetMode="External"/><Relationship Id="rId1073" Type="http://schemas.openxmlformats.org/officeDocument/2006/relationships/hyperlink" Target="https://fbref.com/en/country/NED/Netherlands-Football" TargetMode="External"/><Relationship Id="rId241" Type="http://schemas.openxmlformats.org/officeDocument/2006/relationships/hyperlink" Target="https://fbref.com/en/players/90f91999/John-McGinn" TargetMode="External"/><Relationship Id="rId1074" Type="http://schemas.openxmlformats.org/officeDocument/2006/relationships/hyperlink" Target="https://fbref.com/en/squads/8cec06e1/2025-2026/wages/Wolverhampton-Wanderers-Wage-Details" TargetMode="External"/><Relationship Id="rId240" Type="http://schemas.openxmlformats.org/officeDocument/2006/relationships/hyperlink" Target="https://fbref.com/en/squads/b2b47a98/2025-2026/wages/Newcastle-United-Wage-Details" TargetMode="External"/><Relationship Id="rId1075" Type="http://schemas.openxmlformats.org/officeDocument/2006/relationships/hyperlink" Target="https://fbref.com/en/players/edc98fac/Santiago-Bueno" TargetMode="External"/><Relationship Id="rId1076" Type="http://schemas.openxmlformats.org/officeDocument/2006/relationships/hyperlink" Target="https://fbref.com/en/country/URU/Uruguay-Football" TargetMode="External"/><Relationship Id="rId246" Type="http://schemas.openxmlformats.org/officeDocument/2006/relationships/hyperlink" Target="https://fbref.com/en/squads/8602292d/2025-2026/wages/Aston-Villa-Wage-Details" TargetMode="External"/><Relationship Id="rId1077" Type="http://schemas.openxmlformats.org/officeDocument/2006/relationships/hyperlink" Target="https://fbref.com/en/squads/8cec06e1/2025-2026/wages/Wolverhampton-Wanderers-Wage-Details" TargetMode="External"/><Relationship Id="rId245" Type="http://schemas.openxmlformats.org/officeDocument/2006/relationships/hyperlink" Target="https://fbref.com/en/country/ENG/England-Football" TargetMode="External"/><Relationship Id="rId1078" Type="http://schemas.openxmlformats.org/officeDocument/2006/relationships/hyperlink" Target="https://fbref.com/en/players/47ce793b/Chemsdine-Talbi" TargetMode="External"/><Relationship Id="rId244" Type="http://schemas.openxmlformats.org/officeDocument/2006/relationships/hyperlink" Target="https://fbref.com/en/players/aed3a70f/Ollie-Watkins" TargetMode="External"/><Relationship Id="rId1079" Type="http://schemas.openxmlformats.org/officeDocument/2006/relationships/hyperlink" Target="https://fbref.com/en/country/MAR/Morocco-Football" TargetMode="External"/><Relationship Id="rId243" Type="http://schemas.openxmlformats.org/officeDocument/2006/relationships/hyperlink" Target="https://fbref.com/en/squads/8602292d/2025-2026/wages/Aston-Villa-Wage-Details" TargetMode="External"/><Relationship Id="rId239" Type="http://schemas.openxmlformats.org/officeDocument/2006/relationships/hyperlink" Target="https://fbref.com/en/country/GER/Germany-Football" TargetMode="External"/><Relationship Id="rId238" Type="http://schemas.openxmlformats.org/officeDocument/2006/relationships/hyperlink" Target="https://fbref.com/en/players/7ca196eb/Nick-Woltemade" TargetMode="External"/><Relationship Id="rId237" Type="http://schemas.openxmlformats.org/officeDocument/2006/relationships/hyperlink" Target="https://fbref.com/en/squads/8602292d/2025-2026/wages/Aston-Villa-Wage-Details" TargetMode="External"/><Relationship Id="rId236" Type="http://schemas.openxmlformats.org/officeDocument/2006/relationships/hyperlink" Target="https://fbref.com/en/country/FRA/France-Football" TargetMode="External"/><Relationship Id="rId1060" Type="http://schemas.openxmlformats.org/officeDocument/2006/relationships/hyperlink" Target="https://fbref.com/en/players/8d62d31a/Joe-Rodon" TargetMode="External"/><Relationship Id="rId1061" Type="http://schemas.openxmlformats.org/officeDocument/2006/relationships/hyperlink" Target="https://fbref.com/en/country/WAL/Wales-Football" TargetMode="External"/><Relationship Id="rId231" Type="http://schemas.openxmlformats.org/officeDocument/2006/relationships/hyperlink" Target="https://fbref.com/en/squads/361ca564/2025-2026/wages/Tottenham-Hotspur-Wage-Details" TargetMode="External"/><Relationship Id="rId1062" Type="http://schemas.openxmlformats.org/officeDocument/2006/relationships/hyperlink" Target="https://fbref.com/en/squads/5bfb9659/2025-2026/wages/Leeds-United-Wage-Details" TargetMode="External"/><Relationship Id="rId230" Type="http://schemas.openxmlformats.org/officeDocument/2006/relationships/hyperlink" Target="https://fbref.com/en/country/POR/Portugal-Football" TargetMode="External"/><Relationship Id="rId1063" Type="http://schemas.openxmlformats.org/officeDocument/2006/relationships/hyperlink" Target="https://fbref.com/en/players/1f0072a6/Joel-Piroe" TargetMode="External"/><Relationship Id="rId1064" Type="http://schemas.openxmlformats.org/officeDocument/2006/relationships/hyperlink" Target="https://fbref.com/en/country/SUR/Suriname-Football" TargetMode="External"/><Relationship Id="rId1065" Type="http://schemas.openxmlformats.org/officeDocument/2006/relationships/hyperlink" Target="https://fbref.com/en/squads/5bfb9659/2025-2026/wages/Leeds-United-Wage-Details" TargetMode="External"/><Relationship Id="rId235" Type="http://schemas.openxmlformats.org/officeDocument/2006/relationships/hyperlink" Target="https://fbref.com/en/players/1b84dbe1/Lucas-Digne" TargetMode="External"/><Relationship Id="rId1066" Type="http://schemas.openxmlformats.org/officeDocument/2006/relationships/hyperlink" Target="https://fbref.com/en/players/75fdd638/Wilfried-Gnonto" TargetMode="External"/><Relationship Id="rId234" Type="http://schemas.openxmlformats.org/officeDocument/2006/relationships/hyperlink" Target="https://fbref.com/en/squads/19538871/2025-2026/wages/Manchester-United-Wage-Details" TargetMode="External"/><Relationship Id="rId1067" Type="http://schemas.openxmlformats.org/officeDocument/2006/relationships/hyperlink" Target="https://fbref.com/en/country/ITA/Italy-Football" TargetMode="External"/><Relationship Id="rId233" Type="http://schemas.openxmlformats.org/officeDocument/2006/relationships/hyperlink" Target="https://fbref.com/en/country/MAR/Morocco-Football" TargetMode="External"/><Relationship Id="rId1068" Type="http://schemas.openxmlformats.org/officeDocument/2006/relationships/hyperlink" Target="https://fbref.com/en/squads/5bfb9659/2025-2026/wages/Leeds-United-Wage-Details" TargetMode="External"/><Relationship Id="rId232" Type="http://schemas.openxmlformats.org/officeDocument/2006/relationships/hyperlink" Target="https://fbref.com/en/players/b74277a0/Noussair-Mazraoui" TargetMode="External"/><Relationship Id="rId1069" Type="http://schemas.openxmlformats.org/officeDocument/2006/relationships/hyperlink" Target="https://fbref.com/en/players/32e8417f/Stefan-Bajcetic" TargetMode="External"/><Relationship Id="rId1015" Type="http://schemas.openxmlformats.org/officeDocument/2006/relationships/hyperlink" Target="https://fbref.com/en/country/FRA/France-Football" TargetMode="External"/><Relationship Id="rId1499" Type="http://schemas.openxmlformats.org/officeDocument/2006/relationships/hyperlink" Target="https://fbref.com/en/squads/7c21e445/2025-2026/wages/West-Ham-United-Wage-Details" TargetMode="External"/><Relationship Id="rId1016" Type="http://schemas.openxmlformats.org/officeDocument/2006/relationships/hyperlink" Target="https://fbref.com/en/squads/d3fd31cc/2025-2026/wages/Everton-Wage-Details" TargetMode="External"/><Relationship Id="rId1017" Type="http://schemas.openxmlformats.org/officeDocument/2006/relationships/hyperlink" Target="https://fbref.com/en/players/e041497d/Nicolo-Savona" TargetMode="External"/><Relationship Id="rId1018" Type="http://schemas.openxmlformats.org/officeDocument/2006/relationships/hyperlink" Target="https://fbref.com/en/country/ITA/Italy-Football" TargetMode="External"/><Relationship Id="rId1019" Type="http://schemas.openxmlformats.org/officeDocument/2006/relationships/hyperlink" Target="https://fbref.com/en/squads/e4a775cb/2025-2026/wages/Nottingham-Forest-Wage-Details" TargetMode="External"/><Relationship Id="rId668" Type="http://schemas.openxmlformats.org/officeDocument/2006/relationships/hyperlink" Target="https://fbref.com/en/country/COL/Colombia-Football" TargetMode="External"/><Relationship Id="rId667" Type="http://schemas.openxmlformats.org/officeDocument/2006/relationships/hyperlink" Target="https://fbref.com/en/players/86d96066/Jhon-Arias" TargetMode="External"/><Relationship Id="rId666" Type="http://schemas.openxmlformats.org/officeDocument/2006/relationships/hyperlink" Target="https://fbref.com/en/squads/8cec06e1/2025-2026/wages/Wolverhampton-Wanderers-Wage-Details" TargetMode="External"/><Relationship Id="rId665" Type="http://schemas.openxmlformats.org/officeDocument/2006/relationships/hyperlink" Target="https://fbref.com/en/country/CMR/Cameroon-Football" TargetMode="External"/><Relationship Id="rId669" Type="http://schemas.openxmlformats.org/officeDocument/2006/relationships/hyperlink" Target="https://fbref.com/en/squads/8cec06e1/2025-2026/wages/Wolverhampton-Wanderers-Wage-Details" TargetMode="External"/><Relationship Id="rId1490" Type="http://schemas.openxmlformats.org/officeDocument/2006/relationships/hyperlink" Target="https://fbref.com/en/squads/4ba7cbea/2025-2026/wages/Bournemouth-Wage-Details" TargetMode="External"/><Relationship Id="rId660" Type="http://schemas.openxmlformats.org/officeDocument/2006/relationships/hyperlink" Target="https://fbref.com/en/squads/4ba7cbea/2025-2026/wages/Bournemouth-Wage-Details" TargetMode="External"/><Relationship Id="rId1491" Type="http://schemas.openxmlformats.org/officeDocument/2006/relationships/hyperlink" Target="https://fbref.com/en/players/1fc4f3d1/Ilia-Gruev" TargetMode="External"/><Relationship Id="rId1492" Type="http://schemas.openxmlformats.org/officeDocument/2006/relationships/hyperlink" Target="https://fbref.com/en/country/BUL/Bulgaria-Football" TargetMode="External"/><Relationship Id="rId1493" Type="http://schemas.openxmlformats.org/officeDocument/2006/relationships/hyperlink" Target="https://fbref.com/en/squads/5bfb9659/2025-2026/wages/Leeds-United-Wage-Details" TargetMode="External"/><Relationship Id="rId1010" Type="http://schemas.openxmlformats.org/officeDocument/2006/relationships/hyperlink" Target="https://fbref.com/en/squads/cff3d9bb/2025-2026/wages/Chelsea-Wage-Details" TargetMode="External"/><Relationship Id="rId1494" Type="http://schemas.openxmlformats.org/officeDocument/2006/relationships/hyperlink" Target="https://fbref.com/en/players/86bf27f0/Freddie-Potts" TargetMode="External"/><Relationship Id="rId664" Type="http://schemas.openxmlformats.org/officeDocument/2006/relationships/hyperlink" Target="https://fbref.com/en/players/aeca7743/Jackson-Tchatchoua" TargetMode="External"/><Relationship Id="rId1011" Type="http://schemas.openxmlformats.org/officeDocument/2006/relationships/hyperlink" Target="https://fbref.com/en/players/5ed97752/Iliman-Ndiaye" TargetMode="External"/><Relationship Id="rId1495" Type="http://schemas.openxmlformats.org/officeDocument/2006/relationships/hyperlink" Target="https://fbref.com/en/country/ENG/England-Football" TargetMode="External"/><Relationship Id="rId663" Type="http://schemas.openxmlformats.org/officeDocument/2006/relationships/hyperlink" Target="https://fbref.com/en/squads/8602292d/2025-2026/wages/Aston-Villa-Wage-Details" TargetMode="External"/><Relationship Id="rId1012" Type="http://schemas.openxmlformats.org/officeDocument/2006/relationships/hyperlink" Target="https://fbref.com/en/country/SEN/Senegal-Football" TargetMode="External"/><Relationship Id="rId1496" Type="http://schemas.openxmlformats.org/officeDocument/2006/relationships/hyperlink" Target="https://fbref.com/en/squads/7c21e445/2025-2026/wages/West-Ham-United-Wage-Details" TargetMode="External"/><Relationship Id="rId662" Type="http://schemas.openxmlformats.org/officeDocument/2006/relationships/hyperlink" Target="https://fbref.com/en/country/ENG/England-Football" TargetMode="External"/><Relationship Id="rId1013" Type="http://schemas.openxmlformats.org/officeDocument/2006/relationships/hyperlink" Target="https://fbref.com/en/squads/d3fd31cc/2025-2026/wages/Everton-Wage-Details" TargetMode="External"/><Relationship Id="rId1497" Type="http://schemas.openxmlformats.org/officeDocument/2006/relationships/hyperlink" Target="https://fbref.com/en/players/123d2733/George-Earthy" TargetMode="External"/><Relationship Id="rId661" Type="http://schemas.openxmlformats.org/officeDocument/2006/relationships/hyperlink" Target="https://fbref.com/en/players/b9e1436c/Harvey-Elliott" TargetMode="External"/><Relationship Id="rId1014" Type="http://schemas.openxmlformats.org/officeDocument/2006/relationships/hyperlink" Target="https://fbref.com/en/players/52c3244b/Thierno-Barry" TargetMode="External"/><Relationship Id="rId1498" Type="http://schemas.openxmlformats.org/officeDocument/2006/relationships/hyperlink" Target="https://fbref.com/en/country/ENG/England-Football" TargetMode="External"/><Relationship Id="rId1004" Type="http://schemas.openxmlformats.org/officeDocument/2006/relationships/hyperlink" Target="https://fbref.com/en/squads/b2b47a98/2025-2026/wages/Newcastle-United-Wage-Details" TargetMode="External"/><Relationship Id="rId1488" Type="http://schemas.openxmlformats.org/officeDocument/2006/relationships/hyperlink" Target="https://fbref.com/en/players/f8eca1b6/Enes-Unal" TargetMode="External"/><Relationship Id="rId1005" Type="http://schemas.openxmlformats.org/officeDocument/2006/relationships/hyperlink" Target="https://fbref.com/en/players/d56b9520/Malo-Gusto" TargetMode="External"/><Relationship Id="rId1489" Type="http://schemas.openxmlformats.org/officeDocument/2006/relationships/hyperlink" Target="https://fbref.com/en/country/TUR/Turkey-Football" TargetMode="External"/><Relationship Id="rId1006" Type="http://schemas.openxmlformats.org/officeDocument/2006/relationships/hyperlink" Target="https://fbref.com/en/country/FRA/France-Football" TargetMode="External"/><Relationship Id="rId1007" Type="http://schemas.openxmlformats.org/officeDocument/2006/relationships/hyperlink" Target="https://fbref.com/en/squads/cff3d9bb/2025-2026/wages/Chelsea-Wage-Details" TargetMode="External"/><Relationship Id="rId1008" Type="http://schemas.openxmlformats.org/officeDocument/2006/relationships/hyperlink" Target="https://fbref.com/en/players/ecad9aa5/Romeo-Lavia" TargetMode="External"/><Relationship Id="rId1009" Type="http://schemas.openxmlformats.org/officeDocument/2006/relationships/hyperlink" Target="https://fbref.com/en/country/BEL/Belgium-Football" TargetMode="External"/><Relationship Id="rId657" Type="http://schemas.openxmlformats.org/officeDocument/2006/relationships/hyperlink" Target="https://fbref.com/en/squads/361ca564/2025-2026/wages/Tottenham-Hotspur-Wage-Details" TargetMode="External"/><Relationship Id="rId656" Type="http://schemas.openxmlformats.org/officeDocument/2006/relationships/hyperlink" Target="https://fbref.com/en/country/AUT/Austria-Football" TargetMode="External"/><Relationship Id="rId655" Type="http://schemas.openxmlformats.org/officeDocument/2006/relationships/hyperlink" Target="https://fbref.com/en/players/6e33125f/Kevin-Danso" TargetMode="External"/><Relationship Id="rId654" Type="http://schemas.openxmlformats.org/officeDocument/2006/relationships/hyperlink" Target="https://fbref.com/en/squads/fd962109/2025-2026/wages/Fulham-Wage-Details" TargetMode="External"/><Relationship Id="rId659" Type="http://schemas.openxmlformats.org/officeDocument/2006/relationships/hyperlink" Target="https://fbref.com/en/country/ENG/England-Football" TargetMode="External"/><Relationship Id="rId658" Type="http://schemas.openxmlformats.org/officeDocument/2006/relationships/hyperlink" Target="https://fbref.com/en/players/5c0da4a4/Marcus-Tavernier" TargetMode="External"/><Relationship Id="rId1480" Type="http://schemas.openxmlformats.org/officeDocument/2006/relationships/hyperlink" Target="https://fbref.com/en/country/ENG/England-Football" TargetMode="External"/><Relationship Id="rId1481" Type="http://schemas.openxmlformats.org/officeDocument/2006/relationships/hyperlink" Target="https://fbref.com/en/squads/361ca564/2025-2026/wages/Tottenham-Hotspur-Wage-Details" TargetMode="External"/><Relationship Id="rId1482" Type="http://schemas.openxmlformats.org/officeDocument/2006/relationships/hyperlink" Target="https://fbref.com/en/players/21945a9e/Dane-Scarlett" TargetMode="External"/><Relationship Id="rId1483" Type="http://schemas.openxmlformats.org/officeDocument/2006/relationships/hyperlink" Target="https://fbref.com/en/country/ENG/England-Football" TargetMode="External"/><Relationship Id="rId653" Type="http://schemas.openxmlformats.org/officeDocument/2006/relationships/hyperlink" Target="https://fbref.com/en/country/NOR/Norway-Football" TargetMode="External"/><Relationship Id="rId1000" Type="http://schemas.openxmlformats.org/officeDocument/2006/relationships/hyperlink" Target="https://fbref.com/en/country/NED/Netherlands-Football" TargetMode="External"/><Relationship Id="rId1484" Type="http://schemas.openxmlformats.org/officeDocument/2006/relationships/hyperlink" Target="https://fbref.com/en/squads/361ca564/2025-2026/wages/Tottenham-Hotspur-Wage-Details" TargetMode="External"/><Relationship Id="rId652" Type="http://schemas.openxmlformats.org/officeDocument/2006/relationships/hyperlink" Target="https://fbref.com/en/players/eed2427e/Oscar-Bobb" TargetMode="External"/><Relationship Id="rId1001" Type="http://schemas.openxmlformats.org/officeDocument/2006/relationships/hyperlink" Target="https://fbref.com/en/squads/943e8050/2025-2026/wages/Burnley-Wage-Details" TargetMode="External"/><Relationship Id="rId1485" Type="http://schemas.openxmlformats.org/officeDocument/2006/relationships/hyperlink" Target="https://fbref.com/en/players/87189f25/Romain-Esse" TargetMode="External"/><Relationship Id="rId651" Type="http://schemas.openxmlformats.org/officeDocument/2006/relationships/hyperlink" Target="https://fbref.com/en/squads/d07537b9/2025-2026/wages/Brighton-and-Hove-Albion-Wage-Details" TargetMode="External"/><Relationship Id="rId1002" Type="http://schemas.openxmlformats.org/officeDocument/2006/relationships/hyperlink" Target="https://fbref.com/en/players/da011f18/Lewis-Hall" TargetMode="External"/><Relationship Id="rId1486" Type="http://schemas.openxmlformats.org/officeDocument/2006/relationships/hyperlink" Target="https://fbref.com/en/country/ENG/England-Football" TargetMode="External"/><Relationship Id="rId650" Type="http://schemas.openxmlformats.org/officeDocument/2006/relationships/hyperlink" Target="https://fbref.com/en/country/DEN/Denmark-Football" TargetMode="External"/><Relationship Id="rId1003" Type="http://schemas.openxmlformats.org/officeDocument/2006/relationships/hyperlink" Target="https://fbref.com/en/country/ENG/England-Football" TargetMode="External"/><Relationship Id="rId1487" Type="http://schemas.openxmlformats.org/officeDocument/2006/relationships/hyperlink" Target="https://fbref.com/en/squads/47c64c55/2025-2026/wages/Crystal-Palace-Wage-Details" TargetMode="External"/><Relationship Id="rId1037" Type="http://schemas.openxmlformats.org/officeDocument/2006/relationships/hyperlink" Target="https://fbref.com/en/country/DEN/Denmark-Football" TargetMode="External"/><Relationship Id="rId1038" Type="http://schemas.openxmlformats.org/officeDocument/2006/relationships/hyperlink" Target="https://fbref.com/en/squads/19538871/2025-2026/wages/Manchester-United-Wage-Details" TargetMode="External"/><Relationship Id="rId1039" Type="http://schemas.openxmlformats.org/officeDocument/2006/relationships/hyperlink" Target="https://fbref.com/en/players/9bc9a519/Djed-Spence" TargetMode="External"/><Relationship Id="rId206" Type="http://schemas.openxmlformats.org/officeDocument/2006/relationships/hyperlink" Target="https://fbref.com/en/country/ENG/England-Football" TargetMode="External"/><Relationship Id="rId205" Type="http://schemas.openxmlformats.org/officeDocument/2006/relationships/hyperlink" Target="https://fbref.com/en/players/35e413f1/Ben-White" TargetMode="External"/><Relationship Id="rId689" Type="http://schemas.openxmlformats.org/officeDocument/2006/relationships/hyperlink" Target="https://fbref.com/en/country/DEN/Denmark-Football" TargetMode="External"/><Relationship Id="rId204" Type="http://schemas.openxmlformats.org/officeDocument/2006/relationships/hyperlink" Target="https://fbref.com/en/squads/d3fd31cc/2025-2026/wages/Everton-Wage-Details" TargetMode="External"/><Relationship Id="rId688" Type="http://schemas.openxmlformats.org/officeDocument/2006/relationships/hyperlink" Target="https://fbref.com/en/players/df0a4c90/Christian-Norgaard" TargetMode="External"/><Relationship Id="rId203" Type="http://schemas.openxmlformats.org/officeDocument/2006/relationships/hyperlink" Target="https://fbref.com/en/country/ENG/England-Football" TargetMode="External"/><Relationship Id="rId687" Type="http://schemas.openxmlformats.org/officeDocument/2006/relationships/hyperlink" Target="https://fbref.com/en/squads/fd962109/2025-2026/wages/Fulham-Wage-Details" TargetMode="External"/><Relationship Id="rId209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67ac5bb8/Gabriel-Magalhaes" TargetMode="External"/><Relationship Id="rId207" Type="http://schemas.openxmlformats.org/officeDocument/2006/relationships/hyperlink" Target="https://fbref.com/en/squads/18bb7c10/2025-2026/wages/Arsenal-Wage-Details" TargetMode="External"/><Relationship Id="rId682" Type="http://schemas.openxmlformats.org/officeDocument/2006/relationships/hyperlink" Target="https://fbref.com/en/players/77d7c96f/Kenny-Tete" TargetMode="External"/><Relationship Id="rId681" Type="http://schemas.openxmlformats.org/officeDocument/2006/relationships/hyperlink" Target="https://fbref.com/en/squads/e4a775cb/2025-2026/wages/Nottingham-Forest-Wage-Details" TargetMode="External"/><Relationship Id="rId1030" Type="http://schemas.openxmlformats.org/officeDocument/2006/relationships/hyperlink" Target="https://fbref.com/en/players/c3e39f12/Fraser-Forster" TargetMode="External"/><Relationship Id="rId680" Type="http://schemas.openxmlformats.org/officeDocument/2006/relationships/hyperlink" Target="https://fbref.com/en/country/WAL/Wales-Football" TargetMode="External"/><Relationship Id="rId1031" Type="http://schemas.openxmlformats.org/officeDocument/2006/relationships/hyperlink" Target="https://fbref.com/en/country/ENG/England-Football" TargetMode="External"/><Relationship Id="rId1032" Type="http://schemas.openxmlformats.org/officeDocument/2006/relationships/hyperlink" Target="https://fbref.com/en/squads/4ba7cbea/2025-2026/wages/Bournemouth-Wage-Details" TargetMode="External"/><Relationship Id="rId202" Type="http://schemas.openxmlformats.org/officeDocument/2006/relationships/hyperlink" Target="https://fbref.com/en/players/4806ec67/Jordan-Pickford" TargetMode="External"/><Relationship Id="rId686" Type="http://schemas.openxmlformats.org/officeDocument/2006/relationships/hyperlink" Target="https://fbref.com/en/country/BEL/Belgium-Football" TargetMode="External"/><Relationship Id="rId1033" Type="http://schemas.openxmlformats.org/officeDocument/2006/relationships/hyperlink" Target="https://fbref.com/en/players/ad82197c/Axel-Disasi" TargetMode="External"/><Relationship Id="rId201" Type="http://schemas.openxmlformats.org/officeDocument/2006/relationships/hyperlink" Target="https://fbref.com/en/squads/cff3d9bb/2025-2026/wages/Chelsea-Wage-Details" TargetMode="External"/><Relationship Id="rId685" Type="http://schemas.openxmlformats.org/officeDocument/2006/relationships/hyperlink" Target="https://fbref.com/en/players/197640fd/Timothy-Castagne" TargetMode="External"/><Relationship Id="rId1034" Type="http://schemas.openxmlformats.org/officeDocument/2006/relationships/hyperlink" Target="https://fbref.com/en/country/FRA/France-Football" TargetMode="External"/><Relationship Id="rId200" Type="http://schemas.openxmlformats.org/officeDocument/2006/relationships/hyperlink" Target="https://fbref.com/en/country/ECU/Ecuador-Football" TargetMode="External"/><Relationship Id="rId684" Type="http://schemas.openxmlformats.org/officeDocument/2006/relationships/hyperlink" Target="https://fbref.com/en/squads/fd962109/2025-2026/wages/Fulham-Wage-Details" TargetMode="External"/><Relationship Id="rId1035" Type="http://schemas.openxmlformats.org/officeDocument/2006/relationships/hyperlink" Target="https://fbref.com/en/squads/7c21e445/2025-2026/wages/West-Ham-United-Wage-Details" TargetMode="External"/><Relationship Id="rId683" Type="http://schemas.openxmlformats.org/officeDocument/2006/relationships/hyperlink" Target="https://fbref.com/en/country/NED/Netherlands-Football" TargetMode="External"/><Relationship Id="rId1036" Type="http://schemas.openxmlformats.org/officeDocument/2006/relationships/hyperlink" Target="https://fbref.com/en/players/e6536124/Patrick-Dorgu" TargetMode="External"/><Relationship Id="rId1026" Type="http://schemas.openxmlformats.org/officeDocument/2006/relationships/hyperlink" Target="https://fbref.com/en/players/5dff6c28/Myles-Lewis-Skelly" TargetMode="External"/><Relationship Id="rId1027" Type="http://schemas.openxmlformats.org/officeDocument/2006/relationships/hyperlink" Target="https://fbref.com/en/country/ENG/England-Football" TargetMode="External"/><Relationship Id="rId1028" Type="http://schemas.openxmlformats.org/officeDocument/2006/relationships/hyperlink" Target="https://fbref.com/en/squads/18bb7c10/2025-2026/wages/Arsenal-Wage-Details" TargetMode="External"/><Relationship Id="rId1029" Type="http://schemas.openxmlformats.org/officeDocument/2006/relationships/hyperlink" Target="https://fbref.com/en/squads/4ba7cbea/2025-2026/wages/Bournemouth-Wage-Details" TargetMode="External"/><Relationship Id="rId679" Type="http://schemas.openxmlformats.org/officeDocument/2006/relationships/hyperlink" Target="https://fbref.com/en/players/dd323728/Neco-Williams" TargetMode="External"/><Relationship Id="rId678" Type="http://schemas.openxmlformats.org/officeDocument/2006/relationships/hyperlink" Target="https://fbref.com/en/squads/cd051869/2025-2026/wages/Brentford-Wage-Details" TargetMode="External"/><Relationship Id="rId677" Type="http://schemas.openxmlformats.org/officeDocument/2006/relationships/hyperlink" Target="https://fbref.com/en/country/BFA/Burkina-Faso-Football" TargetMode="External"/><Relationship Id="rId676" Type="http://schemas.openxmlformats.org/officeDocument/2006/relationships/hyperlink" Target="https://fbref.com/en/players/2f9e4435/Dango-Ouattara" TargetMode="External"/><Relationship Id="rId671" Type="http://schemas.openxmlformats.org/officeDocument/2006/relationships/hyperlink" Target="https://fbref.com/en/country/BFA/Burkina-Faso-Football" TargetMode="External"/><Relationship Id="rId670" Type="http://schemas.openxmlformats.org/officeDocument/2006/relationships/hyperlink" Target="https://fbref.com/en/players/c47541e0/Bertrand-Traore" TargetMode="External"/><Relationship Id="rId1020" Type="http://schemas.openxmlformats.org/officeDocument/2006/relationships/hyperlink" Target="https://fbref.com/en/players/a36524bf/Calvin-Bassey" TargetMode="External"/><Relationship Id="rId1021" Type="http://schemas.openxmlformats.org/officeDocument/2006/relationships/hyperlink" Target="https://fbref.com/en/country/NGA/Nigeria-Football" TargetMode="External"/><Relationship Id="rId675" Type="http://schemas.openxmlformats.org/officeDocument/2006/relationships/hyperlink" Target="https://fbref.com/en/squads/8ef52968/2025-2026/wages/Sunderland-Wage-Details" TargetMode="External"/><Relationship Id="rId1022" Type="http://schemas.openxmlformats.org/officeDocument/2006/relationships/hyperlink" Target="https://fbref.com/en/squads/fd962109/2025-2026/wages/Fulham-Wage-Details" TargetMode="External"/><Relationship Id="rId674" Type="http://schemas.openxmlformats.org/officeDocument/2006/relationships/hyperlink" Target="https://fbref.com/en/country/PAR/Paraguay-Football" TargetMode="External"/><Relationship Id="rId1023" Type="http://schemas.openxmlformats.org/officeDocument/2006/relationships/hyperlink" Target="https://fbref.com/en/players/6aa3e78b/Ryan-Sessegnon" TargetMode="External"/><Relationship Id="rId673" Type="http://schemas.openxmlformats.org/officeDocument/2006/relationships/hyperlink" Target="https://fbref.com/en/players/bb08bce9/Omar-Alderete" TargetMode="External"/><Relationship Id="rId1024" Type="http://schemas.openxmlformats.org/officeDocument/2006/relationships/hyperlink" Target="https://fbref.com/en/country/ENG/England-Football" TargetMode="External"/><Relationship Id="rId672" Type="http://schemas.openxmlformats.org/officeDocument/2006/relationships/hyperlink" Target="https://fbref.com/en/squads/8ef52968/2025-2026/wages/Sunderland-Wage-Details" TargetMode="External"/><Relationship Id="rId1025" Type="http://schemas.openxmlformats.org/officeDocument/2006/relationships/hyperlink" Target="https://fbref.com/en/squads/fd962109/2025-2026/wages/Fulham-Wage-Details" TargetMode="External"/><Relationship Id="rId190" Type="http://schemas.openxmlformats.org/officeDocument/2006/relationships/hyperlink" Target="https://fbref.com/en/players/0db169ae/Sandro-Tonali" TargetMode="External"/><Relationship Id="rId194" Type="http://schemas.openxmlformats.org/officeDocument/2006/relationships/hyperlink" Target="https://fbref.com/en/country/ENG/England-Football" TargetMode="External"/><Relationship Id="rId193" Type="http://schemas.openxmlformats.org/officeDocument/2006/relationships/hyperlink" Target="https://fbref.com/en/players/4f565d77/Kalvin-Phillips" TargetMode="External"/><Relationship Id="rId192" Type="http://schemas.openxmlformats.org/officeDocument/2006/relationships/hyperlink" Target="https://fbref.com/en/squads/b2b47a98/2025-2026/wages/Newcastle-United-Wage-Details" TargetMode="External"/><Relationship Id="rId191" Type="http://schemas.openxmlformats.org/officeDocument/2006/relationships/hyperlink" Target="https://fbref.com/en/country/ITA/Italy-Football" TargetMode="External"/><Relationship Id="rId187" Type="http://schemas.openxmlformats.org/officeDocument/2006/relationships/hyperlink" Target="https://fbref.com/en/players/c17bfb65/Joelinton" TargetMode="External"/><Relationship Id="rId186" Type="http://schemas.openxmlformats.org/officeDocument/2006/relationships/hyperlink" Target="https://fbref.com/en/squads/b2b47a98/2025-2026/wages/Newcastle-United-Wage-Details" TargetMode="External"/><Relationship Id="rId185" Type="http://schemas.openxmlformats.org/officeDocument/2006/relationships/hyperlink" Target="https://fbref.com/en/country/ENG/England-Football" TargetMode="External"/><Relationship Id="rId184" Type="http://schemas.openxmlformats.org/officeDocument/2006/relationships/hyperlink" Target="https://fbref.com/en/players/2bd83368/Anthony-Gordon" TargetMode="External"/><Relationship Id="rId189" Type="http://schemas.openxmlformats.org/officeDocument/2006/relationships/hyperlink" Target="https://fbref.com/en/squads/b2b47a98/2025-2026/wages/Newcastle-United-Wage-Details" TargetMode="External"/><Relationship Id="rId188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8602292d/2025-2026/wages/Aston-Villa-Wage-Details" TargetMode="External"/><Relationship Id="rId182" Type="http://schemas.openxmlformats.org/officeDocument/2006/relationships/hyperlink" Target="https://fbref.com/en/country/BEL/Belgium-Football" TargetMode="External"/><Relationship Id="rId181" Type="http://schemas.openxmlformats.org/officeDocument/2006/relationships/hyperlink" Target="https://fbref.com/en/players/56f7a928/Youri-Tielemans" TargetMode="External"/><Relationship Id="rId180" Type="http://schemas.openxmlformats.org/officeDocument/2006/relationships/hyperlink" Target="https://fbref.com/en/squads/8602292d/2025-2026/wages/Aston-Villa-Wage-Details" TargetMode="External"/><Relationship Id="rId176" Type="http://schemas.openxmlformats.org/officeDocument/2006/relationships/hyperlink" Target="https://fbref.com/en/country/ARG/Argentina-Football" TargetMode="External"/><Relationship Id="rId175" Type="http://schemas.openxmlformats.org/officeDocument/2006/relationships/hyperlink" Target="https://fbref.com/en/players/7956236f/Emiliano-Martinez" TargetMode="External"/><Relationship Id="rId174" Type="http://schemas.openxmlformats.org/officeDocument/2006/relationships/hyperlink" Target="https://fbref.com/en/squads/8602292d/2025-2026/wages/Aston-Villa-Wage-Details" TargetMode="External"/><Relationship Id="rId173" Type="http://schemas.openxmlformats.org/officeDocument/2006/relationships/hyperlink" Target="https://fbref.com/en/country/FRA/France-Football" TargetMode="External"/><Relationship Id="rId179" Type="http://schemas.openxmlformats.org/officeDocument/2006/relationships/hyperlink" Target="https://fbref.com/en/country/ENG/England-Football" TargetMode="External"/><Relationship Id="rId178" Type="http://schemas.openxmlformats.org/officeDocument/2006/relationships/hyperlink" Target="https://fbref.com/en/players/2e5915f1/Morgan-Rogers" TargetMode="External"/><Relationship Id="rId177" Type="http://schemas.openxmlformats.org/officeDocument/2006/relationships/hyperlink" Target="https://fbref.com/en/squads/8602292d/2025-2026/wages/Aston-Villa-Wage-Details" TargetMode="External"/><Relationship Id="rId198" Type="http://schemas.openxmlformats.org/officeDocument/2006/relationships/hyperlink" Target="https://fbref.com/en/squads/b8fd03ef/2025-2026/wages/Manchester-City-Wage-Details" TargetMode="External"/><Relationship Id="rId197" Type="http://schemas.openxmlformats.org/officeDocument/2006/relationships/hyperlink" Target="https://fbref.com/en/country/CRO/Croatia-Football" TargetMode="External"/><Relationship Id="rId196" Type="http://schemas.openxmlformats.org/officeDocument/2006/relationships/hyperlink" Target="https://fbref.com/en/players/79c0821a/Mateo-Kovacic" TargetMode="External"/><Relationship Id="rId195" Type="http://schemas.openxmlformats.org/officeDocument/2006/relationships/hyperlink" Target="https://fbref.com/en/squads/b8fd03ef/2025-2026/wages/Manchester-City-Wage-Details" TargetMode="External"/><Relationship Id="rId199" Type="http://schemas.openxmlformats.org/officeDocument/2006/relationships/hyperlink" Target="https://fbref.com/en/players/16264a81/Moises-Caicedo" TargetMode="External"/><Relationship Id="rId150" Type="http://schemas.openxmlformats.org/officeDocument/2006/relationships/hyperlink" Target="https://fbref.com/en/squads/19538871/2025-2026/wages/Manchester-United-Wage-Details" TargetMode="External"/><Relationship Id="rId149" Type="http://schemas.openxmlformats.org/officeDocument/2006/relationships/hyperlink" Target="https://fbref.com/en/country/ENG/England-Football" TargetMode="External"/><Relationship Id="rId148" Type="http://schemas.openxmlformats.org/officeDocument/2006/relationships/hyperlink" Target="https://fbref.com/en/players/9674002f/Mason-Mount" TargetMode="External"/><Relationship Id="rId1090" Type="http://schemas.openxmlformats.org/officeDocument/2006/relationships/hyperlink" Target="https://fbref.com/en/players/a5212312/Joe-Worrall" TargetMode="External"/><Relationship Id="rId1091" Type="http://schemas.openxmlformats.org/officeDocument/2006/relationships/hyperlink" Target="https://fbref.com/en/country/ENG/England-Football" TargetMode="External"/><Relationship Id="rId1092" Type="http://schemas.openxmlformats.org/officeDocument/2006/relationships/hyperlink" Target="https://fbref.com/en/squads/943e8050/2025-2026/wages/Burnley-Wage-Details" TargetMode="External"/><Relationship Id="rId1093" Type="http://schemas.openxmlformats.org/officeDocument/2006/relationships/hyperlink" Target="https://fbref.com/en/players/3a949a25/Martin-Dubravka" TargetMode="External"/><Relationship Id="rId1094" Type="http://schemas.openxmlformats.org/officeDocument/2006/relationships/hyperlink" Target="https://fbref.com/en/country/SVK/Slovakia-Football" TargetMode="External"/><Relationship Id="rId143" Type="http://schemas.openxmlformats.org/officeDocument/2006/relationships/hyperlink" Target="https://fbref.com/en/country/CMR/Cameroon-Football" TargetMode="External"/><Relationship Id="rId1095" Type="http://schemas.openxmlformats.org/officeDocument/2006/relationships/hyperlink" Target="https://fbref.com/en/squads/943e8050/2025-2026/wages/Burnley-Wage-Details" TargetMode="External"/><Relationship Id="rId142" Type="http://schemas.openxmlformats.org/officeDocument/2006/relationships/hyperlink" Target="https://fbref.com/en/players/6afaebf2/Bryan-Mbeumo" TargetMode="External"/><Relationship Id="rId1096" Type="http://schemas.openxmlformats.org/officeDocument/2006/relationships/hyperlink" Target="https://fbref.com/en/players/e514ab62/Matt-Targett" TargetMode="External"/><Relationship Id="rId141" Type="http://schemas.openxmlformats.org/officeDocument/2006/relationships/hyperlink" Target="https://fbref.com/en/squads/b8fd03ef/2025-2026/wages/Manchester-City-Wage-Details" TargetMode="External"/><Relationship Id="rId1097" Type="http://schemas.openxmlformats.org/officeDocument/2006/relationships/hyperlink" Target="https://fbref.com/en/country/ENG/England-Football" TargetMode="External"/><Relationship Id="rId140" Type="http://schemas.openxmlformats.org/officeDocument/2006/relationships/hyperlink" Target="https://fbref.com/en/country/GHA/Ghana-Football" TargetMode="External"/><Relationship Id="rId1098" Type="http://schemas.openxmlformats.org/officeDocument/2006/relationships/hyperlink" Target="https://fbref.com/en/squads/b2b47a98/2025-2026/wages/Newcastle-United-Wage-Details" TargetMode="External"/><Relationship Id="rId147" Type="http://schemas.openxmlformats.org/officeDocument/2006/relationships/hyperlink" Target="https://fbref.com/en/squads/19538871/2025-2026/wages/Manchester-United-Wage-Details" TargetMode="External"/><Relationship Id="rId1099" Type="http://schemas.openxmlformats.org/officeDocument/2006/relationships/hyperlink" Target="https://fbref.com/en/players/966e28d0/Fabio-Carvalho" TargetMode="External"/><Relationship Id="rId146" Type="http://schemas.openxmlformats.org/officeDocument/2006/relationships/hyperlink" Target="https://fbref.com/en/country/ENG/England-Football" TargetMode="External"/><Relationship Id="rId145" Type="http://schemas.openxmlformats.org/officeDocument/2006/relationships/hyperlink" Target="https://fbref.com/en/players/9c94165b/Luke-Shaw" TargetMode="External"/><Relationship Id="rId144" Type="http://schemas.openxmlformats.org/officeDocument/2006/relationships/hyperlink" Target="https://fbref.com/en/squads/19538871/2025-2026/wages/Manchester-United-Wage-Details" TargetMode="External"/><Relationship Id="rId139" Type="http://schemas.openxmlformats.org/officeDocument/2006/relationships/hyperlink" Target="https://fbref.com/en/players/efd2ec23/Antoine-Semenyo" TargetMode="External"/><Relationship Id="rId138" Type="http://schemas.openxmlformats.org/officeDocument/2006/relationships/hyperlink" Target="https://fbref.com/en/squads/cff3d9bb/2025-2026/wages/Chelsea-Wage-Details" TargetMode="External"/><Relationship Id="rId137" Type="http://schemas.openxmlformats.org/officeDocument/2006/relationships/hyperlink" Target="https://fbref.com/en/country/POR/Portugal-Football" TargetMode="External"/><Relationship Id="rId1080" Type="http://schemas.openxmlformats.org/officeDocument/2006/relationships/hyperlink" Target="https://fbref.com/en/squads/8ef52968/2025-2026/wages/Sunderland-Wage-Details" TargetMode="External"/><Relationship Id="rId1081" Type="http://schemas.openxmlformats.org/officeDocument/2006/relationships/hyperlink" Target="https://fbref.com/en/players/645481cc/Noah-Sadiki" TargetMode="External"/><Relationship Id="rId1082" Type="http://schemas.openxmlformats.org/officeDocument/2006/relationships/hyperlink" Target="https://fbref.com/en/country/COD/Congo-DR-Football" TargetMode="External"/><Relationship Id="rId1083" Type="http://schemas.openxmlformats.org/officeDocument/2006/relationships/hyperlink" Target="https://fbref.com/en/squads/8ef52968/2025-2026/wages/Sunderland-Wage-Details" TargetMode="External"/><Relationship Id="rId132" Type="http://schemas.openxmlformats.org/officeDocument/2006/relationships/hyperlink" Target="https://fbref.com/en/squads/b2b47a98/2025-2026/wages/Newcastle-United-Wage-Details" TargetMode="External"/><Relationship Id="rId1084" Type="http://schemas.openxmlformats.org/officeDocument/2006/relationships/hyperlink" Target="https://fbref.com/en/players/d2b32e91/Bashir-Humphreys" TargetMode="External"/><Relationship Id="rId131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country/ENG/England-Football" TargetMode="External"/><Relationship Id="rId130" Type="http://schemas.openxmlformats.org/officeDocument/2006/relationships/hyperlink" Target="https://fbref.com/en/players/82518f62/Bruno-Guimaraes" TargetMode="External"/><Relationship Id="rId1086" Type="http://schemas.openxmlformats.org/officeDocument/2006/relationships/hyperlink" Target="https://fbref.com/en/squads/943e8050/2025-2026/wages/Burnley-Wage-Details" TargetMode="External"/><Relationship Id="rId1087" Type="http://schemas.openxmlformats.org/officeDocument/2006/relationships/hyperlink" Target="https://fbref.com/en/players/881cd6be/Florentino-Luis" TargetMode="External"/><Relationship Id="rId136" Type="http://schemas.openxmlformats.org/officeDocument/2006/relationships/hyperlink" Target="https://fbref.com/en/players/7ba2eaa9/Pedro-Neto" TargetMode="External"/><Relationship Id="rId1088" Type="http://schemas.openxmlformats.org/officeDocument/2006/relationships/hyperlink" Target="https://fbref.com/en/country/POR/Portugal-Football" TargetMode="External"/><Relationship Id="rId135" Type="http://schemas.openxmlformats.org/officeDocument/2006/relationships/hyperlink" Target="https://fbref.com/en/squads/b8fd03ef/2025-2026/wages/Manchester-City-Wage-Details" TargetMode="External"/><Relationship Id="rId1089" Type="http://schemas.openxmlformats.org/officeDocument/2006/relationships/hyperlink" Target="https://fbref.com/en/squads/943e8050/2025-2026/wages/Burnley-Wage-Details" TargetMode="External"/><Relationship Id="rId134" Type="http://schemas.openxmlformats.org/officeDocument/2006/relationships/hyperlink" Target="https://fbref.com/en/country/NED/Netherlands-Football" TargetMode="External"/><Relationship Id="rId133" Type="http://schemas.openxmlformats.org/officeDocument/2006/relationships/hyperlink" Target="https://fbref.com/en/players/eaeca114/Nathan-Ake" TargetMode="External"/><Relationship Id="rId172" Type="http://schemas.openxmlformats.org/officeDocument/2006/relationships/hyperlink" Target="https://fbref.com/en/players/cc77354e/Boubacar-Kamara" TargetMode="External"/><Relationship Id="rId171" Type="http://schemas.openxmlformats.org/officeDocument/2006/relationships/hyperlink" Target="https://fbref.com/en/squads/822bd0ba/2025-2026/wages/Liverpool-Wage-Details" TargetMode="External"/><Relationship Id="rId170" Type="http://schemas.openxmlformats.org/officeDocument/2006/relationships/hyperlink" Target="https://fbref.com/en/country/NED/Netherlands-Football" TargetMode="External"/><Relationship Id="rId165" Type="http://schemas.openxmlformats.org/officeDocument/2006/relationships/hyperlink" Target="https://fbref.com/en/squads/822bd0ba/2025-2026/wages/Liverpool-Wage-Details" TargetMode="External"/><Relationship Id="rId164" Type="http://schemas.openxmlformats.org/officeDocument/2006/relationships/hyperlink" Target="https://fbref.com/en/country/BRA/Brazil-Football" TargetMode="External"/><Relationship Id="rId163" Type="http://schemas.openxmlformats.org/officeDocument/2006/relationships/hyperlink" Target="https://fbref.com/en/players/7a2e46a8/Alisson" TargetMode="External"/><Relationship Id="rId162" Type="http://schemas.openxmlformats.org/officeDocument/2006/relationships/hyperlink" Target="https://fbref.com/en/squads/822bd0ba/2025-2026/wages/Liverpool-Wage-Details" TargetMode="External"/><Relationship Id="rId169" Type="http://schemas.openxmlformats.org/officeDocument/2006/relationships/hyperlink" Target="https://fbref.com/en/players/b8e740fb/Ryan-Gravenberch" TargetMode="External"/><Relationship Id="rId168" Type="http://schemas.openxmlformats.org/officeDocument/2006/relationships/hyperlink" Target="https://fbref.com/en/squads/822bd0ba/2025-2026/wages/Liverpool-Wage-Details" TargetMode="External"/><Relationship Id="rId167" Type="http://schemas.openxmlformats.org/officeDocument/2006/relationships/hyperlink" Target="https://fbref.com/en/country/ITA/Italy-Football" TargetMode="External"/><Relationship Id="rId166" Type="http://schemas.openxmlformats.org/officeDocument/2006/relationships/hyperlink" Target="https://fbref.com/en/players/b0f7e36c/Federico-Chiesa" TargetMode="External"/><Relationship Id="rId161" Type="http://schemas.openxmlformats.org/officeDocument/2006/relationships/hyperlink" Target="https://fbref.com/en/country/ARG/Argentina-Football" TargetMode="External"/><Relationship Id="rId160" Type="http://schemas.openxmlformats.org/officeDocument/2006/relationships/hyperlink" Target="https://fbref.com/en/players/83d074ff/Alexis-Mac-Allister" TargetMode="External"/><Relationship Id="rId159" Type="http://schemas.openxmlformats.org/officeDocument/2006/relationships/hyperlink" Target="https://fbref.com/en/squads/7c21e445/2025-2026/wages/West-Ham-United-Wage-Details" TargetMode="External"/><Relationship Id="rId154" Type="http://schemas.openxmlformats.org/officeDocument/2006/relationships/hyperlink" Target="https://fbref.com/en/players/c0b3669f/Randal-Kolo-Muani" TargetMode="External"/><Relationship Id="rId153" Type="http://schemas.openxmlformats.org/officeDocument/2006/relationships/hyperlink" Target="https://fbref.com/en/squads/361ca564/2025-2026/wages/Tottenham-Hotspur-Wage-Details" TargetMode="External"/><Relationship Id="rId152" Type="http://schemas.openxmlformats.org/officeDocument/2006/relationships/hyperlink" Target="https://fbref.com/en/country/GHA/Ghana-Football" TargetMode="External"/><Relationship Id="rId151" Type="http://schemas.openxmlformats.org/officeDocument/2006/relationships/hyperlink" Target="https://fbref.com/en/players/b62878a5/Mohammed-Kudus" TargetMode="External"/><Relationship Id="rId158" Type="http://schemas.openxmlformats.org/officeDocument/2006/relationships/hyperlink" Target="https://fbref.com/en/country/ENG/England-Football" TargetMode="External"/><Relationship Id="rId157" Type="http://schemas.openxmlformats.org/officeDocument/2006/relationships/hyperlink" Target="https://fbref.com/en/players/79c84d1c/Jarrod-Bowen" TargetMode="External"/><Relationship Id="rId156" Type="http://schemas.openxmlformats.org/officeDocument/2006/relationships/hyperlink" Target="https://fbref.com/en/squads/361ca564/2025-2026/wages/Tottenham-Hotspur-Wage-Details" TargetMode="External"/><Relationship Id="rId155" Type="http://schemas.openxmlformats.org/officeDocument/2006/relationships/hyperlink" Target="https://fbref.com/en/country/FRA/France-Football" TargetMode="External"/><Relationship Id="rId1510" Type="http://schemas.openxmlformats.org/officeDocument/2006/relationships/hyperlink" Target="https://fbref.com/en/players/182a8b9d/Ajibola-Alese" TargetMode="External"/><Relationship Id="rId1511" Type="http://schemas.openxmlformats.org/officeDocument/2006/relationships/hyperlink" Target="https://fbref.com/en/country/ENG/England-Football" TargetMode="External"/><Relationship Id="rId1512" Type="http://schemas.openxmlformats.org/officeDocument/2006/relationships/hyperlink" Target="https://fbref.com/en/squads/8ef52968/2025-2026/wages/Sunderland-Wage-Details" TargetMode="External"/><Relationship Id="rId1513" Type="http://schemas.openxmlformats.org/officeDocument/2006/relationships/hyperlink" Target="https://fbref.com/en/players/a47ad0f5/Dan-Neil" TargetMode="External"/><Relationship Id="rId1514" Type="http://schemas.openxmlformats.org/officeDocument/2006/relationships/hyperlink" Target="https://fbref.com/en/country/ENG/England-Football" TargetMode="External"/><Relationship Id="rId1515" Type="http://schemas.openxmlformats.org/officeDocument/2006/relationships/hyperlink" Target="https://fbref.com/en/squads/8ef52968/2025-2026/wages/Sunderland-Wage-Details" TargetMode="External"/><Relationship Id="rId1516" Type="http://schemas.openxmlformats.org/officeDocument/2006/relationships/hyperlink" Target="https://fbref.com/en/players/e7434f04/Simon-Moore" TargetMode="External"/><Relationship Id="rId1517" Type="http://schemas.openxmlformats.org/officeDocument/2006/relationships/hyperlink" Target="https://fbref.com/en/country/ENG/England-Football" TargetMode="External"/><Relationship Id="rId1518" Type="http://schemas.openxmlformats.org/officeDocument/2006/relationships/hyperlink" Target="https://fbref.com/en/squads/8ef52968/2025-2026/wages/Sunderland-Wage-Details" TargetMode="External"/><Relationship Id="rId1519" Type="http://schemas.openxmlformats.org/officeDocument/2006/relationships/hyperlink" Target="https://fbref.com/en/players/d7f99582/Benson-Manuel" TargetMode="External"/><Relationship Id="rId1500" Type="http://schemas.openxmlformats.org/officeDocument/2006/relationships/hyperlink" Target="https://fbref.com/en/players/40498af1/Andres-Garcia" TargetMode="External"/><Relationship Id="rId1501" Type="http://schemas.openxmlformats.org/officeDocument/2006/relationships/hyperlink" Target="https://fbref.com/en/country/ESP/Spain-Football" TargetMode="External"/><Relationship Id="rId1502" Type="http://schemas.openxmlformats.org/officeDocument/2006/relationships/hyperlink" Target="https://fbref.com/en/squads/8602292d/2025-2026/wages/Aston-Villa-Wage-Details" TargetMode="External"/><Relationship Id="rId1503" Type="http://schemas.openxmlformats.org/officeDocument/2006/relationships/hyperlink" Target="https://fbref.com/en/players/ba492306/Samuel-Iling-Junior" TargetMode="External"/><Relationship Id="rId1504" Type="http://schemas.openxmlformats.org/officeDocument/2006/relationships/hyperlink" Target="https://fbref.com/en/country/ENG/England-Football" TargetMode="External"/><Relationship Id="rId1505" Type="http://schemas.openxmlformats.org/officeDocument/2006/relationships/hyperlink" Target="https://fbref.com/en/squads/8602292d/2025-2026/wages/Aston-Villa-Wage-Details" TargetMode="External"/><Relationship Id="rId1506" Type="http://schemas.openxmlformats.org/officeDocument/2006/relationships/hyperlink" Target="https://fbref.com/en/squads/8602292d/2025-2026/wages/Aston-Villa-Wage-Details" TargetMode="External"/><Relationship Id="rId1507" Type="http://schemas.openxmlformats.org/officeDocument/2006/relationships/hyperlink" Target="https://fbref.com/en/players/7e5bebeb/Enso-Gonzalez" TargetMode="External"/><Relationship Id="rId1508" Type="http://schemas.openxmlformats.org/officeDocument/2006/relationships/hyperlink" Target="https://fbref.com/en/country/PAR/Paraguay-Football" TargetMode="External"/><Relationship Id="rId1509" Type="http://schemas.openxmlformats.org/officeDocument/2006/relationships/hyperlink" Target="https://fbref.com/en/squads/8cec06e1/2025-2026/wages/Wolverhampton-Wanderers-Wage-Details" TargetMode="External"/><Relationship Id="rId1576" Type="http://schemas.openxmlformats.org/officeDocument/2006/relationships/hyperlink" Target="https://fbref.com/en/squads/47c64c55/2025-2026/wages/Crystal-Palace-Wage-Details" TargetMode="External"/><Relationship Id="rId1577" Type="http://schemas.openxmlformats.org/officeDocument/2006/relationships/hyperlink" Target="https://fbref.com/en/players/774cf58b/Max-Aarons" TargetMode="External"/><Relationship Id="rId1578" Type="http://schemas.openxmlformats.org/officeDocument/2006/relationships/hyperlink" Target="https://fbref.com/en/country/ENG/England-Football" TargetMode="External"/><Relationship Id="rId1579" Type="http://schemas.openxmlformats.org/officeDocument/2006/relationships/hyperlink" Target="https://fbref.com/en/squads/4ba7cbea/2025-2026/wages/Bournemouth-Wage-Details" TargetMode="External"/><Relationship Id="rId509" Type="http://schemas.openxmlformats.org/officeDocument/2006/relationships/hyperlink" Target="https://fbref.com/en/country/NGA/Nigeria-Football" TargetMode="External"/><Relationship Id="rId508" Type="http://schemas.openxmlformats.org/officeDocument/2006/relationships/hyperlink" Target="https://fbref.com/en/players/6ca5ec4b/Alex-Iwobi" TargetMode="External"/><Relationship Id="rId503" Type="http://schemas.openxmlformats.org/officeDocument/2006/relationships/hyperlink" Target="https://fbref.com/en/country/ENG/England-Football" TargetMode="External"/><Relationship Id="rId987" Type="http://schemas.openxmlformats.org/officeDocument/2006/relationships/hyperlink" Target="https://fbref.com/en/players/2baec6ce/Axel-Tuanzebe" TargetMode="External"/><Relationship Id="rId502" Type="http://schemas.openxmlformats.org/officeDocument/2006/relationships/hyperlink" Target="https://fbref.com/en/players/282f75f3/Lewis-Dunk" TargetMode="External"/><Relationship Id="rId986" Type="http://schemas.openxmlformats.org/officeDocument/2006/relationships/hyperlink" Target="https://fbref.com/en/squads/943e8050/2025-2026/wages/Burnley-Wage-Details" TargetMode="External"/><Relationship Id="rId501" Type="http://schemas.openxmlformats.org/officeDocument/2006/relationships/hyperlink" Target="https://fbref.com/en/squads/d07537b9/2025-2026/wages/Brighton-and-Hove-Albion-Wage-Details" TargetMode="External"/><Relationship Id="rId985" Type="http://schemas.openxmlformats.org/officeDocument/2006/relationships/hyperlink" Target="https://fbref.com/en/country/ALB/Albania-Football" TargetMode="External"/><Relationship Id="rId500" Type="http://schemas.openxmlformats.org/officeDocument/2006/relationships/hyperlink" Target="https://fbref.com/en/country/JPN/Japan-Football" TargetMode="External"/><Relationship Id="rId984" Type="http://schemas.openxmlformats.org/officeDocument/2006/relationships/hyperlink" Target="https://fbref.com/en/players/97220da2/Armando-Broja" TargetMode="External"/><Relationship Id="rId507" Type="http://schemas.openxmlformats.org/officeDocument/2006/relationships/hyperlink" Target="https://fbref.com/en/squads/d3fd31cc/2025-2026/wages/Everton-Wage-Details" TargetMode="External"/><Relationship Id="rId506" Type="http://schemas.openxmlformats.org/officeDocument/2006/relationships/hyperlink" Target="https://fbref.com/en/country/ENG/England-Football" TargetMode="External"/><Relationship Id="rId505" Type="http://schemas.openxmlformats.org/officeDocument/2006/relationships/hyperlink" Target="https://fbref.com/en/players/c5b7c315/Michael-Keane" TargetMode="External"/><Relationship Id="rId989" Type="http://schemas.openxmlformats.org/officeDocument/2006/relationships/hyperlink" Target="https://fbref.com/en/squads/943e8050/2025-2026/wages/Burnley-Wage-Details" TargetMode="External"/><Relationship Id="rId504" Type="http://schemas.openxmlformats.org/officeDocument/2006/relationships/hyperlink" Target="https://fbref.com/en/squads/d07537b9/2025-2026/wages/Brighton-and-Hove-Albion-Wage-Details" TargetMode="External"/><Relationship Id="rId988" Type="http://schemas.openxmlformats.org/officeDocument/2006/relationships/hyperlink" Target="https://fbref.com/en/country/COD/Congo-DR-Football" TargetMode="External"/><Relationship Id="rId1570" Type="http://schemas.openxmlformats.org/officeDocument/2006/relationships/hyperlink" Target="https://fbref.com/en/squads/943e8050/2025-2026/wages/Burnley-Wage-Details" TargetMode="External"/><Relationship Id="rId1571" Type="http://schemas.openxmlformats.org/officeDocument/2006/relationships/hyperlink" Target="https://fbref.com/en/squads/7c21e445/2025-2026/wages/West-Ham-United-Wage-Details" TargetMode="External"/><Relationship Id="rId983" Type="http://schemas.openxmlformats.org/officeDocument/2006/relationships/hyperlink" Target="https://fbref.com/en/squads/8ef52968/2025-2026/wages/Sunderland-Wage-Details" TargetMode="External"/><Relationship Id="rId1572" Type="http://schemas.openxmlformats.org/officeDocument/2006/relationships/hyperlink" Target="https://fbref.com/en/squads/8ef52968/2025-2026/wages/Sunderland-Wage-Details" TargetMode="External"/><Relationship Id="rId982" Type="http://schemas.openxmlformats.org/officeDocument/2006/relationships/hyperlink" Target="https://fbref.com/en/country/NIR/Northern-Ireland-Football" TargetMode="External"/><Relationship Id="rId1573" Type="http://schemas.openxmlformats.org/officeDocument/2006/relationships/hyperlink" Target="https://fbref.com/en/players/cdd70dc0/Michael-Olakigbe" TargetMode="External"/><Relationship Id="rId981" Type="http://schemas.openxmlformats.org/officeDocument/2006/relationships/hyperlink" Target="https://fbref.com/en/players/4fa3a3a4/Trai-Hume" TargetMode="External"/><Relationship Id="rId1574" Type="http://schemas.openxmlformats.org/officeDocument/2006/relationships/hyperlink" Target="https://fbref.com/en/country/ENG/England-Football" TargetMode="External"/><Relationship Id="rId980" Type="http://schemas.openxmlformats.org/officeDocument/2006/relationships/hyperlink" Target="https://fbref.com/en/squads/8cec06e1/2025-2026/wages/Wolverhampton-Wanderers-Wage-Details" TargetMode="External"/><Relationship Id="rId1575" Type="http://schemas.openxmlformats.org/officeDocument/2006/relationships/hyperlink" Target="https://fbref.com/en/squads/cd051869/2025-2026/wages/Brentford-Wage-Details" TargetMode="External"/><Relationship Id="rId1565" Type="http://schemas.openxmlformats.org/officeDocument/2006/relationships/hyperlink" Target="https://fbref.com/en/players/c103921a/Zach-Abbott" TargetMode="External"/><Relationship Id="rId1566" Type="http://schemas.openxmlformats.org/officeDocument/2006/relationships/hyperlink" Target="https://fbref.com/en/country/ENG/England-Football" TargetMode="External"/><Relationship Id="rId1567" Type="http://schemas.openxmlformats.org/officeDocument/2006/relationships/hyperlink" Target="https://fbref.com/en/squads/e4a775cb/2025-2026/wages/Nottingham-Forest-Wage-Details" TargetMode="External"/><Relationship Id="rId1568" Type="http://schemas.openxmlformats.org/officeDocument/2006/relationships/hyperlink" Target="https://fbref.com/en/players/6658971d/Vaclav-Hladky" TargetMode="External"/><Relationship Id="rId1569" Type="http://schemas.openxmlformats.org/officeDocument/2006/relationships/hyperlink" Target="https://fbref.com/en/country/CZE/Czech-Republic-Football" TargetMode="External"/><Relationship Id="rId976" Type="http://schemas.openxmlformats.org/officeDocument/2006/relationships/hyperlink" Target="https://fbref.com/en/country/NED/Netherlands-Football" TargetMode="External"/><Relationship Id="rId975" Type="http://schemas.openxmlformats.org/officeDocument/2006/relationships/hyperlink" Target="https://fbref.com/en/players/3d214e5f/Marco-Bizot" TargetMode="External"/><Relationship Id="rId974" Type="http://schemas.openxmlformats.org/officeDocument/2006/relationships/hyperlink" Target="https://fbref.com/en/squads/7c21e445/2025-2026/wages/West-Ham-United-Wage-Details" TargetMode="External"/><Relationship Id="rId973" Type="http://schemas.openxmlformats.org/officeDocument/2006/relationships/hyperlink" Target="https://fbref.com/en/country/DEN/Denmark-Football" TargetMode="External"/><Relationship Id="rId979" Type="http://schemas.openxmlformats.org/officeDocument/2006/relationships/hyperlink" Target="https://fbref.com/en/country/CZE/Czech-Republic-Football" TargetMode="External"/><Relationship Id="rId978" Type="http://schemas.openxmlformats.org/officeDocument/2006/relationships/hyperlink" Target="https://fbref.com/en/players/5b5c2228/Ladislav-Krejci" TargetMode="External"/><Relationship Id="rId977" Type="http://schemas.openxmlformats.org/officeDocument/2006/relationships/hyperlink" Target="https://fbref.com/en/squads/8602292d/2025-2026/wages/Aston-Villa-Wage-Details" TargetMode="External"/><Relationship Id="rId1560" Type="http://schemas.openxmlformats.org/officeDocument/2006/relationships/hyperlink" Target="https://fbref.com/en/country/ENG/England-Football" TargetMode="External"/><Relationship Id="rId972" Type="http://schemas.openxmlformats.org/officeDocument/2006/relationships/hyperlink" Target="https://fbref.com/en/players/c924b17d/Mads-Hermansen" TargetMode="External"/><Relationship Id="rId1561" Type="http://schemas.openxmlformats.org/officeDocument/2006/relationships/hyperlink" Target="https://fbref.com/en/squads/47c64c55/2025-2026/wages/Crystal-Palace-Wage-Details" TargetMode="External"/><Relationship Id="rId971" Type="http://schemas.openxmlformats.org/officeDocument/2006/relationships/hyperlink" Target="https://fbref.com/en/squads/7c21e445/2025-2026/wages/West-Ham-United-Wage-Details" TargetMode="External"/><Relationship Id="rId1562" Type="http://schemas.openxmlformats.org/officeDocument/2006/relationships/hyperlink" Target="https://fbref.com/en/players/a1390d2f/Carlos-Baleba" TargetMode="External"/><Relationship Id="rId970" Type="http://schemas.openxmlformats.org/officeDocument/2006/relationships/hyperlink" Target="https://fbref.com/en/country/NED/Netherlands-Football" TargetMode="External"/><Relationship Id="rId1563" Type="http://schemas.openxmlformats.org/officeDocument/2006/relationships/hyperlink" Target="https://fbref.com/en/country/CMR/Cameroon-Football" TargetMode="External"/><Relationship Id="rId1564" Type="http://schemas.openxmlformats.org/officeDocument/2006/relationships/hyperlink" Target="https://fbref.com/en/squads/d07537b9/2025-2026/wages/Brighton-and-Hove-Albion-Wage-Details" TargetMode="External"/><Relationship Id="rId1114" Type="http://schemas.openxmlformats.org/officeDocument/2006/relationships/hyperlink" Target="https://fbref.com/en/players/c55a846e/Gaga-Slonina" TargetMode="External"/><Relationship Id="rId1598" Type="http://schemas.openxmlformats.org/officeDocument/2006/relationships/hyperlink" Target="https://fbref.com/en/squads/8ef52968/2025-2026/wages/Sunderland-Wage-Details" TargetMode="External"/><Relationship Id="rId1115" Type="http://schemas.openxmlformats.org/officeDocument/2006/relationships/hyperlink" Target="https://fbref.com/en/country/USA/United-States-Football" TargetMode="External"/><Relationship Id="rId1599" Type="http://schemas.openxmlformats.org/officeDocument/2006/relationships/hyperlink" Target="https://fbref.com/en/squads/943e8050/2025-2026/wages/Burnley-Wage-Details" TargetMode="External"/><Relationship Id="rId1116" Type="http://schemas.openxmlformats.org/officeDocument/2006/relationships/hyperlink" Target="https://fbref.com/en/squads/cff3d9bb/2025-2026/wages/Chelsea-Wage-Details" TargetMode="External"/><Relationship Id="rId1117" Type="http://schemas.openxmlformats.org/officeDocument/2006/relationships/hyperlink" Target="https://fbref.com/en/players/816010c4/Charalampos-Kostoulas" TargetMode="External"/><Relationship Id="rId1118" Type="http://schemas.openxmlformats.org/officeDocument/2006/relationships/hyperlink" Target="https://fbref.com/en/country/GRE/Greece-Football" TargetMode="External"/><Relationship Id="rId1119" Type="http://schemas.openxmlformats.org/officeDocument/2006/relationships/hyperlink" Target="https://fbref.com/en/squads/d07537b9/2025-2026/wages/Brighton-and-Hove-Albion-Wage-Details" TargetMode="External"/><Relationship Id="rId525" Type="http://schemas.openxmlformats.org/officeDocument/2006/relationships/hyperlink" Target="https://fbref.com/en/squads/361ca564/2025-2026/wages/Tottenham-Hotspur-Wage-Details" TargetMode="External"/><Relationship Id="rId524" Type="http://schemas.openxmlformats.org/officeDocument/2006/relationships/hyperlink" Target="https://fbref.com/en/country/ITA/Italy-Football" TargetMode="External"/><Relationship Id="rId523" Type="http://schemas.openxmlformats.org/officeDocument/2006/relationships/hyperlink" Target="https://fbref.com/en/players/7cd520e8/Destiny-Udogie" TargetMode="External"/><Relationship Id="rId522" Type="http://schemas.openxmlformats.org/officeDocument/2006/relationships/hyperlink" Target="https://fbref.com/en/squads/361ca564/2025-2026/wages/Tottenham-Hotspur-Wage-Details" TargetMode="External"/><Relationship Id="rId529" Type="http://schemas.openxmlformats.org/officeDocument/2006/relationships/hyperlink" Target="https://fbref.com/en/players/3b8674e6/Rodrigo-Bentancur" TargetMode="External"/><Relationship Id="rId528" Type="http://schemas.openxmlformats.org/officeDocument/2006/relationships/hyperlink" Target="https://fbref.com/en/squads/361ca564/2025-2026/wages/Tottenham-Hotspur-Wage-Details" TargetMode="External"/><Relationship Id="rId527" Type="http://schemas.openxmlformats.org/officeDocument/2006/relationships/hyperlink" Target="https://fbref.com/en/country/ITA/Italy-Football" TargetMode="External"/><Relationship Id="rId526" Type="http://schemas.openxmlformats.org/officeDocument/2006/relationships/hyperlink" Target="https://fbref.com/en/players/77d6fd4d/Guglielmo-Vicario" TargetMode="External"/><Relationship Id="rId1590" Type="http://schemas.openxmlformats.org/officeDocument/2006/relationships/hyperlink" Target="https://fbref.com/en/players/3f651f34/Abdoullah-Ba" TargetMode="External"/><Relationship Id="rId1591" Type="http://schemas.openxmlformats.org/officeDocument/2006/relationships/hyperlink" Target="https://fbref.com/en/country/FRA/France-Football" TargetMode="External"/><Relationship Id="rId1592" Type="http://schemas.openxmlformats.org/officeDocument/2006/relationships/hyperlink" Target="https://fbref.com/en/squads/8ef52968/2025-2026/wages/Sunderland-Wage-Details" TargetMode="External"/><Relationship Id="rId1593" Type="http://schemas.openxmlformats.org/officeDocument/2006/relationships/hyperlink" Target="https://fbref.com/en/players/d102b8a2/Leo-Fuhr-Hjelde" TargetMode="External"/><Relationship Id="rId521" Type="http://schemas.openxmlformats.org/officeDocument/2006/relationships/hyperlink" Target="https://fbref.com/en/country/ENG/England-Football" TargetMode="External"/><Relationship Id="rId1110" Type="http://schemas.openxmlformats.org/officeDocument/2006/relationships/hyperlink" Target="https://fbref.com/en/squads/cd051869/2025-2026/wages/Brentford-Wage-Details" TargetMode="External"/><Relationship Id="rId1594" Type="http://schemas.openxmlformats.org/officeDocument/2006/relationships/hyperlink" Target="https://fbref.com/en/country/NOR/Norway-Football" TargetMode="External"/><Relationship Id="rId520" Type="http://schemas.openxmlformats.org/officeDocument/2006/relationships/hyperlink" Target="https://fbref.com/en/players/f58515f5/Archie-Gray" TargetMode="External"/><Relationship Id="rId1111" Type="http://schemas.openxmlformats.org/officeDocument/2006/relationships/hyperlink" Target="https://fbref.com/en/players/1e4319ac/Dario-Essugo" TargetMode="External"/><Relationship Id="rId1595" Type="http://schemas.openxmlformats.org/officeDocument/2006/relationships/hyperlink" Target="https://fbref.com/en/squads/8ef52968/2025-2026/wages/Sunderland-Wage-Details" TargetMode="External"/><Relationship Id="rId1112" Type="http://schemas.openxmlformats.org/officeDocument/2006/relationships/hyperlink" Target="https://fbref.com/en/country/POR/Portugal-Football" TargetMode="External"/><Relationship Id="rId1596" Type="http://schemas.openxmlformats.org/officeDocument/2006/relationships/hyperlink" Target="https://fbref.com/en/players/597610cd/Romaine-Mundle" TargetMode="External"/><Relationship Id="rId1113" Type="http://schemas.openxmlformats.org/officeDocument/2006/relationships/hyperlink" Target="https://fbref.com/en/squads/cff3d9bb/2025-2026/wages/Chelsea-Wage-Details" TargetMode="External"/><Relationship Id="rId1597" Type="http://schemas.openxmlformats.org/officeDocument/2006/relationships/hyperlink" Target="https://fbref.com/en/country/ENG/England-Football" TargetMode="External"/><Relationship Id="rId1103" Type="http://schemas.openxmlformats.org/officeDocument/2006/relationships/hyperlink" Target="https://fbref.com/en/country/NGA/Nigeria-Football" TargetMode="External"/><Relationship Id="rId1587" Type="http://schemas.openxmlformats.org/officeDocument/2006/relationships/hyperlink" Target="https://fbref.com/en/country/IRL/Republic-of-Ireland-Football" TargetMode="External"/><Relationship Id="rId1104" Type="http://schemas.openxmlformats.org/officeDocument/2006/relationships/hyperlink" Target="https://fbref.com/en/squads/cd051869/2025-2026/wages/Brentford-Wage-Details" TargetMode="External"/><Relationship Id="rId1588" Type="http://schemas.openxmlformats.org/officeDocument/2006/relationships/hyperlink" Target="https://fbref.com/en/squads/8cec06e1/2025-2026/wages/Wolverhampton-Wanderers-Wage-Details" TargetMode="External"/><Relationship Id="rId1105" Type="http://schemas.openxmlformats.org/officeDocument/2006/relationships/hyperlink" Target="https://fbref.com/en/players/a8c0acb7/Kristoffer-Ajer" TargetMode="External"/><Relationship Id="rId1589" Type="http://schemas.openxmlformats.org/officeDocument/2006/relationships/hyperlink" Target="https://fbref.com/en/squads/8cec06e1/2025-2026/wages/Wolverhampton-Wanderers-Wage-Details" TargetMode="External"/><Relationship Id="rId1106" Type="http://schemas.openxmlformats.org/officeDocument/2006/relationships/hyperlink" Target="https://fbref.com/en/country/NOR/Norway-Football" TargetMode="External"/><Relationship Id="rId1107" Type="http://schemas.openxmlformats.org/officeDocument/2006/relationships/hyperlink" Target="https://fbref.com/en/squads/cd051869/2025-2026/wages/Brentford-Wage-Details" TargetMode="External"/><Relationship Id="rId1108" Type="http://schemas.openxmlformats.org/officeDocument/2006/relationships/hyperlink" Target="https://fbref.com/en/players/e19660a8/Michael-Kayode" TargetMode="External"/><Relationship Id="rId1109" Type="http://schemas.openxmlformats.org/officeDocument/2006/relationships/hyperlink" Target="https://fbref.com/en/country/ITA/Italy-Football" TargetMode="External"/><Relationship Id="rId519" Type="http://schemas.openxmlformats.org/officeDocument/2006/relationships/hyperlink" Target="https://fbref.com/en/squads/19538871/2025-2026/wages/Manchester-United-Wage-Details" TargetMode="External"/><Relationship Id="rId514" Type="http://schemas.openxmlformats.org/officeDocument/2006/relationships/hyperlink" Target="https://fbref.com/en/players/da76bab4/Valentin-Castellanos" TargetMode="External"/><Relationship Id="rId998" Type="http://schemas.openxmlformats.org/officeDocument/2006/relationships/hyperlink" Target="https://fbref.com/en/squads/943e8050/2025-2026/wages/Burnley-Wage-Details" TargetMode="External"/><Relationship Id="rId513" Type="http://schemas.openxmlformats.org/officeDocument/2006/relationships/hyperlink" Target="https://fbref.com/en/squads/18bb7c10/2025-2026/wages/Arsenal-Wage-Details" TargetMode="External"/><Relationship Id="rId997" Type="http://schemas.openxmlformats.org/officeDocument/2006/relationships/hyperlink" Target="https://fbref.com/en/country/FRA/France-Football" TargetMode="External"/><Relationship Id="rId512" Type="http://schemas.openxmlformats.org/officeDocument/2006/relationships/hyperlink" Target="https://fbref.com/en/country/ENG/England-Football" TargetMode="External"/><Relationship Id="rId996" Type="http://schemas.openxmlformats.org/officeDocument/2006/relationships/hyperlink" Target="https://fbref.com/en/players/a3c8b4d3/Loum-Tchaouna" TargetMode="External"/><Relationship Id="rId511" Type="http://schemas.openxmlformats.org/officeDocument/2006/relationships/hyperlink" Target="https://fbref.com/en/players/7f94982c/Ethan-Nwaneri" TargetMode="External"/><Relationship Id="rId995" Type="http://schemas.openxmlformats.org/officeDocument/2006/relationships/hyperlink" Target="https://fbref.com/en/squads/943e8050/2025-2026/wages/Burnley-Wage-Details" TargetMode="External"/><Relationship Id="rId518" Type="http://schemas.openxmlformats.org/officeDocument/2006/relationships/hyperlink" Target="https://fbref.com/en/country/NED/Netherlands-Football" TargetMode="External"/><Relationship Id="rId517" Type="http://schemas.openxmlformats.org/officeDocument/2006/relationships/hyperlink" Target="https://fbref.com/en/players/6b6c793c/Tyrell-Malacia" TargetMode="External"/><Relationship Id="rId516" Type="http://schemas.openxmlformats.org/officeDocument/2006/relationships/hyperlink" Target="https://fbref.com/en/squads/7c21e445/2025-2026/wages/West-Ham-United-Wage-Details" TargetMode="External"/><Relationship Id="rId515" Type="http://schemas.openxmlformats.org/officeDocument/2006/relationships/hyperlink" Target="https://fbref.com/en/country/ARG/Argentina-Football" TargetMode="External"/><Relationship Id="rId999" Type="http://schemas.openxmlformats.org/officeDocument/2006/relationships/hyperlink" Target="https://fbref.com/en/players/39e1138f/Quilindschy-Hartman" TargetMode="External"/><Relationship Id="rId990" Type="http://schemas.openxmlformats.org/officeDocument/2006/relationships/hyperlink" Target="https://fbref.com/en/players/4e204552/Jacob-Bruun-Larsen" TargetMode="External"/><Relationship Id="rId1580" Type="http://schemas.openxmlformats.org/officeDocument/2006/relationships/hyperlink" Target="https://fbref.com/en/players/1a5e36e7/Alex-Cairns" TargetMode="External"/><Relationship Id="rId1581" Type="http://schemas.openxmlformats.org/officeDocument/2006/relationships/hyperlink" Target="https://fbref.com/en/country/ENG/England-Football" TargetMode="External"/><Relationship Id="rId1582" Type="http://schemas.openxmlformats.org/officeDocument/2006/relationships/hyperlink" Target="https://fbref.com/en/squads/5bfb9659/2025-2026/wages/Leeds-United-Wage-Details" TargetMode="External"/><Relationship Id="rId510" Type="http://schemas.openxmlformats.org/officeDocument/2006/relationships/hyperlink" Target="https://fbref.com/en/squads/fd962109/2025-2026/wages/Fulham-Wage-Details" TargetMode="External"/><Relationship Id="rId994" Type="http://schemas.openxmlformats.org/officeDocument/2006/relationships/hyperlink" Target="https://fbref.com/en/country/ENG/England-Football" TargetMode="External"/><Relationship Id="rId1583" Type="http://schemas.openxmlformats.org/officeDocument/2006/relationships/hyperlink" Target="https://fbref.com/en/players/012c975a/Rhys-Williams" TargetMode="External"/><Relationship Id="rId993" Type="http://schemas.openxmlformats.org/officeDocument/2006/relationships/hyperlink" Target="https://fbref.com/en/players/e4238fb1/Jaidon-Anthony" TargetMode="External"/><Relationship Id="rId1100" Type="http://schemas.openxmlformats.org/officeDocument/2006/relationships/hyperlink" Target="https://fbref.com/en/country/POR/Portugal-Football" TargetMode="External"/><Relationship Id="rId1584" Type="http://schemas.openxmlformats.org/officeDocument/2006/relationships/hyperlink" Target="https://fbref.com/en/country/ENG/England-Football" TargetMode="External"/><Relationship Id="rId992" Type="http://schemas.openxmlformats.org/officeDocument/2006/relationships/hyperlink" Target="https://fbref.com/en/squads/943e8050/2025-2026/wages/Burnley-Wage-Details" TargetMode="External"/><Relationship Id="rId1101" Type="http://schemas.openxmlformats.org/officeDocument/2006/relationships/hyperlink" Target="https://fbref.com/en/squads/cd051869/2025-2026/wages/Brentford-Wage-Details" TargetMode="External"/><Relationship Id="rId1585" Type="http://schemas.openxmlformats.org/officeDocument/2006/relationships/hyperlink" Target="https://fbref.com/en/squads/822bd0ba/2025-2026/wages/Liverpool-Wage-Details" TargetMode="External"/><Relationship Id="rId991" Type="http://schemas.openxmlformats.org/officeDocument/2006/relationships/hyperlink" Target="https://fbref.com/en/country/DEN/Denmark-Football" TargetMode="External"/><Relationship Id="rId1102" Type="http://schemas.openxmlformats.org/officeDocument/2006/relationships/hyperlink" Target="https://fbref.com/en/players/2944f86f/Frank-Onyeka" TargetMode="External"/><Relationship Id="rId1586" Type="http://schemas.openxmlformats.org/officeDocument/2006/relationships/hyperlink" Target="https://fbref.com/en/players/00b77ecf/Nathan-Fraser" TargetMode="External"/><Relationship Id="rId1532" Type="http://schemas.openxmlformats.org/officeDocument/2006/relationships/hyperlink" Target="https://fbref.com/en/country/ENG/England-Football" TargetMode="External"/><Relationship Id="rId1533" Type="http://schemas.openxmlformats.org/officeDocument/2006/relationships/hyperlink" Target="https://fbref.com/en/squads/cd051869/2025-2026/wages/Brentford-Wage-Details" TargetMode="External"/><Relationship Id="rId1534" Type="http://schemas.openxmlformats.org/officeDocument/2006/relationships/hyperlink" Target="https://fbref.com/en/players/e02b5b36/Yunus-Emre-Konak" TargetMode="External"/><Relationship Id="rId1535" Type="http://schemas.openxmlformats.org/officeDocument/2006/relationships/hyperlink" Target="https://fbref.com/en/country/TUR/Turkey-Football" TargetMode="External"/><Relationship Id="rId1536" Type="http://schemas.openxmlformats.org/officeDocument/2006/relationships/hyperlink" Target="https://fbref.com/en/squads/cd051869/2025-2026/wages/Brentford-Wage-Details" TargetMode="External"/><Relationship Id="rId1537" Type="http://schemas.openxmlformats.org/officeDocument/2006/relationships/hyperlink" Target="https://fbref.com/en/players/e82900ef/David-Datro-Fofana" TargetMode="External"/><Relationship Id="rId1538" Type="http://schemas.openxmlformats.org/officeDocument/2006/relationships/hyperlink" Target="https://fbref.com/en/country/CIV/Cote-dIvoire-Football" TargetMode="External"/><Relationship Id="rId1539" Type="http://schemas.openxmlformats.org/officeDocument/2006/relationships/hyperlink" Target="https://fbref.com/en/squads/cff3d9bb/2025-2026/wages/Chelsea-Wage-Details" TargetMode="External"/><Relationship Id="rId949" Type="http://schemas.openxmlformats.org/officeDocument/2006/relationships/hyperlink" Target="https://fbref.com/en/country/BRA/Brazil-Football" TargetMode="External"/><Relationship Id="rId948" Type="http://schemas.openxmlformats.org/officeDocument/2006/relationships/hyperlink" Target="https://fbref.com/en/players/a4e85758/Igor" TargetMode="External"/><Relationship Id="rId943" Type="http://schemas.openxmlformats.org/officeDocument/2006/relationships/hyperlink" Target="https://fbref.com/en/squads/fd962109/2025-2026/wages/Fulham-Wage-Details" TargetMode="External"/><Relationship Id="rId942" Type="http://schemas.openxmlformats.org/officeDocument/2006/relationships/hyperlink" Target="https://fbref.com/en/country/ENG/England-Football" TargetMode="External"/><Relationship Id="rId941" Type="http://schemas.openxmlformats.org/officeDocument/2006/relationships/hyperlink" Target="https://fbref.com/en/players/803ae100/Harrison-Reed" TargetMode="External"/><Relationship Id="rId940" Type="http://schemas.openxmlformats.org/officeDocument/2006/relationships/hyperlink" Target="https://fbref.com/en/squads/e4a775cb/2025-2026/wages/Nottingham-Forest-Wage-Details" TargetMode="External"/><Relationship Id="rId947" Type="http://schemas.openxmlformats.org/officeDocument/2006/relationships/hyperlink" Target="https://fbref.com/en/squads/4ba7cbea/2025-2026/wages/Bournemouth-Wage-Details" TargetMode="External"/><Relationship Id="rId946" Type="http://schemas.openxmlformats.org/officeDocument/2006/relationships/hyperlink" Target="https://fbref.com/en/squads/fd962109/2025-2026/wages/Fulham-Wage-Details" TargetMode="External"/><Relationship Id="rId945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players/93508980/Kevin" TargetMode="External"/><Relationship Id="rId1530" Type="http://schemas.openxmlformats.org/officeDocument/2006/relationships/hyperlink" Target="https://fbref.com/en/squads/b2b47a98/2025-2026/wages/Newcastle-United-Wage-Details" TargetMode="External"/><Relationship Id="rId1531" Type="http://schemas.openxmlformats.org/officeDocument/2006/relationships/hyperlink" Target="https://fbref.com/en/players/519db366/Romelle-Donovan" TargetMode="External"/><Relationship Id="rId1521" Type="http://schemas.openxmlformats.org/officeDocument/2006/relationships/hyperlink" Target="https://fbref.com/en/squads/943e8050/2025-2026/wages/Burnley-Wage-Details" TargetMode="External"/><Relationship Id="rId1522" Type="http://schemas.openxmlformats.org/officeDocument/2006/relationships/hyperlink" Target="https://fbref.com/en/players/b391383a/Harrison-Ashby" TargetMode="External"/><Relationship Id="rId1523" Type="http://schemas.openxmlformats.org/officeDocument/2006/relationships/hyperlink" Target="https://fbref.com/en/country/SCO/Scotland-Football" TargetMode="External"/><Relationship Id="rId1524" Type="http://schemas.openxmlformats.org/officeDocument/2006/relationships/hyperlink" Target="https://fbref.com/en/squads/b2b47a98/2025-2026/wages/Newcastle-United-Wage-Details" TargetMode="External"/><Relationship Id="rId1525" Type="http://schemas.openxmlformats.org/officeDocument/2006/relationships/hyperlink" Target="https://fbref.com/en/players/da8b19e2/John-Ruddy" TargetMode="External"/><Relationship Id="rId1526" Type="http://schemas.openxmlformats.org/officeDocument/2006/relationships/hyperlink" Target="https://fbref.com/en/country/ENG/England-Football" TargetMode="External"/><Relationship Id="rId1527" Type="http://schemas.openxmlformats.org/officeDocument/2006/relationships/hyperlink" Target="https://fbref.com/en/squads/b2b47a98/2025-2026/wages/Newcastle-United-Wage-Details" TargetMode="External"/><Relationship Id="rId1528" Type="http://schemas.openxmlformats.org/officeDocument/2006/relationships/hyperlink" Target="https://fbref.com/en/players/e32958b7/Mark-Gillespie" TargetMode="External"/><Relationship Id="rId1529" Type="http://schemas.openxmlformats.org/officeDocument/2006/relationships/hyperlink" Target="https://fbref.com/en/country/ENG/England-Football" TargetMode="External"/><Relationship Id="rId939" Type="http://schemas.openxmlformats.org/officeDocument/2006/relationships/hyperlink" Target="https://fbref.com/en/country/NGA/Nigeria-Football" TargetMode="External"/><Relationship Id="rId938" Type="http://schemas.openxmlformats.org/officeDocument/2006/relationships/hyperlink" Target="https://fbref.com/en/players/e5478b87/Taiwo-Awoniyi" TargetMode="External"/><Relationship Id="rId937" Type="http://schemas.openxmlformats.org/officeDocument/2006/relationships/hyperlink" Target="https://fbref.com/en/squads/e4a775cb/2025-2026/wages/Nottingham-Forest-Wage-Details" TargetMode="External"/><Relationship Id="rId932" Type="http://schemas.openxmlformats.org/officeDocument/2006/relationships/hyperlink" Target="https://fbref.com/en/players/dbe24cce/Igor-Jesus" TargetMode="External"/><Relationship Id="rId931" Type="http://schemas.openxmlformats.org/officeDocument/2006/relationships/hyperlink" Target="https://fbref.com/en/squads/d07537b9/2025-2026/wages/Brighton-and-Hove-Albion-Wage-Details" TargetMode="External"/><Relationship Id="rId930" Type="http://schemas.openxmlformats.org/officeDocument/2006/relationships/hyperlink" Target="https://fbref.com/en/country/ENG/England-Football" TargetMode="External"/><Relationship Id="rId936" Type="http://schemas.openxmlformats.org/officeDocument/2006/relationships/hyperlink" Target="https://fbref.com/en/country/ENG/England-Football" TargetMode="External"/><Relationship Id="rId935" Type="http://schemas.openxmlformats.org/officeDocument/2006/relationships/hyperlink" Target="https://fbref.com/en/players/c1fe2a48/Ryan-Yates" TargetMode="External"/><Relationship Id="rId934" Type="http://schemas.openxmlformats.org/officeDocument/2006/relationships/hyperlink" Target="https://fbref.com/en/squads/e4a775cb/2025-2026/wages/Nottingham-Forest-Wage-Details" TargetMode="External"/><Relationship Id="rId933" Type="http://schemas.openxmlformats.org/officeDocument/2006/relationships/hyperlink" Target="https://fbref.com/en/country/BRA/Brazil-Football" TargetMode="External"/><Relationship Id="rId1520" Type="http://schemas.openxmlformats.org/officeDocument/2006/relationships/hyperlink" Target="https://fbref.com/en/country/ANG/Angola-Football" TargetMode="External"/><Relationship Id="rId1554" Type="http://schemas.openxmlformats.org/officeDocument/2006/relationships/hyperlink" Target="https://fbref.com/en/country/ARG/Argentina-Football" TargetMode="External"/><Relationship Id="rId1555" Type="http://schemas.openxmlformats.org/officeDocument/2006/relationships/hyperlink" Target="https://fbref.com/en/squads/5bfb9659/2025-2026/wages/Leeds-United-Wage-Details" TargetMode="External"/><Relationship Id="rId1556" Type="http://schemas.openxmlformats.org/officeDocument/2006/relationships/hyperlink" Target="https://fbref.com/en/players/c80f8c9d/Caleb-Kporha" TargetMode="External"/><Relationship Id="rId1557" Type="http://schemas.openxmlformats.org/officeDocument/2006/relationships/hyperlink" Target="https://fbref.com/en/country/ENG/England-Football" TargetMode="External"/><Relationship Id="rId1558" Type="http://schemas.openxmlformats.org/officeDocument/2006/relationships/hyperlink" Target="https://fbref.com/en/squads/47c64c55/2025-2026/wages/Crystal-Palace-Wage-Details" TargetMode="External"/><Relationship Id="rId1559" Type="http://schemas.openxmlformats.org/officeDocument/2006/relationships/hyperlink" Target="https://fbref.com/en/players/27f4f772/Remi-Matthews" TargetMode="External"/><Relationship Id="rId965" Type="http://schemas.openxmlformats.org/officeDocument/2006/relationships/hyperlink" Target="https://fbref.com/en/squads/5bfb9659/2025-2026/wages/Leeds-United-Wage-Details" TargetMode="External"/><Relationship Id="rId964" Type="http://schemas.openxmlformats.org/officeDocument/2006/relationships/hyperlink" Target="https://fbref.com/en/country/SVN/Slovenia-Football" TargetMode="External"/><Relationship Id="rId963" Type="http://schemas.openxmlformats.org/officeDocument/2006/relationships/hyperlink" Target="https://fbref.com/en/players/6fdac234/Jaka-Bijol" TargetMode="External"/><Relationship Id="rId962" Type="http://schemas.openxmlformats.org/officeDocument/2006/relationships/hyperlink" Target="https://fbref.com/en/squads/5bfb9659/2025-2026/wages/Leeds-United-Wage-Details" TargetMode="External"/><Relationship Id="rId969" Type="http://schemas.openxmlformats.org/officeDocument/2006/relationships/hyperlink" Target="https://fbref.com/en/players/df04eb4b/Crysencio-Summerville" TargetMode="External"/><Relationship Id="rId968" Type="http://schemas.openxmlformats.org/officeDocument/2006/relationships/hyperlink" Target="https://fbref.com/en/squads/5bfb9659/2025-2026/wages/Leeds-United-Wage-Details" TargetMode="External"/><Relationship Id="rId967" Type="http://schemas.openxmlformats.org/officeDocument/2006/relationships/hyperlink" Target="https://fbref.com/en/country/BEL/Belgium-Football" TargetMode="External"/><Relationship Id="rId966" Type="http://schemas.openxmlformats.org/officeDocument/2006/relationships/hyperlink" Target="https://fbref.com/en/players/01834aa0/Sebastiaan-Bornauw" TargetMode="External"/><Relationship Id="rId961" Type="http://schemas.openxmlformats.org/officeDocument/2006/relationships/hyperlink" Target="https://fbref.com/en/country/USA/United-States-Football" TargetMode="External"/><Relationship Id="rId1550" Type="http://schemas.openxmlformats.org/officeDocument/2006/relationships/hyperlink" Target="https://fbref.com/en/players/f794e9ab/Christos-Mandas" TargetMode="External"/><Relationship Id="rId960" Type="http://schemas.openxmlformats.org/officeDocument/2006/relationships/hyperlink" Target="https://fbref.com/en/players/5bc43860/Brenden-Aaronson" TargetMode="External"/><Relationship Id="rId1551" Type="http://schemas.openxmlformats.org/officeDocument/2006/relationships/hyperlink" Target="https://fbref.com/en/country/GRE/Greece-Football" TargetMode="External"/><Relationship Id="rId1552" Type="http://schemas.openxmlformats.org/officeDocument/2006/relationships/hyperlink" Target="https://fbref.com/en/squads/4ba7cbea/2025-2026/wages/Bournemouth-Wage-Details" TargetMode="External"/><Relationship Id="rId1553" Type="http://schemas.openxmlformats.org/officeDocument/2006/relationships/hyperlink" Target="https://fbref.com/en/players/468a7a91/Facundo-Buonanotte" TargetMode="External"/><Relationship Id="rId1543" Type="http://schemas.openxmlformats.org/officeDocument/2006/relationships/hyperlink" Target="https://fbref.com/en/players/5791b997/Tom-King" TargetMode="External"/><Relationship Id="rId1544" Type="http://schemas.openxmlformats.org/officeDocument/2006/relationships/hyperlink" Target="https://fbref.com/en/country/WAL/Wales-Football" TargetMode="External"/><Relationship Id="rId1545" Type="http://schemas.openxmlformats.org/officeDocument/2006/relationships/hyperlink" Target="https://fbref.com/en/squads/d3fd31cc/2025-2026/wages/Everton-Wage-Details" TargetMode="External"/><Relationship Id="rId1546" Type="http://schemas.openxmlformats.org/officeDocument/2006/relationships/hyperlink" Target="https://fbref.com/en/players/f9b1b7bf/Omar-Richards" TargetMode="External"/><Relationship Id="rId1547" Type="http://schemas.openxmlformats.org/officeDocument/2006/relationships/hyperlink" Target="https://fbref.com/en/country/ENG/England-Football" TargetMode="External"/><Relationship Id="rId1548" Type="http://schemas.openxmlformats.org/officeDocument/2006/relationships/hyperlink" Target="https://fbref.com/en/squads/e4a775cb/2025-2026/wages/Nottingham-Forest-Wage-Details" TargetMode="External"/><Relationship Id="rId1549" Type="http://schemas.openxmlformats.org/officeDocument/2006/relationships/hyperlink" Target="https://fbref.com/en/squads/cff3d9bb/2025-2026/wages/Chelsea-Wage-Details" TargetMode="External"/><Relationship Id="rId959" Type="http://schemas.openxmlformats.org/officeDocument/2006/relationships/hyperlink" Target="https://fbref.com/en/squads/5bfb9659/2025-2026/wages/Leeds-United-Wage-Details" TargetMode="External"/><Relationship Id="rId954" Type="http://schemas.openxmlformats.org/officeDocument/2006/relationships/hyperlink" Target="https://fbref.com/en/players/a6de6361/Tom-Heaton" TargetMode="External"/><Relationship Id="rId953" Type="http://schemas.openxmlformats.org/officeDocument/2006/relationships/hyperlink" Target="https://fbref.com/en/squads/e4a775cb/2025-2026/wages/Nottingham-Forest-Wage-Details" TargetMode="External"/><Relationship Id="rId952" Type="http://schemas.openxmlformats.org/officeDocument/2006/relationships/hyperlink" Target="https://fbref.com/en/country/GER/Germany-Football" TargetMode="External"/><Relationship Id="rId951" Type="http://schemas.openxmlformats.org/officeDocument/2006/relationships/hyperlink" Target="https://fbref.com/en/players/c1242d4e/Stefan-Ortega" TargetMode="External"/><Relationship Id="rId958" Type="http://schemas.openxmlformats.org/officeDocument/2006/relationships/hyperlink" Target="https://fbref.com/en/country/GER/Germany-Football" TargetMode="External"/><Relationship Id="rId957" Type="http://schemas.openxmlformats.org/officeDocument/2006/relationships/hyperlink" Target="https://fbref.com/en/players/0f59a7bf/Anton-Stach" TargetMode="External"/><Relationship Id="rId956" Type="http://schemas.openxmlformats.org/officeDocument/2006/relationships/hyperlink" Target="https://fbref.com/en/squads/19538871/2025-2026/wages/Manchester-United-Wage-Details" TargetMode="External"/><Relationship Id="rId955" Type="http://schemas.openxmlformats.org/officeDocument/2006/relationships/hyperlink" Target="https://fbref.com/en/country/ENG/England-Football" TargetMode="External"/><Relationship Id="rId950" Type="http://schemas.openxmlformats.org/officeDocument/2006/relationships/hyperlink" Target="https://fbref.com/en/squads/d07537b9/2025-2026/wages/Brighton-and-Hove-Albion-Wage-Details" TargetMode="External"/><Relationship Id="rId1540" Type="http://schemas.openxmlformats.org/officeDocument/2006/relationships/hyperlink" Target="https://fbref.com/en/players/4eb2d015/Tom-McGill" TargetMode="External"/><Relationship Id="rId1541" Type="http://schemas.openxmlformats.org/officeDocument/2006/relationships/hyperlink" Target="https://fbref.com/en/country/ENG/England-Football" TargetMode="External"/><Relationship Id="rId1542" Type="http://schemas.openxmlformats.org/officeDocument/2006/relationships/hyperlink" Target="https://fbref.com/en/squads/d07537b9/2025-2026/wages/Brighton-and-Hove-Albion-Wage-Details" TargetMode="External"/><Relationship Id="rId590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country/ENG/England-Football" TargetMode="External"/><Relationship Id="rId106" Type="http://schemas.openxmlformats.org/officeDocument/2006/relationships/hyperlink" Target="https://fbref.com/en/players/ae4fc6a4/Eberechi-Eze" TargetMode="External"/><Relationship Id="rId105" Type="http://schemas.openxmlformats.org/officeDocument/2006/relationships/hyperlink" Target="https://fbref.com/en/squads/cff3d9bb/2025-2026/wages/Chelsea-Wage-Details" TargetMode="External"/><Relationship Id="rId589" Type="http://schemas.openxmlformats.org/officeDocument/2006/relationships/hyperlink" Target="https://fbref.com/en/players/9a28eba4/Adama-Traore" TargetMode="External"/><Relationship Id="rId104" Type="http://schemas.openxmlformats.org/officeDocument/2006/relationships/hyperlink" Target="https://fbref.com/en/country/ARG/Argentina-Football" TargetMode="External"/><Relationship Id="rId588" Type="http://schemas.openxmlformats.org/officeDocument/2006/relationships/hyperlink" Target="https://fbref.com/en/squads/5bfb9659/2025-2026/wages/Leeds-United-Wage-Details" TargetMode="External"/><Relationship Id="rId109" Type="http://schemas.openxmlformats.org/officeDocument/2006/relationships/hyperlink" Target="https://fbref.com/en/players/48a5a5d6/Gabriel-Martinelli" TargetMode="External"/><Relationship Id="rId1170" Type="http://schemas.openxmlformats.org/officeDocument/2006/relationships/hyperlink" Target="https://fbref.com/en/country/FRA/France-Football" TargetMode="External"/><Relationship Id="rId108" Type="http://schemas.openxmlformats.org/officeDocument/2006/relationships/hyperlink" Target="https://fbref.com/en/squads/18bb7c10/2025-2026/wages/Arsenal-Wage-Details" TargetMode="External"/><Relationship Id="rId1171" Type="http://schemas.openxmlformats.org/officeDocument/2006/relationships/hyperlink" Target="https://fbref.com/en/squads/4ba7cbea/2025-2026/wages/Bournemouth-Wage-Details" TargetMode="External"/><Relationship Id="rId583" Type="http://schemas.openxmlformats.org/officeDocument/2006/relationships/hyperlink" Target="https://fbref.com/en/players/3ee0dd59/Martin-Zubimendi" TargetMode="External"/><Relationship Id="rId1172" Type="http://schemas.openxmlformats.org/officeDocument/2006/relationships/hyperlink" Target="https://fbref.com/en/players/fb614c44/James-Justin" TargetMode="External"/><Relationship Id="rId582" Type="http://schemas.openxmlformats.org/officeDocument/2006/relationships/hyperlink" Target="https://fbref.com/en/squads/e4a775cb/2025-2026/wages/Nottingham-Forest-Wage-Details" TargetMode="External"/><Relationship Id="rId1173" Type="http://schemas.openxmlformats.org/officeDocument/2006/relationships/hyperlink" Target="https://fbref.com/en/country/ENG/England-Football" TargetMode="External"/><Relationship Id="rId581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5bfb9659/2025-2026/wages/Leeds-United-Wage-Details" TargetMode="External"/><Relationship Id="rId580" Type="http://schemas.openxmlformats.org/officeDocument/2006/relationships/hyperlink" Target="https://fbref.com/en/players/1704b0b8/Murillo" TargetMode="External"/><Relationship Id="rId1175" Type="http://schemas.openxmlformats.org/officeDocument/2006/relationships/hyperlink" Target="https://fbref.com/en/players/0cc5f4a5/Lukas-Nmecha" TargetMode="External"/><Relationship Id="rId103" Type="http://schemas.openxmlformats.org/officeDocument/2006/relationships/hyperlink" Target="https://fbref.com/en/players/5ff4ab71/Enzo-Fernandez" TargetMode="External"/><Relationship Id="rId587" Type="http://schemas.openxmlformats.org/officeDocument/2006/relationships/hyperlink" Target="https://fbref.com/en/country/SUI/Switzerland-Football" TargetMode="External"/><Relationship Id="rId1176" Type="http://schemas.openxmlformats.org/officeDocument/2006/relationships/hyperlink" Target="https://fbref.com/en/country/GER/Germany-Football" TargetMode="External"/><Relationship Id="rId102" Type="http://schemas.openxmlformats.org/officeDocument/2006/relationships/hyperlink" Target="https://fbref.com/en/squads/b8fd03ef/2025-2026/wages/Manchester-City-Wage-Details" TargetMode="External"/><Relationship Id="rId586" Type="http://schemas.openxmlformats.org/officeDocument/2006/relationships/hyperlink" Target="https://fbref.com/en/players/ca607d59/Noah-Okafor" TargetMode="External"/><Relationship Id="rId1177" Type="http://schemas.openxmlformats.org/officeDocument/2006/relationships/hyperlink" Target="https://fbref.com/en/squads/5bfb9659/2025-2026/wages/Leeds-United-Wage-Details" TargetMode="External"/><Relationship Id="rId101" Type="http://schemas.openxmlformats.org/officeDocument/2006/relationships/hyperlink" Target="https://fbref.com/en/country/FRA/France-Football" TargetMode="External"/><Relationship Id="rId585" Type="http://schemas.openxmlformats.org/officeDocument/2006/relationships/hyperlink" Target="https://fbref.com/en/squads/18bb7c10/2025-2026/wages/Arsenal-Wage-Details" TargetMode="External"/><Relationship Id="rId1178" Type="http://schemas.openxmlformats.org/officeDocument/2006/relationships/hyperlink" Target="https://fbref.com/en/players/bd5eb2e5/El-Hadji-Malick-Diouf" TargetMode="External"/><Relationship Id="rId100" Type="http://schemas.openxmlformats.org/officeDocument/2006/relationships/hyperlink" Target="https://fbref.com/en/players/b34c63a5/Rayan-Cherki" TargetMode="External"/><Relationship Id="rId584" Type="http://schemas.openxmlformats.org/officeDocument/2006/relationships/hyperlink" Target="https://fbref.com/en/country/ESP/Spain-Football" TargetMode="External"/><Relationship Id="rId1179" Type="http://schemas.openxmlformats.org/officeDocument/2006/relationships/hyperlink" Target="https://fbref.com/en/country/SEN/Senegal-Football" TargetMode="External"/><Relationship Id="rId1169" Type="http://schemas.openxmlformats.org/officeDocument/2006/relationships/hyperlink" Target="https://fbref.com/en/players/745ca0a3/Romain-Faivre" TargetMode="External"/><Relationship Id="rId579" Type="http://schemas.openxmlformats.org/officeDocument/2006/relationships/hyperlink" Target="https://fbref.com/en/squads/e4a775cb/2025-2026/wages/Nottingham-Forest-Wage-Details" TargetMode="External"/><Relationship Id="rId578" Type="http://schemas.openxmlformats.org/officeDocument/2006/relationships/hyperlink" Target="https://fbref.com/en/country/CIV/Cote-dIvoire-Football" TargetMode="External"/><Relationship Id="rId577" Type="http://schemas.openxmlformats.org/officeDocument/2006/relationships/hyperlink" Target="https://fbref.com/en/players/bced0375/Ibrahim-Sangare" TargetMode="External"/><Relationship Id="rId1160" Type="http://schemas.openxmlformats.org/officeDocument/2006/relationships/hyperlink" Target="https://fbref.com/en/players/8a2248b4/Walter-Benitez" TargetMode="External"/><Relationship Id="rId572" Type="http://schemas.openxmlformats.org/officeDocument/2006/relationships/hyperlink" Target="https://fbref.com/en/country/DEN/Denmark-Football" TargetMode="External"/><Relationship Id="rId1161" Type="http://schemas.openxmlformats.org/officeDocument/2006/relationships/hyperlink" Target="https://fbref.com/en/country/ARG/Argentina-Football" TargetMode="External"/><Relationship Id="rId571" Type="http://schemas.openxmlformats.org/officeDocument/2006/relationships/hyperlink" Target="https://fbref.com/en/players/215f3907/Mikkel-Damsgaard" TargetMode="External"/><Relationship Id="rId1162" Type="http://schemas.openxmlformats.org/officeDocument/2006/relationships/hyperlink" Target="https://fbref.com/en/squads/47c64c55/2025-2026/wages/Crystal-Palace-Wage-Details" TargetMode="External"/><Relationship Id="rId570" Type="http://schemas.openxmlformats.org/officeDocument/2006/relationships/hyperlink" Target="https://fbref.com/en/squads/cd051869/2025-2026/wages/Brentford-Wage-Details" TargetMode="External"/><Relationship Id="rId1163" Type="http://schemas.openxmlformats.org/officeDocument/2006/relationships/hyperlink" Target="https://fbref.com/en/players/5d0e0a1f/Adrien-Truffert" TargetMode="External"/><Relationship Id="rId1164" Type="http://schemas.openxmlformats.org/officeDocument/2006/relationships/hyperlink" Target="https://fbref.com/en/country/FRA/France-Football" TargetMode="External"/><Relationship Id="rId576" Type="http://schemas.openxmlformats.org/officeDocument/2006/relationships/hyperlink" Target="https://fbref.com/en/squads/d07537b9/2025-2026/wages/Brighton-and-Hove-Albion-Wage-Details" TargetMode="External"/><Relationship Id="rId1165" Type="http://schemas.openxmlformats.org/officeDocument/2006/relationships/hyperlink" Target="https://fbref.com/en/squads/4ba7cbea/2025-2026/wages/Bournemouth-Wage-Details" TargetMode="External"/><Relationship Id="rId575" Type="http://schemas.openxmlformats.org/officeDocument/2006/relationships/hyperlink" Target="https://fbref.com/en/country/FRA/France-Football" TargetMode="External"/><Relationship Id="rId1166" Type="http://schemas.openxmlformats.org/officeDocument/2006/relationships/hyperlink" Target="https://fbref.com/en/players/8e16dd48/Luis-Sinisterra" TargetMode="External"/><Relationship Id="rId574" Type="http://schemas.openxmlformats.org/officeDocument/2006/relationships/hyperlink" Target="https://fbref.com/en/players/c64c01fc/Georginio-Rutter" TargetMode="External"/><Relationship Id="rId1167" Type="http://schemas.openxmlformats.org/officeDocument/2006/relationships/hyperlink" Target="https://fbref.com/en/country/COL/Colombia-Football" TargetMode="External"/><Relationship Id="rId573" Type="http://schemas.openxmlformats.org/officeDocument/2006/relationships/hyperlink" Target="https://fbref.com/en/squads/cd051869/2025-2026/wages/Brentford-Wage-Details" TargetMode="External"/><Relationship Id="rId1168" Type="http://schemas.openxmlformats.org/officeDocument/2006/relationships/hyperlink" Target="https://fbref.com/en/squads/4ba7cbea/2025-2026/wages/Bournemouth-Wage-Details" TargetMode="External"/><Relationship Id="rId129" Type="http://schemas.openxmlformats.org/officeDocument/2006/relationships/hyperlink" Target="https://fbref.com/en/squads/822bd0ba/2025-2026/wages/Liverpool-Wage-Details" TargetMode="External"/><Relationship Id="rId128" Type="http://schemas.openxmlformats.org/officeDocument/2006/relationships/hyperlink" Target="https://fbref.com/en/country/SCO/Scotland-Football" TargetMode="External"/><Relationship Id="rId127" Type="http://schemas.openxmlformats.org/officeDocument/2006/relationships/hyperlink" Target="https://fbref.com/en/players/2e4f5f03/Andrew-Robertson" TargetMode="External"/><Relationship Id="rId126" Type="http://schemas.openxmlformats.org/officeDocument/2006/relationships/hyperlink" Target="https://fbref.com/en/squads/19538871/2025-2026/wages/Manchester-United-Wage-Details" TargetMode="External"/><Relationship Id="rId1190" Type="http://schemas.openxmlformats.org/officeDocument/2006/relationships/hyperlink" Target="https://fbref.com/en/players/24fae784/Connor-Roberts" TargetMode="External"/><Relationship Id="rId1191" Type="http://schemas.openxmlformats.org/officeDocument/2006/relationships/hyperlink" Target="https://fbref.com/en/country/WAL/Wales-Football" TargetMode="External"/><Relationship Id="rId1192" Type="http://schemas.openxmlformats.org/officeDocument/2006/relationships/hyperlink" Target="https://fbref.com/en/squads/943e8050/2025-2026/wages/Burnley-Wage-Details" TargetMode="External"/><Relationship Id="rId1193" Type="http://schemas.openxmlformats.org/officeDocument/2006/relationships/hyperlink" Target="https://fbref.com/en/players/2ee5b0c9/Zeki-Amdouni" TargetMode="External"/><Relationship Id="rId121" Type="http://schemas.openxmlformats.org/officeDocument/2006/relationships/hyperlink" Target="https://fbref.com/en/players/c2731c10/Conor-Gallagher" TargetMode="External"/><Relationship Id="rId1194" Type="http://schemas.openxmlformats.org/officeDocument/2006/relationships/hyperlink" Target="https://fbref.com/en/country/SUI/Switzerland-Football" TargetMode="External"/><Relationship Id="rId120" Type="http://schemas.openxmlformats.org/officeDocument/2006/relationships/hyperlink" Target="https://fbref.com/en/squads/361ca564/2025-2026/wages/Tottenham-Hotspur-Wage-Details" TargetMode="External"/><Relationship Id="rId1195" Type="http://schemas.openxmlformats.org/officeDocument/2006/relationships/hyperlink" Target="https://fbref.com/en/squads/943e8050/2025-2026/wages/Burnley-Wage-Details" TargetMode="External"/><Relationship Id="rId1196" Type="http://schemas.openxmlformats.org/officeDocument/2006/relationships/hyperlink" Target="https://fbref.com/en/players/de112b84/Jacob-Murphy" TargetMode="External"/><Relationship Id="rId1197" Type="http://schemas.openxmlformats.org/officeDocument/2006/relationships/hyperlink" Target="https://fbref.com/en/country/ENG/England-Football" TargetMode="External"/><Relationship Id="rId125" Type="http://schemas.openxmlformats.org/officeDocument/2006/relationships/hyperlink" Target="https://fbref.com/en/country/SVN/Slovenia-Football" TargetMode="External"/><Relationship Id="rId1198" Type="http://schemas.openxmlformats.org/officeDocument/2006/relationships/hyperlink" Target="https://fbref.com/en/squads/b2b47a98/2025-2026/wages/Newcastle-United-Wage-Details" TargetMode="External"/><Relationship Id="rId124" Type="http://schemas.openxmlformats.org/officeDocument/2006/relationships/hyperlink" Target="https://fbref.com/en/players/3260690c/Benjamin-Sesko" TargetMode="External"/><Relationship Id="rId1199" Type="http://schemas.openxmlformats.org/officeDocument/2006/relationships/hyperlink" Target="https://fbref.com/en/players/0d85a4e8/Marcus-Bettinelli" TargetMode="External"/><Relationship Id="rId123" Type="http://schemas.openxmlformats.org/officeDocument/2006/relationships/hyperlink" Target="https://fbref.com/en/squads/361ca564/2025-2026/wages/Tottenham-Hotspur-Wage-Details" TargetMode="External"/><Relationship Id="rId122" Type="http://schemas.openxmlformats.org/officeDocument/2006/relationships/hyperlink" Target="https://fbref.com/en/country/ENG/England-Football" TargetMode="External"/><Relationship Id="rId118" Type="http://schemas.openxmlformats.org/officeDocument/2006/relationships/hyperlink" Target="https://fbref.com/en/players/ee38d9c5/James-Maddison" TargetMode="External"/><Relationship Id="rId117" Type="http://schemas.openxmlformats.org/officeDocument/2006/relationships/hyperlink" Target="https://fbref.com/en/squads/cff3d9bb/2025-2026/wages/Chelsea-Wage-Details" TargetMode="External"/><Relationship Id="rId116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1daec722/Marc-Cucurella" TargetMode="External"/><Relationship Id="rId599" Type="http://schemas.openxmlformats.org/officeDocument/2006/relationships/hyperlink" Target="https://fbref.com/en/country/SEN/Senegal-Football" TargetMode="External"/><Relationship Id="rId1180" Type="http://schemas.openxmlformats.org/officeDocument/2006/relationships/hyperlink" Target="https://fbref.com/en/squads/7c21e445/2025-2026/wages/West-Ham-United-Wage-Details" TargetMode="External"/><Relationship Id="rId1181" Type="http://schemas.openxmlformats.org/officeDocument/2006/relationships/hyperlink" Target="https://fbref.com/en/players/dfc5d4fa/Soungoutou-Magassa" TargetMode="External"/><Relationship Id="rId119" Type="http://schemas.openxmlformats.org/officeDocument/2006/relationships/hyperlink" Target="https://fbref.com/en/country/ENG/England-Football" TargetMode="External"/><Relationship Id="rId1182" Type="http://schemas.openxmlformats.org/officeDocument/2006/relationships/hyperlink" Target="https://fbref.com/en/country/FRA/France-Football" TargetMode="External"/><Relationship Id="rId110" Type="http://schemas.openxmlformats.org/officeDocument/2006/relationships/hyperlink" Target="https://fbref.com/en/country/BRA/Brazil-Football" TargetMode="External"/><Relationship Id="rId594" Type="http://schemas.openxmlformats.org/officeDocument/2006/relationships/hyperlink" Target="https://fbref.com/en/squads/361ca564/2025-2026/wages/Tottenham-Hotspur-Wage-Details" TargetMode="External"/><Relationship Id="rId1183" Type="http://schemas.openxmlformats.org/officeDocument/2006/relationships/hyperlink" Target="https://fbref.com/en/squads/7c21e445/2025-2026/wages/West-Ham-United-Wage-Details" TargetMode="External"/><Relationship Id="rId593" Type="http://schemas.openxmlformats.org/officeDocument/2006/relationships/hyperlink" Target="https://fbref.com/en/country/SEN/Senegal-Football" TargetMode="External"/><Relationship Id="rId1184" Type="http://schemas.openxmlformats.org/officeDocument/2006/relationships/hyperlink" Target="https://fbref.com/en/players/35741fe2/Chris-Rigg" TargetMode="External"/><Relationship Id="rId592" Type="http://schemas.openxmlformats.org/officeDocument/2006/relationships/hyperlink" Target="https://fbref.com/en/players/feb5d972/Pape-Matar-Sarr" TargetMode="External"/><Relationship Id="rId1185" Type="http://schemas.openxmlformats.org/officeDocument/2006/relationships/hyperlink" Target="https://fbref.com/en/country/ENG/England-Football" TargetMode="External"/><Relationship Id="rId591" Type="http://schemas.openxmlformats.org/officeDocument/2006/relationships/hyperlink" Target="https://fbref.com/en/squads/7c21e445/2025-2026/wages/West-Ham-United-Wage-Details" TargetMode="External"/><Relationship Id="rId1186" Type="http://schemas.openxmlformats.org/officeDocument/2006/relationships/hyperlink" Target="https://fbref.com/en/squads/8ef52968/2025-2026/wages/Sunderland-Wage-Details" TargetMode="External"/><Relationship Id="rId114" Type="http://schemas.openxmlformats.org/officeDocument/2006/relationships/hyperlink" Target="https://fbref.com/en/squads/18bb7c10/2025-2026/wages/Arsenal-Wage-Details" TargetMode="External"/><Relationship Id="rId598" Type="http://schemas.openxmlformats.org/officeDocument/2006/relationships/hyperlink" Target="https://fbref.com/en/players/bfdb33aa/Ismaila-Sarr" TargetMode="External"/><Relationship Id="rId1187" Type="http://schemas.openxmlformats.org/officeDocument/2006/relationships/hyperlink" Target="https://fbref.com/en/players/38f300f3/Daniel-Ballard" TargetMode="External"/><Relationship Id="rId113" Type="http://schemas.openxmlformats.org/officeDocument/2006/relationships/hyperlink" Target="https://fbref.com/en/country/BEL/Belgium-Football" TargetMode="External"/><Relationship Id="rId597" Type="http://schemas.openxmlformats.org/officeDocument/2006/relationships/hyperlink" Target="https://fbref.com/en/squads/47c64c55/2025-2026/wages/Crystal-Palace-Wage-Details" TargetMode="External"/><Relationship Id="rId1188" Type="http://schemas.openxmlformats.org/officeDocument/2006/relationships/hyperlink" Target="https://fbref.com/en/country/NIR/Northern-Ireland-Football" TargetMode="External"/><Relationship Id="rId112" Type="http://schemas.openxmlformats.org/officeDocument/2006/relationships/hyperlink" Target="https://fbref.com/en/players/38ceb24a/Leandro-Trossard" TargetMode="External"/><Relationship Id="rId596" Type="http://schemas.openxmlformats.org/officeDocument/2006/relationships/hyperlink" Target="https://fbref.com/en/country/MLI/Mali-Football" TargetMode="External"/><Relationship Id="rId1189" Type="http://schemas.openxmlformats.org/officeDocument/2006/relationships/hyperlink" Target="https://fbref.com/en/squads/8ef52968/2025-2026/wages/Sunderland-Wage-Details" TargetMode="External"/><Relationship Id="rId111" Type="http://schemas.openxmlformats.org/officeDocument/2006/relationships/hyperlink" Target="https://fbref.com/en/squads/18bb7c10/2025-2026/wages/Arsenal-Wage-Details" TargetMode="External"/><Relationship Id="rId595" Type="http://schemas.openxmlformats.org/officeDocument/2006/relationships/hyperlink" Target="https://fbref.com/en/players/ce4f40c7/Cheick-Doucoure" TargetMode="External"/><Relationship Id="rId1136" Type="http://schemas.openxmlformats.org/officeDocument/2006/relationships/hyperlink" Target="https://fbref.com/en/players/a4ac4b8f/Willy-Boly" TargetMode="External"/><Relationship Id="rId1137" Type="http://schemas.openxmlformats.org/officeDocument/2006/relationships/hyperlink" Target="https://fbref.com/en/country/CIV/Cote-dIvoire-Football" TargetMode="External"/><Relationship Id="rId1138" Type="http://schemas.openxmlformats.org/officeDocument/2006/relationships/hyperlink" Target="https://fbref.com/en/squads/e4a775cb/2025-2026/wages/Nottingham-Forest-Wage-Details" TargetMode="External"/><Relationship Id="rId1139" Type="http://schemas.openxmlformats.org/officeDocument/2006/relationships/hyperlink" Target="https://fbref.com/en/players/b73f17f8/Evann-Guessand" TargetMode="External"/><Relationship Id="rId547" Type="http://schemas.openxmlformats.org/officeDocument/2006/relationships/hyperlink" Target="https://fbref.com/en/players/10f0fdd3/Jean-Ricner-Bellegarde" TargetMode="External"/><Relationship Id="rId546" Type="http://schemas.openxmlformats.org/officeDocument/2006/relationships/hyperlink" Target="https://fbref.com/en/squads/8602292d/2025-2026/wages/Aston-Villa-Wage-Details" TargetMode="External"/><Relationship Id="rId545" Type="http://schemas.openxmlformats.org/officeDocument/2006/relationships/hyperlink" Target="https://fbref.com/en/country/ENG/England-Football" TargetMode="External"/><Relationship Id="rId544" Type="http://schemas.openxmlformats.org/officeDocument/2006/relationships/hyperlink" Target="https://fbref.com/en/players/0313a347/Ezri-Konsa" TargetMode="External"/><Relationship Id="rId549" Type="http://schemas.openxmlformats.org/officeDocument/2006/relationships/hyperlink" Target="https://fbref.com/en/squads/8cec06e1/2025-2026/wages/Wolverhampton-Wanderers-Wage-Details" TargetMode="External"/><Relationship Id="rId548" Type="http://schemas.openxmlformats.org/officeDocument/2006/relationships/hyperlink" Target="https://fbref.com/en/country/HAI/Haiti-Football" TargetMode="External"/><Relationship Id="rId1130" Type="http://schemas.openxmlformats.org/officeDocument/2006/relationships/hyperlink" Target="https://fbref.com/en/players/33a235af/John" TargetMode="External"/><Relationship Id="rId1131" Type="http://schemas.openxmlformats.org/officeDocument/2006/relationships/hyperlink" Target="https://fbref.com/en/country/BRA/Brazil-Football" TargetMode="External"/><Relationship Id="rId543" Type="http://schemas.openxmlformats.org/officeDocument/2006/relationships/hyperlink" Target="https://fbref.com/en/squads/8602292d/2025-2026/wages/Aston-Villa-Wage-Details" TargetMode="External"/><Relationship Id="rId1132" Type="http://schemas.openxmlformats.org/officeDocument/2006/relationships/hyperlink" Target="https://fbref.com/en/squads/e4a775cb/2025-2026/wages/Nottingham-Forest-Wage-Details" TargetMode="External"/><Relationship Id="rId542" Type="http://schemas.openxmlformats.org/officeDocument/2006/relationships/hyperlink" Target="https://fbref.com/en/country/ARG/Argentina-Football" TargetMode="External"/><Relationship Id="rId1133" Type="http://schemas.openxmlformats.org/officeDocument/2006/relationships/hyperlink" Target="https://fbref.com/en/players/834b5c4c/Matz-Sels" TargetMode="External"/><Relationship Id="rId541" Type="http://schemas.openxmlformats.org/officeDocument/2006/relationships/hyperlink" Target="https://fbref.com/en/players/66b76d44/Emi-Buendia" TargetMode="External"/><Relationship Id="rId1134" Type="http://schemas.openxmlformats.org/officeDocument/2006/relationships/hyperlink" Target="https://fbref.com/en/country/BEL/Belgium-Football" TargetMode="External"/><Relationship Id="rId540" Type="http://schemas.openxmlformats.org/officeDocument/2006/relationships/hyperlink" Target="https://fbref.com/en/squads/822bd0ba/2025-2026/wages/Liverpool-Wage-Details" TargetMode="External"/><Relationship Id="rId1135" Type="http://schemas.openxmlformats.org/officeDocument/2006/relationships/hyperlink" Target="https://fbref.com/en/squads/e4a775cb/2025-2026/wages/Nottingham-Forest-Wage-Details" TargetMode="External"/><Relationship Id="rId1125" Type="http://schemas.openxmlformats.org/officeDocument/2006/relationships/hyperlink" Target="https://fbref.com/en/country/ENG/England-Football" TargetMode="External"/><Relationship Id="rId1126" Type="http://schemas.openxmlformats.org/officeDocument/2006/relationships/hyperlink" Target="https://fbref.com/en/squads/e4a775cb/2025-2026/wages/Nottingham-Forest-Wage-Details" TargetMode="External"/><Relationship Id="rId1127" Type="http://schemas.openxmlformats.org/officeDocument/2006/relationships/hyperlink" Target="https://fbref.com/en/players/96593e89/James-Mcatee" TargetMode="External"/><Relationship Id="rId1128" Type="http://schemas.openxmlformats.org/officeDocument/2006/relationships/hyperlink" Target="https://fbref.com/en/country/ENG/England-Football" TargetMode="External"/><Relationship Id="rId1129" Type="http://schemas.openxmlformats.org/officeDocument/2006/relationships/hyperlink" Target="https://fbref.com/en/squads/e4a775cb/2025-2026/wages/Nottingham-Forest-Wage-Details" TargetMode="External"/><Relationship Id="rId536" Type="http://schemas.openxmlformats.org/officeDocument/2006/relationships/hyperlink" Target="https://fbref.com/en/country/NIR/Northern-Ireland-Football" TargetMode="External"/><Relationship Id="rId535" Type="http://schemas.openxmlformats.org/officeDocument/2006/relationships/hyperlink" Target="https://fbref.com/en/players/bbd67769/Conor-Bradley" TargetMode="External"/><Relationship Id="rId534" Type="http://schemas.openxmlformats.org/officeDocument/2006/relationships/hyperlink" Target="https://fbref.com/en/squads/5bfb9659/2025-2026/wages/Leeds-United-Wage-Details" TargetMode="External"/><Relationship Id="rId533" Type="http://schemas.openxmlformats.org/officeDocument/2006/relationships/hyperlink" Target="https://fbref.com/en/country/WAL/Wales-Football" TargetMode="External"/><Relationship Id="rId539" Type="http://schemas.openxmlformats.org/officeDocument/2006/relationships/hyperlink" Target="https://fbref.com/en/country/HUN/Hungary-Football" TargetMode="External"/><Relationship Id="rId538" Type="http://schemas.openxmlformats.org/officeDocument/2006/relationships/hyperlink" Target="https://fbref.com/en/players/0ad53bdc/Milos-Kerkez" TargetMode="External"/><Relationship Id="rId537" Type="http://schemas.openxmlformats.org/officeDocument/2006/relationships/hyperlink" Target="https://fbref.com/en/squads/822bd0ba/2025-2026/wages/Liverpool-Wage-Details" TargetMode="External"/><Relationship Id="rId1120" Type="http://schemas.openxmlformats.org/officeDocument/2006/relationships/hyperlink" Target="https://fbref.com/en/players/c3cf087d/Yankuba-Minteh" TargetMode="External"/><Relationship Id="rId532" Type="http://schemas.openxmlformats.org/officeDocument/2006/relationships/hyperlink" Target="https://fbref.com/en/players/c931d9f9/Daniel-James" TargetMode="External"/><Relationship Id="rId1121" Type="http://schemas.openxmlformats.org/officeDocument/2006/relationships/hyperlink" Target="https://fbref.com/en/country/GAM/Gambia-Football" TargetMode="External"/><Relationship Id="rId531" Type="http://schemas.openxmlformats.org/officeDocument/2006/relationships/hyperlink" Target="https://fbref.com/en/squads/361ca564/2025-2026/wages/Tottenham-Hotspur-Wage-Details" TargetMode="External"/><Relationship Id="rId1122" Type="http://schemas.openxmlformats.org/officeDocument/2006/relationships/hyperlink" Target="https://fbref.com/en/squads/d07537b9/2025-2026/wages/Brighton-and-Hove-Albion-Wage-Details" TargetMode="External"/><Relationship Id="rId530" Type="http://schemas.openxmlformats.org/officeDocument/2006/relationships/hyperlink" Target="https://fbref.com/en/country/URU/Uruguay-Football" TargetMode="External"/><Relationship Id="rId1123" Type="http://schemas.openxmlformats.org/officeDocument/2006/relationships/hyperlink" Target="https://fbref.com/en/squads/d3fd31cc/2025-2026/wages/Everton-Wage-Details" TargetMode="External"/><Relationship Id="rId1124" Type="http://schemas.openxmlformats.org/officeDocument/2006/relationships/hyperlink" Target="https://fbref.com/en/players/de31038e/Elliot-Anderson" TargetMode="External"/><Relationship Id="rId1158" Type="http://schemas.openxmlformats.org/officeDocument/2006/relationships/hyperlink" Target="https://fbref.com/en/country/CRO/Croatia-Football" TargetMode="External"/><Relationship Id="rId1159" Type="http://schemas.openxmlformats.org/officeDocument/2006/relationships/hyperlink" Target="https://fbref.com/en/squads/47c64c55/2025-2026/wages/Crystal-Palace-Wage-Details" TargetMode="External"/><Relationship Id="rId569" Type="http://schemas.openxmlformats.org/officeDocument/2006/relationships/hyperlink" Target="https://fbref.com/en/country/ENG/England-Football" TargetMode="External"/><Relationship Id="rId568" Type="http://schemas.openxmlformats.org/officeDocument/2006/relationships/hyperlink" Target="https://fbref.com/en/players/935e6b8f/Jordan-Henderson" TargetMode="External"/><Relationship Id="rId567" Type="http://schemas.openxmlformats.org/officeDocument/2006/relationships/hyperlink" Target="https://fbref.com/en/squads/b8fd03ef/2025-2026/wages/Manchester-City-Wage-Details" TargetMode="External"/><Relationship Id="rId566" Type="http://schemas.openxmlformats.org/officeDocument/2006/relationships/hyperlink" Target="https://fbref.com/en/country/ESP/Spain-Football" TargetMode="External"/><Relationship Id="rId561" Type="http://schemas.openxmlformats.org/officeDocument/2006/relationships/hyperlink" Target="https://fbref.com/en/squads/b2b47a98/2025-2026/wages/Newcastle-United-Wage-Details" TargetMode="External"/><Relationship Id="rId1150" Type="http://schemas.openxmlformats.org/officeDocument/2006/relationships/hyperlink" Target="https://fbref.com/en/squads/e4a775cb/2025-2026/wages/Nottingham-Forest-Wage-Details" TargetMode="External"/><Relationship Id="rId560" Type="http://schemas.openxmlformats.org/officeDocument/2006/relationships/hyperlink" Target="https://fbref.com/en/country/GER/Germany-Football" TargetMode="External"/><Relationship Id="rId1151" Type="http://schemas.openxmlformats.org/officeDocument/2006/relationships/hyperlink" Target="https://fbref.com/en/players/072e68ed/Altay-Bayindir" TargetMode="External"/><Relationship Id="rId1152" Type="http://schemas.openxmlformats.org/officeDocument/2006/relationships/hyperlink" Target="https://fbref.com/en/country/TUR/Turkey-Football" TargetMode="External"/><Relationship Id="rId1153" Type="http://schemas.openxmlformats.org/officeDocument/2006/relationships/hyperlink" Target="https://fbref.com/en/squads/19538871/2025-2026/wages/Manchester-United-Wage-Details" TargetMode="External"/><Relationship Id="rId565" Type="http://schemas.openxmlformats.org/officeDocument/2006/relationships/hyperlink" Target="https://fbref.com/en/players/2c56a792/Nicolas-Gonzalez" TargetMode="External"/><Relationship Id="rId1154" Type="http://schemas.openxmlformats.org/officeDocument/2006/relationships/hyperlink" Target="https://fbref.com/en/players/4b542852/Adam-Wharton" TargetMode="External"/><Relationship Id="rId564" Type="http://schemas.openxmlformats.org/officeDocument/2006/relationships/hyperlink" Target="https://fbref.com/en/squads/b8fd03ef/2025-2026/wages/Manchester-City-Wage-Details" TargetMode="External"/><Relationship Id="rId1155" Type="http://schemas.openxmlformats.org/officeDocument/2006/relationships/hyperlink" Target="https://fbref.com/en/country/ENG/England-Football" TargetMode="External"/><Relationship Id="rId563" Type="http://schemas.openxmlformats.org/officeDocument/2006/relationships/hyperlink" Target="https://fbref.com/en/country/ENG/England-Football" TargetMode="External"/><Relationship Id="rId1156" Type="http://schemas.openxmlformats.org/officeDocument/2006/relationships/hyperlink" Target="https://fbref.com/en/squads/47c64c55/2025-2026/wages/Crystal-Palace-Wage-Details" TargetMode="External"/><Relationship Id="rId562" Type="http://schemas.openxmlformats.org/officeDocument/2006/relationships/hyperlink" Target="https://fbref.com/en/players/b0b4fd3e/Jack-Grealish" TargetMode="External"/><Relationship Id="rId1157" Type="http://schemas.openxmlformats.org/officeDocument/2006/relationships/hyperlink" Target="https://fbref.com/en/players/af0d79a9/Borna-Sosa" TargetMode="External"/><Relationship Id="rId1147" Type="http://schemas.openxmlformats.org/officeDocument/2006/relationships/hyperlink" Target="https://fbref.com/en/squads/cff3d9bb/2025-2026/wages/Chelsea-Wage-Details" TargetMode="External"/><Relationship Id="rId1148" Type="http://schemas.openxmlformats.org/officeDocument/2006/relationships/hyperlink" Target="https://fbref.com/en/players/e79269bd/Luca-Netz" TargetMode="External"/><Relationship Id="rId1149" Type="http://schemas.openxmlformats.org/officeDocument/2006/relationships/hyperlink" Target="https://fbref.com/en/country/GER/Germany-Football" TargetMode="External"/><Relationship Id="rId558" Type="http://schemas.openxmlformats.org/officeDocument/2006/relationships/hyperlink" Target="https://fbref.com/en/squads/943e8050/2025-2026/wages/Burnley-Wage-Details" TargetMode="External"/><Relationship Id="rId557" Type="http://schemas.openxmlformats.org/officeDocument/2006/relationships/hyperlink" Target="https://fbref.com/en/country/ENG/England-Football" TargetMode="External"/><Relationship Id="rId556" Type="http://schemas.openxmlformats.org/officeDocument/2006/relationships/hyperlink" Target="https://fbref.com/en/players/86dd77d1/Kyle-Walker" TargetMode="External"/><Relationship Id="rId555" Type="http://schemas.openxmlformats.org/officeDocument/2006/relationships/hyperlink" Target="https://fbref.com/en/squads/8ef52968/2025-2026/wages/Sunderland-Wage-Details" TargetMode="External"/><Relationship Id="rId559" Type="http://schemas.openxmlformats.org/officeDocument/2006/relationships/hyperlink" Target="https://fbref.com/en/players/ff5ea0bf/Malick-Thiaw" TargetMode="External"/><Relationship Id="rId550" Type="http://schemas.openxmlformats.org/officeDocument/2006/relationships/hyperlink" Target="https://fbref.com/en/players/a42760bc/Tolu-Arokodare" TargetMode="External"/><Relationship Id="rId1140" Type="http://schemas.openxmlformats.org/officeDocument/2006/relationships/hyperlink" Target="https://fbref.com/en/country/CIV/Cote-dIvoire-Football" TargetMode="External"/><Relationship Id="rId1141" Type="http://schemas.openxmlformats.org/officeDocument/2006/relationships/hyperlink" Target="https://fbref.com/en/squads/47c64c55/2025-2026/wages/Crystal-Palace-Wage-Details" TargetMode="External"/><Relationship Id="rId1142" Type="http://schemas.openxmlformats.org/officeDocument/2006/relationships/hyperlink" Target="https://fbref.com/en/players/645a3363/Angel-Gomes" TargetMode="External"/><Relationship Id="rId554" Type="http://schemas.openxmlformats.org/officeDocument/2006/relationships/hyperlink" Target="https://fbref.com/en/country/FRA/France-Football" TargetMode="External"/><Relationship Id="rId1143" Type="http://schemas.openxmlformats.org/officeDocument/2006/relationships/hyperlink" Target="https://fbref.com/en/country/ENG/England-Football" TargetMode="External"/><Relationship Id="rId553" Type="http://schemas.openxmlformats.org/officeDocument/2006/relationships/hyperlink" Target="https://fbref.com/en/players/6f806d99/Enzo-Le-Fee" TargetMode="External"/><Relationship Id="rId1144" Type="http://schemas.openxmlformats.org/officeDocument/2006/relationships/hyperlink" Target="https://fbref.com/en/squads/8cec06e1/2025-2026/wages/Wolverhampton-Wanderers-Wage-Details" TargetMode="External"/><Relationship Id="rId552" Type="http://schemas.openxmlformats.org/officeDocument/2006/relationships/hyperlink" Target="https://fbref.com/en/squads/8cec06e1/2025-2026/wages/Wolverhampton-Wanderers-Wage-Details" TargetMode="External"/><Relationship Id="rId1145" Type="http://schemas.openxmlformats.org/officeDocument/2006/relationships/hyperlink" Target="https://fbref.com/en/players/61f80c89/Mamadou-Sarr" TargetMode="External"/><Relationship Id="rId551" Type="http://schemas.openxmlformats.org/officeDocument/2006/relationships/hyperlink" Target="https://fbref.com/en/country/NGA/Nigeria-Football" TargetMode="External"/><Relationship Id="rId1146" Type="http://schemas.openxmlformats.org/officeDocument/2006/relationships/hyperlink" Target="https://fbref.com/en/country/SEN/Senegal-Football" TargetMode="External"/><Relationship Id="rId495" Type="http://schemas.openxmlformats.org/officeDocument/2006/relationships/hyperlink" Target="https://fbref.com/en/squads/b2b47a98/2025-2026/wages/Newcastle-United-Wage-Details" TargetMode="External"/><Relationship Id="rId494" Type="http://schemas.openxmlformats.org/officeDocument/2006/relationships/hyperlink" Target="https://fbref.com/en/country/ENG/England-Football" TargetMode="External"/><Relationship Id="rId493" Type="http://schemas.openxmlformats.org/officeDocument/2006/relationships/hyperlink" Target="https://fbref.com/en/players/a3b03921/Joe-Willock" TargetMode="External"/><Relationship Id="rId492" Type="http://schemas.openxmlformats.org/officeDocument/2006/relationships/hyperlink" Target="https://fbref.com/en/squads/b2b47a98/2025-2026/wages/Newcastle-United-Wage-Details" TargetMode="External"/><Relationship Id="rId499" Type="http://schemas.openxmlformats.org/officeDocument/2006/relationships/hyperlink" Target="https://fbref.com/en/players/74618572/Kaoru-Mitoma" TargetMode="External"/><Relationship Id="rId498" Type="http://schemas.openxmlformats.org/officeDocument/2006/relationships/hyperlink" Target="https://fbref.com/en/squads/b8fd03ef/2025-2026/wages/Manchester-City-Wage-Details" TargetMode="External"/><Relationship Id="rId497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fe6e7156/Savio" TargetMode="External"/><Relationship Id="rId1610" Type="http://schemas.openxmlformats.org/officeDocument/2006/relationships/hyperlink" Target="https://fbref.com/en/country/GER/Germany-Football" TargetMode="External"/><Relationship Id="rId1611" Type="http://schemas.openxmlformats.org/officeDocument/2006/relationships/hyperlink" Target="https://fbref.com/en/squads/cd051869/2025-2026/wages/Brentford-Wage-Details" TargetMode="External"/><Relationship Id="rId1612" Type="http://schemas.openxmlformats.org/officeDocument/2006/relationships/hyperlink" Target="https://fbref.com/en/squads/fd962109/2025-2026/wages/Fulham-Wage-Details" TargetMode="External"/><Relationship Id="rId1613" Type="http://schemas.openxmlformats.org/officeDocument/2006/relationships/hyperlink" Target="https://fbref.com/en/players/0a4f579a/Eric-da-Silva-Moreira" TargetMode="External"/><Relationship Id="rId1614" Type="http://schemas.openxmlformats.org/officeDocument/2006/relationships/hyperlink" Target="https://fbref.com/en/country/GER/Germany-Football" TargetMode="External"/><Relationship Id="rId1615" Type="http://schemas.openxmlformats.org/officeDocument/2006/relationships/hyperlink" Target="https://fbref.com/en/squads/e4a775cb/2025-2026/wages/Nottingham-Forest-Wage-Details" TargetMode="External"/><Relationship Id="rId1616" Type="http://schemas.openxmlformats.org/officeDocument/2006/relationships/hyperlink" Target="https://fbref.com/en/squads/8ef52968/2025-2026/wages/Sunderland-Wage-Details" TargetMode="External"/><Relationship Id="rId907" Type="http://schemas.openxmlformats.org/officeDocument/2006/relationships/hyperlink" Target="https://fbref.com/en/squads/cd051869/2025-2026/wages/Brentford-Wage-Details" TargetMode="External"/><Relationship Id="rId1617" Type="http://schemas.openxmlformats.org/officeDocument/2006/relationships/hyperlink" Target="https://fbref.com/en/players/077faf72/Matheus-Franca" TargetMode="External"/><Relationship Id="rId906" Type="http://schemas.openxmlformats.org/officeDocument/2006/relationships/hyperlink" Target="https://fbref.com/en/country/ENG/England-Football" TargetMode="External"/><Relationship Id="rId1618" Type="http://schemas.openxmlformats.org/officeDocument/2006/relationships/hyperlink" Target="https://fbref.com/en/country/BRA/Brazil-Football" TargetMode="External"/><Relationship Id="rId905" Type="http://schemas.openxmlformats.org/officeDocument/2006/relationships/hyperlink" Target="https://fbref.com/en/players/41f08ac8/Keane-Lewis-Potter" TargetMode="External"/><Relationship Id="rId1619" Type="http://schemas.openxmlformats.org/officeDocument/2006/relationships/hyperlink" Target="https://fbref.com/en/squads/47c64c55/2025-2026/wages/Crystal-Palace-Wage-Details" TargetMode="External"/><Relationship Id="rId904" Type="http://schemas.openxmlformats.org/officeDocument/2006/relationships/hyperlink" Target="https://fbref.com/en/squads/cd051869/2025-2026/wages/Brentford-Wage-Details" TargetMode="External"/><Relationship Id="rId909" Type="http://schemas.openxmlformats.org/officeDocument/2006/relationships/hyperlink" Target="https://fbref.com/en/country/DEN/Denmark-Football" TargetMode="External"/><Relationship Id="rId908" Type="http://schemas.openxmlformats.org/officeDocument/2006/relationships/hyperlink" Target="https://fbref.com/en/players/0f134faf/Mathias-Jensen" TargetMode="External"/><Relationship Id="rId903" Type="http://schemas.openxmlformats.org/officeDocument/2006/relationships/hyperlink" Target="https://fbref.com/en/country/BRA/Brazil-Football" TargetMode="External"/><Relationship Id="rId902" Type="http://schemas.openxmlformats.org/officeDocument/2006/relationships/hyperlink" Target="https://fbref.com/en/players/dc45ac24/Igor-Thiago" TargetMode="External"/><Relationship Id="rId901" Type="http://schemas.openxmlformats.org/officeDocument/2006/relationships/hyperlink" Target="https://fbref.com/en/squads/b8fd03ef/2025-2026/wages/Manchester-City-Wage-Details" TargetMode="External"/><Relationship Id="rId900" Type="http://schemas.openxmlformats.org/officeDocument/2006/relationships/hyperlink" Target="https://fbref.com/en/country/BEL/Belgium-Football" TargetMode="External"/><Relationship Id="rId1600" Type="http://schemas.openxmlformats.org/officeDocument/2006/relationships/hyperlink" Target="https://fbref.com/en/players/c066d1a5/Issa-Kabore" TargetMode="External"/><Relationship Id="rId1601" Type="http://schemas.openxmlformats.org/officeDocument/2006/relationships/hyperlink" Target="https://fbref.com/en/country/BFA/Burkina-Faso-Football" TargetMode="External"/><Relationship Id="rId1602" Type="http://schemas.openxmlformats.org/officeDocument/2006/relationships/hyperlink" Target="https://fbref.com/en/squads/b8fd03ef/2025-2026/wages/Manchester-City-Wage-Details" TargetMode="External"/><Relationship Id="rId1603" Type="http://schemas.openxmlformats.org/officeDocument/2006/relationships/hyperlink" Target="https://fbref.com/en/players/e827567f/Ellery-Balcombe" TargetMode="External"/><Relationship Id="rId1604" Type="http://schemas.openxmlformats.org/officeDocument/2006/relationships/hyperlink" Target="https://fbref.com/en/country/ENG/England-Football" TargetMode="External"/><Relationship Id="rId1605" Type="http://schemas.openxmlformats.org/officeDocument/2006/relationships/hyperlink" Target="https://fbref.com/en/squads/cd051869/2025-2026/wages/Brentford-Wage-Details" TargetMode="External"/><Relationship Id="rId1606" Type="http://schemas.openxmlformats.org/officeDocument/2006/relationships/hyperlink" Target="https://fbref.com/en/players/57a34cf4/Hakon-Valdimarsson" TargetMode="External"/><Relationship Id="rId1607" Type="http://schemas.openxmlformats.org/officeDocument/2006/relationships/hyperlink" Target="https://fbref.com/en/country/ISL/Iceland-Football" TargetMode="External"/><Relationship Id="rId1608" Type="http://schemas.openxmlformats.org/officeDocument/2006/relationships/hyperlink" Target="https://fbref.com/en/squads/cd051869/2025-2026/wages/Brentford-Wage-Details" TargetMode="External"/><Relationship Id="rId1609" Type="http://schemas.openxmlformats.org/officeDocument/2006/relationships/hyperlink" Target="https://fbref.com/en/players/52afb588/Kevin-Schade" TargetMode="External"/><Relationship Id="rId1631" Type="http://schemas.openxmlformats.org/officeDocument/2006/relationships/hyperlink" Target="https://fbref.com/en/country/NGA/Nigeria-Football" TargetMode="External"/><Relationship Id="rId1632" Type="http://schemas.openxmlformats.org/officeDocument/2006/relationships/hyperlink" Target="https://fbref.com/en/squads/8ef52968/2025-2026/wages/Sunderland-Wage-Details" TargetMode="External"/><Relationship Id="rId1633" Type="http://schemas.openxmlformats.org/officeDocument/2006/relationships/hyperlink" Target="https://fbref.com/en/players/f1c42eb3/Alex-Murphy" TargetMode="External"/><Relationship Id="rId1634" Type="http://schemas.openxmlformats.org/officeDocument/2006/relationships/hyperlink" Target="https://fbref.com/en/country/IRL/Republic-of-Ireland-Football" TargetMode="External"/><Relationship Id="rId1635" Type="http://schemas.openxmlformats.org/officeDocument/2006/relationships/hyperlink" Target="https://fbref.com/en/squads/b2b47a98/2025-2026/wages/Newcastle-United-Wage-Details" TargetMode="External"/><Relationship Id="rId1636" Type="http://schemas.openxmlformats.org/officeDocument/2006/relationships/hyperlink" Target="https://fbref.com/en/players/093f0923/Benjamin-Arthur" TargetMode="External"/><Relationship Id="rId1637" Type="http://schemas.openxmlformats.org/officeDocument/2006/relationships/hyperlink" Target="https://fbref.com/en/country/ENG/England-Football" TargetMode="External"/><Relationship Id="rId1638" Type="http://schemas.openxmlformats.org/officeDocument/2006/relationships/hyperlink" Target="https://fbref.com/en/squads/cd051869/2025-2026/wages/Brentford-Wage-Details" TargetMode="External"/><Relationship Id="rId929" Type="http://schemas.openxmlformats.org/officeDocument/2006/relationships/hyperlink" Target="https://fbref.com/en/players/bb5fbd2b/Solly-March" TargetMode="External"/><Relationship Id="rId1639" Type="http://schemas.openxmlformats.org/officeDocument/2006/relationships/hyperlink" Target="https://fbref.com/en/players/f173303a/Yasin-Ayari" TargetMode="External"/><Relationship Id="rId928" Type="http://schemas.openxmlformats.org/officeDocument/2006/relationships/hyperlink" Target="https://fbref.com/en/squads/d07537b9/2025-2026/wages/Brighton-and-Hove-Albion-Wage-Details" TargetMode="External"/><Relationship Id="rId927" Type="http://schemas.openxmlformats.org/officeDocument/2006/relationships/hyperlink" Target="https://fbref.com/en/country/NED/Netherlands-Football" TargetMode="External"/><Relationship Id="rId926" Type="http://schemas.openxmlformats.org/officeDocument/2006/relationships/hyperlink" Target="https://fbref.com/en/players/dad4b285/Joel-Veltman" TargetMode="External"/><Relationship Id="rId921" Type="http://schemas.openxmlformats.org/officeDocument/2006/relationships/hyperlink" Target="https://fbref.com/en/country/GER/Germany-Football" TargetMode="External"/><Relationship Id="rId920" Type="http://schemas.openxmlformats.org/officeDocument/2006/relationships/hyperlink" Target="https://fbref.com/en/players/ae9b998d/Brajan-Gruda" TargetMode="External"/><Relationship Id="rId925" Type="http://schemas.openxmlformats.org/officeDocument/2006/relationships/hyperlink" Target="https://fbref.com/en/squads/d07537b9/2025-2026/wages/Brighton-and-Hove-Albion-Wage-Details" TargetMode="External"/><Relationship Id="rId924" Type="http://schemas.openxmlformats.org/officeDocument/2006/relationships/hyperlink" Target="https://fbref.com/en/country/NED/Netherlands-Football" TargetMode="External"/><Relationship Id="rId923" Type="http://schemas.openxmlformats.org/officeDocument/2006/relationships/hyperlink" Target="https://fbref.com/en/players/4fd08daa/Jan-Paul-van-Hecke" TargetMode="External"/><Relationship Id="rId922" Type="http://schemas.openxmlformats.org/officeDocument/2006/relationships/hyperlink" Target="https://fbref.com/en/squads/d07537b9/2025-2026/wages/Brighton-and-Hove-Albion-Wage-Details" TargetMode="External"/><Relationship Id="rId1630" Type="http://schemas.openxmlformats.org/officeDocument/2006/relationships/hyperlink" Target="https://fbref.com/en/players/8073edf4/Ahmed-Abdullahi" TargetMode="External"/><Relationship Id="rId1620" Type="http://schemas.openxmlformats.org/officeDocument/2006/relationships/hyperlink" Target="https://fbref.com/en/players/d8edc4be/Will-Dennis" TargetMode="External"/><Relationship Id="rId1621" Type="http://schemas.openxmlformats.org/officeDocument/2006/relationships/hyperlink" Target="https://fbref.com/en/country/ENG/England-Football" TargetMode="External"/><Relationship Id="rId1622" Type="http://schemas.openxmlformats.org/officeDocument/2006/relationships/hyperlink" Target="https://fbref.com/en/squads/4ba7cbea/2025-2026/wages/Bournemouth-Wage-Details" TargetMode="External"/><Relationship Id="rId1623" Type="http://schemas.openxmlformats.org/officeDocument/2006/relationships/hyperlink" Target="https://fbref.com/en/players/0bdda685/Dexter-Lembikisa" TargetMode="External"/><Relationship Id="rId1624" Type="http://schemas.openxmlformats.org/officeDocument/2006/relationships/hyperlink" Target="https://fbref.com/en/country/JAM/Jamaica-Football" TargetMode="External"/><Relationship Id="rId1625" Type="http://schemas.openxmlformats.org/officeDocument/2006/relationships/hyperlink" Target="https://fbref.com/en/squads/8cec06e1/2025-2026/wages/Wolverhampton-Wanderers-Wage-Details" TargetMode="External"/><Relationship Id="rId1626" Type="http://schemas.openxmlformats.org/officeDocument/2006/relationships/hyperlink" Target="https://fbref.com/en/squads/8cec06e1/2025-2026/wages/Wolverhampton-Wanderers-Wage-Details" TargetMode="External"/><Relationship Id="rId1627" Type="http://schemas.openxmlformats.org/officeDocument/2006/relationships/hyperlink" Target="https://fbref.com/en/players/17be8dc3/Nigel-Lonwijk" TargetMode="External"/><Relationship Id="rId918" Type="http://schemas.openxmlformats.org/officeDocument/2006/relationships/hyperlink" Target="https://fbref.com/en/country/ENG/England-Football" TargetMode="External"/><Relationship Id="rId1628" Type="http://schemas.openxmlformats.org/officeDocument/2006/relationships/hyperlink" Target="https://fbref.com/en/country/NED/Netherlands-Football" TargetMode="External"/><Relationship Id="rId917" Type="http://schemas.openxmlformats.org/officeDocument/2006/relationships/hyperlink" Target="https://fbref.com/en/players/5515376c/Trevoh-Chalobah" TargetMode="External"/><Relationship Id="rId1629" Type="http://schemas.openxmlformats.org/officeDocument/2006/relationships/hyperlink" Target="https://fbref.com/en/squads/8cec06e1/2025-2026/wages/Wolverhampton-Wanderers-Wage-Details" TargetMode="External"/><Relationship Id="rId916" Type="http://schemas.openxmlformats.org/officeDocument/2006/relationships/hyperlink" Target="https://fbref.com/en/squads/cff3d9bb/2025-2026/wages/Chelsea-Wage-Details" TargetMode="External"/><Relationship Id="rId915" Type="http://schemas.openxmlformats.org/officeDocument/2006/relationships/hyperlink" Target="https://fbref.com/en/country/ESP/Spain-Football" TargetMode="External"/><Relationship Id="rId919" Type="http://schemas.openxmlformats.org/officeDocument/2006/relationships/hyperlink" Target="https://fbref.com/en/squads/cff3d9bb/2025-2026/wages/Chelsea-Wage-Details" TargetMode="External"/><Relationship Id="rId910" Type="http://schemas.openxmlformats.org/officeDocument/2006/relationships/hyperlink" Target="https://fbref.com/en/squads/cd051869/2025-2026/wages/Brentford-Wage-Details" TargetMode="External"/><Relationship Id="rId914" Type="http://schemas.openxmlformats.org/officeDocument/2006/relationships/hyperlink" Target="https://fbref.com/en/players/d3d774cc/Marc-Guiu" TargetMode="External"/><Relationship Id="rId913" Type="http://schemas.openxmlformats.org/officeDocument/2006/relationships/hyperlink" Target="https://fbref.com/en/squads/cff3d9bb/2025-2026/wages/Chelsea-Wage-Details" TargetMode="External"/><Relationship Id="rId912" Type="http://schemas.openxmlformats.org/officeDocument/2006/relationships/hyperlink" Target="https://fbref.com/en/country/DEN/Denmark-Football" TargetMode="External"/><Relationship Id="rId911" Type="http://schemas.openxmlformats.org/officeDocument/2006/relationships/hyperlink" Target="https://fbref.com/en/players/0107757e/Filip-Jorgensen" TargetMode="External"/><Relationship Id="rId1213" Type="http://schemas.openxmlformats.org/officeDocument/2006/relationships/hyperlink" Target="https://fbref.com/en/squads/d3fd31cc/2025-2026/wages/Everton-Wage-Details" TargetMode="External"/><Relationship Id="rId1697" Type="http://schemas.openxmlformats.org/officeDocument/2006/relationships/hyperlink" Target="https://fbref.com/en/squads/e4a775cb/2025-2026/wages/Nottingham-Forest-Wage-Details" TargetMode="External"/><Relationship Id="rId1214" Type="http://schemas.openxmlformats.org/officeDocument/2006/relationships/hyperlink" Target="https://fbref.com/en/players/7e49bdbd/Cuiabano" TargetMode="External"/><Relationship Id="rId1698" Type="http://schemas.openxmlformats.org/officeDocument/2006/relationships/hyperlink" Target="https://fbref.com/en/squads/8ef52968/2025-2026/wages/Sunderland-Wage-Details" TargetMode="External"/><Relationship Id="rId1215" Type="http://schemas.openxmlformats.org/officeDocument/2006/relationships/hyperlink" Target="https://fbref.com/en/country/BRA/Brazil-Football" TargetMode="External"/><Relationship Id="rId1699" Type="http://schemas.openxmlformats.org/officeDocument/2006/relationships/hyperlink" Target="https://fbref.com/en/players/91c75917/Kadan-Young" TargetMode="External"/><Relationship Id="rId1216" Type="http://schemas.openxmlformats.org/officeDocument/2006/relationships/hyperlink" Target="https://fbref.com/en/squads/e4a775cb/2025-2026/wages/Nottingham-Forest-Wage-Details" TargetMode="External"/><Relationship Id="rId1217" Type="http://schemas.openxmlformats.org/officeDocument/2006/relationships/hyperlink" Target="https://fbref.com/en/players/ac31d35e/Jair-Cunha" TargetMode="External"/><Relationship Id="rId1218" Type="http://schemas.openxmlformats.org/officeDocument/2006/relationships/hyperlink" Target="https://fbref.com/en/country/BRA/Brazil-Football" TargetMode="External"/><Relationship Id="rId1219" Type="http://schemas.openxmlformats.org/officeDocument/2006/relationships/hyperlink" Target="https://fbref.com/en/squads/e4a775cb/2025-2026/wages/Nottingham-Forest-Wage-Details" TargetMode="External"/><Relationship Id="rId866" Type="http://schemas.openxmlformats.org/officeDocument/2006/relationships/hyperlink" Target="https://fbref.com/en/players/4fb9c88f/Curtis-Jones" TargetMode="External"/><Relationship Id="rId865" Type="http://schemas.openxmlformats.org/officeDocument/2006/relationships/hyperlink" Target="https://fbref.com/en/squads/7c21e445/2025-2026/wages/West-Ham-United-Wage-Details" TargetMode="External"/><Relationship Id="rId864" Type="http://schemas.openxmlformats.org/officeDocument/2006/relationships/hyperlink" Target="https://fbref.com/en/country/POL/Poland-Football" TargetMode="External"/><Relationship Id="rId863" Type="http://schemas.openxmlformats.org/officeDocument/2006/relationships/hyperlink" Target="https://fbref.com/en/players/9328b835/Lukasz-Fabianski" TargetMode="External"/><Relationship Id="rId869" Type="http://schemas.openxmlformats.org/officeDocument/2006/relationships/hyperlink" Target="https://fbref.com/en/players/c149016b/Wataru-Endo" TargetMode="External"/><Relationship Id="rId868" Type="http://schemas.openxmlformats.org/officeDocument/2006/relationships/hyperlink" Target="https://fbref.com/en/squads/822bd0ba/2025-2026/wages/Liverpool-Wage-Details" TargetMode="External"/><Relationship Id="rId867" Type="http://schemas.openxmlformats.org/officeDocument/2006/relationships/hyperlink" Target="https://fbref.com/en/country/ENG/England-Football" TargetMode="External"/><Relationship Id="rId1690" Type="http://schemas.openxmlformats.org/officeDocument/2006/relationships/hyperlink" Target="https://fbref.com/en/squads/cd051869/2025-2026/wages/Brentford-Wage-Details" TargetMode="External"/><Relationship Id="rId1691" Type="http://schemas.openxmlformats.org/officeDocument/2006/relationships/hyperlink" Target="https://fbref.com/en/players/ea1a5662/Myles-Peart-Harris" TargetMode="External"/><Relationship Id="rId1692" Type="http://schemas.openxmlformats.org/officeDocument/2006/relationships/hyperlink" Target="https://fbref.com/en/country/ENG/England-Football" TargetMode="External"/><Relationship Id="rId862" Type="http://schemas.openxmlformats.org/officeDocument/2006/relationships/hyperlink" Target="https://fbref.com/en/squads/7c21e445/2025-2026/wages/West-Ham-United-Wage-Details" TargetMode="External"/><Relationship Id="rId1693" Type="http://schemas.openxmlformats.org/officeDocument/2006/relationships/hyperlink" Target="https://fbref.com/en/squads/cd051869/2025-2026/wages/Brentford-Wage-Details" TargetMode="External"/><Relationship Id="rId861" Type="http://schemas.openxmlformats.org/officeDocument/2006/relationships/hyperlink" Target="https://fbref.com/en/country/GRE/Greece-Football" TargetMode="External"/><Relationship Id="rId1210" Type="http://schemas.openxmlformats.org/officeDocument/2006/relationships/hyperlink" Target="https://fbref.com/en/squads/d07537b9/2025-2026/wages/Brighton-and-Hove-Albion-Wage-Details" TargetMode="External"/><Relationship Id="rId1694" Type="http://schemas.openxmlformats.org/officeDocument/2006/relationships/hyperlink" Target="https://fbref.com/en/squads/cff3d9bb/2025-2026/wages/Chelsea-Wage-Details" TargetMode="External"/><Relationship Id="rId860" Type="http://schemas.openxmlformats.org/officeDocument/2006/relationships/hyperlink" Target="https://fbref.com/en/players/00963611/Konstantinos-Mavropanos" TargetMode="External"/><Relationship Id="rId1211" Type="http://schemas.openxmlformats.org/officeDocument/2006/relationships/hyperlink" Target="https://fbref.com/en/players/25f2ef01/Jake-OBrien" TargetMode="External"/><Relationship Id="rId1695" Type="http://schemas.openxmlformats.org/officeDocument/2006/relationships/hyperlink" Target="https://fbref.com/en/players/3575e5eb/Tyler-Bindon" TargetMode="External"/><Relationship Id="rId1212" Type="http://schemas.openxmlformats.org/officeDocument/2006/relationships/hyperlink" Target="https://fbref.com/en/country/IRL/Republic-of-Ireland-Football" TargetMode="External"/><Relationship Id="rId1696" Type="http://schemas.openxmlformats.org/officeDocument/2006/relationships/hyperlink" Target="https://fbref.com/en/country/NZL/New-Zealand-Football" TargetMode="External"/><Relationship Id="rId1202" Type="http://schemas.openxmlformats.org/officeDocument/2006/relationships/hyperlink" Target="https://fbref.com/en/players/8a3c1dc7/Rico-Henry" TargetMode="External"/><Relationship Id="rId1686" Type="http://schemas.openxmlformats.org/officeDocument/2006/relationships/hyperlink" Target="https://fbref.com/en/squads/8ef52968/2025-2026/wages/Sunderland-Wage-Details" TargetMode="External"/><Relationship Id="rId1203" Type="http://schemas.openxmlformats.org/officeDocument/2006/relationships/hyperlink" Target="https://fbref.com/en/country/JAM/Jamaica-Football" TargetMode="External"/><Relationship Id="rId1687" Type="http://schemas.openxmlformats.org/officeDocument/2006/relationships/hyperlink" Target="https://fbref.com/en/squads/b8fd03ef/2025-2026/wages/Manchester-City-Wage-Details" TargetMode="External"/><Relationship Id="rId1204" Type="http://schemas.openxmlformats.org/officeDocument/2006/relationships/hyperlink" Target="https://fbref.com/en/squads/cd051869/2025-2026/wages/Brentford-Wage-Details" TargetMode="External"/><Relationship Id="rId1688" Type="http://schemas.openxmlformats.org/officeDocument/2006/relationships/hyperlink" Target="https://fbref.com/en/players/07382f6c/Jayden-Meghoma" TargetMode="External"/><Relationship Id="rId1205" Type="http://schemas.openxmlformats.org/officeDocument/2006/relationships/hyperlink" Target="https://fbref.com/en/players/dd745366/Andrey-Santos" TargetMode="External"/><Relationship Id="rId1689" Type="http://schemas.openxmlformats.org/officeDocument/2006/relationships/hyperlink" Target="https://fbref.com/en/country/ENG/England-Football" TargetMode="External"/><Relationship Id="rId1206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squads/cff3d9bb/2025-2026/wages/Chelsea-Wage-Details" TargetMode="External"/><Relationship Id="rId1208" Type="http://schemas.openxmlformats.org/officeDocument/2006/relationships/hyperlink" Target="https://fbref.com/en/players/cf134113/Bart-Verbruggen" TargetMode="External"/><Relationship Id="rId1209" Type="http://schemas.openxmlformats.org/officeDocument/2006/relationships/hyperlink" Target="https://fbref.com/en/country/NED/Netherlands-Football" TargetMode="External"/><Relationship Id="rId855" Type="http://schemas.openxmlformats.org/officeDocument/2006/relationships/hyperlink" Target="https://fbref.com/en/country/NED/Netherlands-Football" TargetMode="External"/><Relationship Id="rId854" Type="http://schemas.openxmlformats.org/officeDocument/2006/relationships/hyperlink" Target="https://fbref.com/en/players/f4d296e4/Pascal-Struijk" TargetMode="External"/><Relationship Id="rId853" Type="http://schemas.openxmlformats.org/officeDocument/2006/relationships/hyperlink" Target="https://fbref.com/en/squads/5bfb9659/2025-2026/wages/Leeds-United-Wage-Details" TargetMode="External"/><Relationship Id="rId852" Type="http://schemas.openxmlformats.org/officeDocument/2006/relationships/hyperlink" Target="https://fbref.com/en/country/BRA/Brazil-Football" TargetMode="External"/><Relationship Id="rId859" Type="http://schemas.openxmlformats.org/officeDocument/2006/relationships/hyperlink" Target="https://fbref.com/en/squads/7c21e445/2025-2026/wages/West-Ham-United-Wage-Details" TargetMode="External"/><Relationship Id="rId858" Type="http://schemas.openxmlformats.org/officeDocument/2006/relationships/hyperlink" Target="https://fbref.com/en/country/ENG/England-Football" TargetMode="External"/><Relationship Id="rId857" Type="http://schemas.openxmlformats.org/officeDocument/2006/relationships/hyperlink" Target="https://fbref.com/en/players/c596fcb0/Callum-Wilson" TargetMode="External"/><Relationship Id="rId856" Type="http://schemas.openxmlformats.org/officeDocument/2006/relationships/hyperlink" Target="https://fbref.com/en/squads/5bfb9659/2025-2026/wages/Leeds-United-Wage-Details" TargetMode="External"/><Relationship Id="rId1680" Type="http://schemas.openxmlformats.org/officeDocument/2006/relationships/hyperlink" Target="https://fbref.com/en/squads/8602292d/2025-2026/wages/Aston-Villa-Wage-Details" TargetMode="External"/><Relationship Id="rId1681" Type="http://schemas.openxmlformats.org/officeDocument/2006/relationships/hyperlink" Target="https://fbref.com/en/players/2a78981b/Harrison-Jones" TargetMode="External"/><Relationship Id="rId851" Type="http://schemas.openxmlformats.org/officeDocument/2006/relationships/hyperlink" Target="https://fbref.com/en/players/5dbd461a/Lucas-Perri" TargetMode="External"/><Relationship Id="rId1682" Type="http://schemas.openxmlformats.org/officeDocument/2006/relationships/hyperlink" Target="https://fbref.com/en/country/ENG/England-Football" TargetMode="External"/><Relationship Id="rId850" Type="http://schemas.openxmlformats.org/officeDocument/2006/relationships/hyperlink" Target="https://fbref.com/en/squads/4ba7cbea/2025-2026/wages/Bournemouth-Wage-Details" TargetMode="External"/><Relationship Id="rId1683" Type="http://schemas.openxmlformats.org/officeDocument/2006/relationships/hyperlink" Target="https://fbref.com/en/squads/8ef52968/2025-2026/wages/Sunderland-Wage-Details" TargetMode="External"/><Relationship Id="rId1200" Type="http://schemas.openxmlformats.org/officeDocument/2006/relationships/hyperlink" Target="https://fbref.com/en/country/ENG/England-Football" TargetMode="External"/><Relationship Id="rId1684" Type="http://schemas.openxmlformats.org/officeDocument/2006/relationships/hyperlink" Target="https://fbref.com/en/players/c79f7793/Milan-Aleksic" TargetMode="External"/><Relationship Id="rId1201" Type="http://schemas.openxmlformats.org/officeDocument/2006/relationships/hyperlink" Target="https://fbref.com/en/squads/b8fd03ef/2025-2026/wages/Manchester-City-Wage-Details" TargetMode="External"/><Relationship Id="rId1685" Type="http://schemas.openxmlformats.org/officeDocument/2006/relationships/hyperlink" Target="https://fbref.com/en/country/SRB/Serbia-Football" TargetMode="External"/><Relationship Id="rId1235" Type="http://schemas.openxmlformats.org/officeDocument/2006/relationships/hyperlink" Target="https://fbref.com/en/players/60344e4f/Josh-Dasilva" TargetMode="External"/><Relationship Id="rId1236" Type="http://schemas.openxmlformats.org/officeDocument/2006/relationships/hyperlink" Target="https://fbref.com/en/country/ENG/England-Football" TargetMode="External"/><Relationship Id="rId1237" Type="http://schemas.openxmlformats.org/officeDocument/2006/relationships/hyperlink" Target="https://fbref.com/en/squads/cd051869/2025-2026/wages/Brentford-Wage-Details" TargetMode="External"/><Relationship Id="rId1238" Type="http://schemas.openxmlformats.org/officeDocument/2006/relationships/hyperlink" Target="https://fbref.com/en/players/b38ac6a4/Antonin-Kinsky" TargetMode="External"/><Relationship Id="rId1239" Type="http://schemas.openxmlformats.org/officeDocument/2006/relationships/hyperlink" Target="https://fbref.com/en/country/CZE/Czech-Republic-Football" TargetMode="External"/><Relationship Id="rId409" Type="http://schemas.openxmlformats.org/officeDocument/2006/relationships/hyperlink" Target="https://fbref.com/en/players/a53649b7/Eddie-Nketiah" TargetMode="External"/><Relationship Id="rId404" Type="http://schemas.openxmlformats.org/officeDocument/2006/relationships/hyperlink" Target="https://fbref.com/en/country/NED/Netherlands-Football" TargetMode="External"/><Relationship Id="rId888" Type="http://schemas.openxmlformats.org/officeDocument/2006/relationships/hyperlink" Target="https://fbref.com/en/country/FRA/France-Football" TargetMode="External"/><Relationship Id="rId403" Type="http://schemas.openxmlformats.org/officeDocument/2006/relationships/hyperlink" Target="https://fbref.com/en/players/8fe2a392/Micky-van-de-Ven" TargetMode="External"/><Relationship Id="rId887" Type="http://schemas.openxmlformats.org/officeDocument/2006/relationships/hyperlink" Target="https://fbref.com/en/players/1a066e69/Maxime-Esteve" TargetMode="External"/><Relationship Id="rId402" Type="http://schemas.openxmlformats.org/officeDocument/2006/relationships/hyperlink" Target="https://fbref.com/en/squads/d07537b9/2025-2026/wages/Brighton-and-Hove-Albion-Wage-Details" TargetMode="External"/><Relationship Id="rId886" Type="http://schemas.openxmlformats.org/officeDocument/2006/relationships/hyperlink" Target="https://fbref.com/en/squads/943e8050/2025-2026/wages/Burnley-Wage-Details" TargetMode="External"/><Relationship Id="rId401" Type="http://schemas.openxmlformats.org/officeDocument/2006/relationships/hyperlink" Target="https://fbref.com/en/country/GER/Germany-Football" TargetMode="External"/><Relationship Id="rId885" Type="http://schemas.openxmlformats.org/officeDocument/2006/relationships/hyperlink" Target="https://fbref.com/en/country/ENG/England-Football" TargetMode="External"/><Relationship Id="rId408" Type="http://schemas.openxmlformats.org/officeDocument/2006/relationships/hyperlink" Target="https://fbref.com/en/squads/361ca564/2025-2026/wages/Tottenham-Hotspur-Wage-Details" TargetMode="External"/><Relationship Id="rId407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players/fa031b34/Richarlison" TargetMode="External"/><Relationship Id="rId405" Type="http://schemas.openxmlformats.org/officeDocument/2006/relationships/hyperlink" Target="https://fbref.com/en/squads/361ca564/2025-2026/wages/Tottenham-Hotspur-Wage-Details" TargetMode="External"/><Relationship Id="rId889" Type="http://schemas.openxmlformats.org/officeDocument/2006/relationships/hyperlink" Target="https://fbref.com/en/squads/943e8050/2025-2026/wages/Burnley-Wage-Details" TargetMode="External"/><Relationship Id="rId880" Type="http://schemas.openxmlformats.org/officeDocument/2006/relationships/hyperlink" Target="https://fbref.com/en/squads/8ef52968/2025-2026/wages/Sunderland-Wage-Details" TargetMode="External"/><Relationship Id="rId1230" Type="http://schemas.openxmlformats.org/officeDocument/2006/relationships/hyperlink" Target="https://fbref.com/en/country/ENG/England-Football" TargetMode="External"/><Relationship Id="rId400" Type="http://schemas.openxmlformats.org/officeDocument/2006/relationships/hyperlink" Target="https://fbref.com/en/players/8aec0537/Pascal-Gross" TargetMode="External"/><Relationship Id="rId884" Type="http://schemas.openxmlformats.org/officeDocument/2006/relationships/hyperlink" Target="https://fbref.com/en/players/57760e66/Marcus-Edwards" TargetMode="External"/><Relationship Id="rId1231" Type="http://schemas.openxmlformats.org/officeDocument/2006/relationships/hyperlink" Target="https://fbref.com/en/squads/18bb7c10/2025-2026/wages/Arsenal-Wage-Details" TargetMode="External"/><Relationship Id="rId883" Type="http://schemas.openxmlformats.org/officeDocument/2006/relationships/hyperlink" Target="https://fbref.com/en/squads/8ef52968/2025-2026/wages/Sunderland-Wage-Details" TargetMode="External"/><Relationship Id="rId1232" Type="http://schemas.openxmlformats.org/officeDocument/2006/relationships/hyperlink" Target="https://fbref.com/en/players/83c06f3a/Lorenzo-Lucca" TargetMode="External"/><Relationship Id="rId882" Type="http://schemas.openxmlformats.org/officeDocument/2006/relationships/hyperlink" Target="https://fbref.com/en/country/MOZ/Mozambique-Football" TargetMode="External"/><Relationship Id="rId1233" Type="http://schemas.openxmlformats.org/officeDocument/2006/relationships/hyperlink" Target="https://fbref.com/en/country/ITA/Italy-Football" TargetMode="External"/><Relationship Id="rId881" Type="http://schemas.openxmlformats.org/officeDocument/2006/relationships/hyperlink" Target="https://fbref.com/en/players/c20bdcd7/Reinildo-Mandava" TargetMode="External"/><Relationship Id="rId1234" Type="http://schemas.openxmlformats.org/officeDocument/2006/relationships/hyperlink" Target="https://fbref.com/en/squads/e4a775cb/2025-2026/wages/Nottingham-Forest-Wage-Details" TargetMode="External"/><Relationship Id="rId1224" Type="http://schemas.openxmlformats.org/officeDocument/2006/relationships/hyperlink" Target="https://fbref.com/en/country/ARG/Argentina-Football" TargetMode="External"/><Relationship Id="rId1225" Type="http://schemas.openxmlformats.org/officeDocument/2006/relationships/hyperlink" Target="https://fbref.com/en/squads/e4a775cb/2025-2026/wages/Nottingham-Forest-Wage-Details" TargetMode="External"/><Relationship Id="rId1226" Type="http://schemas.openxmlformats.org/officeDocument/2006/relationships/hyperlink" Target="https://fbref.com/en/players/a8748947/Tom-Cairney" TargetMode="External"/><Relationship Id="rId1227" Type="http://schemas.openxmlformats.org/officeDocument/2006/relationships/hyperlink" Target="https://fbref.com/en/country/SCO/Scotland-Football" TargetMode="External"/><Relationship Id="rId1228" Type="http://schemas.openxmlformats.org/officeDocument/2006/relationships/hyperlink" Target="https://fbref.com/en/squads/fd962109/2025-2026/wages/Fulham-Wage-Details" TargetMode="External"/><Relationship Id="rId1229" Type="http://schemas.openxmlformats.org/officeDocument/2006/relationships/hyperlink" Target="https://fbref.com/en/players/9008bb70/Max-Dowman" TargetMode="External"/><Relationship Id="rId877" Type="http://schemas.openxmlformats.org/officeDocument/2006/relationships/hyperlink" Target="https://fbref.com/en/squads/8cec06e1/2025-2026/wages/Wolverhampton-Wanderers-Wage-Details" TargetMode="External"/><Relationship Id="rId876" Type="http://schemas.openxmlformats.org/officeDocument/2006/relationships/hyperlink" Target="https://fbref.com/en/country/ENG/England-Football" TargetMode="External"/><Relationship Id="rId875" Type="http://schemas.openxmlformats.org/officeDocument/2006/relationships/hyperlink" Target="https://fbref.com/en/players/9e5708be/Sam-Johnstone" TargetMode="External"/><Relationship Id="rId874" Type="http://schemas.openxmlformats.org/officeDocument/2006/relationships/hyperlink" Target="https://fbref.com/en/squads/8cec06e1/2025-2026/wages/Wolverhampton-Wanderers-Wage-Details" TargetMode="External"/><Relationship Id="rId879" Type="http://schemas.openxmlformats.org/officeDocument/2006/relationships/hyperlink" Target="https://fbref.com/en/country/SEN/Senegal-Football" TargetMode="External"/><Relationship Id="rId878" Type="http://schemas.openxmlformats.org/officeDocument/2006/relationships/hyperlink" Target="https://fbref.com/en/players/6d0fe035/Habib-Diarra" TargetMode="External"/><Relationship Id="rId873" Type="http://schemas.openxmlformats.org/officeDocument/2006/relationships/hyperlink" Target="https://fbref.com/en/country/IRL/Republic-of-Ireland-Football" TargetMode="External"/><Relationship Id="rId1220" Type="http://schemas.openxmlformats.org/officeDocument/2006/relationships/hyperlink" Target="https://fbref.com/en/players/0f41e2ee/Morato" TargetMode="External"/><Relationship Id="rId872" Type="http://schemas.openxmlformats.org/officeDocument/2006/relationships/hyperlink" Target="https://fbref.com/en/players/d557d734/Matt-Doherty" TargetMode="External"/><Relationship Id="rId1221" Type="http://schemas.openxmlformats.org/officeDocument/2006/relationships/hyperlink" Target="https://fbref.com/en/country/BRA/Brazil-Football" TargetMode="External"/><Relationship Id="rId871" Type="http://schemas.openxmlformats.org/officeDocument/2006/relationships/hyperlink" Target="https://fbref.com/en/squads/822bd0ba/2025-2026/wages/Liverpool-Wage-Details" TargetMode="External"/><Relationship Id="rId1222" Type="http://schemas.openxmlformats.org/officeDocument/2006/relationships/hyperlink" Target="https://fbref.com/en/squads/e4a775cb/2025-2026/wages/Nottingham-Forest-Wage-Details" TargetMode="External"/><Relationship Id="rId870" Type="http://schemas.openxmlformats.org/officeDocument/2006/relationships/hyperlink" Target="https://fbref.com/en/country/JPN/Japan-Football" TargetMode="External"/><Relationship Id="rId1223" Type="http://schemas.openxmlformats.org/officeDocument/2006/relationships/hyperlink" Target="https://fbref.com/en/players/20b3a502/Nicolas-Dominguez" TargetMode="External"/><Relationship Id="rId1653" Type="http://schemas.openxmlformats.org/officeDocument/2006/relationships/hyperlink" Target="https://fbref.com/en/squads/8602292d/2025-2026/wages/Aston-Villa-Wage-Details" TargetMode="External"/><Relationship Id="rId1654" Type="http://schemas.openxmlformats.org/officeDocument/2006/relationships/hyperlink" Target="https://fbref.com/en/squads/7c21e445/2025-2026/wages/West-Ham-United-Wage-Details" TargetMode="External"/><Relationship Id="rId1655" Type="http://schemas.openxmlformats.org/officeDocument/2006/relationships/hyperlink" Target="https://fbref.com/en/players/fea06849/Matthew-Cox" TargetMode="External"/><Relationship Id="rId1656" Type="http://schemas.openxmlformats.org/officeDocument/2006/relationships/hyperlink" Target="https://fbref.com/en/country/ENG/England-Football" TargetMode="External"/><Relationship Id="rId1657" Type="http://schemas.openxmlformats.org/officeDocument/2006/relationships/hyperlink" Target="https://fbref.com/en/squads/cd051869/2025-2026/wages/Brentford-Wage-Details" TargetMode="External"/><Relationship Id="rId1658" Type="http://schemas.openxmlformats.org/officeDocument/2006/relationships/hyperlink" Target="https://fbref.com/en/players/e09d77a2/Lino-Sousa" TargetMode="External"/><Relationship Id="rId1659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squads/fd962109/2025-2026/wages/Fulham-Wage-Details" TargetMode="External"/><Relationship Id="rId828" Type="http://schemas.openxmlformats.org/officeDocument/2006/relationships/hyperlink" Target="https://fbref.com/en/country/NOR/Norway-Football" TargetMode="External"/><Relationship Id="rId827" Type="http://schemas.openxmlformats.org/officeDocument/2006/relationships/hyperlink" Target="https://fbref.com/en/players/d0b6129f/Sander-Berge" TargetMode="External"/><Relationship Id="rId822" Type="http://schemas.openxmlformats.org/officeDocument/2006/relationships/hyperlink" Target="https://fbref.com/en/country/ENG/England-Football" TargetMode="External"/><Relationship Id="rId821" Type="http://schemas.openxmlformats.org/officeDocument/2006/relationships/hyperlink" Target="https://fbref.com/en/players/bd9553e6/Omari-Hutchinson" TargetMode="External"/><Relationship Id="rId820" Type="http://schemas.openxmlformats.org/officeDocument/2006/relationships/hyperlink" Target="https://fbref.com/en/squads/d3fd31cc/2025-2026/wages/Everton-Wage-Details" TargetMode="External"/><Relationship Id="rId826" Type="http://schemas.openxmlformats.org/officeDocument/2006/relationships/hyperlink" Target="https://fbref.com/en/squads/fd962109/2025-2026/wages/Fulham-Wage-Details" TargetMode="External"/><Relationship Id="rId825" Type="http://schemas.openxmlformats.org/officeDocument/2006/relationships/hyperlink" Target="https://fbref.com/en/country/WAL/Wales-Football" TargetMode="External"/><Relationship Id="rId824" Type="http://schemas.openxmlformats.org/officeDocument/2006/relationships/hyperlink" Target="https://fbref.com/en/players/c6dc9ecd/Harry-Wilson" TargetMode="External"/><Relationship Id="rId823" Type="http://schemas.openxmlformats.org/officeDocument/2006/relationships/hyperlink" Target="https://fbref.com/en/squads/e4a775cb/2025-2026/wages/Nottingham-Forest-Wage-Details" TargetMode="External"/><Relationship Id="rId1650" Type="http://schemas.openxmlformats.org/officeDocument/2006/relationships/hyperlink" Target="https://fbref.com/en/squads/8602292d/2025-2026/wages/Aston-Villa-Wage-Details" TargetMode="External"/><Relationship Id="rId1651" Type="http://schemas.openxmlformats.org/officeDocument/2006/relationships/hyperlink" Target="https://fbref.com/en/players/345fc437/Tommi-OReilly" TargetMode="External"/><Relationship Id="rId1652" Type="http://schemas.openxmlformats.org/officeDocument/2006/relationships/hyperlink" Target="https://fbref.com/en/country/ENG/England-Football" TargetMode="External"/><Relationship Id="rId1642" Type="http://schemas.openxmlformats.org/officeDocument/2006/relationships/hyperlink" Target="https://fbref.com/en/players/e6f7797e/Tyrique-George" TargetMode="External"/><Relationship Id="rId1643" Type="http://schemas.openxmlformats.org/officeDocument/2006/relationships/hyperlink" Target="https://fbref.com/en/country/ENG/England-Football" TargetMode="External"/><Relationship Id="rId1644" Type="http://schemas.openxmlformats.org/officeDocument/2006/relationships/hyperlink" Target="https://fbref.com/en/squads/d3fd31cc/2025-2026/wages/Everton-Wage-Details" TargetMode="External"/><Relationship Id="rId1645" Type="http://schemas.openxmlformats.org/officeDocument/2006/relationships/hyperlink" Target="https://fbref.com/en/players/c150b220/Tayo-Adaramola" TargetMode="External"/><Relationship Id="rId1646" Type="http://schemas.openxmlformats.org/officeDocument/2006/relationships/hyperlink" Target="https://fbref.com/en/country/IRL/Republic-of-Ireland-Football" TargetMode="External"/><Relationship Id="rId1647" Type="http://schemas.openxmlformats.org/officeDocument/2006/relationships/hyperlink" Target="https://fbref.com/en/squads/47c64c55/2025-2026/wages/Crystal-Palace-Wage-Details" TargetMode="External"/><Relationship Id="rId1648" Type="http://schemas.openxmlformats.org/officeDocument/2006/relationships/hyperlink" Target="https://fbref.com/en/players/e814e1cf/Lewis-Dobbin" TargetMode="External"/><Relationship Id="rId1649" Type="http://schemas.openxmlformats.org/officeDocument/2006/relationships/hyperlink" Target="https://fbref.com/en/country/ENG/England-Football" TargetMode="External"/><Relationship Id="rId819" Type="http://schemas.openxmlformats.org/officeDocument/2006/relationships/hyperlink" Target="https://fbref.com/en/country/IRL/Republic-of-Ireland-Football" TargetMode="External"/><Relationship Id="rId818" Type="http://schemas.openxmlformats.org/officeDocument/2006/relationships/hyperlink" Target="https://fbref.com/en/players/0420d84f/Seamus-Coleman" TargetMode="External"/><Relationship Id="rId817" Type="http://schemas.openxmlformats.org/officeDocument/2006/relationships/hyperlink" Target="https://fbref.com/en/squads/d07537b9/2025-2026/wages/Brighton-and-Hove-Albion-Wage-Details" TargetMode="External"/><Relationship Id="rId816" Type="http://schemas.openxmlformats.org/officeDocument/2006/relationships/hyperlink" Target="https://fbref.com/en/country/BEL/Belgium-Football" TargetMode="External"/><Relationship Id="rId811" Type="http://schemas.openxmlformats.org/officeDocument/2006/relationships/hyperlink" Target="https://fbref.com/en/squads/cd051869/2025-2026/wages/Brentford-Wage-Details" TargetMode="External"/><Relationship Id="rId810" Type="http://schemas.openxmlformats.org/officeDocument/2006/relationships/hyperlink" Target="https://fbref.com/en/country/IRL/Republic-of-Ireland-Football" TargetMode="External"/><Relationship Id="rId815" Type="http://schemas.openxmlformats.org/officeDocument/2006/relationships/hyperlink" Target="https://fbref.com/en/players/d494882e/Maxim-De-Cuyper" TargetMode="External"/><Relationship Id="rId814" Type="http://schemas.openxmlformats.org/officeDocument/2006/relationships/hyperlink" Target="https://fbref.com/en/squads/d07537b9/2025-2026/wages/Brighton-and-Hove-Albion-Wage-Details" TargetMode="External"/><Relationship Id="rId813" Type="http://schemas.openxmlformats.org/officeDocument/2006/relationships/hyperlink" Target="https://fbref.com/en/country/ENG/England-Football" TargetMode="External"/><Relationship Id="rId812" Type="http://schemas.openxmlformats.org/officeDocument/2006/relationships/hyperlink" Target="https://fbref.com/en/players/c40b6180/Adam-Webster" TargetMode="External"/><Relationship Id="rId1640" Type="http://schemas.openxmlformats.org/officeDocument/2006/relationships/hyperlink" Target="https://fbref.com/en/country/SWE/Sweden-Football" TargetMode="External"/><Relationship Id="rId1641" Type="http://schemas.openxmlformats.org/officeDocument/2006/relationships/hyperlink" Target="https://fbref.com/en/squads/d07537b9/2025-2026/wages/Brighton-and-Hove-Albion-Wage-Details" TargetMode="External"/><Relationship Id="rId1675" Type="http://schemas.openxmlformats.org/officeDocument/2006/relationships/hyperlink" Target="https://fbref.com/en/players/03edb878/Daniel-Jebbison" TargetMode="External"/><Relationship Id="rId1676" Type="http://schemas.openxmlformats.org/officeDocument/2006/relationships/hyperlink" Target="https://fbref.com/en/country/CAN/Canada-Football" TargetMode="External"/><Relationship Id="rId1677" Type="http://schemas.openxmlformats.org/officeDocument/2006/relationships/hyperlink" Target="https://fbref.com/en/squads/4ba7cbea/2025-2026/wages/Bournemouth-Wage-Details" TargetMode="External"/><Relationship Id="rId1678" Type="http://schemas.openxmlformats.org/officeDocument/2006/relationships/hyperlink" Target="https://fbref.com/en/players/5600c774/Joe-Gauci" TargetMode="External"/><Relationship Id="rId1679" Type="http://schemas.openxmlformats.org/officeDocument/2006/relationships/hyperlink" Target="https://fbref.com/en/country/AUS/Australia-Football" TargetMode="External"/><Relationship Id="rId849" Type="http://schemas.openxmlformats.org/officeDocument/2006/relationships/hyperlink" Target="https://fbref.com/en/country/ARG/Argentina-Football" TargetMode="External"/><Relationship Id="rId844" Type="http://schemas.openxmlformats.org/officeDocument/2006/relationships/hyperlink" Target="https://fbref.com/en/squads/47c64c55/2025-2026/wages/Crystal-Palace-Wage-Details" TargetMode="External"/><Relationship Id="rId843" Type="http://schemas.openxmlformats.org/officeDocument/2006/relationships/hyperlink" Target="https://fbref.com/en/country/ENG/England-Football" TargetMode="External"/><Relationship Id="rId842" Type="http://schemas.openxmlformats.org/officeDocument/2006/relationships/hyperlink" Target="https://fbref.com/en/players/0442183b/Nathaniel-Clyne" TargetMode="External"/><Relationship Id="rId841" Type="http://schemas.openxmlformats.org/officeDocument/2006/relationships/hyperlink" Target="https://fbref.com/en/squads/47c64c55/2025-2026/wages/Crystal-Palace-Wage-Details" TargetMode="External"/><Relationship Id="rId848" Type="http://schemas.openxmlformats.org/officeDocument/2006/relationships/hyperlink" Target="https://fbref.com/en/players/35141f4c/Marcos-Senesi" TargetMode="External"/><Relationship Id="rId847" Type="http://schemas.openxmlformats.org/officeDocument/2006/relationships/hyperlink" Target="https://fbref.com/en/squads/4ba7cbea/2025-2026/wages/Bournemouth-Wage-Details" TargetMode="External"/><Relationship Id="rId846" Type="http://schemas.openxmlformats.org/officeDocument/2006/relationships/hyperlink" Target="https://fbref.com/en/country/WAL/Wales-Football" TargetMode="External"/><Relationship Id="rId845" Type="http://schemas.openxmlformats.org/officeDocument/2006/relationships/hyperlink" Target="https://fbref.com/en/players/dc4cae05/David-Brooks" TargetMode="External"/><Relationship Id="rId1670" Type="http://schemas.openxmlformats.org/officeDocument/2006/relationships/hyperlink" Target="https://fbref.com/en/squads/361ca564/2025-2026/wages/Tottenham-Hotspur-Wage-Details" TargetMode="External"/><Relationship Id="rId840" Type="http://schemas.openxmlformats.org/officeDocument/2006/relationships/hyperlink" Target="https://fbref.com/en/country/FRA/France-Football" TargetMode="External"/><Relationship Id="rId1671" Type="http://schemas.openxmlformats.org/officeDocument/2006/relationships/hyperlink" Target="https://fbref.com/en/squads/47c64c55/2025-2026/wages/Crystal-Palace-Wage-Details" TargetMode="External"/><Relationship Id="rId1672" Type="http://schemas.openxmlformats.org/officeDocument/2006/relationships/hyperlink" Target="https://fbref.com/en/players/702812fe/Rio-Cardines" TargetMode="External"/><Relationship Id="rId1673" Type="http://schemas.openxmlformats.org/officeDocument/2006/relationships/hyperlink" Target="https://fbref.com/en/country/TRI/Trinidad-and-Tobago-Football" TargetMode="External"/><Relationship Id="rId1674" Type="http://schemas.openxmlformats.org/officeDocument/2006/relationships/hyperlink" Target="https://fbref.com/en/squads/47c64c55/2025-2026/wages/Crystal-Palace-Wage-Details" TargetMode="External"/><Relationship Id="rId1664" Type="http://schemas.openxmlformats.org/officeDocument/2006/relationships/hyperlink" Target="https://fbref.com/en/players/5c368c88/Ethan-Wheatley" TargetMode="External"/><Relationship Id="rId1665" Type="http://schemas.openxmlformats.org/officeDocument/2006/relationships/hyperlink" Target="https://fbref.com/en/country/ENG/England-Football" TargetMode="External"/><Relationship Id="rId1666" Type="http://schemas.openxmlformats.org/officeDocument/2006/relationships/hyperlink" Target="https://fbref.com/en/squads/19538871/2025-2026/wages/Manchester-United-Wage-Details" TargetMode="External"/><Relationship Id="rId1667" Type="http://schemas.openxmlformats.org/officeDocument/2006/relationships/hyperlink" Target="https://fbref.com/en/players/49134eb2/Joe-Hugill" TargetMode="External"/><Relationship Id="rId1668" Type="http://schemas.openxmlformats.org/officeDocument/2006/relationships/hyperlink" Target="https://fbref.com/en/country/ENG/England-Football" TargetMode="External"/><Relationship Id="rId1669" Type="http://schemas.openxmlformats.org/officeDocument/2006/relationships/hyperlink" Target="https://fbref.com/en/squads/19538871/2025-2026/wages/Manchester-United-Wage-Details" TargetMode="External"/><Relationship Id="rId839" Type="http://schemas.openxmlformats.org/officeDocument/2006/relationships/hyperlink" Target="https://fbref.com/en/players/277c49ed/Maxence-Lacroix" TargetMode="External"/><Relationship Id="rId838" Type="http://schemas.openxmlformats.org/officeDocument/2006/relationships/hyperlink" Target="https://fbref.com/en/squads/47c64c55/2025-2026/wages/Crystal-Palace-Wage-Details" TargetMode="External"/><Relationship Id="rId833" Type="http://schemas.openxmlformats.org/officeDocument/2006/relationships/hyperlink" Target="https://fbref.com/en/players/dbf053da/Jadon-Sancho" TargetMode="External"/><Relationship Id="rId832" Type="http://schemas.openxmlformats.org/officeDocument/2006/relationships/hyperlink" Target="https://fbref.com/en/squads/18bb7c10/2025-2026/wages/Arsenal-Wage-Details" TargetMode="External"/><Relationship Id="rId831" Type="http://schemas.openxmlformats.org/officeDocument/2006/relationships/hyperlink" Target="https://fbref.com/en/country/ESP/Spain-Football" TargetMode="External"/><Relationship Id="rId830" Type="http://schemas.openxmlformats.org/officeDocument/2006/relationships/hyperlink" Target="https://fbref.com/en/players/dc1ce4f5/Cristhian-Mosquera" TargetMode="External"/><Relationship Id="rId837" Type="http://schemas.openxmlformats.org/officeDocument/2006/relationships/hyperlink" Target="https://fbref.com/en/country/FRA/France-Football" TargetMode="External"/><Relationship Id="rId836" Type="http://schemas.openxmlformats.org/officeDocument/2006/relationships/hyperlink" Target="https://fbref.com/en/players/50e6dc35/Jean-Philippe-Mateta" TargetMode="External"/><Relationship Id="rId835" Type="http://schemas.openxmlformats.org/officeDocument/2006/relationships/hyperlink" Target="https://fbref.com/en/squads/19538871/2025-2026/wages/Manchester-United-Wage-Details" TargetMode="External"/><Relationship Id="rId834" Type="http://schemas.openxmlformats.org/officeDocument/2006/relationships/hyperlink" Target="https://fbref.com/en/country/ENG/England-Football" TargetMode="External"/><Relationship Id="rId1660" Type="http://schemas.openxmlformats.org/officeDocument/2006/relationships/hyperlink" Target="https://fbref.com/en/squads/8602292d/2025-2026/wages/Aston-Villa-Wage-Details" TargetMode="External"/><Relationship Id="rId1661" Type="http://schemas.openxmlformats.org/officeDocument/2006/relationships/hyperlink" Target="https://fbref.com/en/squads/361ca564/2025-2026/wages/Tottenham-Hotspur-Wage-Details" TargetMode="External"/><Relationship Id="rId1662" Type="http://schemas.openxmlformats.org/officeDocument/2006/relationships/hyperlink" Target="https://fbref.com/en/squads/361ca564/2025-2026/wages/Tottenham-Hotspur-Wage-Details" TargetMode="External"/><Relationship Id="rId1663" Type="http://schemas.openxmlformats.org/officeDocument/2006/relationships/hyperlink" Target="https://fbref.com/en/squads/8602292d/2025-2026/wages/Aston-Villa-Wage-Details" TargetMode="External"/><Relationship Id="rId469" Type="http://schemas.openxmlformats.org/officeDocument/2006/relationships/hyperlink" Target="https://fbref.com/en/players/242e1043/Lutsharel-Geertruida" TargetMode="External"/><Relationship Id="rId468" Type="http://schemas.openxmlformats.org/officeDocument/2006/relationships/hyperlink" Target="https://fbref.com/en/squads/8cec06e1/2025-2026/wages/Wolverhampton-Wanderers-Wage-Details" TargetMode="External"/><Relationship Id="rId467" Type="http://schemas.openxmlformats.org/officeDocument/2006/relationships/hyperlink" Target="https://fbref.com/en/country/CIV/Cote-dIvoire-Football" TargetMode="External"/><Relationship Id="rId1290" Type="http://schemas.openxmlformats.org/officeDocument/2006/relationships/hyperlink" Target="https://fbref.com/en/squads/cd051869/2025-2026/wages/Brentford-Wage-Details" TargetMode="External"/><Relationship Id="rId1291" Type="http://schemas.openxmlformats.org/officeDocument/2006/relationships/hyperlink" Target="https://fbref.com/en/players/4e015693/James-Garner" TargetMode="External"/><Relationship Id="rId1292" Type="http://schemas.openxmlformats.org/officeDocument/2006/relationships/hyperlink" Target="https://fbref.com/en/country/ENG/England-Football" TargetMode="External"/><Relationship Id="rId462" Type="http://schemas.openxmlformats.org/officeDocument/2006/relationships/hyperlink" Target="https://fbref.com/en/squads/822bd0ba/2025-2026/wages/Liverpool-Wage-Details" TargetMode="External"/><Relationship Id="rId1293" Type="http://schemas.openxmlformats.org/officeDocument/2006/relationships/hyperlink" Target="https://fbref.com/en/squads/d3fd31cc/2025-2026/wages/Everton-Wage-Details" TargetMode="External"/><Relationship Id="rId461" Type="http://schemas.openxmlformats.org/officeDocument/2006/relationships/hyperlink" Target="https://fbref.com/en/country/GEO/Georgia-Football" TargetMode="External"/><Relationship Id="rId1294" Type="http://schemas.openxmlformats.org/officeDocument/2006/relationships/hyperlink" Target="https://fbref.com/en/players/e082af5b/Angus-Gunn" TargetMode="External"/><Relationship Id="rId460" Type="http://schemas.openxmlformats.org/officeDocument/2006/relationships/hyperlink" Target="https://fbref.com/en/players/d4b73232/Giorgi-Mamardashvili" TargetMode="External"/><Relationship Id="rId1295" Type="http://schemas.openxmlformats.org/officeDocument/2006/relationships/hyperlink" Target="https://fbref.com/en/country/SCO/Scotland-Football" TargetMode="External"/><Relationship Id="rId1296" Type="http://schemas.openxmlformats.org/officeDocument/2006/relationships/hyperlink" Target="https://fbref.com/en/squads/e4a775cb/2025-2026/wages/Nottingham-Forest-Wage-Details" TargetMode="External"/><Relationship Id="rId466" Type="http://schemas.openxmlformats.org/officeDocument/2006/relationships/hyperlink" Target="https://fbref.com/en/players/75f1ed80/Emmanuel-Agbadou" TargetMode="External"/><Relationship Id="rId1297" Type="http://schemas.openxmlformats.org/officeDocument/2006/relationships/hyperlink" Target="https://fbref.com/en/players/2fa2a875/Benjamin-Lecomte" TargetMode="External"/><Relationship Id="rId465" Type="http://schemas.openxmlformats.org/officeDocument/2006/relationships/hyperlink" Target="https://fbref.com/en/squads/822bd0ba/2025-2026/wages/Liverpool-Wage-Details" TargetMode="External"/><Relationship Id="rId1298" Type="http://schemas.openxmlformats.org/officeDocument/2006/relationships/hyperlink" Target="https://fbref.com/en/country/FRA/France-Football" TargetMode="External"/><Relationship Id="rId464" Type="http://schemas.openxmlformats.org/officeDocument/2006/relationships/hyperlink" Target="https://fbref.com/en/country/ENG/England-Football" TargetMode="External"/><Relationship Id="rId1299" Type="http://schemas.openxmlformats.org/officeDocument/2006/relationships/hyperlink" Target="https://fbref.com/en/squads/fd962109/2025-2026/wages/Fulham-Wage-Details" TargetMode="External"/><Relationship Id="rId463" Type="http://schemas.openxmlformats.org/officeDocument/2006/relationships/hyperlink" Target="https://fbref.com/en/players/7a11550b/Joe-Gomez" TargetMode="External"/><Relationship Id="rId459" Type="http://schemas.openxmlformats.org/officeDocument/2006/relationships/hyperlink" Target="https://fbref.com/en/squads/4ba7cbea/2025-2026/wages/Bournemouth-Wage-Details" TargetMode="External"/><Relationship Id="rId458" Type="http://schemas.openxmlformats.org/officeDocument/2006/relationships/hyperlink" Target="https://fbref.com/en/country/BRA/Brazil-Football" TargetMode="External"/><Relationship Id="rId457" Type="http://schemas.openxmlformats.org/officeDocument/2006/relationships/hyperlink" Target="https://fbref.com/en/players/6f3cc2fe/Evanilson" TargetMode="External"/><Relationship Id="rId456" Type="http://schemas.openxmlformats.org/officeDocument/2006/relationships/hyperlink" Target="https://fbref.com/en/squads/361ca564/2025-2026/wages/Tottenham-Hotspur-Wage-Details" TargetMode="External"/><Relationship Id="rId1280" Type="http://schemas.openxmlformats.org/officeDocument/2006/relationships/hyperlink" Target="https://fbref.com/en/country/NED/Netherlands-Football" TargetMode="External"/><Relationship Id="rId1281" Type="http://schemas.openxmlformats.org/officeDocument/2006/relationships/hyperlink" Target="https://fbref.com/en/squads/cd051869/2025-2026/wages/Brentford-Wage-Details" TargetMode="External"/><Relationship Id="rId451" Type="http://schemas.openxmlformats.org/officeDocument/2006/relationships/hyperlink" Target="https://fbref.com/en/players/27d0a506/Pedro-Porro" TargetMode="External"/><Relationship Id="rId1282" Type="http://schemas.openxmlformats.org/officeDocument/2006/relationships/hyperlink" Target="https://fbref.com/en/players/e541326e/Ethan-Pinnock" TargetMode="External"/><Relationship Id="rId450" Type="http://schemas.openxmlformats.org/officeDocument/2006/relationships/hyperlink" Target="https://fbref.com/en/squads/19538871/2025-2026/wages/Manchester-United-Wage-Details" TargetMode="External"/><Relationship Id="rId1283" Type="http://schemas.openxmlformats.org/officeDocument/2006/relationships/hyperlink" Target="https://fbref.com/en/country/JAM/Jamaica-Football" TargetMode="External"/><Relationship Id="rId1284" Type="http://schemas.openxmlformats.org/officeDocument/2006/relationships/hyperlink" Target="https://fbref.com/en/squads/cd051869/2025-2026/wages/Brentford-Wage-Details" TargetMode="External"/><Relationship Id="rId1285" Type="http://schemas.openxmlformats.org/officeDocument/2006/relationships/hyperlink" Target="https://fbref.com/en/players/a8c19eb8/Nathan-Collins" TargetMode="External"/><Relationship Id="rId455" Type="http://schemas.openxmlformats.org/officeDocument/2006/relationships/hyperlink" Target="https://fbref.com/en/country/ROU/Romania-Football" TargetMode="External"/><Relationship Id="rId1286" Type="http://schemas.openxmlformats.org/officeDocument/2006/relationships/hyperlink" Target="https://fbref.com/en/country/IRL/Republic-of-Ireland-Football" TargetMode="External"/><Relationship Id="rId454" Type="http://schemas.openxmlformats.org/officeDocument/2006/relationships/hyperlink" Target="https://fbref.com/en/players/620922ed/Radu-Dragusin" TargetMode="External"/><Relationship Id="rId1287" Type="http://schemas.openxmlformats.org/officeDocument/2006/relationships/hyperlink" Target="https://fbref.com/en/squads/cd051869/2025-2026/wages/Brentford-Wage-Details" TargetMode="External"/><Relationship Id="rId453" Type="http://schemas.openxmlformats.org/officeDocument/2006/relationships/hyperlink" Target="https://fbref.com/en/squads/361ca564/2025-2026/wages/Tottenham-Hotspur-Wage-Details" TargetMode="External"/><Relationship Id="rId1288" Type="http://schemas.openxmlformats.org/officeDocument/2006/relationships/hyperlink" Target="https://fbref.com/en/players/8449d35e/Vitaly-Janelt" TargetMode="External"/><Relationship Id="rId452" Type="http://schemas.openxmlformats.org/officeDocument/2006/relationships/hyperlink" Target="https://fbref.com/en/country/ESP/Spain-Football" TargetMode="External"/><Relationship Id="rId1289" Type="http://schemas.openxmlformats.org/officeDocument/2006/relationships/hyperlink" Target="https://fbref.com/en/country/GER/Germany-Football" TargetMode="External"/><Relationship Id="rId491" Type="http://schemas.openxmlformats.org/officeDocument/2006/relationships/hyperlink" Target="https://fbref.com/en/country/ENG/England-Football" TargetMode="External"/><Relationship Id="rId490" Type="http://schemas.openxmlformats.org/officeDocument/2006/relationships/hyperlink" Target="https://fbref.com/en/players/3ea50f67/Harvey-Barnes" TargetMode="External"/><Relationship Id="rId489" Type="http://schemas.openxmlformats.org/officeDocument/2006/relationships/hyperlink" Target="https://fbref.com/en/squads/8cec06e1/2025-2026/wages/Wolverhampton-Wanderers-Wage-Details" TargetMode="External"/><Relationship Id="rId484" Type="http://schemas.openxmlformats.org/officeDocument/2006/relationships/hyperlink" Target="https://fbref.com/en/players/88f130ed/Jean-Clair-Todibo" TargetMode="External"/><Relationship Id="rId483" Type="http://schemas.openxmlformats.org/officeDocument/2006/relationships/hyperlink" Target="https://fbref.com/en/squads/5bfb9659/2025-2026/wages/Leeds-United-Wage-Details" TargetMode="External"/><Relationship Id="rId482" Type="http://schemas.openxmlformats.org/officeDocument/2006/relationships/hyperlink" Target="https://fbref.com/en/country/ENG/England-Football" TargetMode="External"/><Relationship Id="rId481" Type="http://schemas.openxmlformats.org/officeDocument/2006/relationships/hyperlink" Target="https://fbref.com/en/players/a2b105e0/Sean-Longstaff" TargetMode="External"/><Relationship Id="rId488" Type="http://schemas.openxmlformats.org/officeDocument/2006/relationships/hyperlink" Target="https://fbref.com/en/country/POR/Portugal-Football" TargetMode="External"/><Relationship Id="rId487" Type="http://schemas.openxmlformats.org/officeDocument/2006/relationships/hyperlink" Target="https://fbref.com/en/players/f0caab96/Toti-Gomes" TargetMode="External"/><Relationship Id="rId486" Type="http://schemas.openxmlformats.org/officeDocument/2006/relationships/hyperlink" Target="https://fbref.com/en/squads/7c21e445/2025-2026/wages/West-Ham-United-Wage-Details" TargetMode="External"/><Relationship Id="rId485" Type="http://schemas.openxmlformats.org/officeDocument/2006/relationships/hyperlink" Target="https://fbref.com/en/country/FRA/France-Football" TargetMode="External"/><Relationship Id="rId480" Type="http://schemas.openxmlformats.org/officeDocument/2006/relationships/hyperlink" Target="https://fbref.com/en/squads/4ba7cbea/2025-2026/wages/Bournemouth-Wage-Details" TargetMode="External"/><Relationship Id="rId479" Type="http://schemas.openxmlformats.org/officeDocument/2006/relationships/hyperlink" Target="https://fbref.com/en/country/NED/Netherlands-Football" TargetMode="External"/><Relationship Id="rId478" Type="http://schemas.openxmlformats.org/officeDocument/2006/relationships/hyperlink" Target="https://fbref.com/en/players/4c3a6744/Justin-Kluivert" TargetMode="External"/><Relationship Id="rId473" Type="http://schemas.openxmlformats.org/officeDocument/2006/relationships/hyperlink" Target="https://fbref.com/en/country/SUI/Switzerland-Football" TargetMode="External"/><Relationship Id="rId472" Type="http://schemas.openxmlformats.org/officeDocument/2006/relationships/hyperlink" Target="https://fbref.com/en/players/8e697a8f/Dan-Ndoye" TargetMode="External"/><Relationship Id="rId471" Type="http://schemas.openxmlformats.org/officeDocument/2006/relationships/hyperlink" Target="https://fbref.com/en/squads/8ef52968/2025-2026/wages/Sunderland-Wage-Details" TargetMode="External"/><Relationship Id="rId470" Type="http://schemas.openxmlformats.org/officeDocument/2006/relationships/hyperlink" Target="https://fbref.com/en/country/NED/Netherlands-Football" TargetMode="External"/><Relationship Id="rId477" Type="http://schemas.openxmlformats.org/officeDocument/2006/relationships/hyperlink" Target="https://fbref.com/en/squads/361ca564/2025-2026/wages/Tottenham-Hotspur-Wage-Details" TargetMode="External"/><Relationship Id="rId476" Type="http://schemas.openxmlformats.org/officeDocument/2006/relationships/hyperlink" Target="https://fbref.com/en/country/WAL/Wales-Football" TargetMode="External"/><Relationship Id="rId475" Type="http://schemas.openxmlformats.org/officeDocument/2006/relationships/hyperlink" Target="https://fbref.com/en/players/44781702/Ben-Davies" TargetMode="External"/><Relationship Id="rId474" Type="http://schemas.openxmlformats.org/officeDocument/2006/relationships/hyperlink" Target="https://fbref.com/en/squads/e4a775cb/2025-2026/wages/Nottingham-Forest-Wage-Details" TargetMode="External"/><Relationship Id="rId1257" Type="http://schemas.openxmlformats.org/officeDocument/2006/relationships/hyperlink" Target="https://fbref.com/en/players/bca5c4a7/Lamare-Bogarde" TargetMode="External"/><Relationship Id="rId1258" Type="http://schemas.openxmlformats.org/officeDocument/2006/relationships/hyperlink" Target="https://fbref.com/en/country/NED/Netherlands-Football" TargetMode="External"/><Relationship Id="rId1259" Type="http://schemas.openxmlformats.org/officeDocument/2006/relationships/hyperlink" Target="https://fbref.com/en/squads/8602292d/2025-2026/wages/Aston-Villa-Wage-Details" TargetMode="External"/><Relationship Id="rId426" Type="http://schemas.openxmlformats.org/officeDocument/2006/relationships/hyperlink" Target="https://fbref.com/en/squads/b2b47a98/2025-2026/wages/Newcastle-United-Wage-Details" TargetMode="External"/><Relationship Id="rId425" Type="http://schemas.openxmlformats.org/officeDocument/2006/relationships/hyperlink" Target="https://fbref.com/en/country/NED/Netherlands-Football" TargetMode="External"/><Relationship Id="rId424" Type="http://schemas.openxmlformats.org/officeDocument/2006/relationships/hyperlink" Target="https://fbref.com/en/players/ccce7025/Sven-Botman" TargetMode="External"/><Relationship Id="rId423" Type="http://schemas.openxmlformats.org/officeDocument/2006/relationships/hyperlink" Target="https://fbref.com/en/squads/7c21e445/2025-2026/wages/West-Ham-United-Wage-Details" TargetMode="External"/><Relationship Id="rId429" Type="http://schemas.openxmlformats.org/officeDocument/2006/relationships/hyperlink" Target="https://fbref.com/en/squads/cff3d9bb/2025-2026/wages/Chelsea-Wage-Details" TargetMode="External"/><Relationship Id="rId428" Type="http://schemas.openxmlformats.org/officeDocument/2006/relationships/hyperlink" Target="https://fbref.com/en/country/FRA/France-Football" TargetMode="External"/><Relationship Id="rId427" Type="http://schemas.openxmlformats.org/officeDocument/2006/relationships/hyperlink" Target="https://fbref.com/en/players/06df8256/Benoit-Badiashile" TargetMode="External"/><Relationship Id="rId1250" Type="http://schemas.openxmlformats.org/officeDocument/2006/relationships/hyperlink" Target="https://fbref.com/en/squads/5bfb9659/2025-2026/wages/Leeds-United-Wage-Details" TargetMode="External"/><Relationship Id="rId1251" Type="http://schemas.openxmlformats.org/officeDocument/2006/relationships/hyperlink" Target="https://fbref.com/en/players/ae5019e6/Jayden-Bogle" TargetMode="External"/><Relationship Id="rId1252" Type="http://schemas.openxmlformats.org/officeDocument/2006/relationships/hyperlink" Target="https://fbref.com/en/country/ENG/England-Football" TargetMode="External"/><Relationship Id="rId422" Type="http://schemas.openxmlformats.org/officeDocument/2006/relationships/hyperlink" Target="https://fbref.com/en/country/CZE/Czech-Republic-Football" TargetMode="External"/><Relationship Id="rId1253" Type="http://schemas.openxmlformats.org/officeDocument/2006/relationships/hyperlink" Target="https://fbref.com/en/squads/5bfb9659/2025-2026/wages/Leeds-United-Wage-Details" TargetMode="External"/><Relationship Id="rId421" Type="http://schemas.openxmlformats.org/officeDocument/2006/relationships/hyperlink" Target="https://fbref.com/en/players/6613c819/Tomas-Soucek" TargetMode="External"/><Relationship Id="rId1254" Type="http://schemas.openxmlformats.org/officeDocument/2006/relationships/hyperlink" Target="https://fbref.com/en/players/cde3309f/Karl-Darlow" TargetMode="External"/><Relationship Id="rId420" Type="http://schemas.openxmlformats.org/officeDocument/2006/relationships/hyperlink" Target="https://fbref.com/en/squads/7c21e445/2025-2026/wages/West-Ham-United-Wage-Details" TargetMode="External"/><Relationship Id="rId1255" Type="http://schemas.openxmlformats.org/officeDocument/2006/relationships/hyperlink" Target="https://fbref.com/en/country/WAL/Wales-Football" TargetMode="External"/><Relationship Id="rId1256" Type="http://schemas.openxmlformats.org/officeDocument/2006/relationships/hyperlink" Target="https://fbref.com/en/squads/5bfb9659/2025-2026/wages/Leeds-United-Wage-Details" TargetMode="External"/><Relationship Id="rId1246" Type="http://schemas.openxmlformats.org/officeDocument/2006/relationships/hyperlink" Target="https://fbref.com/en/squads/47c64c55/2025-2026/wages/Crystal-Palace-Wage-Details" TargetMode="External"/><Relationship Id="rId1247" Type="http://schemas.openxmlformats.org/officeDocument/2006/relationships/hyperlink" Target="https://fbref.com/en/squads/4ba7cbea/2025-2026/wages/Bournemouth-Wage-Details" TargetMode="External"/><Relationship Id="rId1248" Type="http://schemas.openxmlformats.org/officeDocument/2006/relationships/hyperlink" Target="https://fbref.com/en/players/6b625ac2/Illan-Meslier" TargetMode="External"/><Relationship Id="rId1249" Type="http://schemas.openxmlformats.org/officeDocument/2006/relationships/hyperlink" Target="https://fbref.com/en/country/FRA/France-Football" TargetMode="External"/><Relationship Id="rId415" Type="http://schemas.openxmlformats.org/officeDocument/2006/relationships/hyperlink" Target="https://fbref.com/en/players/9e525177/Aaron-Wan-Bissaka" TargetMode="External"/><Relationship Id="rId899" Type="http://schemas.openxmlformats.org/officeDocument/2006/relationships/hyperlink" Target="https://fbref.com/en/players/fffea3e5/Jeremy-Doku" TargetMode="External"/><Relationship Id="rId414" Type="http://schemas.openxmlformats.org/officeDocument/2006/relationships/hyperlink" Target="https://fbref.com/en/squads/5bfb9659/2025-2026/wages/Leeds-United-Wage-Details" TargetMode="External"/><Relationship Id="rId898" Type="http://schemas.openxmlformats.org/officeDocument/2006/relationships/hyperlink" Target="https://fbref.com/en/squads/b8fd03ef/2025-2026/wages/Manchester-City-Wage-Details" TargetMode="External"/><Relationship Id="rId413" Type="http://schemas.openxmlformats.org/officeDocument/2006/relationships/hyperlink" Target="https://fbref.com/en/country/ENG/England-Football" TargetMode="External"/><Relationship Id="rId897" Type="http://schemas.openxmlformats.org/officeDocument/2006/relationships/hyperlink" Target="https://fbref.com/en/country/ENG/England-Football" TargetMode="External"/><Relationship Id="rId412" Type="http://schemas.openxmlformats.org/officeDocument/2006/relationships/hyperlink" Target="https://fbref.com/en/players/aa849a12/Jack-Harrison" TargetMode="External"/><Relationship Id="rId896" Type="http://schemas.openxmlformats.org/officeDocument/2006/relationships/hyperlink" Target="https://fbref.com/en/players/259fea27/James-Trafford" TargetMode="External"/><Relationship Id="rId419" Type="http://schemas.openxmlformats.org/officeDocument/2006/relationships/hyperlink" Target="https://fbref.com/en/country/GER/Germany-Football" TargetMode="External"/><Relationship Id="rId418" Type="http://schemas.openxmlformats.org/officeDocument/2006/relationships/hyperlink" Target="https://fbref.com/en/players/4f16405e/Niclas-Fullkrug" TargetMode="External"/><Relationship Id="rId417" Type="http://schemas.openxmlformats.org/officeDocument/2006/relationships/hyperlink" Target="https://fbref.com/en/squads/7c21e445/2025-2026/wages/West-Ham-United-Wage-Details" TargetMode="External"/><Relationship Id="rId416" Type="http://schemas.openxmlformats.org/officeDocument/2006/relationships/hyperlink" Target="https://fbref.com/en/country/COD/Congo-DR-Football" TargetMode="External"/><Relationship Id="rId891" Type="http://schemas.openxmlformats.org/officeDocument/2006/relationships/hyperlink" Target="https://fbref.com/en/country/ENG/England-Football" TargetMode="External"/><Relationship Id="rId890" Type="http://schemas.openxmlformats.org/officeDocument/2006/relationships/hyperlink" Target="https://fbref.com/en/players/afed6722/Tino-Livramento" TargetMode="External"/><Relationship Id="rId1240" Type="http://schemas.openxmlformats.org/officeDocument/2006/relationships/hyperlink" Target="https://fbref.com/en/squads/361ca564/2025-2026/wages/Tottenham-Hotspur-Wage-Details" TargetMode="External"/><Relationship Id="rId1241" Type="http://schemas.openxmlformats.org/officeDocument/2006/relationships/hyperlink" Target="https://fbref.com/en/players/b3b9b8b8/Chadi-Riad" TargetMode="External"/><Relationship Id="rId411" Type="http://schemas.openxmlformats.org/officeDocument/2006/relationships/hyperlink" Target="https://fbref.com/en/squads/47c64c55/2025-2026/wages/Crystal-Palace-Wage-Details" TargetMode="External"/><Relationship Id="rId895" Type="http://schemas.openxmlformats.org/officeDocument/2006/relationships/hyperlink" Target="https://fbref.com/en/squads/b8fd03ef/2025-2026/wages/Manchester-City-Wage-Details" TargetMode="External"/><Relationship Id="rId1242" Type="http://schemas.openxmlformats.org/officeDocument/2006/relationships/hyperlink" Target="https://fbref.com/en/country/MAR/Morocco-Football" TargetMode="External"/><Relationship Id="rId410" Type="http://schemas.openxmlformats.org/officeDocument/2006/relationships/hyperlink" Target="https://fbref.com/en/country/ENG/England-Football" TargetMode="External"/><Relationship Id="rId894" Type="http://schemas.openxmlformats.org/officeDocument/2006/relationships/hyperlink" Target="https://fbref.com/en/country/UZB/Uzbekistan-Football" TargetMode="External"/><Relationship Id="rId1243" Type="http://schemas.openxmlformats.org/officeDocument/2006/relationships/hyperlink" Target="https://fbref.com/en/squads/47c64c55/2025-2026/wages/Crystal-Palace-Wage-Details" TargetMode="External"/><Relationship Id="rId893" Type="http://schemas.openxmlformats.org/officeDocument/2006/relationships/hyperlink" Target="https://fbref.com/en/players/d17ce930/Abdukodir-Khusanov" TargetMode="External"/><Relationship Id="rId1244" Type="http://schemas.openxmlformats.org/officeDocument/2006/relationships/hyperlink" Target="https://fbref.com/en/players/87941696/Christantus-Uche" TargetMode="External"/><Relationship Id="rId892" Type="http://schemas.openxmlformats.org/officeDocument/2006/relationships/hyperlink" Target="https://fbref.com/en/squads/b2b47a98/2025-2026/wages/Newcastle-United-Wage-Details" TargetMode="External"/><Relationship Id="rId1245" Type="http://schemas.openxmlformats.org/officeDocument/2006/relationships/hyperlink" Target="https://fbref.com/en/country/NGA/Nigeria-Football" TargetMode="External"/><Relationship Id="rId1279" Type="http://schemas.openxmlformats.org/officeDocument/2006/relationships/hyperlink" Target="https://fbref.com/en/players/b05f4787/Antoni-Milambo" TargetMode="External"/><Relationship Id="rId448" Type="http://schemas.openxmlformats.org/officeDocument/2006/relationships/hyperlink" Target="https://fbref.com/en/players/d9565625/Diogo-Dalot" TargetMode="External"/><Relationship Id="rId447" Type="http://schemas.openxmlformats.org/officeDocument/2006/relationships/hyperlink" Target="https://fbref.com/en/squads/d07537b9/2025-2026/wages/Brighton-and-Hove-Albion-Wage-Details" TargetMode="External"/><Relationship Id="rId446" Type="http://schemas.openxmlformats.org/officeDocument/2006/relationships/hyperlink" Target="https://fbref.com/en/country/TUR/Turkey-Football" TargetMode="External"/><Relationship Id="rId445" Type="http://schemas.openxmlformats.org/officeDocument/2006/relationships/hyperlink" Target="https://fbref.com/en/players/66c52a77/Ferdi-Kadioglu" TargetMode="External"/><Relationship Id="rId449" Type="http://schemas.openxmlformats.org/officeDocument/2006/relationships/hyperlink" Target="https://fbref.com/en/country/POR/Portugal-Football" TargetMode="External"/><Relationship Id="rId1270" Type="http://schemas.openxmlformats.org/officeDocument/2006/relationships/hyperlink" Target="https://fbref.com/en/country/NED/Netherlands-Football" TargetMode="External"/><Relationship Id="rId440" Type="http://schemas.openxmlformats.org/officeDocument/2006/relationships/hyperlink" Target="https://fbref.com/en/country/DEN/Denmark-Football" TargetMode="External"/><Relationship Id="rId1271" Type="http://schemas.openxmlformats.org/officeDocument/2006/relationships/hyperlink" Target="https://fbref.com/en/squads/8ef52968/2025-2026/wages/Sunderland-Wage-Details" TargetMode="External"/><Relationship Id="rId1272" Type="http://schemas.openxmlformats.org/officeDocument/2006/relationships/hyperlink" Target="https://fbref.com/en/players/b2a81fc6/Mike-Tresor" TargetMode="External"/><Relationship Id="rId1273" Type="http://schemas.openxmlformats.org/officeDocument/2006/relationships/hyperlink" Target="https://fbref.com/en/country/BEL/Belgium-Football" TargetMode="External"/><Relationship Id="rId1274" Type="http://schemas.openxmlformats.org/officeDocument/2006/relationships/hyperlink" Target="https://fbref.com/en/squads/943e8050/2025-2026/wages/Burnley-Wage-Details" TargetMode="External"/><Relationship Id="rId444" Type="http://schemas.openxmlformats.org/officeDocument/2006/relationships/hyperlink" Target="https://fbref.com/en/squads/18bb7c10/2025-2026/wages/Arsenal-Wage-Details" TargetMode="External"/><Relationship Id="rId1275" Type="http://schemas.openxmlformats.org/officeDocument/2006/relationships/hyperlink" Target="https://fbref.com/en/players/2c6835e5/Lewis-Miley" TargetMode="External"/><Relationship Id="rId443" Type="http://schemas.openxmlformats.org/officeDocument/2006/relationships/hyperlink" Target="https://fbref.com/en/country/NED/Netherlands-Football" TargetMode="External"/><Relationship Id="rId1276" Type="http://schemas.openxmlformats.org/officeDocument/2006/relationships/hyperlink" Target="https://fbref.com/en/country/ENG/England-Football" TargetMode="External"/><Relationship Id="rId442" Type="http://schemas.openxmlformats.org/officeDocument/2006/relationships/hyperlink" Target="https://fbref.com/en/players/41034650/Jurrien-Timber" TargetMode="External"/><Relationship Id="rId1277" Type="http://schemas.openxmlformats.org/officeDocument/2006/relationships/hyperlink" Target="https://fbref.com/en/squads/b2b47a98/2025-2026/wages/Newcastle-United-Wage-Details" TargetMode="External"/><Relationship Id="rId441" Type="http://schemas.openxmlformats.org/officeDocument/2006/relationships/hyperlink" Target="https://fbref.com/en/squads/fd962109/2025-2026/wages/Fulham-Wage-Details" TargetMode="External"/><Relationship Id="rId1278" Type="http://schemas.openxmlformats.org/officeDocument/2006/relationships/hyperlink" Target="https://fbref.com/en/squads/b8fd03ef/2025-2026/wages/Manchester-City-Wage-Details" TargetMode="External"/><Relationship Id="rId1268" Type="http://schemas.openxmlformats.org/officeDocument/2006/relationships/hyperlink" Target="https://fbref.com/en/squads/8ef52968/2025-2026/wages/Sunderland-Wage-Details" TargetMode="External"/><Relationship Id="rId1269" Type="http://schemas.openxmlformats.org/officeDocument/2006/relationships/hyperlink" Target="https://fbref.com/en/players/349fa918/Robin-Roefs" TargetMode="External"/><Relationship Id="rId437" Type="http://schemas.openxmlformats.org/officeDocument/2006/relationships/hyperlink" Target="https://fbref.com/en/country/NZL/New-Zealand-Football" TargetMode="External"/><Relationship Id="rId436" Type="http://schemas.openxmlformats.org/officeDocument/2006/relationships/hyperlink" Target="https://fbref.com/en/players/4e9a0555/Chris-Wood" TargetMode="External"/><Relationship Id="rId435" Type="http://schemas.openxmlformats.org/officeDocument/2006/relationships/hyperlink" Target="https://fbref.com/en/squads/e4a775cb/2025-2026/wages/Nottingham-Forest-Wage-Details" TargetMode="External"/><Relationship Id="rId434" Type="http://schemas.openxmlformats.org/officeDocument/2006/relationships/hyperlink" Target="https://fbref.com/en/country/ENG/England-Football" TargetMode="External"/><Relationship Id="rId439" Type="http://schemas.openxmlformats.org/officeDocument/2006/relationships/hyperlink" Target="https://fbref.com/en/players/e34fc66d/Joachim-Andersen" TargetMode="External"/><Relationship Id="rId438" Type="http://schemas.openxmlformats.org/officeDocument/2006/relationships/hyperlink" Target="https://fbref.com/en/squads/e4a775cb/2025-2026/wages/Nottingham-Forest-Wage-Details" TargetMode="External"/><Relationship Id="rId1260" Type="http://schemas.openxmlformats.org/officeDocument/2006/relationships/hyperlink" Target="https://fbref.com/en/players/9affc5f2/David-Moller-Wolfe" TargetMode="External"/><Relationship Id="rId1261" Type="http://schemas.openxmlformats.org/officeDocument/2006/relationships/hyperlink" Target="https://fbref.com/en/country/NOR/Norway-Football" TargetMode="External"/><Relationship Id="rId1262" Type="http://schemas.openxmlformats.org/officeDocument/2006/relationships/hyperlink" Target="https://fbref.com/en/squads/8cec06e1/2025-2026/wages/Wolverhampton-Wanderers-Wage-Details" TargetMode="External"/><Relationship Id="rId1263" Type="http://schemas.openxmlformats.org/officeDocument/2006/relationships/hyperlink" Target="https://fbref.com/en/players/1e159d70/Yerson-Mosquera" TargetMode="External"/><Relationship Id="rId433" Type="http://schemas.openxmlformats.org/officeDocument/2006/relationships/hyperlink" Target="https://fbref.com/en/players/15f3ec41/Callum-Hudson-Odoi" TargetMode="External"/><Relationship Id="rId1264" Type="http://schemas.openxmlformats.org/officeDocument/2006/relationships/hyperlink" Target="https://fbref.com/en/country/COL/Colombia-Football" TargetMode="External"/><Relationship Id="rId432" Type="http://schemas.openxmlformats.org/officeDocument/2006/relationships/hyperlink" Target="https://fbref.com/en/squads/d3fd31cc/2025-2026/wages/Everton-Wage-Details" TargetMode="External"/><Relationship Id="rId1265" Type="http://schemas.openxmlformats.org/officeDocument/2006/relationships/hyperlink" Target="https://fbref.com/en/squads/8cec06e1/2025-2026/wages/Wolverhampton-Wanderers-Wage-Details" TargetMode="External"/><Relationship Id="rId431" Type="http://schemas.openxmlformats.org/officeDocument/2006/relationships/hyperlink" Target="https://fbref.com/en/country/ENG/England-Football" TargetMode="External"/><Relationship Id="rId1266" Type="http://schemas.openxmlformats.org/officeDocument/2006/relationships/hyperlink" Target="https://fbref.com/en/players/6a021e43/Eliezer-Mayenda" TargetMode="External"/><Relationship Id="rId430" Type="http://schemas.openxmlformats.org/officeDocument/2006/relationships/hyperlink" Target="https://fbref.com/en/players/5c74c0f5/Kiernan-Dewsbury-Hall" TargetMode="External"/><Relationship Id="rId1267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3"/>
      <c r="H1" s="4" t="s">
        <v>0</v>
      </c>
      <c r="I1" s="2"/>
      <c r="J1" s="2"/>
      <c r="K1" s="2"/>
      <c r="L1" s="4" t="s">
        <v>1</v>
      </c>
      <c r="M1" s="2"/>
      <c r="N1" s="2"/>
      <c r="O1" s="2"/>
      <c r="P1" s="2"/>
      <c r="Q1" s="2"/>
      <c r="R1" s="2"/>
      <c r="S1" s="2"/>
      <c r="T1" s="4" t="s">
        <v>2</v>
      </c>
      <c r="U1" s="2"/>
      <c r="V1" s="2"/>
      <c r="W1" s="2"/>
      <c r="X1" s="2"/>
      <c r="Y1" s="5"/>
    </row>
    <row r="2">
      <c r="A2" s="6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4" t="s">
        <v>10</v>
      </c>
      <c r="I2" s="8" t="s">
        <v>11</v>
      </c>
      <c r="J2" s="8" t="s">
        <v>12</v>
      </c>
      <c r="K2" s="8" t="s">
        <v>13</v>
      </c>
      <c r="L2" s="4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4" t="s">
        <v>14</v>
      </c>
      <c r="U2" s="8" t="s">
        <v>15</v>
      </c>
      <c r="V2" s="8" t="s">
        <v>16</v>
      </c>
      <c r="W2" s="8" t="s">
        <v>17</v>
      </c>
      <c r="X2" s="8" t="s">
        <v>22</v>
      </c>
      <c r="Y2" s="4" t="s">
        <v>23</v>
      </c>
    </row>
    <row r="3">
      <c r="A3" s="9">
        <v>1.0</v>
      </c>
      <c r="B3" s="10" t="s">
        <v>24</v>
      </c>
      <c r="C3" s="11" t="s">
        <v>25</v>
      </c>
      <c r="D3" s="12" t="s">
        <v>26</v>
      </c>
      <c r="E3" s="13" t="s">
        <v>27</v>
      </c>
      <c r="F3" s="12">
        <v>24.0</v>
      </c>
      <c r="G3" s="12">
        <v>2000.0</v>
      </c>
      <c r="H3" s="14">
        <v>37.0</v>
      </c>
      <c r="I3" s="15">
        <v>30.0</v>
      </c>
      <c r="J3" s="16">
        <v>2449.0</v>
      </c>
      <c r="K3" s="15">
        <v>27.2</v>
      </c>
      <c r="L3" s="17">
        <v>0.15</v>
      </c>
      <c r="M3" s="18">
        <v>0.18</v>
      </c>
      <c r="N3" s="18">
        <v>0.33</v>
      </c>
      <c r="O3" s="18">
        <v>0.15</v>
      </c>
      <c r="P3" s="19">
        <v>0.0</v>
      </c>
      <c r="Q3" s="19">
        <v>0.0</v>
      </c>
      <c r="R3" s="18">
        <v>0.11</v>
      </c>
      <c r="S3" s="19">
        <v>0.0</v>
      </c>
      <c r="T3" s="14">
        <v>0.15</v>
      </c>
      <c r="U3" s="15">
        <v>0.18</v>
      </c>
      <c r="V3" s="15">
        <v>0.33</v>
      </c>
      <c r="W3" s="15">
        <v>0.15</v>
      </c>
      <c r="X3" s="15">
        <v>0.33</v>
      </c>
      <c r="Y3" s="20" t="s">
        <v>28</v>
      </c>
    </row>
    <row r="4">
      <c r="A4" s="9">
        <v>2.0</v>
      </c>
      <c r="B4" s="10" t="s">
        <v>29</v>
      </c>
      <c r="C4" s="11" t="s">
        <v>30</v>
      </c>
      <c r="D4" s="12" t="s">
        <v>31</v>
      </c>
      <c r="E4" s="13" t="s">
        <v>32</v>
      </c>
      <c r="F4" s="12">
        <v>15.0</v>
      </c>
      <c r="G4" s="12">
        <v>2009.0</v>
      </c>
      <c r="H4" s="14">
        <v>1.0</v>
      </c>
      <c r="I4" s="21">
        <v>0.0</v>
      </c>
      <c r="J4" s="15">
        <v>17.0</v>
      </c>
      <c r="K4" s="15">
        <v>0.2</v>
      </c>
      <c r="L4" s="22">
        <v>0.0</v>
      </c>
      <c r="M4" s="19">
        <v>0.0</v>
      </c>
      <c r="N4" s="19">
        <v>0.0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23">
        <v>0.0</v>
      </c>
      <c r="U4" s="21">
        <v>0.0</v>
      </c>
      <c r="V4" s="21">
        <v>0.0</v>
      </c>
      <c r="W4" s="21">
        <v>0.0</v>
      </c>
      <c r="X4" s="21">
        <v>0.0</v>
      </c>
      <c r="Y4" s="20" t="s">
        <v>33</v>
      </c>
    </row>
    <row r="5">
      <c r="A5" s="9">
        <v>3.0</v>
      </c>
      <c r="B5" s="10" t="s">
        <v>34</v>
      </c>
      <c r="C5" s="11" t="s">
        <v>35</v>
      </c>
      <c r="D5" s="12" t="s">
        <v>36</v>
      </c>
      <c r="E5" s="13" t="s">
        <v>37</v>
      </c>
      <c r="F5" s="12">
        <v>19.0</v>
      </c>
      <c r="G5" s="12">
        <v>2006.0</v>
      </c>
      <c r="H5" s="14">
        <v>3.0</v>
      </c>
      <c r="I5" s="15">
        <v>2.0</v>
      </c>
      <c r="J5" s="15">
        <v>164.0</v>
      </c>
      <c r="K5" s="15">
        <v>1.8</v>
      </c>
      <c r="L5" s="22">
        <v>0.0</v>
      </c>
      <c r="M5" s="19">
        <v>0.0</v>
      </c>
      <c r="N5" s="19">
        <v>0.0</v>
      </c>
      <c r="O5" s="19">
        <v>0.0</v>
      </c>
      <c r="P5" s="19">
        <v>0.0</v>
      </c>
      <c r="Q5" s="19">
        <v>0.0</v>
      </c>
      <c r="R5" s="19">
        <v>0.0</v>
      </c>
      <c r="S5" s="19">
        <v>0.0</v>
      </c>
      <c r="T5" s="23">
        <v>0.0</v>
      </c>
      <c r="U5" s="21">
        <v>0.0</v>
      </c>
      <c r="V5" s="21">
        <v>0.0</v>
      </c>
      <c r="W5" s="21">
        <v>0.0</v>
      </c>
      <c r="X5" s="21">
        <v>0.0</v>
      </c>
      <c r="Y5" s="20" t="s">
        <v>38</v>
      </c>
    </row>
    <row r="6">
      <c r="A6" s="9">
        <v>4.0</v>
      </c>
      <c r="B6" s="10" t="s">
        <v>39</v>
      </c>
      <c r="C6" s="11" t="s">
        <v>40</v>
      </c>
      <c r="D6" s="12" t="s">
        <v>41</v>
      </c>
      <c r="E6" s="13" t="s">
        <v>42</v>
      </c>
      <c r="F6" s="12">
        <v>27.0</v>
      </c>
      <c r="G6" s="12">
        <v>1997.0</v>
      </c>
      <c r="H6" s="14">
        <v>12.0</v>
      </c>
      <c r="I6" s="15">
        <v>2.0</v>
      </c>
      <c r="J6" s="15">
        <v>286.0</v>
      </c>
      <c r="K6" s="15">
        <v>3.2</v>
      </c>
      <c r="L6" s="17">
        <v>0.63</v>
      </c>
      <c r="M6" s="19">
        <v>0.0</v>
      </c>
      <c r="N6" s="18">
        <v>0.63</v>
      </c>
      <c r="O6" s="18">
        <v>0.63</v>
      </c>
      <c r="P6" s="19">
        <v>0.0</v>
      </c>
      <c r="Q6" s="19">
        <v>0.0</v>
      </c>
      <c r="R6" s="19">
        <v>0.0</v>
      </c>
      <c r="S6" s="19">
        <v>0.0</v>
      </c>
      <c r="T6" s="14">
        <v>0.63</v>
      </c>
      <c r="U6" s="21">
        <v>0.0</v>
      </c>
      <c r="V6" s="15">
        <v>0.63</v>
      </c>
      <c r="W6" s="15">
        <v>0.63</v>
      </c>
      <c r="X6" s="15">
        <v>0.63</v>
      </c>
      <c r="Y6" s="20" t="s">
        <v>43</v>
      </c>
    </row>
    <row r="7">
      <c r="A7" s="9">
        <v>5.0</v>
      </c>
      <c r="B7" s="10" t="s">
        <v>44</v>
      </c>
      <c r="C7" s="11" t="s">
        <v>45</v>
      </c>
      <c r="D7" s="12" t="s">
        <v>36</v>
      </c>
      <c r="E7" s="13" t="s">
        <v>46</v>
      </c>
      <c r="F7" s="12">
        <v>19.0</v>
      </c>
      <c r="G7" s="12">
        <v>2006.0</v>
      </c>
      <c r="H7" s="14">
        <v>17.0</v>
      </c>
      <c r="I7" s="15">
        <v>8.0</v>
      </c>
      <c r="J7" s="15">
        <v>666.0</v>
      </c>
      <c r="K7" s="15">
        <v>7.4</v>
      </c>
      <c r="L7" s="17">
        <v>0.14</v>
      </c>
      <c r="M7" s="19">
        <v>0.0</v>
      </c>
      <c r="N7" s="18">
        <v>0.14</v>
      </c>
      <c r="O7" s="18">
        <v>0.14</v>
      </c>
      <c r="P7" s="19">
        <v>0.0</v>
      </c>
      <c r="Q7" s="19">
        <v>0.0</v>
      </c>
      <c r="R7" s="18">
        <v>0.14</v>
      </c>
      <c r="S7" s="19">
        <v>0.0</v>
      </c>
      <c r="T7" s="14">
        <v>0.14</v>
      </c>
      <c r="U7" s="21">
        <v>0.0</v>
      </c>
      <c r="V7" s="15">
        <v>0.14</v>
      </c>
      <c r="W7" s="15">
        <v>0.14</v>
      </c>
      <c r="X7" s="15">
        <v>0.14</v>
      </c>
      <c r="Y7" s="20" t="s">
        <v>47</v>
      </c>
    </row>
    <row r="8">
      <c r="A8" s="9">
        <v>6.0</v>
      </c>
      <c r="B8" s="10" t="s">
        <v>48</v>
      </c>
      <c r="C8" s="11" t="s">
        <v>49</v>
      </c>
      <c r="D8" s="12" t="s">
        <v>31</v>
      </c>
      <c r="E8" s="13" t="s">
        <v>50</v>
      </c>
      <c r="F8" s="12">
        <v>26.0</v>
      </c>
      <c r="G8" s="12">
        <v>1999.0</v>
      </c>
      <c r="H8" s="14">
        <v>25.0</v>
      </c>
      <c r="I8" s="15">
        <v>21.0</v>
      </c>
      <c r="J8" s="16">
        <v>1773.0</v>
      </c>
      <c r="K8" s="15">
        <v>19.7</v>
      </c>
      <c r="L8" s="17">
        <v>0.1</v>
      </c>
      <c r="M8" s="18">
        <v>0.1</v>
      </c>
      <c r="N8" s="18">
        <v>0.2</v>
      </c>
      <c r="O8" s="18">
        <v>0.1</v>
      </c>
      <c r="P8" s="19">
        <v>0.0</v>
      </c>
      <c r="Q8" s="19">
        <v>0.0</v>
      </c>
      <c r="R8" s="18">
        <v>0.41</v>
      </c>
      <c r="S8" s="19">
        <v>0.0</v>
      </c>
      <c r="T8" s="14">
        <v>0.1</v>
      </c>
      <c r="U8" s="15">
        <v>0.1</v>
      </c>
      <c r="V8" s="15">
        <v>0.2</v>
      </c>
      <c r="W8" s="15">
        <v>0.1</v>
      </c>
      <c r="X8" s="15">
        <v>0.2</v>
      </c>
      <c r="Y8" s="20" t="s">
        <v>51</v>
      </c>
    </row>
    <row r="9">
      <c r="A9" s="9">
        <v>7.0</v>
      </c>
      <c r="B9" s="10" t="s">
        <v>52</v>
      </c>
      <c r="C9" s="11" t="s">
        <v>53</v>
      </c>
      <c r="D9" s="12" t="s">
        <v>36</v>
      </c>
      <c r="E9" s="13" t="s">
        <v>54</v>
      </c>
      <c r="F9" s="12">
        <v>27.0</v>
      </c>
      <c r="G9" s="12">
        <v>1997.0</v>
      </c>
      <c r="H9" s="14">
        <v>16.0</v>
      </c>
      <c r="I9" s="15">
        <v>8.0</v>
      </c>
      <c r="J9" s="15">
        <v>795.0</v>
      </c>
      <c r="K9" s="15">
        <v>8.8</v>
      </c>
      <c r="L9" s="22">
        <v>0.0</v>
      </c>
      <c r="M9" s="19">
        <v>0.0</v>
      </c>
      <c r="N9" s="19">
        <v>0.0</v>
      </c>
      <c r="O9" s="19">
        <v>0.0</v>
      </c>
      <c r="P9" s="19">
        <v>0.0</v>
      </c>
      <c r="Q9" s="19">
        <v>0.0</v>
      </c>
      <c r="R9" s="18">
        <v>0.23</v>
      </c>
      <c r="S9" s="19">
        <v>0.0</v>
      </c>
      <c r="T9" s="23">
        <v>0.0</v>
      </c>
      <c r="U9" s="21">
        <v>0.0</v>
      </c>
      <c r="V9" s="21">
        <v>0.0</v>
      </c>
      <c r="W9" s="21">
        <v>0.0</v>
      </c>
      <c r="X9" s="21">
        <v>0.0</v>
      </c>
      <c r="Y9" s="20" t="s">
        <v>55</v>
      </c>
    </row>
    <row r="10">
      <c r="A10" s="9">
        <v>8.0</v>
      </c>
      <c r="B10" s="10" t="s">
        <v>56</v>
      </c>
      <c r="C10" s="11" t="s">
        <v>57</v>
      </c>
      <c r="D10" s="12" t="s">
        <v>26</v>
      </c>
      <c r="E10" s="13" t="s">
        <v>58</v>
      </c>
      <c r="F10" s="12">
        <v>23.0</v>
      </c>
      <c r="G10" s="12">
        <v>2002.0</v>
      </c>
      <c r="H10" s="14">
        <v>14.0</v>
      </c>
      <c r="I10" s="15">
        <v>9.0</v>
      </c>
      <c r="J10" s="15">
        <v>653.0</v>
      </c>
      <c r="K10" s="15">
        <v>7.3</v>
      </c>
      <c r="L10" s="17">
        <v>0.14</v>
      </c>
      <c r="M10" s="19">
        <v>0.0</v>
      </c>
      <c r="N10" s="18">
        <v>0.14</v>
      </c>
      <c r="O10" s="18">
        <v>0.14</v>
      </c>
      <c r="P10" s="19">
        <v>0.0</v>
      </c>
      <c r="Q10" s="19">
        <v>0.0</v>
      </c>
      <c r="R10" s="18">
        <v>0.27</v>
      </c>
      <c r="S10" s="19">
        <v>0.0</v>
      </c>
      <c r="T10" s="14">
        <v>0.14</v>
      </c>
      <c r="U10" s="21">
        <v>0.0</v>
      </c>
      <c r="V10" s="15">
        <v>0.14</v>
      </c>
      <c r="W10" s="15">
        <v>0.14</v>
      </c>
      <c r="X10" s="15">
        <v>0.14</v>
      </c>
      <c r="Y10" s="20" t="s">
        <v>59</v>
      </c>
    </row>
    <row r="11">
      <c r="A11" s="9">
        <v>9.0</v>
      </c>
      <c r="B11" s="10" t="s">
        <v>60</v>
      </c>
      <c r="C11" s="11" t="s">
        <v>61</v>
      </c>
      <c r="D11" s="12" t="s">
        <v>31</v>
      </c>
      <c r="E11" s="13" t="s">
        <v>62</v>
      </c>
      <c r="F11" s="12">
        <v>25.0</v>
      </c>
      <c r="G11" s="12">
        <v>2000.0</v>
      </c>
      <c r="H11" s="14">
        <v>31.0</v>
      </c>
      <c r="I11" s="15">
        <v>10.0</v>
      </c>
      <c r="J11" s="16">
        <v>1093.0</v>
      </c>
      <c r="K11" s="15">
        <v>12.1</v>
      </c>
      <c r="L11" s="17">
        <v>0.25</v>
      </c>
      <c r="M11" s="18">
        <v>0.08</v>
      </c>
      <c r="N11" s="18">
        <v>0.33</v>
      </c>
      <c r="O11" s="18">
        <v>0.25</v>
      </c>
      <c r="P11" s="19">
        <v>0.0</v>
      </c>
      <c r="Q11" s="19">
        <v>0.0</v>
      </c>
      <c r="R11" s="18">
        <v>0.17</v>
      </c>
      <c r="S11" s="19">
        <v>0.0</v>
      </c>
      <c r="T11" s="14">
        <v>0.25</v>
      </c>
      <c r="U11" s="15">
        <v>0.08</v>
      </c>
      <c r="V11" s="15">
        <v>0.33</v>
      </c>
      <c r="W11" s="15">
        <v>0.25</v>
      </c>
      <c r="X11" s="15">
        <v>0.33</v>
      </c>
      <c r="Y11" s="20" t="s">
        <v>63</v>
      </c>
    </row>
    <row r="12">
      <c r="A12" s="9">
        <v>10.0</v>
      </c>
      <c r="B12" s="10" t="s">
        <v>64</v>
      </c>
      <c r="C12" s="11" t="s">
        <v>65</v>
      </c>
      <c r="D12" s="12" t="s">
        <v>36</v>
      </c>
      <c r="E12" s="13" t="s">
        <v>66</v>
      </c>
      <c r="F12" s="12">
        <v>28.0</v>
      </c>
      <c r="G12" s="12">
        <v>1997.0</v>
      </c>
      <c r="H12" s="14">
        <v>14.0</v>
      </c>
      <c r="I12" s="15">
        <v>12.0</v>
      </c>
      <c r="J12" s="16">
        <v>1101.0</v>
      </c>
      <c r="K12" s="15">
        <v>12.2</v>
      </c>
      <c r="L12" s="22">
        <v>0.0</v>
      </c>
      <c r="M12" s="19">
        <v>0.0</v>
      </c>
      <c r="N12" s="19">
        <v>0.0</v>
      </c>
      <c r="O12" s="19">
        <v>0.0</v>
      </c>
      <c r="P12" s="19">
        <v>0.0</v>
      </c>
      <c r="Q12" s="19">
        <v>0.0</v>
      </c>
      <c r="R12" s="18">
        <v>0.08</v>
      </c>
      <c r="S12" s="18">
        <v>0.08</v>
      </c>
      <c r="T12" s="23">
        <v>0.0</v>
      </c>
      <c r="U12" s="21">
        <v>0.0</v>
      </c>
      <c r="V12" s="21">
        <v>0.0</v>
      </c>
      <c r="W12" s="21">
        <v>0.0</v>
      </c>
      <c r="X12" s="21">
        <v>0.0</v>
      </c>
      <c r="Y12" s="20" t="s">
        <v>67</v>
      </c>
    </row>
    <row r="13">
      <c r="A13" s="9">
        <v>11.0</v>
      </c>
      <c r="B13" s="10" t="s">
        <v>68</v>
      </c>
      <c r="C13" s="11" t="s">
        <v>69</v>
      </c>
      <c r="D13" s="12" t="s">
        <v>36</v>
      </c>
      <c r="E13" s="13" t="s">
        <v>70</v>
      </c>
      <c r="F13" s="12">
        <v>29.0</v>
      </c>
      <c r="G13" s="12">
        <v>1996.0</v>
      </c>
      <c r="H13" s="14">
        <v>2.0</v>
      </c>
      <c r="I13" s="15">
        <v>2.0</v>
      </c>
      <c r="J13" s="15">
        <v>180.0</v>
      </c>
      <c r="K13" s="15">
        <v>2.0</v>
      </c>
      <c r="L13" s="22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23">
        <v>0.0</v>
      </c>
      <c r="U13" s="21">
        <v>0.0</v>
      </c>
      <c r="V13" s="21">
        <v>0.0</v>
      </c>
      <c r="W13" s="21">
        <v>0.0</v>
      </c>
      <c r="X13" s="21">
        <v>0.0</v>
      </c>
      <c r="Y13" s="20" t="s">
        <v>71</v>
      </c>
    </row>
    <row r="14">
      <c r="A14" s="9">
        <v>12.0</v>
      </c>
      <c r="B14" s="10" t="s">
        <v>72</v>
      </c>
      <c r="C14" s="11" t="s">
        <v>73</v>
      </c>
      <c r="D14" s="12" t="s">
        <v>36</v>
      </c>
      <c r="E14" s="13" t="s">
        <v>74</v>
      </c>
      <c r="F14" s="12">
        <v>28.0</v>
      </c>
      <c r="G14" s="12">
        <v>1996.0</v>
      </c>
      <c r="H14" s="14">
        <v>18.0</v>
      </c>
      <c r="I14" s="15">
        <v>18.0</v>
      </c>
      <c r="J14" s="16">
        <v>1588.0</v>
      </c>
      <c r="K14" s="15">
        <v>17.6</v>
      </c>
      <c r="L14" s="22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8">
        <v>0.17</v>
      </c>
      <c r="S14" s="19">
        <v>0.0</v>
      </c>
      <c r="T14" s="23">
        <v>0.0</v>
      </c>
      <c r="U14" s="21">
        <v>0.0</v>
      </c>
      <c r="V14" s="21">
        <v>0.0</v>
      </c>
      <c r="W14" s="21">
        <v>0.0</v>
      </c>
      <c r="X14" s="21">
        <v>0.0</v>
      </c>
      <c r="Y14" s="20" t="s">
        <v>75</v>
      </c>
    </row>
    <row r="15">
      <c r="A15" s="9">
        <v>13.0</v>
      </c>
      <c r="B15" s="10" t="s">
        <v>76</v>
      </c>
      <c r="C15" s="11" t="s">
        <v>77</v>
      </c>
      <c r="D15" s="12" t="s">
        <v>36</v>
      </c>
      <c r="E15" s="13" t="s">
        <v>78</v>
      </c>
      <c r="F15" s="12">
        <v>24.0</v>
      </c>
      <c r="G15" s="12">
        <v>2001.0</v>
      </c>
      <c r="H15" s="14">
        <v>17.0</v>
      </c>
      <c r="I15" s="15">
        <v>12.0</v>
      </c>
      <c r="J15" s="15">
        <v>974.0</v>
      </c>
      <c r="K15" s="15">
        <v>10.8</v>
      </c>
      <c r="L15" s="22">
        <v>0.0</v>
      </c>
      <c r="M15" s="18">
        <v>0.19</v>
      </c>
      <c r="N15" s="18">
        <v>0.19</v>
      </c>
      <c r="O15" s="19">
        <v>0.0</v>
      </c>
      <c r="P15" s="19">
        <v>0.0</v>
      </c>
      <c r="Q15" s="19">
        <v>0.0</v>
      </c>
      <c r="R15" s="18">
        <v>0.19</v>
      </c>
      <c r="S15" s="19">
        <v>0.0</v>
      </c>
      <c r="T15" s="23">
        <v>0.0</v>
      </c>
      <c r="U15" s="15">
        <v>0.18</v>
      </c>
      <c r="V15" s="15">
        <v>0.18</v>
      </c>
      <c r="W15" s="21">
        <v>0.0</v>
      </c>
      <c r="X15" s="15">
        <v>0.18</v>
      </c>
      <c r="Y15" s="20" t="s">
        <v>79</v>
      </c>
    </row>
    <row r="16">
      <c r="A16" s="9">
        <v>14.0</v>
      </c>
      <c r="B16" s="10" t="s">
        <v>80</v>
      </c>
      <c r="C16" s="11" t="s">
        <v>81</v>
      </c>
      <c r="D16" s="12" t="s">
        <v>36</v>
      </c>
      <c r="E16" s="13" t="s">
        <v>82</v>
      </c>
      <c r="F16" s="12">
        <v>27.0</v>
      </c>
      <c r="G16" s="12">
        <v>1998.0</v>
      </c>
      <c r="H16" s="14">
        <v>27.0</v>
      </c>
      <c r="I16" s="15">
        <v>20.0</v>
      </c>
      <c r="J16" s="16">
        <v>1810.0</v>
      </c>
      <c r="K16" s="15">
        <v>20.1</v>
      </c>
      <c r="L16" s="22">
        <v>0.0</v>
      </c>
      <c r="M16" s="18">
        <v>0.05</v>
      </c>
      <c r="N16" s="18">
        <v>0.05</v>
      </c>
      <c r="O16" s="19">
        <v>0.0</v>
      </c>
      <c r="P16" s="19">
        <v>0.0</v>
      </c>
      <c r="Q16" s="19">
        <v>0.0</v>
      </c>
      <c r="R16" s="18">
        <v>0.2</v>
      </c>
      <c r="S16" s="19">
        <v>0.0</v>
      </c>
      <c r="T16" s="23">
        <v>0.0</v>
      </c>
      <c r="U16" s="15">
        <v>0.05</v>
      </c>
      <c r="V16" s="15">
        <v>0.05</v>
      </c>
      <c r="W16" s="21">
        <v>0.0</v>
      </c>
      <c r="X16" s="15">
        <v>0.05</v>
      </c>
      <c r="Y16" s="20" t="s">
        <v>83</v>
      </c>
    </row>
    <row r="17">
      <c r="A17" s="9">
        <v>15.0</v>
      </c>
      <c r="B17" s="10" t="s">
        <v>84</v>
      </c>
      <c r="C17" s="11" t="s">
        <v>85</v>
      </c>
      <c r="D17" s="12" t="s">
        <v>36</v>
      </c>
      <c r="E17" s="13" t="s">
        <v>86</v>
      </c>
      <c r="F17" s="12">
        <v>30.0</v>
      </c>
      <c r="G17" s="12">
        <v>1995.0</v>
      </c>
      <c r="H17" s="14">
        <v>18.0</v>
      </c>
      <c r="I17" s="15">
        <v>6.0</v>
      </c>
      <c r="J17" s="15">
        <v>695.0</v>
      </c>
      <c r="K17" s="15">
        <v>7.7</v>
      </c>
      <c r="L17" s="22">
        <v>0.0</v>
      </c>
      <c r="M17" s="19">
        <v>0.0</v>
      </c>
      <c r="N17" s="19">
        <v>0.0</v>
      </c>
      <c r="O17" s="19">
        <v>0.0</v>
      </c>
      <c r="P17" s="19">
        <v>0.0</v>
      </c>
      <c r="Q17" s="19">
        <v>0.0</v>
      </c>
      <c r="R17" s="18">
        <v>0.13</v>
      </c>
      <c r="S17" s="19">
        <v>0.0</v>
      </c>
      <c r="T17" s="23">
        <v>0.0</v>
      </c>
      <c r="U17" s="21">
        <v>0.0</v>
      </c>
      <c r="V17" s="21">
        <v>0.0</v>
      </c>
      <c r="W17" s="21">
        <v>0.0</v>
      </c>
      <c r="X17" s="21">
        <v>0.0</v>
      </c>
      <c r="Y17" s="20" t="s">
        <v>87</v>
      </c>
    </row>
    <row r="18">
      <c r="A18" s="9">
        <v>16.0</v>
      </c>
      <c r="B18" s="10" t="s">
        <v>88</v>
      </c>
      <c r="C18" s="11" t="s">
        <v>89</v>
      </c>
      <c r="D18" s="12" t="s">
        <v>31</v>
      </c>
      <c r="E18" s="13" t="s">
        <v>90</v>
      </c>
      <c r="F18" s="12">
        <v>22.0</v>
      </c>
      <c r="G18" s="12">
        <v>2002.0</v>
      </c>
      <c r="H18" s="14">
        <v>20.0</v>
      </c>
      <c r="I18" s="15">
        <v>6.0</v>
      </c>
      <c r="J18" s="15">
        <v>689.0</v>
      </c>
      <c r="K18" s="15">
        <v>7.7</v>
      </c>
      <c r="L18" s="22">
        <v>0.0</v>
      </c>
      <c r="M18" s="18">
        <v>0.13</v>
      </c>
      <c r="N18" s="18">
        <v>0.13</v>
      </c>
      <c r="O18" s="19">
        <v>0.0</v>
      </c>
      <c r="P18" s="19">
        <v>0.0</v>
      </c>
      <c r="Q18" s="19">
        <v>0.0</v>
      </c>
      <c r="R18" s="18">
        <v>0.52</v>
      </c>
      <c r="S18" s="19">
        <v>0.0</v>
      </c>
      <c r="T18" s="23">
        <v>0.0</v>
      </c>
      <c r="U18" s="15">
        <v>0.13</v>
      </c>
      <c r="V18" s="15">
        <v>0.13</v>
      </c>
      <c r="W18" s="21">
        <v>0.0</v>
      </c>
      <c r="X18" s="15">
        <v>0.13</v>
      </c>
      <c r="Y18" s="20" t="s">
        <v>91</v>
      </c>
    </row>
    <row r="19">
      <c r="A19" s="9">
        <v>17.0</v>
      </c>
      <c r="B19" s="10" t="s">
        <v>92</v>
      </c>
      <c r="C19" s="11" t="s">
        <v>93</v>
      </c>
      <c r="D19" s="12" t="s">
        <v>36</v>
      </c>
      <c r="E19" s="13" t="s">
        <v>94</v>
      </c>
      <c r="F19" s="12">
        <v>28.0</v>
      </c>
      <c r="G19" s="12">
        <v>1996.0</v>
      </c>
      <c r="H19" s="14">
        <v>33.0</v>
      </c>
      <c r="I19" s="15">
        <v>32.0</v>
      </c>
      <c r="J19" s="16">
        <v>2798.0</v>
      </c>
      <c r="K19" s="15">
        <v>31.1</v>
      </c>
      <c r="L19" s="17">
        <v>0.03</v>
      </c>
      <c r="M19" s="18">
        <v>0.03</v>
      </c>
      <c r="N19" s="18">
        <v>0.06</v>
      </c>
      <c r="O19" s="18">
        <v>0.03</v>
      </c>
      <c r="P19" s="19">
        <v>0.0</v>
      </c>
      <c r="Q19" s="19">
        <v>0.0</v>
      </c>
      <c r="R19" s="18">
        <v>0.19</v>
      </c>
      <c r="S19" s="19">
        <v>0.0</v>
      </c>
      <c r="T19" s="14">
        <v>0.03</v>
      </c>
      <c r="U19" s="15">
        <v>0.03</v>
      </c>
      <c r="V19" s="15">
        <v>0.06</v>
      </c>
      <c r="W19" s="15">
        <v>0.03</v>
      </c>
      <c r="X19" s="15">
        <v>0.06</v>
      </c>
      <c r="Y19" s="20" t="s">
        <v>95</v>
      </c>
    </row>
    <row r="20">
      <c r="A20" s="9">
        <v>18.0</v>
      </c>
      <c r="B20" s="10" t="s">
        <v>96</v>
      </c>
      <c r="C20" s="11" t="s">
        <v>97</v>
      </c>
      <c r="D20" s="12" t="s">
        <v>98</v>
      </c>
      <c r="E20" s="13" t="s">
        <v>99</v>
      </c>
      <c r="F20" s="12">
        <v>32.0</v>
      </c>
      <c r="G20" s="12">
        <v>1992.0</v>
      </c>
      <c r="H20" s="14">
        <v>26.0</v>
      </c>
      <c r="I20" s="15">
        <v>26.0</v>
      </c>
      <c r="J20" s="16">
        <v>2340.0</v>
      </c>
      <c r="K20" s="15">
        <v>26.0</v>
      </c>
      <c r="L20" s="22">
        <v>0.0</v>
      </c>
      <c r="M20" s="19">
        <v>0.0</v>
      </c>
      <c r="N20" s="19">
        <v>0.0</v>
      </c>
      <c r="O20" s="19">
        <v>0.0</v>
      </c>
      <c r="P20" s="19">
        <v>0.0</v>
      </c>
      <c r="Q20" s="19">
        <v>0.0</v>
      </c>
      <c r="R20" s="18">
        <v>0.04</v>
      </c>
      <c r="S20" s="19">
        <v>0.0</v>
      </c>
      <c r="T20" s="23">
        <v>0.0</v>
      </c>
      <c r="U20" s="21">
        <v>0.0</v>
      </c>
      <c r="V20" s="21">
        <v>0.0</v>
      </c>
      <c r="W20" s="21">
        <v>0.0</v>
      </c>
      <c r="X20" s="21">
        <v>0.0</v>
      </c>
      <c r="Y20" s="20" t="s">
        <v>100</v>
      </c>
    </row>
    <row r="21">
      <c r="A21" s="9">
        <v>19.0</v>
      </c>
      <c r="B21" s="10" t="s">
        <v>101</v>
      </c>
      <c r="C21" s="11" t="s">
        <v>102</v>
      </c>
      <c r="D21" s="12" t="s">
        <v>36</v>
      </c>
      <c r="E21" s="13" t="s">
        <v>103</v>
      </c>
      <c r="F21" s="12">
        <v>20.0</v>
      </c>
      <c r="G21" s="12">
        <v>2005.0</v>
      </c>
      <c r="H21" s="14">
        <v>2.0</v>
      </c>
      <c r="I21" s="15">
        <v>2.0</v>
      </c>
      <c r="J21" s="15">
        <v>135.0</v>
      </c>
      <c r="K21" s="15">
        <v>1.5</v>
      </c>
      <c r="L21" s="22">
        <v>0.0</v>
      </c>
      <c r="M21" s="19">
        <v>0.0</v>
      </c>
      <c r="N21" s="19">
        <v>0.0</v>
      </c>
      <c r="O21" s="19">
        <v>0.0</v>
      </c>
      <c r="P21" s="19">
        <v>0.0</v>
      </c>
      <c r="Q21" s="19">
        <v>0.0</v>
      </c>
      <c r="R21" s="19">
        <v>0.0</v>
      </c>
      <c r="S21" s="19">
        <v>0.0</v>
      </c>
      <c r="T21" s="23">
        <v>0.0</v>
      </c>
      <c r="U21" s="21">
        <v>0.0</v>
      </c>
      <c r="V21" s="21">
        <v>0.0</v>
      </c>
      <c r="W21" s="21">
        <v>0.0</v>
      </c>
      <c r="X21" s="21">
        <v>0.0</v>
      </c>
      <c r="Y21" s="20" t="s">
        <v>104</v>
      </c>
    </row>
    <row r="22">
      <c r="A22" s="9">
        <v>20.0</v>
      </c>
      <c r="B22" s="10" t="s">
        <v>105</v>
      </c>
      <c r="C22" s="11" t="s">
        <v>106</v>
      </c>
      <c r="D22" s="12" t="s">
        <v>107</v>
      </c>
      <c r="E22" s="13" t="s">
        <v>108</v>
      </c>
      <c r="F22" s="12">
        <v>20.0</v>
      </c>
      <c r="G22" s="12">
        <v>2004.0</v>
      </c>
      <c r="H22" s="14">
        <v>1.0</v>
      </c>
      <c r="I22" s="21">
        <v>0.0</v>
      </c>
      <c r="J22" s="15">
        <v>10.0</v>
      </c>
      <c r="K22" s="15">
        <v>0.1</v>
      </c>
      <c r="L22" s="22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23">
        <v>0.0</v>
      </c>
      <c r="U22" s="21">
        <v>0.0</v>
      </c>
      <c r="V22" s="21">
        <v>0.0</v>
      </c>
      <c r="W22" s="21">
        <v>0.0</v>
      </c>
      <c r="X22" s="21">
        <v>0.0</v>
      </c>
      <c r="Y22" s="20" t="s">
        <v>109</v>
      </c>
    </row>
    <row r="23">
      <c r="A23" s="9">
        <v>21.0</v>
      </c>
      <c r="B23" s="10" t="s">
        <v>110</v>
      </c>
      <c r="C23" s="11" t="s">
        <v>111</v>
      </c>
      <c r="D23" s="12" t="s">
        <v>107</v>
      </c>
      <c r="E23" s="13" t="s">
        <v>112</v>
      </c>
      <c r="F23" s="12">
        <v>24.0</v>
      </c>
      <c r="G23" s="12">
        <v>2000.0</v>
      </c>
      <c r="H23" s="14">
        <v>4.0</v>
      </c>
      <c r="I23" s="21">
        <v>0.0</v>
      </c>
      <c r="J23" s="15">
        <v>73.0</v>
      </c>
      <c r="K23" s="15">
        <v>0.8</v>
      </c>
      <c r="L23" s="22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3">
        <v>0.0</v>
      </c>
      <c r="U23" s="21">
        <v>0.0</v>
      </c>
      <c r="V23" s="21">
        <v>0.0</v>
      </c>
      <c r="W23" s="21">
        <v>0.0</v>
      </c>
      <c r="X23" s="21">
        <v>0.0</v>
      </c>
      <c r="Y23" s="20" t="s">
        <v>113</v>
      </c>
    </row>
    <row r="24">
      <c r="A24" s="9">
        <v>22.0</v>
      </c>
      <c r="B24" s="10" t="s">
        <v>114</v>
      </c>
      <c r="C24" s="11" t="s">
        <v>115</v>
      </c>
      <c r="D24" s="12" t="s">
        <v>31</v>
      </c>
      <c r="E24" s="13" t="s">
        <v>116</v>
      </c>
      <c r="F24" s="12">
        <v>24.0</v>
      </c>
      <c r="G24" s="12">
        <v>2000.0</v>
      </c>
      <c r="H24" s="14">
        <v>35.0</v>
      </c>
      <c r="I24" s="15">
        <v>35.0</v>
      </c>
      <c r="J24" s="16">
        <v>3119.0</v>
      </c>
      <c r="K24" s="15">
        <v>34.7</v>
      </c>
      <c r="L24" s="17">
        <v>0.03</v>
      </c>
      <c r="M24" s="18">
        <v>0.03</v>
      </c>
      <c r="N24" s="18">
        <v>0.06</v>
      </c>
      <c r="O24" s="18">
        <v>0.03</v>
      </c>
      <c r="P24" s="19">
        <v>0.0</v>
      </c>
      <c r="Q24" s="19">
        <v>0.0</v>
      </c>
      <c r="R24" s="18">
        <v>0.29</v>
      </c>
      <c r="S24" s="19">
        <v>0.0</v>
      </c>
      <c r="T24" s="14">
        <v>0.03</v>
      </c>
      <c r="U24" s="15">
        <v>0.03</v>
      </c>
      <c r="V24" s="15">
        <v>0.06</v>
      </c>
      <c r="W24" s="15">
        <v>0.03</v>
      </c>
      <c r="X24" s="15">
        <v>0.06</v>
      </c>
      <c r="Y24" s="20" t="s">
        <v>117</v>
      </c>
    </row>
    <row r="25">
      <c r="A25" s="9">
        <v>23.0</v>
      </c>
      <c r="B25" s="10" t="s">
        <v>118</v>
      </c>
      <c r="C25" s="11" t="s">
        <v>119</v>
      </c>
      <c r="D25" s="12" t="s">
        <v>36</v>
      </c>
      <c r="E25" s="13" t="s">
        <v>120</v>
      </c>
      <c r="F25" s="12">
        <v>29.0</v>
      </c>
      <c r="G25" s="12">
        <v>1996.0</v>
      </c>
      <c r="H25" s="14">
        <v>33.0</v>
      </c>
      <c r="I25" s="15">
        <v>33.0</v>
      </c>
      <c r="J25" s="16">
        <v>2875.0</v>
      </c>
      <c r="K25" s="15">
        <v>31.9</v>
      </c>
      <c r="L25" s="22">
        <v>0.0</v>
      </c>
      <c r="M25" s="18">
        <v>0.03</v>
      </c>
      <c r="N25" s="18">
        <v>0.03</v>
      </c>
      <c r="O25" s="19">
        <v>0.0</v>
      </c>
      <c r="P25" s="19">
        <v>0.0</v>
      </c>
      <c r="Q25" s="19">
        <v>0.0</v>
      </c>
      <c r="R25" s="18">
        <v>0.22</v>
      </c>
      <c r="S25" s="18">
        <v>0.03</v>
      </c>
      <c r="T25" s="23">
        <v>0.0</v>
      </c>
      <c r="U25" s="15">
        <v>0.03</v>
      </c>
      <c r="V25" s="15">
        <v>0.03</v>
      </c>
      <c r="W25" s="21">
        <v>0.0</v>
      </c>
      <c r="X25" s="15">
        <v>0.03</v>
      </c>
      <c r="Y25" s="20" t="s">
        <v>121</v>
      </c>
    </row>
    <row r="26">
      <c r="A26" s="9">
        <v>24.0</v>
      </c>
      <c r="B26" s="10" t="s">
        <v>122</v>
      </c>
      <c r="C26" s="11" t="s">
        <v>123</v>
      </c>
      <c r="D26" s="12" t="s">
        <v>31</v>
      </c>
      <c r="E26" s="13" t="s">
        <v>124</v>
      </c>
      <c r="F26" s="12">
        <v>22.0</v>
      </c>
      <c r="G26" s="12">
        <v>2002.0</v>
      </c>
      <c r="H26" s="14">
        <v>38.0</v>
      </c>
      <c r="I26" s="15">
        <v>37.0</v>
      </c>
      <c r="J26" s="16">
        <v>3331.0</v>
      </c>
      <c r="K26" s="15">
        <v>37.0</v>
      </c>
      <c r="L26" s="17">
        <v>0.11</v>
      </c>
      <c r="M26" s="18">
        <v>0.11</v>
      </c>
      <c r="N26" s="18">
        <v>0.22</v>
      </c>
      <c r="O26" s="18">
        <v>0.08</v>
      </c>
      <c r="P26" s="18">
        <v>0.03</v>
      </c>
      <c r="Q26" s="18">
        <v>0.03</v>
      </c>
      <c r="R26" s="18">
        <v>0.22</v>
      </c>
      <c r="S26" s="19">
        <v>0.0</v>
      </c>
      <c r="T26" s="14">
        <v>0.11</v>
      </c>
      <c r="U26" s="15">
        <v>0.11</v>
      </c>
      <c r="V26" s="15">
        <v>0.22</v>
      </c>
      <c r="W26" s="15">
        <v>0.08</v>
      </c>
      <c r="X26" s="15">
        <v>0.19</v>
      </c>
      <c r="Y26" s="20" t="s">
        <v>125</v>
      </c>
    </row>
    <row r="27">
      <c r="A27" s="9">
        <v>25.0</v>
      </c>
      <c r="B27" s="10" t="s">
        <v>126</v>
      </c>
      <c r="C27" s="11" t="s">
        <v>127</v>
      </c>
      <c r="D27" s="12" t="s">
        <v>31</v>
      </c>
      <c r="E27" s="13" t="s">
        <v>128</v>
      </c>
      <c r="F27" s="12">
        <v>24.0</v>
      </c>
      <c r="G27" s="12">
        <v>2001.0</v>
      </c>
      <c r="H27" s="14">
        <v>35.0</v>
      </c>
      <c r="I27" s="15">
        <v>30.0</v>
      </c>
      <c r="J27" s="16">
        <v>2762.0</v>
      </c>
      <c r="K27" s="15">
        <v>30.7</v>
      </c>
      <c r="L27" s="17">
        <v>0.03</v>
      </c>
      <c r="M27" s="19">
        <v>0.0</v>
      </c>
      <c r="N27" s="18">
        <v>0.03</v>
      </c>
      <c r="O27" s="18">
        <v>0.03</v>
      </c>
      <c r="P27" s="19">
        <v>0.0</v>
      </c>
      <c r="Q27" s="19">
        <v>0.0</v>
      </c>
      <c r="R27" s="18">
        <v>0.39</v>
      </c>
      <c r="S27" s="19">
        <v>0.0</v>
      </c>
      <c r="T27" s="14">
        <v>0.03</v>
      </c>
      <c r="U27" s="21">
        <v>0.0</v>
      </c>
      <c r="V27" s="15">
        <v>0.03</v>
      </c>
      <c r="W27" s="15">
        <v>0.03</v>
      </c>
      <c r="X27" s="15">
        <v>0.03</v>
      </c>
      <c r="Y27" s="20" t="s">
        <v>129</v>
      </c>
    </row>
    <row r="28">
      <c r="A28" s="9">
        <v>26.0</v>
      </c>
      <c r="B28" s="10" t="s">
        <v>130</v>
      </c>
      <c r="C28" s="11" t="s">
        <v>131</v>
      </c>
      <c r="D28" s="12" t="s">
        <v>31</v>
      </c>
      <c r="E28" s="13" t="s">
        <v>132</v>
      </c>
      <c r="F28" s="12">
        <v>22.0</v>
      </c>
      <c r="G28" s="12">
        <v>2003.0</v>
      </c>
      <c r="H28" s="14">
        <v>8.0</v>
      </c>
      <c r="I28" s="15">
        <v>5.0</v>
      </c>
      <c r="J28" s="15">
        <v>404.0</v>
      </c>
      <c r="K28" s="15">
        <v>4.5</v>
      </c>
      <c r="L28" s="22">
        <v>0.0</v>
      </c>
      <c r="M28" s="19">
        <v>0.0</v>
      </c>
      <c r="N28" s="19">
        <v>0.0</v>
      </c>
      <c r="O28" s="19">
        <v>0.0</v>
      </c>
      <c r="P28" s="19">
        <v>0.0</v>
      </c>
      <c r="Q28" s="19">
        <v>0.0</v>
      </c>
      <c r="R28" s="18">
        <v>0.22</v>
      </c>
      <c r="S28" s="19">
        <v>0.0</v>
      </c>
      <c r="T28" s="23">
        <v>0.0</v>
      </c>
      <c r="U28" s="21">
        <v>0.0</v>
      </c>
      <c r="V28" s="21">
        <v>0.0</v>
      </c>
      <c r="W28" s="21">
        <v>0.0</v>
      </c>
      <c r="X28" s="21">
        <v>0.0</v>
      </c>
      <c r="Y28" s="20" t="s">
        <v>133</v>
      </c>
    </row>
    <row r="29">
      <c r="A29" s="9">
        <v>27.0</v>
      </c>
      <c r="B29" s="10" t="s">
        <v>134</v>
      </c>
      <c r="C29" s="11" t="s">
        <v>135</v>
      </c>
      <c r="D29" s="12" t="s">
        <v>31</v>
      </c>
      <c r="E29" s="13" t="s">
        <v>136</v>
      </c>
      <c r="F29" s="12">
        <v>25.0</v>
      </c>
      <c r="G29" s="12">
        <v>1999.0</v>
      </c>
      <c r="H29" s="14">
        <v>37.0</v>
      </c>
      <c r="I29" s="15">
        <v>32.0</v>
      </c>
      <c r="J29" s="16">
        <v>2722.0</v>
      </c>
      <c r="K29" s="15">
        <v>30.2</v>
      </c>
      <c r="L29" s="17">
        <v>0.26</v>
      </c>
      <c r="M29" s="18">
        <v>0.07</v>
      </c>
      <c r="N29" s="18">
        <v>0.33</v>
      </c>
      <c r="O29" s="18">
        <v>0.26</v>
      </c>
      <c r="P29" s="19">
        <v>0.0</v>
      </c>
      <c r="Q29" s="19">
        <v>0.0</v>
      </c>
      <c r="R29" s="18">
        <v>0.13</v>
      </c>
      <c r="S29" s="19">
        <v>0.0</v>
      </c>
      <c r="T29" s="14">
        <v>0.26</v>
      </c>
      <c r="U29" s="15">
        <v>0.07</v>
      </c>
      <c r="V29" s="15">
        <v>0.33</v>
      </c>
      <c r="W29" s="15">
        <v>0.26</v>
      </c>
      <c r="X29" s="15">
        <v>0.33</v>
      </c>
      <c r="Y29" s="20" t="s">
        <v>137</v>
      </c>
    </row>
    <row r="30">
      <c r="A30" s="9">
        <v>28.0</v>
      </c>
      <c r="B30" s="10" t="s">
        <v>138</v>
      </c>
      <c r="C30" s="11" t="s">
        <v>139</v>
      </c>
      <c r="D30" s="12" t="s">
        <v>98</v>
      </c>
      <c r="E30" s="13" t="s">
        <v>140</v>
      </c>
      <c r="F30" s="12">
        <v>32.0</v>
      </c>
      <c r="G30" s="12">
        <v>1993.0</v>
      </c>
      <c r="H30" s="14">
        <v>20.0</v>
      </c>
      <c r="I30" s="15">
        <v>20.0</v>
      </c>
      <c r="J30" s="16">
        <v>1800.0</v>
      </c>
      <c r="K30" s="15">
        <v>20.0</v>
      </c>
      <c r="L30" s="22">
        <v>0.0</v>
      </c>
      <c r="M30" s="18">
        <v>0.05</v>
      </c>
      <c r="N30" s="18">
        <v>0.05</v>
      </c>
      <c r="O30" s="19">
        <v>0.0</v>
      </c>
      <c r="P30" s="19">
        <v>0.0</v>
      </c>
      <c r="Q30" s="19">
        <v>0.0</v>
      </c>
      <c r="R30" s="19">
        <v>0.0</v>
      </c>
      <c r="S30" s="19">
        <v>0.0</v>
      </c>
      <c r="T30" s="23">
        <v>0.0</v>
      </c>
      <c r="U30" s="15">
        <v>0.05</v>
      </c>
      <c r="V30" s="15">
        <v>0.05</v>
      </c>
      <c r="W30" s="21">
        <v>0.0</v>
      </c>
      <c r="X30" s="15">
        <v>0.05</v>
      </c>
      <c r="Y30" s="20" t="s">
        <v>141</v>
      </c>
    </row>
    <row r="31">
      <c r="A31" s="9">
        <v>29.0</v>
      </c>
      <c r="B31" s="10" t="s">
        <v>142</v>
      </c>
      <c r="C31" s="11" t="s">
        <v>143</v>
      </c>
      <c r="D31" s="12" t="s">
        <v>107</v>
      </c>
      <c r="E31" s="13" t="s">
        <v>144</v>
      </c>
      <c r="F31" s="12">
        <v>27.0</v>
      </c>
      <c r="G31" s="12">
        <v>1997.0</v>
      </c>
      <c r="H31" s="14">
        <v>23.0</v>
      </c>
      <c r="I31" s="15">
        <v>14.0</v>
      </c>
      <c r="J31" s="16">
        <v>1124.0</v>
      </c>
      <c r="K31" s="15">
        <v>12.5</v>
      </c>
      <c r="L31" s="17">
        <v>0.08</v>
      </c>
      <c r="M31" s="19">
        <v>0.0</v>
      </c>
      <c r="N31" s="18">
        <v>0.08</v>
      </c>
      <c r="O31" s="18">
        <v>0.08</v>
      </c>
      <c r="P31" s="19">
        <v>0.0</v>
      </c>
      <c r="Q31" s="19">
        <v>0.0</v>
      </c>
      <c r="R31" s="18">
        <v>0.08</v>
      </c>
      <c r="S31" s="19">
        <v>0.0</v>
      </c>
      <c r="T31" s="14">
        <v>0.08</v>
      </c>
      <c r="U31" s="21">
        <v>0.0</v>
      </c>
      <c r="V31" s="15">
        <v>0.08</v>
      </c>
      <c r="W31" s="15">
        <v>0.08</v>
      </c>
      <c r="X31" s="15">
        <v>0.08</v>
      </c>
      <c r="Y31" s="20" t="s">
        <v>145</v>
      </c>
    </row>
    <row r="32">
      <c r="A32" s="9">
        <v>30.0</v>
      </c>
      <c r="B32" s="10" t="s">
        <v>146</v>
      </c>
      <c r="C32" s="11" t="s">
        <v>147</v>
      </c>
      <c r="D32" s="12" t="s">
        <v>107</v>
      </c>
      <c r="E32" s="13" t="s">
        <v>148</v>
      </c>
      <c r="F32" s="12">
        <v>28.0</v>
      </c>
      <c r="G32" s="12">
        <v>1997.0</v>
      </c>
      <c r="H32" s="14">
        <v>14.0</v>
      </c>
      <c r="I32" s="15">
        <v>14.0</v>
      </c>
      <c r="J32" s="16">
        <v>1140.0</v>
      </c>
      <c r="K32" s="15">
        <v>12.7</v>
      </c>
      <c r="L32" s="17">
        <v>0.16</v>
      </c>
      <c r="M32" s="18">
        <v>0.16</v>
      </c>
      <c r="N32" s="18">
        <v>0.31</v>
      </c>
      <c r="O32" s="18">
        <v>0.08</v>
      </c>
      <c r="P32" s="18">
        <v>0.08</v>
      </c>
      <c r="Q32" s="18">
        <v>0.08</v>
      </c>
      <c r="R32" s="18">
        <v>0.24</v>
      </c>
      <c r="S32" s="19">
        <v>0.0</v>
      </c>
      <c r="T32" s="14">
        <v>0.16</v>
      </c>
      <c r="U32" s="15">
        <v>0.16</v>
      </c>
      <c r="V32" s="15">
        <v>0.32</v>
      </c>
      <c r="W32" s="15">
        <v>0.08</v>
      </c>
      <c r="X32" s="15">
        <v>0.24</v>
      </c>
      <c r="Y32" s="20" t="s">
        <v>149</v>
      </c>
    </row>
    <row r="33">
      <c r="A33" s="9">
        <v>31.0</v>
      </c>
      <c r="B33" s="10" t="s">
        <v>150</v>
      </c>
      <c r="C33" s="11" t="s">
        <v>151</v>
      </c>
      <c r="D33" s="12" t="s">
        <v>31</v>
      </c>
      <c r="E33" s="13" t="s">
        <v>152</v>
      </c>
      <c r="F33" s="12">
        <v>18.0</v>
      </c>
      <c r="G33" s="12">
        <v>2007.0</v>
      </c>
      <c r="H33" s="14">
        <v>13.0</v>
      </c>
      <c r="I33" s="15">
        <v>6.0</v>
      </c>
      <c r="J33" s="15">
        <v>529.0</v>
      </c>
      <c r="K33" s="15">
        <v>5.9</v>
      </c>
      <c r="L33" s="22">
        <v>0.0</v>
      </c>
      <c r="M33" s="19">
        <v>0.0</v>
      </c>
      <c r="N33" s="19">
        <v>0.0</v>
      </c>
      <c r="O33" s="19">
        <v>0.0</v>
      </c>
      <c r="P33" s="19">
        <v>0.0</v>
      </c>
      <c r="Q33" s="19">
        <v>0.0</v>
      </c>
      <c r="R33" s="19">
        <v>0.0</v>
      </c>
      <c r="S33" s="19">
        <v>0.0</v>
      </c>
      <c r="T33" s="23">
        <v>0.0</v>
      </c>
      <c r="U33" s="21">
        <v>0.0</v>
      </c>
      <c r="V33" s="21">
        <v>0.0</v>
      </c>
      <c r="W33" s="21">
        <v>0.0</v>
      </c>
      <c r="X33" s="21">
        <v>0.0</v>
      </c>
      <c r="Y33" s="20" t="s">
        <v>153</v>
      </c>
    </row>
    <row r="34">
      <c r="A34" s="9">
        <v>32.0</v>
      </c>
      <c r="B34" s="10" t="s">
        <v>154</v>
      </c>
      <c r="C34" s="11" t="s">
        <v>155</v>
      </c>
      <c r="D34" s="12" t="s">
        <v>41</v>
      </c>
      <c r="E34" s="13" t="s">
        <v>156</v>
      </c>
      <c r="F34" s="12">
        <v>24.0</v>
      </c>
      <c r="G34" s="12">
        <v>2000.0</v>
      </c>
      <c r="H34" s="14">
        <v>33.0</v>
      </c>
      <c r="I34" s="15">
        <v>13.0</v>
      </c>
      <c r="J34" s="16">
        <v>1419.0</v>
      </c>
      <c r="K34" s="15">
        <v>15.8</v>
      </c>
      <c r="L34" s="17">
        <v>0.19</v>
      </c>
      <c r="M34" s="18">
        <v>0.06</v>
      </c>
      <c r="N34" s="18">
        <v>0.25</v>
      </c>
      <c r="O34" s="18">
        <v>0.19</v>
      </c>
      <c r="P34" s="19">
        <v>0.0</v>
      </c>
      <c r="Q34" s="18">
        <v>0.06</v>
      </c>
      <c r="R34" s="18">
        <v>0.06</v>
      </c>
      <c r="S34" s="19">
        <v>0.0</v>
      </c>
      <c r="T34" s="14">
        <v>0.19</v>
      </c>
      <c r="U34" s="15">
        <v>0.06</v>
      </c>
      <c r="V34" s="15">
        <v>0.25</v>
      </c>
      <c r="W34" s="15">
        <v>0.19</v>
      </c>
      <c r="X34" s="15">
        <v>0.25</v>
      </c>
      <c r="Y34" s="20" t="s">
        <v>157</v>
      </c>
    </row>
    <row r="35">
      <c r="A35" s="9">
        <v>33.0</v>
      </c>
      <c r="B35" s="10" t="s">
        <v>158</v>
      </c>
      <c r="C35" s="11" t="s">
        <v>159</v>
      </c>
      <c r="D35" s="12" t="s">
        <v>98</v>
      </c>
      <c r="E35" s="13" t="s">
        <v>160</v>
      </c>
      <c r="F35" s="12">
        <v>30.0</v>
      </c>
      <c r="G35" s="12">
        <v>1994.0</v>
      </c>
      <c r="H35" s="14">
        <v>1.0</v>
      </c>
      <c r="I35" s="15">
        <v>1.0</v>
      </c>
      <c r="J35" s="15">
        <v>90.0</v>
      </c>
      <c r="K35" s="15">
        <v>1.0</v>
      </c>
      <c r="L35" s="22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23">
        <v>0.0</v>
      </c>
      <c r="U35" s="21">
        <v>0.0</v>
      </c>
      <c r="V35" s="21">
        <v>0.0</v>
      </c>
      <c r="W35" s="21">
        <v>0.0</v>
      </c>
      <c r="X35" s="21">
        <v>0.0</v>
      </c>
      <c r="Y35" s="20" t="s">
        <v>161</v>
      </c>
    </row>
    <row r="36">
      <c r="A36" s="9">
        <v>34.0</v>
      </c>
      <c r="B36" s="10" t="s">
        <v>162</v>
      </c>
      <c r="C36" s="11" t="s">
        <v>163</v>
      </c>
      <c r="D36" s="12" t="s">
        <v>41</v>
      </c>
      <c r="E36" s="13" t="s">
        <v>164</v>
      </c>
      <c r="F36" s="12">
        <v>27.0</v>
      </c>
      <c r="G36" s="12">
        <v>1997.0</v>
      </c>
      <c r="H36" s="14">
        <v>17.0</v>
      </c>
      <c r="I36" s="15">
        <v>3.0</v>
      </c>
      <c r="J36" s="15">
        <v>494.0</v>
      </c>
      <c r="K36" s="15">
        <v>5.5</v>
      </c>
      <c r="L36" s="17">
        <v>0.73</v>
      </c>
      <c r="M36" s="18">
        <v>0.18</v>
      </c>
      <c r="N36" s="18">
        <v>0.91</v>
      </c>
      <c r="O36" s="18">
        <v>0.73</v>
      </c>
      <c r="P36" s="19">
        <v>0.0</v>
      </c>
      <c r="Q36" s="19">
        <v>0.0</v>
      </c>
      <c r="R36" s="18">
        <v>0.36</v>
      </c>
      <c r="S36" s="19">
        <v>0.0</v>
      </c>
      <c r="T36" s="14">
        <v>0.73</v>
      </c>
      <c r="U36" s="15">
        <v>0.18</v>
      </c>
      <c r="V36" s="15">
        <v>0.91</v>
      </c>
      <c r="W36" s="15">
        <v>0.73</v>
      </c>
      <c r="X36" s="15">
        <v>0.91</v>
      </c>
      <c r="Y36" s="20" t="s">
        <v>165</v>
      </c>
    </row>
    <row r="37">
      <c r="A37" s="9">
        <v>35.0</v>
      </c>
      <c r="B37" s="10" t="s">
        <v>166</v>
      </c>
      <c r="C37" s="11" t="s">
        <v>167</v>
      </c>
      <c r="D37" s="12" t="s">
        <v>31</v>
      </c>
      <c r="E37" s="13" t="s">
        <v>168</v>
      </c>
      <c r="F37" s="12">
        <v>21.0</v>
      </c>
      <c r="G37" s="12">
        <v>2003.0</v>
      </c>
      <c r="H37" s="14">
        <v>29.0</v>
      </c>
      <c r="I37" s="15">
        <v>20.0</v>
      </c>
      <c r="J37" s="16">
        <v>1929.0</v>
      </c>
      <c r="K37" s="15">
        <v>21.4</v>
      </c>
      <c r="L37" s="17">
        <v>0.14</v>
      </c>
      <c r="M37" s="18">
        <v>0.14</v>
      </c>
      <c r="N37" s="18">
        <v>0.28</v>
      </c>
      <c r="O37" s="18">
        <v>0.14</v>
      </c>
      <c r="P37" s="19">
        <v>0.0</v>
      </c>
      <c r="Q37" s="19">
        <v>0.0</v>
      </c>
      <c r="R37" s="18">
        <v>0.05</v>
      </c>
      <c r="S37" s="19">
        <v>0.0</v>
      </c>
      <c r="T37" s="14">
        <v>0.14</v>
      </c>
      <c r="U37" s="15">
        <v>0.14</v>
      </c>
      <c r="V37" s="15">
        <v>0.28</v>
      </c>
      <c r="W37" s="15">
        <v>0.14</v>
      </c>
      <c r="X37" s="15">
        <v>0.28</v>
      </c>
      <c r="Y37" s="20" t="s">
        <v>169</v>
      </c>
    </row>
    <row r="38">
      <c r="A38" s="9">
        <v>36.0</v>
      </c>
      <c r="B38" s="10" t="s">
        <v>170</v>
      </c>
      <c r="C38" s="11" t="s">
        <v>171</v>
      </c>
      <c r="D38" s="12" t="s">
        <v>36</v>
      </c>
      <c r="E38" s="13" t="s">
        <v>172</v>
      </c>
      <c r="F38" s="12">
        <v>24.0</v>
      </c>
      <c r="G38" s="12">
        <v>2001.0</v>
      </c>
      <c r="H38" s="14">
        <v>8.0</v>
      </c>
      <c r="I38" s="15">
        <v>6.0</v>
      </c>
      <c r="J38" s="15">
        <v>471.0</v>
      </c>
      <c r="K38" s="15">
        <v>5.2</v>
      </c>
      <c r="L38" s="22">
        <v>0.0</v>
      </c>
      <c r="M38" s="19">
        <v>0.0</v>
      </c>
      <c r="N38" s="19">
        <v>0.0</v>
      </c>
      <c r="O38" s="19">
        <v>0.0</v>
      </c>
      <c r="P38" s="19">
        <v>0.0</v>
      </c>
      <c r="Q38" s="19">
        <v>0.0</v>
      </c>
      <c r="R38" s="18">
        <v>0.38</v>
      </c>
      <c r="S38" s="19">
        <v>0.0</v>
      </c>
      <c r="T38" s="23">
        <v>0.0</v>
      </c>
      <c r="U38" s="21">
        <v>0.0</v>
      </c>
      <c r="V38" s="21">
        <v>0.0</v>
      </c>
      <c r="W38" s="21">
        <v>0.0</v>
      </c>
      <c r="X38" s="21">
        <v>0.0</v>
      </c>
      <c r="Y38" s="20" t="s">
        <v>173</v>
      </c>
    </row>
    <row r="39">
      <c r="A39" s="9">
        <v>37.0</v>
      </c>
      <c r="B39" s="10" t="s">
        <v>174</v>
      </c>
      <c r="C39" s="11" t="s">
        <v>175</v>
      </c>
      <c r="D39" s="12" t="s">
        <v>31</v>
      </c>
      <c r="E39" s="13" t="s">
        <v>176</v>
      </c>
      <c r="F39" s="12">
        <v>27.0</v>
      </c>
      <c r="G39" s="12">
        <v>1997.0</v>
      </c>
      <c r="H39" s="14">
        <v>13.0</v>
      </c>
      <c r="I39" s="15">
        <v>3.0</v>
      </c>
      <c r="J39" s="15">
        <v>459.0</v>
      </c>
      <c r="K39" s="15">
        <v>5.1</v>
      </c>
      <c r="L39" s="22">
        <v>0.0</v>
      </c>
      <c r="M39" s="18">
        <v>0.2</v>
      </c>
      <c r="N39" s="18">
        <v>0.2</v>
      </c>
      <c r="O39" s="19">
        <v>0.0</v>
      </c>
      <c r="P39" s="19">
        <v>0.0</v>
      </c>
      <c r="Q39" s="19">
        <v>0.0</v>
      </c>
      <c r="R39" s="18">
        <v>0.2</v>
      </c>
      <c r="S39" s="19">
        <v>0.0</v>
      </c>
      <c r="T39" s="23">
        <v>0.0</v>
      </c>
      <c r="U39" s="15">
        <v>0.2</v>
      </c>
      <c r="V39" s="15">
        <v>0.2</v>
      </c>
      <c r="W39" s="21">
        <v>0.0</v>
      </c>
      <c r="X39" s="15">
        <v>0.2</v>
      </c>
      <c r="Y39" s="20" t="s">
        <v>177</v>
      </c>
    </row>
    <row r="40">
      <c r="A40" s="9">
        <v>38.0</v>
      </c>
      <c r="B40" s="10" t="s">
        <v>178</v>
      </c>
      <c r="C40" s="11" t="s">
        <v>179</v>
      </c>
      <c r="D40" s="12" t="s">
        <v>31</v>
      </c>
      <c r="E40" s="13" t="s">
        <v>180</v>
      </c>
      <c r="F40" s="12">
        <v>22.0</v>
      </c>
      <c r="G40" s="12">
        <v>2002.0</v>
      </c>
      <c r="H40" s="14">
        <v>14.0</v>
      </c>
      <c r="I40" s="15">
        <v>6.0</v>
      </c>
      <c r="J40" s="15">
        <v>553.0</v>
      </c>
      <c r="K40" s="15">
        <v>6.1</v>
      </c>
      <c r="L40" s="22">
        <v>0.0</v>
      </c>
      <c r="M40" s="18">
        <v>0.33</v>
      </c>
      <c r="N40" s="18">
        <v>0.33</v>
      </c>
      <c r="O40" s="19">
        <v>0.0</v>
      </c>
      <c r="P40" s="19">
        <v>0.0</v>
      </c>
      <c r="Q40" s="19">
        <v>0.0</v>
      </c>
      <c r="R40" s="18">
        <v>0.16</v>
      </c>
      <c r="S40" s="19">
        <v>0.0</v>
      </c>
      <c r="T40" s="23">
        <v>0.0</v>
      </c>
      <c r="U40" s="15">
        <v>0.33</v>
      </c>
      <c r="V40" s="15">
        <v>0.33</v>
      </c>
      <c r="W40" s="21">
        <v>0.0</v>
      </c>
      <c r="X40" s="15">
        <v>0.33</v>
      </c>
      <c r="Y40" s="20" t="s">
        <v>181</v>
      </c>
    </row>
    <row r="41">
      <c r="A41" s="9">
        <v>39.0</v>
      </c>
      <c r="B41" s="10" t="s">
        <v>182</v>
      </c>
      <c r="C41" s="11" t="s">
        <v>183</v>
      </c>
      <c r="D41" s="12" t="s">
        <v>31</v>
      </c>
      <c r="E41" s="13" t="s">
        <v>184</v>
      </c>
      <c r="F41" s="12">
        <v>21.0</v>
      </c>
      <c r="G41" s="12">
        <v>2004.0</v>
      </c>
      <c r="H41" s="14">
        <v>31.0</v>
      </c>
      <c r="I41" s="15">
        <v>23.0</v>
      </c>
      <c r="J41" s="16">
        <v>1652.0</v>
      </c>
      <c r="K41" s="15">
        <v>18.4</v>
      </c>
      <c r="L41" s="22">
        <v>0.0</v>
      </c>
      <c r="M41" s="19">
        <v>0.0</v>
      </c>
      <c r="N41" s="19">
        <v>0.0</v>
      </c>
      <c r="O41" s="19">
        <v>0.0</v>
      </c>
      <c r="P41" s="19">
        <v>0.0</v>
      </c>
      <c r="Q41" s="19">
        <v>0.0</v>
      </c>
      <c r="R41" s="18">
        <v>0.27</v>
      </c>
      <c r="S41" s="19">
        <v>0.0</v>
      </c>
      <c r="T41" s="23">
        <v>0.0</v>
      </c>
      <c r="U41" s="21">
        <v>0.0</v>
      </c>
      <c r="V41" s="21">
        <v>0.0</v>
      </c>
      <c r="W41" s="21">
        <v>0.0</v>
      </c>
      <c r="X41" s="21">
        <v>0.0</v>
      </c>
      <c r="Y41" s="20" t="s">
        <v>185</v>
      </c>
    </row>
    <row r="42">
      <c r="A42" s="9">
        <v>40.0</v>
      </c>
      <c r="B42" s="10" t="s">
        <v>186</v>
      </c>
      <c r="C42" s="11" t="s">
        <v>187</v>
      </c>
      <c r="D42" s="12" t="s">
        <v>36</v>
      </c>
      <c r="E42" s="13" t="s">
        <v>188</v>
      </c>
      <c r="F42" s="12">
        <v>25.0</v>
      </c>
      <c r="G42" s="12">
        <v>1999.0</v>
      </c>
      <c r="H42" s="14">
        <v>29.0</v>
      </c>
      <c r="I42" s="15">
        <v>24.0</v>
      </c>
      <c r="J42" s="16">
        <v>2149.0</v>
      </c>
      <c r="K42" s="15">
        <v>23.9</v>
      </c>
      <c r="L42" s="17">
        <v>0.08</v>
      </c>
      <c r="M42" s="19">
        <v>0.0</v>
      </c>
      <c r="N42" s="18">
        <v>0.08</v>
      </c>
      <c r="O42" s="18">
        <v>0.08</v>
      </c>
      <c r="P42" s="19">
        <v>0.0</v>
      </c>
      <c r="Q42" s="19">
        <v>0.0</v>
      </c>
      <c r="R42" s="18">
        <v>0.17</v>
      </c>
      <c r="S42" s="18">
        <v>0.04</v>
      </c>
      <c r="T42" s="14">
        <v>0.08</v>
      </c>
      <c r="U42" s="21">
        <v>0.0</v>
      </c>
      <c r="V42" s="15">
        <v>0.08</v>
      </c>
      <c r="W42" s="15">
        <v>0.08</v>
      </c>
      <c r="X42" s="15">
        <v>0.08</v>
      </c>
      <c r="Y42" s="20" t="s">
        <v>189</v>
      </c>
    </row>
    <row r="43">
      <c r="A43" s="9">
        <v>41.0</v>
      </c>
      <c r="B43" s="10" t="s">
        <v>190</v>
      </c>
      <c r="C43" s="11" t="s">
        <v>191</v>
      </c>
      <c r="D43" s="12" t="s">
        <v>31</v>
      </c>
      <c r="E43" s="13" t="s">
        <v>192</v>
      </c>
      <c r="F43" s="12">
        <v>31.0</v>
      </c>
      <c r="G43" s="12">
        <v>1993.0</v>
      </c>
      <c r="H43" s="14">
        <v>21.0</v>
      </c>
      <c r="I43" s="15">
        <v>7.0</v>
      </c>
      <c r="J43" s="15">
        <v>857.0</v>
      </c>
      <c r="K43" s="15">
        <v>9.5</v>
      </c>
      <c r="L43" s="17">
        <v>0.32</v>
      </c>
      <c r="M43" s="18">
        <v>0.11</v>
      </c>
      <c r="N43" s="18">
        <v>0.42</v>
      </c>
      <c r="O43" s="18">
        <v>0.32</v>
      </c>
      <c r="P43" s="19">
        <v>0.0</v>
      </c>
      <c r="Q43" s="19">
        <v>0.0</v>
      </c>
      <c r="R43" s="18">
        <v>0.11</v>
      </c>
      <c r="S43" s="19">
        <v>0.0</v>
      </c>
      <c r="T43" s="14">
        <v>0.32</v>
      </c>
      <c r="U43" s="15">
        <v>0.11</v>
      </c>
      <c r="V43" s="15">
        <v>0.42</v>
      </c>
      <c r="W43" s="15">
        <v>0.32</v>
      </c>
      <c r="X43" s="15">
        <v>0.42</v>
      </c>
      <c r="Y43" s="20" t="s">
        <v>193</v>
      </c>
    </row>
    <row r="44">
      <c r="A44" s="9">
        <v>42.0</v>
      </c>
      <c r="B44" s="10" t="s">
        <v>194</v>
      </c>
      <c r="C44" s="11" t="s">
        <v>195</v>
      </c>
      <c r="D44" s="12" t="s">
        <v>107</v>
      </c>
      <c r="E44" s="13" t="s">
        <v>196</v>
      </c>
      <c r="F44" s="12">
        <v>35.0</v>
      </c>
      <c r="G44" s="12">
        <v>1989.0</v>
      </c>
      <c r="H44" s="14">
        <v>7.0</v>
      </c>
      <c r="I44" s="21">
        <v>0.0</v>
      </c>
      <c r="J44" s="15">
        <v>47.0</v>
      </c>
      <c r="K44" s="15">
        <v>0.5</v>
      </c>
      <c r="L44" s="22">
        <v>0.0</v>
      </c>
      <c r="M44" s="19">
        <v>0.0</v>
      </c>
      <c r="N44" s="19">
        <v>0.0</v>
      </c>
      <c r="O44" s="19">
        <v>0.0</v>
      </c>
      <c r="P44" s="19">
        <v>0.0</v>
      </c>
      <c r="Q44" s="19">
        <v>0.0</v>
      </c>
      <c r="R44" s="18">
        <v>4.0</v>
      </c>
      <c r="S44" s="19">
        <v>0.0</v>
      </c>
      <c r="T44" s="23">
        <v>0.0</v>
      </c>
      <c r="U44" s="21">
        <v>0.0</v>
      </c>
      <c r="V44" s="21">
        <v>0.0</v>
      </c>
      <c r="W44" s="21">
        <v>0.0</v>
      </c>
      <c r="X44" s="21">
        <v>0.0</v>
      </c>
      <c r="Y44" s="20" t="s">
        <v>197</v>
      </c>
    </row>
    <row r="45">
      <c r="A45" s="9">
        <v>43.0</v>
      </c>
      <c r="B45" s="10" t="s">
        <v>198</v>
      </c>
      <c r="C45" s="11" t="s">
        <v>199</v>
      </c>
      <c r="D45" s="12" t="s">
        <v>107</v>
      </c>
      <c r="E45" s="13" t="s">
        <v>200</v>
      </c>
      <c r="F45" s="12">
        <v>27.0</v>
      </c>
      <c r="G45" s="12">
        <v>1997.0</v>
      </c>
      <c r="H45" s="14">
        <v>37.0</v>
      </c>
      <c r="I45" s="15">
        <v>19.0</v>
      </c>
      <c r="J45" s="16">
        <v>1966.0</v>
      </c>
      <c r="K45" s="15">
        <v>21.8</v>
      </c>
      <c r="L45" s="17">
        <v>0.32</v>
      </c>
      <c r="M45" s="18">
        <v>0.05</v>
      </c>
      <c r="N45" s="18">
        <v>0.37</v>
      </c>
      <c r="O45" s="18">
        <v>0.32</v>
      </c>
      <c r="P45" s="19">
        <v>0.0</v>
      </c>
      <c r="Q45" s="19">
        <v>0.0</v>
      </c>
      <c r="R45" s="18">
        <v>0.05</v>
      </c>
      <c r="S45" s="19">
        <v>0.0</v>
      </c>
      <c r="T45" s="14">
        <v>0.32</v>
      </c>
      <c r="U45" s="15">
        <v>0.05</v>
      </c>
      <c r="V45" s="15">
        <v>0.37</v>
      </c>
      <c r="W45" s="15">
        <v>0.32</v>
      </c>
      <c r="X45" s="15">
        <v>0.37</v>
      </c>
      <c r="Y45" s="20" t="s">
        <v>201</v>
      </c>
    </row>
    <row r="46">
      <c r="A46" s="9">
        <v>44.0</v>
      </c>
      <c r="B46" s="10" t="s">
        <v>202</v>
      </c>
      <c r="C46" s="11" t="s">
        <v>203</v>
      </c>
      <c r="D46" s="12" t="s">
        <v>41</v>
      </c>
      <c r="E46" s="13" t="s">
        <v>204</v>
      </c>
      <c r="F46" s="12">
        <v>22.0</v>
      </c>
      <c r="G46" s="12">
        <v>2002.0</v>
      </c>
      <c r="H46" s="14">
        <v>38.0</v>
      </c>
      <c r="I46" s="15">
        <v>21.0</v>
      </c>
      <c r="J46" s="16">
        <v>1914.0</v>
      </c>
      <c r="K46" s="15">
        <v>21.3</v>
      </c>
      <c r="L46" s="17">
        <v>0.38</v>
      </c>
      <c r="M46" s="19">
        <v>0.0</v>
      </c>
      <c r="N46" s="18">
        <v>0.38</v>
      </c>
      <c r="O46" s="18">
        <v>0.38</v>
      </c>
      <c r="P46" s="19">
        <v>0.0</v>
      </c>
      <c r="Q46" s="19">
        <v>0.0</v>
      </c>
      <c r="R46" s="18">
        <v>0.14</v>
      </c>
      <c r="S46" s="19">
        <v>0.0</v>
      </c>
      <c r="T46" s="14">
        <v>0.38</v>
      </c>
      <c r="U46" s="21">
        <v>0.0</v>
      </c>
      <c r="V46" s="15">
        <v>0.38</v>
      </c>
      <c r="W46" s="15">
        <v>0.38</v>
      </c>
      <c r="X46" s="15">
        <v>0.38</v>
      </c>
      <c r="Y46" s="20" t="s">
        <v>205</v>
      </c>
    </row>
    <row r="47">
      <c r="A47" s="9">
        <v>45.0</v>
      </c>
      <c r="B47" s="10" t="s">
        <v>206</v>
      </c>
      <c r="C47" s="11" t="s">
        <v>207</v>
      </c>
      <c r="D47" s="12" t="s">
        <v>36</v>
      </c>
      <c r="E47" s="13" t="s">
        <v>208</v>
      </c>
      <c r="F47" s="12">
        <v>25.0</v>
      </c>
      <c r="G47" s="12">
        <v>1999.0</v>
      </c>
      <c r="H47" s="14">
        <v>30.0</v>
      </c>
      <c r="I47" s="15">
        <v>28.0</v>
      </c>
      <c r="J47" s="16">
        <v>2534.0</v>
      </c>
      <c r="K47" s="15">
        <v>28.2</v>
      </c>
      <c r="L47" s="17">
        <v>0.04</v>
      </c>
      <c r="M47" s="19">
        <v>0.0</v>
      </c>
      <c r="N47" s="18">
        <v>0.04</v>
      </c>
      <c r="O47" s="18">
        <v>0.04</v>
      </c>
      <c r="P47" s="19">
        <v>0.0</v>
      </c>
      <c r="Q47" s="19">
        <v>0.0</v>
      </c>
      <c r="R47" s="18">
        <v>0.18</v>
      </c>
      <c r="S47" s="19">
        <v>0.0</v>
      </c>
      <c r="T47" s="14">
        <v>0.04</v>
      </c>
      <c r="U47" s="21">
        <v>0.0</v>
      </c>
      <c r="V47" s="15">
        <v>0.04</v>
      </c>
      <c r="W47" s="15">
        <v>0.04</v>
      </c>
      <c r="X47" s="15">
        <v>0.04</v>
      </c>
      <c r="Y47" s="20" t="s">
        <v>209</v>
      </c>
    </row>
    <row r="48">
      <c r="A48" s="9">
        <v>46.0</v>
      </c>
      <c r="B48" s="10" t="s">
        <v>210</v>
      </c>
      <c r="C48" s="11" t="s">
        <v>211</v>
      </c>
      <c r="D48" s="12" t="s">
        <v>98</v>
      </c>
      <c r="E48" s="13" t="s">
        <v>212</v>
      </c>
      <c r="F48" s="12">
        <v>27.0</v>
      </c>
      <c r="G48" s="12">
        <v>1998.0</v>
      </c>
      <c r="H48" s="14">
        <v>6.0</v>
      </c>
      <c r="I48" s="15">
        <v>6.0</v>
      </c>
      <c r="J48" s="15">
        <v>540.0</v>
      </c>
      <c r="K48" s="15">
        <v>6.0</v>
      </c>
      <c r="L48" s="22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23">
        <v>0.0</v>
      </c>
      <c r="U48" s="21">
        <v>0.0</v>
      </c>
      <c r="V48" s="21">
        <v>0.0</v>
      </c>
      <c r="W48" s="21">
        <v>0.0</v>
      </c>
      <c r="X48" s="21">
        <v>0.0</v>
      </c>
      <c r="Y48" s="20" t="s">
        <v>213</v>
      </c>
    </row>
    <row r="49">
      <c r="A49" s="9">
        <v>47.0</v>
      </c>
      <c r="B49" s="10" t="s">
        <v>214</v>
      </c>
      <c r="C49" s="11" t="s">
        <v>215</v>
      </c>
      <c r="D49" s="12" t="s">
        <v>26</v>
      </c>
      <c r="E49" s="13" t="s">
        <v>216</v>
      </c>
      <c r="F49" s="12">
        <v>27.0</v>
      </c>
      <c r="G49" s="12">
        <v>1998.0</v>
      </c>
      <c r="H49" s="14">
        <v>26.0</v>
      </c>
      <c r="I49" s="15">
        <v>15.0</v>
      </c>
      <c r="J49" s="16">
        <v>1248.0</v>
      </c>
      <c r="K49" s="15">
        <v>13.9</v>
      </c>
      <c r="L49" s="17">
        <v>0.07</v>
      </c>
      <c r="M49" s="18">
        <v>0.07</v>
      </c>
      <c r="N49" s="18">
        <v>0.14</v>
      </c>
      <c r="O49" s="18">
        <v>0.07</v>
      </c>
      <c r="P49" s="19">
        <v>0.0</v>
      </c>
      <c r="Q49" s="19">
        <v>0.0</v>
      </c>
      <c r="R49" s="18">
        <v>0.36</v>
      </c>
      <c r="S49" s="19">
        <v>0.0</v>
      </c>
      <c r="T49" s="14">
        <v>0.07</v>
      </c>
      <c r="U49" s="15">
        <v>0.07</v>
      </c>
      <c r="V49" s="15">
        <v>0.14</v>
      </c>
      <c r="W49" s="15">
        <v>0.07</v>
      </c>
      <c r="X49" s="15">
        <v>0.14</v>
      </c>
      <c r="Y49" s="20" t="s">
        <v>217</v>
      </c>
    </row>
    <row r="50">
      <c r="A50" s="9">
        <v>48.0</v>
      </c>
      <c r="B50" s="10" t="s">
        <v>218</v>
      </c>
      <c r="C50" s="11" t="s">
        <v>219</v>
      </c>
      <c r="D50" s="12" t="s">
        <v>98</v>
      </c>
      <c r="E50" s="13" t="s">
        <v>220</v>
      </c>
      <c r="F50" s="12">
        <v>32.0</v>
      </c>
      <c r="G50" s="12">
        <v>1993.0</v>
      </c>
      <c r="H50" s="14">
        <v>1.0</v>
      </c>
      <c r="I50" s="15">
        <v>1.0</v>
      </c>
      <c r="J50" s="15">
        <v>90.0</v>
      </c>
      <c r="K50" s="15">
        <v>1.0</v>
      </c>
      <c r="L50" s="22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23">
        <v>0.0</v>
      </c>
      <c r="U50" s="21">
        <v>0.0</v>
      </c>
      <c r="V50" s="21">
        <v>0.0</v>
      </c>
      <c r="W50" s="21">
        <v>0.0</v>
      </c>
      <c r="X50" s="21">
        <v>0.0</v>
      </c>
      <c r="Y50" s="20" t="s">
        <v>221</v>
      </c>
    </row>
    <row r="51">
      <c r="A51" s="9">
        <v>49.0</v>
      </c>
      <c r="B51" s="10" t="s">
        <v>222</v>
      </c>
      <c r="C51" s="11" t="s">
        <v>223</v>
      </c>
      <c r="D51" s="12" t="s">
        <v>31</v>
      </c>
      <c r="E51" s="13" t="s">
        <v>224</v>
      </c>
      <c r="F51" s="12">
        <v>28.0</v>
      </c>
      <c r="G51" s="12">
        <v>1997.0</v>
      </c>
      <c r="H51" s="14">
        <v>26.0</v>
      </c>
      <c r="I51" s="15">
        <v>23.0</v>
      </c>
      <c r="J51" s="16">
        <v>1883.0</v>
      </c>
      <c r="K51" s="15">
        <v>20.9</v>
      </c>
      <c r="L51" s="17">
        <v>0.05</v>
      </c>
      <c r="M51" s="18">
        <v>0.05</v>
      </c>
      <c r="N51" s="18">
        <v>0.1</v>
      </c>
      <c r="O51" s="18">
        <v>0.05</v>
      </c>
      <c r="P51" s="19">
        <v>0.0</v>
      </c>
      <c r="Q51" s="19">
        <v>0.0</v>
      </c>
      <c r="R51" s="18">
        <v>0.33</v>
      </c>
      <c r="S51" s="19">
        <v>0.0</v>
      </c>
      <c r="T51" s="14">
        <v>0.05</v>
      </c>
      <c r="U51" s="15">
        <v>0.05</v>
      </c>
      <c r="V51" s="15">
        <v>0.1</v>
      </c>
      <c r="W51" s="15">
        <v>0.05</v>
      </c>
      <c r="X51" s="15">
        <v>0.1</v>
      </c>
      <c r="Y51" s="20" t="s">
        <v>225</v>
      </c>
    </row>
    <row r="52">
      <c r="A52" s="9">
        <v>50.0</v>
      </c>
      <c r="B52" s="10" t="s">
        <v>226</v>
      </c>
      <c r="C52" s="11" t="s">
        <v>227</v>
      </c>
      <c r="D52" s="12" t="s">
        <v>98</v>
      </c>
      <c r="E52" s="13" t="s">
        <v>228</v>
      </c>
      <c r="F52" s="12">
        <v>32.0</v>
      </c>
      <c r="G52" s="12">
        <v>1993.0</v>
      </c>
      <c r="H52" s="14">
        <v>3.0</v>
      </c>
      <c r="I52" s="15">
        <v>3.0</v>
      </c>
      <c r="J52" s="15">
        <v>270.0</v>
      </c>
      <c r="K52" s="15">
        <v>3.0</v>
      </c>
      <c r="L52" s="22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23">
        <v>0.0</v>
      </c>
      <c r="U52" s="21">
        <v>0.0</v>
      </c>
      <c r="V52" s="21">
        <v>0.0</v>
      </c>
      <c r="W52" s="21">
        <v>0.0</v>
      </c>
      <c r="X52" s="21">
        <v>0.0</v>
      </c>
      <c r="Y52" s="20" t="s">
        <v>229</v>
      </c>
    </row>
    <row r="53">
      <c r="A53" s="9">
        <v>51.0</v>
      </c>
      <c r="B53" s="10" t="s">
        <v>230</v>
      </c>
      <c r="C53" s="11" t="s">
        <v>231</v>
      </c>
      <c r="D53" s="12" t="s">
        <v>31</v>
      </c>
      <c r="E53" s="13" t="s">
        <v>232</v>
      </c>
      <c r="F53" s="12">
        <v>27.0</v>
      </c>
      <c r="G53" s="12">
        <v>1998.0</v>
      </c>
      <c r="H53" s="14">
        <v>35.0</v>
      </c>
      <c r="I53" s="15">
        <v>34.0</v>
      </c>
      <c r="J53" s="16">
        <v>2905.0</v>
      </c>
      <c r="K53" s="15">
        <v>32.3</v>
      </c>
      <c r="L53" s="22">
        <v>0.0</v>
      </c>
      <c r="M53" s="18">
        <v>0.03</v>
      </c>
      <c r="N53" s="18">
        <v>0.03</v>
      </c>
      <c r="O53" s="19">
        <v>0.0</v>
      </c>
      <c r="P53" s="19">
        <v>0.0</v>
      </c>
      <c r="Q53" s="19">
        <v>0.0</v>
      </c>
      <c r="R53" s="18">
        <v>0.15</v>
      </c>
      <c r="S53" s="19">
        <v>0.0</v>
      </c>
      <c r="T53" s="23">
        <v>0.0</v>
      </c>
      <c r="U53" s="15">
        <v>0.03</v>
      </c>
      <c r="V53" s="15">
        <v>0.03</v>
      </c>
      <c r="W53" s="21">
        <v>0.0</v>
      </c>
      <c r="X53" s="15">
        <v>0.03</v>
      </c>
      <c r="Y53" s="20" t="s">
        <v>233</v>
      </c>
    </row>
    <row r="54">
      <c r="A54" s="9">
        <v>52.0</v>
      </c>
      <c r="B54" s="10" t="s">
        <v>234</v>
      </c>
      <c r="C54" s="11" t="s">
        <v>235</v>
      </c>
      <c r="D54" s="12" t="s">
        <v>31</v>
      </c>
      <c r="E54" s="13" t="s">
        <v>236</v>
      </c>
      <c r="F54" s="12">
        <v>19.0</v>
      </c>
      <c r="G54" s="12">
        <v>2006.0</v>
      </c>
      <c r="H54" s="14">
        <v>23.0</v>
      </c>
      <c r="I54" s="15">
        <v>11.0</v>
      </c>
      <c r="J54" s="15">
        <v>965.0</v>
      </c>
      <c r="K54" s="15">
        <v>10.7</v>
      </c>
      <c r="L54" s="17">
        <v>0.09</v>
      </c>
      <c r="M54" s="18">
        <v>0.28</v>
      </c>
      <c r="N54" s="18">
        <v>0.37</v>
      </c>
      <c r="O54" s="18">
        <v>0.09</v>
      </c>
      <c r="P54" s="19">
        <v>0.0</v>
      </c>
      <c r="Q54" s="19">
        <v>0.0</v>
      </c>
      <c r="R54" s="18">
        <v>0.19</v>
      </c>
      <c r="S54" s="19">
        <v>0.0</v>
      </c>
      <c r="T54" s="14">
        <v>0.09</v>
      </c>
      <c r="U54" s="15">
        <v>0.28</v>
      </c>
      <c r="V54" s="15">
        <v>0.37</v>
      </c>
      <c r="W54" s="15">
        <v>0.09</v>
      </c>
      <c r="X54" s="15">
        <v>0.37</v>
      </c>
      <c r="Y54" s="20" t="s">
        <v>237</v>
      </c>
    </row>
    <row r="55">
      <c r="A55" s="9">
        <v>53.0</v>
      </c>
      <c r="B55" s="10" t="s">
        <v>238</v>
      </c>
      <c r="C55" s="11" t="s">
        <v>239</v>
      </c>
      <c r="D55" s="12" t="s">
        <v>41</v>
      </c>
      <c r="E55" s="13" t="s">
        <v>240</v>
      </c>
      <c r="F55" s="12">
        <v>27.0</v>
      </c>
      <c r="G55" s="12">
        <v>1998.0</v>
      </c>
      <c r="H55" s="14">
        <v>37.0</v>
      </c>
      <c r="I55" s="15">
        <v>17.0</v>
      </c>
      <c r="J55" s="16">
        <v>1568.0</v>
      </c>
      <c r="K55" s="15">
        <v>17.4</v>
      </c>
      <c r="L55" s="17">
        <v>0.52</v>
      </c>
      <c r="M55" s="18">
        <v>0.06</v>
      </c>
      <c r="N55" s="18">
        <v>0.57</v>
      </c>
      <c r="O55" s="18">
        <v>0.52</v>
      </c>
      <c r="P55" s="19">
        <v>0.0</v>
      </c>
      <c r="Q55" s="19">
        <v>0.0</v>
      </c>
      <c r="R55" s="18">
        <v>0.17</v>
      </c>
      <c r="S55" s="19">
        <v>0.0</v>
      </c>
      <c r="T55" s="14">
        <v>0.52</v>
      </c>
      <c r="U55" s="15">
        <v>0.06</v>
      </c>
      <c r="V55" s="15">
        <v>0.57</v>
      </c>
      <c r="W55" s="15">
        <v>0.52</v>
      </c>
      <c r="X55" s="15">
        <v>0.57</v>
      </c>
      <c r="Y55" s="20" t="s">
        <v>241</v>
      </c>
    </row>
    <row r="56">
      <c r="A56" s="9">
        <v>54.0</v>
      </c>
      <c r="B56" s="10" t="s">
        <v>242</v>
      </c>
      <c r="C56" s="11" t="s">
        <v>243</v>
      </c>
      <c r="D56" s="12" t="s">
        <v>36</v>
      </c>
      <c r="E56" s="13" t="s">
        <v>244</v>
      </c>
      <c r="F56" s="12">
        <v>26.0</v>
      </c>
      <c r="G56" s="12">
        <v>1999.0</v>
      </c>
      <c r="H56" s="14">
        <v>25.0</v>
      </c>
      <c r="I56" s="15">
        <v>21.0</v>
      </c>
      <c r="J56" s="16">
        <v>1890.0</v>
      </c>
      <c r="K56" s="15">
        <v>21.0</v>
      </c>
      <c r="L56" s="17">
        <v>0.05</v>
      </c>
      <c r="M56" s="18">
        <v>0.1</v>
      </c>
      <c r="N56" s="18">
        <v>0.14</v>
      </c>
      <c r="O56" s="18">
        <v>0.05</v>
      </c>
      <c r="P56" s="19">
        <v>0.0</v>
      </c>
      <c r="Q56" s="19">
        <v>0.0</v>
      </c>
      <c r="R56" s="18">
        <v>0.19</v>
      </c>
      <c r="S56" s="19">
        <v>0.0</v>
      </c>
      <c r="T56" s="14">
        <v>0.05</v>
      </c>
      <c r="U56" s="15">
        <v>0.1</v>
      </c>
      <c r="V56" s="15">
        <v>0.14</v>
      </c>
      <c r="W56" s="15">
        <v>0.05</v>
      </c>
      <c r="X56" s="15">
        <v>0.14</v>
      </c>
      <c r="Y56" s="20" t="s">
        <v>245</v>
      </c>
    </row>
    <row r="57">
      <c r="A57" s="9">
        <v>55.0</v>
      </c>
      <c r="B57" s="10" t="s">
        <v>246</v>
      </c>
      <c r="C57" s="11" t="s">
        <v>247</v>
      </c>
      <c r="D57" s="12" t="s">
        <v>31</v>
      </c>
      <c r="E57" s="13" t="s">
        <v>248</v>
      </c>
      <c r="F57" s="12">
        <v>28.0</v>
      </c>
      <c r="G57" s="12">
        <v>1996.0</v>
      </c>
      <c r="H57" s="14">
        <v>11.0</v>
      </c>
      <c r="I57" s="15">
        <v>7.0</v>
      </c>
      <c r="J57" s="15">
        <v>603.0</v>
      </c>
      <c r="K57" s="15">
        <v>6.7</v>
      </c>
      <c r="L57" s="22">
        <v>0.0</v>
      </c>
      <c r="M57" s="19">
        <v>0.0</v>
      </c>
      <c r="N57" s="19">
        <v>0.0</v>
      </c>
      <c r="O57" s="19">
        <v>0.0</v>
      </c>
      <c r="P57" s="19">
        <v>0.0</v>
      </c>
      <c r="Q57" s="19">
        <v>0.0</v>
      </c>
      <c r="R57" s="18">
        <v>0.6</v>
      </c>
      <c r="S57" s="19">
        <v>0.0</v>
      </c>
      <c r="T57" s="23">
        <v>0.0</v>
      </c>
      <c r="U57" s="21">
        <v>0.0</v>
      </c>
      <c r="V57" s="21">
        <v>0.0</v>
      </c>
      <c r="W57" s="21">
        <v>0.0</v>
      </c>
      <c r="X57" s="21">
        <v>0.0</v>
      </c>
      <c r="Y57" s="20" t="s">
        <v>249</v>
      </c>
    </row>
    <row r="58">
      <c r="A58" s="9">
        <v>56.0</v>
      </c>
      <c r="B58" s="10" t="s">
        <v>250</v>
      </c>
      <c r="C58" s="11" t="s">
        <v>251</v>
      </c>
      <c r="D58" s="12" t="s">
        <v>98</v>
      </c>
      <c r="E58" s="13" t="s">
        <v>252</v>
      </c>
      <c r="F58" s="12">
        <v>34.0</v>
      </c>
      <c r="G58" s="12">
        <v>1991.0</v>
      </c>
      <c r="H58" s="14">
        <v>7.0</v>
      </c>
      <c r="I58" s="15">
        <v>6.0</v>
      </c>
      <c r="J58" s="15">
        <v>585.0</v>
      </c>
      <c r="K58" s="15">
        <v>6.5</v>
      </c>
      <c r="L58" s="22">
        <v>0.0</v>
      </c>
      <c r="M58" s="19">
        <v>0.0</v>
      </c>
      <c r="N58" s="19">
        <v>0.0</v>
      </c>
      <c r="O58" s="19">
        <v>0.0</v>
      </c>
      <c r="P58" s="19">
        <v>0.0</v>
      </c>
      <c r="Q58" s="19">
        <v>0.0</v>
      </c>
      <c r="R58" s="18">
        <v>0.31</v>
      </c>
      <c r="S58" s="19">
        <v>0.0</v>
      </c>
      <c r="T58" s="23">
        <v>0.0</v>
      </c>
      <c r="U58" s="21">
        <v>0.0</v>
      </c>
      <c r="V58" s="21">
        <v>0.0</v>
      </c>
      <c r="W58" s="21">
        <v>0.0</v>
      </c>
      <c r="X58" s="21">
        <v>0.0</v>
      </c>
      <c r="Y58" s="20" t="s">
        <v>253</v>
      </c>
    </row>
    <row r="59">
      <c r="A59" s="9">
        <v>57.0</v>
      </c>
      <c r="B59" s="10" t="s">
        <v>254</v>
      </c>
      <c r="C59" s="11" t="s">
        <v>255</v>
      </c>
      <c r="D59" s="12" t="s">
        <v>26</v>
      </c>
      <c r="E59" s="13" t="s">
        <v>256</v>
      </c>
      <c r="F59" s="12">
        <v>22.0</v>
      </c>
      <c r="G59" s="12">
        <v>2003.0</v>
      </c>
      <c r="H59" s="14">
        <v>9.0</v>
      </c>
      <c r="I59" s="15">
        <v>5.0</v>
      </c>
      <c r="J59" s="15">
        <v>468.0</v>
      </c>
      <c r="K59" s="15">
        <v>5.2</v>
      </c>
      <c r="L59" s="22">
        <v>0.0</v>
      </c>
      <c r="M59" s="18">
        <v>0.19</v>
      </c>
      <c r="N59" s="18">
        <v>0.19</v>
      </c>
      <c r="O59" s="19">
        <v>0.0</v>
      </c>
      <c r="P59" s="19">
        <v>0.0</v>
      </c>
      <c r="Q59" s="19">
        <v>0.0</v>
      </c>
      <c r="R59" s="18">
        <v>0.19</v>
      </c>
      <c r="S59" s="19">
        <v>0.0</v>
      </c>
      <c r="T59" s="23">
        <v>0.0</v>
      </c>
      <c r="U59" s="15">
        <v>0.19</v>
      </c>
      <c r="V59" s="15">
        <v>0.19</v>
      </c>
      <c r="W59" s="21">
        <v>0.0</v>
      </c>
      <c r="X59" s="15">
        <v>0.19</v>
      </c>
      <c r="Y59" s="20" t="s">
        <v>257</v>
      </c>
    </row>
    <row r="60">
      <c r="A60" s="9">
        <v>58.0</v>
      </c>
      <c r="B60" s="10" t="s">
        <v>258</v>
      </c>
      <c r="C60" s="11" t="s">
        <v>259</v>
      </c>
      <c r="D60" s="12" t="s">
        <v>31</v>
      </c>
      <c r="E60" s="13" t="s">
        <v>260</v>
      </c>
      <c r="F60" s="12">
        <v>22.0</v>
      </c>
      <c r="G60" s="12">
        <v>2003.0</v>
      </c>
      <c r="H60" s="14">
        <v>14.0</v>
      </c>
      <c r="I60" s="15">
        <v>6.0</v>
      </c>
      <c r="J60" s="15">
        <v>571.0</v>
      </c>
      <c r="K60" s="15">
        <v>6.3</v>
      </c>
      <c r="L60" s="22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23">
        <v>0.0</v>
      </c>
      <c r="U60" s="21">
        <v>0.0</v>
      </c>
      <c r="V60" s="21">
        <v>0.0</v>
      </c>
      <c r="W60" s="21">
        <v>0.0</v>
      </c>
      <c r="X60" s="21">
        <v>0.0</v>
      </c>
      <c r="Y60" s="20" t="s">
        <v>261</v>
      </c>
    </row>
    <row r="61">
      <c r="A61" s="9">
        <v>59.0</v>
      </c>
      <c r="B61" s="10" t="s">
        <v>262</v>
      </c>
      <c r="C61" s="11" t="s">
        <v>263</v>
      </c>
      <c r="D61" s="12" t="s">
        <v>264</v>
      </c>
      <c r="E61" s="13" t="s">
        <v>265</v>
      </c>
      <c r="F61" s="12">
        <v>21.0</v>
      </c>
      <c r="G61" s="12">
        <v>2004.0</v>
      </c>
      <c r="H61" s="14">
        <v>28.0</v>
      </c>
      <c r="I61" s="15">
        <v>11.0</v>
      </c>
      <c r="J61" s="16">
        <v>1053.0</v>
      </c>
      <c r="K61" s="15">
        <v>11.7</v>
      </c>
      <c r="L61" s="22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  <c r="R61" s="18">
        <v>0.43</v>
      </c>
      <c r="S61" s="19">
        <v>0.0</v>
      </c>
      <c r="T61" s="23">
        <v>0.0</v>
      </c>
      <c r="U61" s="21">
        <v>0.0</v>
      </c>
      <c r="V61" s="21">
        <v>0.0</v>
      </c>
      <c r="W61" s="21">
        <v>0.0</v>
      </c>
      <c r="X61" s="21">
        <v>0.0</v>
      </c>
      <c r="Y61" s="20" t="s">
        <v>266</v>
      </c>
    </row>
    <row r="62">
      <c r="A62" s="9">
        <v>60.0</v>
      </c>
      <c r="B62" s="10" t="s">
        <v>267</v>
      </c>
      <c r="C62" s="11" t="s">
        <v>268</v>
      </c>
      <c r="D62" s="12" t="s">
        <v>264</v>
      </c>
      <c r="E62" s="13" t="s">
        <v>269</v>
      </c>
      <c r="F62" s="12">
        <v>25.0</v>
      </c>
      <c r="G62" s="12">
        <v>2000.0</v>
      </c>
      <c r="H62" s="14">
        <v>34.0</v>
      </c>
      <c r="I62" s="15">
        <v>32.0</v>
      </c>
      <c r="J62" s="16">
        <v>2793.0</v>
      </c>
      <c r="K62" s="15">
        <v>31.0</v>
      </c>
      <c r="L62" s="17">
        <v>0.03</v>
      </c>
      <c r="M62" s="18">
        <v>0.06</v>
      </c>
      <c r="N62" s="18">
        <v>0.1</v>
      </c>
      <c r="O62" s="18">
        <v>0.03</v>
      </c>
      <c r="P62" s="19">
        <v>0.0</v>
      </c>
      <c r="Q62" s="19">
        <v>0.0</v>
      </c>
      <c r="R62" s="18">
        <v>0.19</v>
      </c>
      <c r="S62" s="19">
        <v>0.0</v>
      </c>
      <c r="T62" s="14">
        <v>0.03</v>
      </c>
      <c r="U62" s="15">
        <v>0.06</v>
      </c>
      <c r="V62" s="15">
        <v>0.1</v>
      </c>
      <c r="W62" s="15">
        <v>0.03</v>
      </c>
      <c r="X62" s="15">
        <v>0.1</v>
      </c>
      <c r="Y62" s="20" t="s">
        <v>270</v>
      </c>
    </row>
    <row r="63">
      <c r="A63" s="9">
        <v>61.0</v>
      </c>
      <c r="B63" s="10" t="s">
        <v>271</v>
      </c>
      <c r="C63" s="11" t="s">
        <v>272</v>
      </c>
      <c r="D63" s="12" t="s">
        <v>36</v>
      </c>
      <c r="E63" s="13" t="s">
        <v>273</v>
      </c>
      <c r="F63" s="12">
        <v>26.0</v>
      </c>
      <c r="G63" s="12">
        <v>1999.0</v>
      </c>
      <c r="H63" s="14">
        <v>12.0</v>
      </c>
      <c r="I63" s="15">
        <v>5.0</v>
      </c>
      <c r="J63" s="15">
        <v>429.0</v>
      </c>
      <c r="K63" s="15">
        <v>4.8</v>
      </c>
      <c r="L63" s="22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8">
        <v>0.21</v>
      </c>
      <c r="S63" s="19">
        <v>0.0</v>
      </c>
      <c r="T63" s="23">
        <v>0.0</v>
      </c>
      <c r="U63" s="21">
        <v>0.0</v>
      </c>
      <c r="V63" s="21">
        <v>0.0</v>
      </c>
      <c r="W63" s="21">
        <v>0.0</v>
      </c>
      <c r="X63" s="21">
        <v>0.0</v>
      </c>
      <c r="Y63" s="20" t="s">
        <v>274</v>
      </c>
    </row>
    <row r="64">
      <c r="A64" s="9">
        <v>62.0</v>
      </c>
      <c r="B64" s="10" t="s">
        <v>275</v>
      </c>
      <c r="C64" s="11" t="s">
        <v>276</v>
      </c>
      <c r="D64" s="12" t="s">
        <v>36</v>
      </c>
      <c r="E64" s="13" t="s">
        <v>277</v>
      </c>
      <c r="F64" s="12">
        <v>27.0</v>
      </c>
      <c r="G64" s="12">
        <v>1997.0</v>
      </c>
      <c r="H64" s="14">
        <v>12.0</v>
      </c>
      <c r="I64" s="15">
        <v>9.0</v>
      </c>
      <c r="J64" s="15">
        <v>802.0</v>
      </c>
      <c r="K64" s="15">
        <v>8.9</v>
      </c>
      <c r="L64" s="22">
        <v>0.0</v>
      </c>
      <c r="M64" s="18">
        <v>0.11</v>
      </c>
      <c r="N64" s="18">
        <v>0.11</v>
      </c>
      <c r="O64" s="19">
        <v>0.0</v>
      </c>
      <c r="P64" s="19">
        <v>0.0</v>
      </c>
      <c r="Q64" s="19">
        <v>0.0</v>
      </c>
      <c r="R64" s="18">
        <v>0.22</v>
      </c>
      <c r="S64" s="19">
        <v>0.0</v>
      </c>
      <c r="T64" s="23">
        <v>0.0</v>
      </c>
      <c r="U64" s="15">
        <v>0.11</v>
      </c>
      <c r="V64" s="15">
        <v>0.11</v>
      </c>
      <c r="W64" s="21">
        <v>0.0</v>
      </c>
      <c r="X64" s="15">
        <v>0.11</v>
      </c>
      <c r="Y64" s="20" t="s">
        <v>278</v>
      </c>
    </row>
    <row r="65">
      <c r="A65" s="9">
        <v>63.0</v>
      </c>
      <c r="B65" s="10" t="s">
        <v>279</v>
      </c>
      <c r="C65" s="11" t="s">
        <v>280</v>
      </c>
      <c r="D65" s="12" t="s">
        <v>36</v>
      </c>
      <c r="E65" s="13" t="s">
        <v>281</v>
      </c>
      <c r="F65" s="12">
        <v>25.0</v>
      </c>
      <c r="G65" s="12">
        <v>2000.0</v>
      </c>
      <c r="H65" s="14">
        <v>25.0</v>
      </c>
      <c r="I65" s="15">
        <v>21.0</v>
      </c>
      <c r="J65" s="16">
        <v>1835.0</v>
      </c>
      <c r="K65" s="15">
        <v>20.4</v>
      </c>
      <c r="L65" s="17">
        <v>0.05</v>
      </c>
      <c r="M65" s="18">
        <v>0.05</v>
      </c>
      <c r="N65" s="18">
        <v>0.1</v>
      </c>
      <c r="O65" s="18">
        <v>0.05</v>
      </c>
      <c r="P65" s="19">
        <v>0.0</v>
      </c>
      <c r="Q65" s="19">
        <v>0.0</v>
      </c>
      <c r="R65" s="18">
        <v>0.1</v>
      </c>
      <c r="S65" s="19">
        <v>0.0</v>
      </c>
      <c r="T65" s="14">
        <v>0.05</v>
      </c>
      <c r="U65" s="15">
        <v>0.05</v>
      </c>
      <c r="V65" s="15">
        <v>0.1</v>
      </c>
      <c r="W65" s="15">
        <v>0.05</v>
      </c>
      <c r="X65" s="15">
        <v>0.1</v>
      </c>
      <c r="Y65" s="20" t="s">
        <v>282</v>
      </c>
    </row>
    <row r="66">
      <c r="A66" s="9">
        <v>64.0</v>
      </c>
      <c r="B66" s="10" t="s">
        <v>283</v>
      </c>
      <c r="C66" s="11" t="s">
        <v>284</v>
      </c>
      <c r="D66" s="12" t="s">
        <v>26</v>
      </c>
      <c r="E66" s="13" t="s">
        <v>285</v>
      </c>
      <c r="F66" s="12">
        <v>28.0</v>
      </c>
      <c r="G66" s="12">
        <v>1996.0</v>
      </c>
      <c r="H66" s="14">
        <v>38.0</v>
      </c>
      <c r="I66" s="15">
        <v>38.0</v>
      </c>
      <c r="J66" s="16">
        <v>3403.0</v>
      </c>
      <c r="K66" s="15">
        <v>37.8</v>
      </c>
      <c r="L66" s="17">
        <v>0.24</v>
      </c>
      <c r="M66" s="18">
        <v>0.29</v>
      </c>
      <c r="N66" s="18">
        <v>0.53</v>
      </c>
      <c r="O66" s="18">
        <v>0.21</v>
      </c>
      <c r="P66" s="18">
        <v>0.03</v>
      </c>
      <c r="Q66" s="18">
        <v>0.03</v>
      </c>
      <c r="R66" s="18">
        <v>0.11</v>
      </c>
      <c r="S66" s="19">
        <v>0.0</v>
      </c>
      <c r="T66" s="14">
        <v>0.24</v>
      </c>
      <c r="U66" s="15">
        <v>0.29</v>
      </c>
      <c r="V66" s="15">
        <v>0.53</v>
      </c>
      <c r="W66" s="15">
        <v>0.21</v>
      </c>
      <c r="X66" s="15">
        <v>0.5</v>
      </c>
      <c r="Y66" s="20" t="s">
        <v>286</v>
      </c>
    </row>
    <row r="67">
      <c r="A67" s="9">
        <v>65.0</v>
      </c>
      <c r="B67" s="10" t="s">
        <v>287</v>
      </c>
      <c r="C67" s="11" t="s">
        <v>288</v>
      </c>
      <c r="D67" s="12" t="s">
        <v>36</v>
      </c>
      <c r="E67" s="13" t="s">
        <v>289</v>
      </c>
      <c r="F67" s="12">
        <v>22.0</v>
      </c>
      <c r="G67" s="12">
        <v>2003.0</v>
      </c>
      <c r="H67" s="14">
        <v>15.0</v>
      </c>
      <c r="I67" s="15">
        <v>12.0</v>
      </c>
      <c r="J67" s="15">
        <v>929.0</v>
      </c>
      <c r="K67" s="15">
        <v>10.3</v>
      </c>
      <c r="L67" s="22">
        <v>0.0</v>
      </c>
      <c r="M67" s="18">
        <v>0.1</v>
      </c>
      <c r="N67" s="18">
        <v>0.1</v>
      </c>
      <c r="O67" s="19">
        <v>0.0</v>
      </c>
      <c r="P67" s="19">
        <v>0.0</v>
      </c>
      <c r="Q67" s="19">
        <v>0.0</v>
      </c>
      <c r="R67" s="18">
        <v>0.49</v>
      </c>
      <c r="S67" s="19">
        <v>0.0</v>
      </c>
      <c r="T67" s="23">
        <v>0.0</v>
      </c>
      <c r="U67" s="15">
        <v>0.1</v>
      </c>
      <c r="V67" s="15">
        <v>0.1</v>
      </c>
      <c r="W67" s="21">
        <v>0.0</v>
      </c>
      <c r="X67" s="15">
        <v>0.1</v>
      </c>
      <c r="Y67" s="20" t="s">
        <v>290</v>
      </c>
    </row>
    <row r="68">
      <c r="A68" s="9">
        <v>66.0</v>
      </c>
      <c r="B68" s="10" t="s">
        <v>291</v>
      </c>
      <c r="C68" s="11" t="s">
        <v>292</v>
      </c>
      <c r="D68" s="12" t="s">
        <v>36</v>
      </c>
      <c r="E68" s="13" t="s">
        <v>293</v>
      </c>
      <c r="F68" s="12">
        <v>23.0</v>
      </c>
      <c r="G68" s="12">
        <v>2002.0</v>
      </c>
      <c r="H68" s="14">
        <v>10.0</v>
      </c>
      <c r="I68" s="15">
        <v>7.0</v>
      </c>
      <c r="J68" s="15">
        <v>680.0</v>
      </c>
      <c r="K68" s="15">
        <v>7.6</v>
      </c>
      <c r="L68" s="17">
        <v>0.13</v>
      </c>
      <c r="M68" s="19">
        <v>0.0</v>
      </c>
      <c r="N68" s="18">
        <v>0.13</v>
      </c>
      <c r="O68" s="18">
        <v>0.13</v>
      </c>
      <c r="P68" s="19">
        <v>0.0</v>
      </c>
      <c r="Q68" s="19">
        <v>0.0</v>
      </c>
      <c r="R68" s="18">
        <v>0.13</v>
      </c>
      <c r="S68" s="19">
        <v>0.0</v>
      </c>
      <c r="T68" s="14">
        <v>0.13</v>
      </c>
      <c r="U68" s="21">
        <v>0.0</v>
      </c>
      <c r="V68" s="15">
        <v>0.13</v>
      </c>
      <c r="W68" s="15">
        <v>0.13</v>
      </c>
      <c r="X68" s="15">
        <v>0.13</v>
      </c>
      <c r="Y68" s="20" t="s">
        <v>294</v>
      </c>
    </row>
    <row r="69">
      <c r="A69" s="9">
        <v>67.0</v>
      </c>
      <c r="B69" s="10" t="s">
        <v>295</v>
      </c>
      <c r="C69" s="11" t="s">
        <v>296</v>
      </c>
      <c r="D69" s="12" t="s">
        <v>41</v>
      </c>
      <c r="E69" s="13" t="s">
        <v>297</v>
      </c>
      <c r="F69" s="12">
        <v>23.0</v>
      </c>
      <c r="G69" s="12">
        <v>2002.0</v>
      </c>
      <c r="H69" s="14">
        <v>31.0</v>
      </c>
      <c r="I69" s="15">
        <v>22.0</v>
      </c>
      <c r="J69" s="16">
        <v>1927.0</v>
      </c>
      <c r="K69" s="15">
        <v>21.4</v>
      </c>
      <c r="L69" s="17">
        <v>0.33</v>
      </c>
      <c r="M69" s="18">
        <v>0.05</v>
      </c>
      <c r="N69" s="18">
        <v>0.37</v>
      </c>
      <c r="O69" s="18">
        <v>0.33</v>
      </c>
      <c r="P69" s="19">
        <v>0.0</v>
      </c>
      <c r="Q69" s="19">
        <v>0.0</v>
      </c>
      <c r="R69" s="18">
        <v>0.28</v>
      </c>
      <c r="S69" s="19">
        <v>0.0</v>
      </c>
      <c r="T69" s="14">
        <v>0.33</v>
      </c>
      <c r="U69" s="15">
        <v>0.05</v>
      </c>
      <c r="V69" s="15">
        <v>0.37</v>
      </c>
      <c r="W69" s="15">
        <v>0.33</v>
      </c>
      <c r="X69" s="15">
        <v>0.37</v>
      </c>
      <c r="Y69" s="20" t="s">
        <v>298</v>
      </c>
    </row>
    <row r="70">
      <c r="A70" s="9">
        <v>68.0</v>
      </c>
      <c r="B70" s="10" t="s">
        <v>299</v>
      </c>
      <c r="C70" s="11" t="s">
        <v>300</v>
      </c>
      <c r="D70" s="12" t="s">
        <v>41</v>
      </c>
      <c r="E70" s="13" t="s">
        <v>301</v>
      </c>
      <c r="F70" s="12">
        <v>23.0</v>
      </c>
      <c r="G70" s="12">
        <v>2001.0</v>
      </c>
      <c r="H70" s="14">
        <v>24.0</v>
      </c>
      <c r="I70" s="15">
        <v>8.0</v>
      </c>
      <c r="J70" s="15">
        <v>860.0</v>
      </c>
      <c r="K70" s="15">
        <v>9.6</v>
      </c>
      <c r="L70" s="17">
        <v>0.1</v>
      </c>
      <c r="M70" s="18">
        <v>0.1</v>
      </c>
      <c r="N70" s="18">
        <v>0.21</v>
      </c>
      <c r="O70" s="18">
        <v>0.1</v>
      </c>
      <c r="P70" s="19">
        <v>0.0</v>
      </c>
      <c r="Q70" s="19">
        <v>0.0</v>
      </c>
      <c r="R70" s="19">
        <v>0.0</v>
      </c>
      <c r="S70" s="19">
        <v>0.0</v>
      </c>
      <c r="T70" s="14">
        <v>0.1</v>
      </c>
      <c r="U70" s="15">
        <v>0.1</v>
      </c>
      <c r="V70" s="15">
        <v>0.21</v>
      </c>
      <c r="W70" s="15">
        <v>0.1</v>
      </c>
      <c r="X70" s="15">
        <v>0.21</v>
      </c>
      <c r="Y70" s="20" t="s">
        <v>302</v>
      </c>
    </row>
    <row r="71">
      <c r="A71" s="9">
        <v>69.0</v>
      </c>
      <c r="B71" s="10" t="s">
        <v>303</v>
      </c>
      <c r="C71" s="11" t="s">
        <v>304</v>
      </c>
      <c r="D71" s="12" t="s">
        <v>31</v>
      </c>
      <c r="E71" s="13" t="s">
        <v>305</v>
      </c>
      <c r="F71" s="12">
        <v>28.0</v>
      </c>
      <c r="G71" s="12">
        <v>1997.0</v>
      </c>
      <c r="H71" s="14">
        <v>31.0</v>
      </c>
      <c r="I71" s="15">
        <v>13.0</v>
      </c>
      <c r="J71" s="16">
        <v>1204.0</v>
      </c>
      <c r="K71" s="15">
        <v>13.4</v>
      </c>
      <c r="L71" s="17">
        <v>0.07</v>
      </c>
      <c r="M71" s="18">
        <v>0.22</v>
      </c>
      <c r="N71" s="18">
        <v>0.3</v>
      </c>
      <c r="O71" s="18">
        <v>0.07</v>
      </c>
      <c r="P71" s="19">
        <v>0.0</v>
      </c>
      <c r="Q71" s="19">
        <v>0.0</v>
      </c>
      <c r="R71" s="18">
        <v>0.52</v>
      </c>
      <c r="S71" s="19">
        <v>0.0</v>
      </c>
      <c r="T71" s="14">
        <v>0.07</v>
      </c>
      <c r="U71" s="15">
        <v>0.22</v>
      </c>
      <c r="V71" s="15">
        <v>0.3</v>
      </c>
      <c r="W71" s="15">
        <v>0.07</v>
      </c>
      <c r="X71" s="15">
        <v>0.3</v>
      </c>
      <c r="Y71" s="20" t="s">
        <v>306</v>
      </c>
    </row>
    <row r="72">
      <c r="A72" s="9">
        <v>70.0</v>
      </c>
      <c r="B72" s="10" t="s">
        <v>307</v>
      </c>
      <c r="C72" s="11" t="s">
        <v>308</v>
      </c>
      <c r="D72" s="12" t="s">
        <v>26</v>
      </c>
      <c r="E72" s="13" t="s">
        <v>309</v>
      </c>
      <c r="F72" s="12">
        <v>26.0</v>
      </c>
      <c r="G72" s="12">
        <v>1998.0</v>
      </c>
      <c r="H72" s="14">
        <v>28.0</v>
      </c>
      <c r="I72" s="15">
        <v>10.0</v>
      </c>
      <c r="J72" s="16">
        <v>1030.0</v>
      </c>
      <c r="K72" s="15">
        <v>11.4</v>
      </c>
      <c r="L72" s="22">
        <v>0.0</v>
      </c>
      <c r="M72" s="18">
        <v>0.09</v>
      </c>
      <c r="N72" s="18">
        <v>0.09</v>
      </c>
      <c r="O72" s="19">
        <v>0.0</v>
      </c>
      <c r="P72" s="19">
        <v>0.0</v>
      </c>
      <c r="Q72" s="19">
        <v>0.0</v>
      </c>
      <c r="R72" s="19">
        <v>0.0</v>
      </c>
      <c r="S72" s="19">
        <v>0.0</v>
      </c>
      <c r="T72" s="23">
        <v>0.0</v>
      </c>
      <c r="U72" s="15">
        <v>0.09</v>
      </c>
      <c r="V72" s="15">
        <v>0.09</v>
      </c>
      <c r="W72" s="21">
        <v>0.0</v>
      </c>
      <c r="X72" s="15">
        <v>0.09</v>
      </c>
      <c r="Y72" s="20" t="s">
        <v>310</v>
      </c>
    </row>
    <row r="73">
      <c r="A73" s="9">
        <v>71.0</v>
      </c>
      <c r="B73" s="10" t="s">
        <v>311</v>
      </c>
      <c r="C73" s="11" t="s">
        <v>312</v>
      </c>
      <c r="D73" s="12" t="s">
        <v>31</v>
      </c>
      <c r="E73" s="13" t="s">
        <v>313</v>
      </c>
      <c r="F73" s="12">
        <v>28.0</v>
      </c>
      <c r="G73" s="12">
        <v>1996.0</v>
      </c>
      <c r="H73" s="14">
        <v>36.0</v>
      </c>
      <c r="I73" s="15">
        <v>21.0</v>
      </c>
      <c r="J73" s="16">
        <v>1755.0</v>
      </c>
      <c r="K73" s="15">
        <v>19.5</v>
      </c>
      <c r="L73" s="17">
        <v>0.31</v>
      </c>
      <c r="M73" s="18">
        <v>0.1</v>
      </c>
      <c r="N73" s="18">
        <v>0.41</v>
      </c>
      <c r="O73" s="18">
        <v>0.31</v>
      </c>
      <c r="P73" s="19">
        <v>0.0</v>
      </c>
      <c r="Q73" s="19">
        <v>0.0</v>
      </c>
      <c r="R73" s="18">
        <v>0.31</v>
      </c>
      <c r="S73" s="19">
        <v>0.0</v>
      </c>
      <c r="T73" s="14">
        <v>0.31</v>
      </c>
      <c r="U73" s="15">
        <v>0.1</v>
      </c>
      <c r="V73" s="15">
        <v>0.41</v>
      </c>
      <c r="W73" s="15">
        <v>0.31</v>
      </c>
      <c r="X73" s="15">
        <v>0.41</v>
      </c>
      <c r="Y73" s="20" t="s">
        <v>314</v>
      </c>
    </row>
    <row r="74">
      <c r="A74" s="9">
        <v>72.0</v>
      </c>
      <c r="B74" s="10" t="s">
        <v>315</v>
      </c>
      <c r="C74" s="11" t="s">
        <v>316</v>
      </c>
      <c r="D74" s="12" t="s">
        <v>264</v>
      </c>
      <c r="E74" s="13" t="s">
        <v>317</v>
      </c>
      <c r="F74" s="12">
        <v>22.0</v>
      </c>
      <c r="G74" s="12">
        <v>2002.0</v>
      </c>
      <c r="H74" s="14">
        <v>35.0</v>
      </c>
      <c r="I74" s="15">
        <v>26.0</v>
      </c>
      <c r="J74" s="16">
        <v>2366.0</v>
      </c>
      <c r="K74" s="15">
        <v>26.3</v>
      </c>
      <c r="L74" s="17">
        <v>0.04</v>
      </c>
      <c r="M74" s="18">
        <v>0.08</v>
      </c>
      <c r="N74" s="18">
        <v>0.11</v>
      </c>
      <c r="O74" s="18">
        <v>0.04</v>
      </c>
      <c r="P74" s="19">
        <v>0.0</v>
      </c>
      <c r="Q74" s="19">
        <v>0.0</v>
      </c>
      <c r="R74" s="18">
        <v>0.11</v>
      </c>
      <c r="S74" s="19">
        <v>0.0</v>
      </c>
      <c r="T74" s="14">
        <v>0.04</v>
      </c>
      <c r="U74" s="15">
        <v>0.08</v>
      </c>
      <c r="V74" s="15">
        <v>0.11</v>
      </c>
      <c r="W74" s="15">
        <v>0.04</v>
      </c>
      <c r="X74" s="15">
        <v>0.11</v>
      </c>
      <c r="Y74" s="20" t="s">
        <v>318</v>
      </c>
    </row>
    <row r="75">
      <c r="A75" s="9">
        <v>73.0</v>
      </c>
      <c r="B75" s="10" t="s">
        <v>319</v>
      </c>
      <c r="C75" s="11" t="s">
        <v>320</v>
      </c>
      <c r="D75" s="12" t="s">
        <v>36</v>
      </c>
      <c r="E75" s="13" t="s">
        <v>321</v>
      </c>
      <c r="F75" s="12">
        <v>26.0</v>
      </c>
      <c r="G75" s="12">
        <v>1998.0</v>
      </c>
      <c r="H75" s="14">
        <v>29.0</v>
      </c>
      <c r="I75" s="15">
        <v>28.0</v>
      </c>
      <c r="J75" s="16">
        <v>2553.0</v>
      </c>
      <c r="K75" s="15">
        <v>28.4</v>
      </c>
      <c r="L75" s="17">
        <v>0.11</v>
      </c>
      <c r="M75" s="18">
        <v>0.04</v>
      </c>
      <c r="N75" s="18">
        <v>0.14</v>
      </c>
      <c r="O75" s="18">
        <v>0.11</v>
      </c>
      <c r="P75" s="19">
        <v>0.0</v>
      </c>
      <c r="Q75" s="19">
        <v>0.0</v>
      </c>
      <c r="R75" s="18">
        <v>0.14</v>
      </c>
      <c r="S75" s="19">
        <v>0.0</v>
      </c>
      <c r="T75" s="14">
        <v>0.11</v>
      </c>
      <c r="U75" s="15">
        <v>0.04</v>
      </c>
      <c r="V75" s="15">
        <v>0.14</v>
      </c>
      <c r="W75" s="15">
        <v>0.11</v>
      </c>
      <c r="X75" s="15">
        <v>0.14</v>
      </c>
      <c r="Y75" s="20" t="s">
        <v>322</v>
      </c>
    </row>
    <row r="76">
      <c r="A76" s="9">
        <v>74.0</v>
      </c>
      <c r="B76" s="10" t="s">
        <v>323</v>
      </c>
      <c r="C76" s="11" t="s">
        <v>324</v>
      </c>
      <c r="D76" s="12" t="s">
        <v>31</v>
      </c>
      <c r="E76" s="13" t="s">
        <v>325</v>
      </c>
      <c r="F76" s="12">
        <v>20.0</v>
      </c>
      <c r="G76" s="12">
        <v>2004.0</v>
      </c>
      <c r="H76" s="14">
        <v>1.0</v>
      </c>
      <c r="I76" s="15">
        <v>1.0</v>
      </c>
      <c r="J76" s="15">
        <v>45.0</v>
      </c>
      <c r="K76" s="15">
        <v>0.5</v>
      </c>
      <c r="L76" s="22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23">
        <v>0.0</v>
      </c>
      <c r="U76" s="21">
        <v>0.0</v>
      </c>
      <c r="V76" s="21">
        <v>0.0</v>
      </c>
      <c r="W76" s="21">
        <v>0.0</v>
      </c>
      <c r="X76" s="21">
        <v>0.0</v>
      </c>
      <c r="Y76" s="20" t="s">
        <v>326</v>
      </c>
    </row>
    <row r="77">
      <c r="A77" s="9">
        <v>75.0</v>
      </c>
      <c r="B77" s="10" t="s">
        <v>327</v>
      </c>
      <c r="C77" s="11" t="s">
        <v>328</v>
      </c>
      <c r="D77" s="12" t="s">
        <v>31</v>
      </c>
      <c r="E77" s="13" t="s">
        <v>329</v>
      </c>
      <c r="F77" s="12">
        <v>20.0</v>
      </c>
      <c r="G77" s="12">
        <v>2004.0</v>
      </c>
      <c r="H77" s="14">
        <v>3.0</v>
      </c>
      <c r="I77" s="21">
        <v>0.0</v>
      </c>
      <c r="J77" s="15">
        <v>39.0</v>
      </c>
      <c r="K77" s="15">
        <v>0.4</v>
      </c>
      <c r="L77" s="22">
        <v>0.0</v>
      </c>
      <c r="M77" s="19">
        <v>0.0</v>
      </c>
      <c r="N77" s="19">
        <v>0.0</v>
      </c>
      <c r="O77" s="19">
        <v>0.0</v>
      </c>
      <c r="P77" s="19">
        <v>0.0</v>
      </c>
      <c r="Q77" s="19">
        <v>0.0</v>
      </c>
      <c r="R77" s="18">
        <v>2.5</v>
      </c>
      <c r="S77" s="19">
        <v>0.0</v>
      </c>
      <c r="T77" s="23">
        <v>0.0</v>
      </c>
      <c r="U77" s="21">
        <v>0.0</v>
      </c>
      <c r="V77" s="21">
        <v>0.0</v>
      </c>
      <c r="W77" s="21">
        <v>0.0</v>
      </c>
      <c r="X77" s="21">
        <v>0.0</v>
      </c>
      <c r="Y77" s="20" t="s">
        <v>330</v>
      </c>
    </row>
    <row r="78">
      <c r="A78" s="9">
        <v>76.0</v>
      </c>
      <c r="B78" s="10" t="s">
        <v>331</v>
      </c>
      <c r="C78" s="11" t="s">
        <v>332</v>
      </c>
      <c r="D78" s="12" t="s">
        <v>36</v>
      </c>
      <c r="E78" s="13" t="s">
        <v>333</v>
      </c>
      <c r="F78" s="12">
        <v>33.0</v>
      </c>
      <c r="G78" s="12">
        <v>1992.0</v>
      </c>
      <c r="H78" s="14">
        <v>29.0</v>
      </c>
      <c r="I78" s="15">
        <v>25.0</v>
      </c>
      <c r="J78" s="16">
        <v>2199.0</v>
      </c>
      <c r="K78" s="15">
        <v>24.4</v>
      </c>
      <c r="L78" s="17">
        <v>0.04</v>
      </c>
      <c r="M78" s="18">
        <v>0.08</v>
      </c>
      <c r="N78" s="18">
        <v>0.12</v>
      </c>
      <c r="O78" s="18">
        <v>0.04</v>
      </c>
      <c r="P78" s="19">
        <v>0.0</v>
      </c>
      <c r="Q78" s="19">
        <v>0.0</v>
      </c>
      <c r="R78" s="18">
        <v>0.45</v>
      </c>
      <c r="S78" s="18">
        <v>0.04</v>
      </c>
      <c r="T78" s="14">
        <v>0.04</v>
      </c>
      <c r="U78" s="15">
        <v>0.08</v>
      </c>
      <c r="V78" s="15">
        <v>0.12</v>
      </c>
      <c r="W78" s="15">
        <v>0.04</v>
      </c>
      <c r="X78" s="15">
        <v>0.12</v>
      </c>
      <c r="Y78" s="20" t="s">
        <v>334</v>
      </c>
    </row>
    <row r="79">
      <c r="A79" s="9">
        <v>77.0</v>
      </c>
      <c r="B79" s="10" t="s">
        <v>335</v>
      </c>
      <c r="C79" s="11" t="s">
        <v>336</v>
      </c>
      <c r="D79" s="12" t="s">
        <v>31</v>
      </c>
      <c r="E79" s="13" t="s">
        <v>337</v>
      </c>
      <c r="F79" s="12">
        <v>17.0</v>
      </c>
      <c r="G79" s="12">
        <v>2008.0</v>
      </c>
      <c r="H79" s="14">
        <v>1.0</v>
      </c>
      <c r="I79" s="21">
        <v>0.0</v>
      </c>
      <c r="J79" s="15">
        <v>17.0</v>
      </c>
      <c r="K79" s="15">
        <v>0.2</v>
      </c>
      <c r="L79" s="22">
        <v>0.0</v>
      </c>
      <c r="M79" s="19">
        <v>0.0</v>
      </c>
      <c r="N79" s="19">
        <v>0.0</v>
      </c>
      <c r="O79" s="19">
        <v>0.0</v>
      </c>
      <c r="P79" s="19">
        <v>0.0</v>
      </c>
      <c r="Q79" s="19">
        <v>0.0</v>
      </c>
      <c r="R79" s="19">
        <v>0.0</v>
      </c>
      <c r="S79" s="19">
        <v>0.0</v>
      </c>
      <c r="T79" s="23">
        <v>0.0</v>
      </c>
      <c r="U79" s="21">
        <v>0.0</v>
      </c>
      <c r="V79" s="21">
        <v>0.0</v>
      </c>
      <c r="W79" s="21">
        <v>0.0</v>
      </c>
      <c r="X79" s="21">
        <v>0.0</v>
      </c>
      <c r="Y79" s="20" t="s">
        <v>338</v>
      </c>
    </row>
    <row r="80">
      <c r="A80" s="9">
        <v>78.0</v>
      </c>
      <c r="B80" s="10" t="s">
        <v>339</v>
      </c>
      <c r="C80" s="11" t="s">
        <v>340</v>
      </c>
      <c r="D80" s="12" t="s">
        <v>36</v>
      </c>
      <c r="E80" s="13" t="s">
        <v>341</v>
      </c>
      <c r="F80" s="12">
        <v>16.0</v>
      </c>
      <c r="G80" s="12">
        <v>2008.0</v>
      </c>
      <c r="H80" s="14">
        <v>1.0</v>
      </c>
      <c r="I80" s="21">
        <v>0.0</v>
      </c>
      <c r="J80" s="15">
        <v>1.0</v>
      </c>
      <c r="K80" s="21">
        <v>0.0</v>
      </c>
      <c r="L80" s="23">
        <v>0.0</v>
      </c>
      <c r="M80" s="21">
        <v>0.0</v>
      </c>
      <c r="N80" s="21">
        <v>0.0</v>
      </c>
      <c r="O80" s="21">
        <v>0.0</v>
      </c>
      <c r="P80" s="21">
        <v>0.0</v>
      </c>
      <c r="Q80" s="21">
        <v>0.0</v>
      </c>
      <c r="R80" s="21">
        <v>0.0</v>
      </c>
      <c r="S80" s="21">
        <v>0.0</v>
      </c>
      <c r="T80" s="23">
        <v>0.0</v>
      </c>
      <c r="U80" s="21">
        <v>0.0</v>
      </c>
      <c r="V80" s="21">
        <v>0.0</v>
      </c>
      <c r="W80" s="21">
        <v>0.0</v>
      </c>
      <c r="X80" s="21">
        <v>0.0</v>
      </c>
      <c r="Y80" s="20" t="s">
        <v>342</v>
      </c>
    </row>
    <row r="81">
      <c r="A81" s="9">
        <v>79.0</v>
      </c>
      <c r="B81" s="10" t="s">
        <v>343</v>
      </c>
      <c r="C81" s="11" t="s">
        <v>344</v>
      </c>
      <c r="D81" s="12" t="s">
        <v>345</v>
      </c>
      <c r="E81" s="13" t="s">
        <v>346</v>
      </c>
      <c r="F81" s="12">
        <v>31.0</v>
      </c>
      <c r="G81" s="12">
        <v>1993.0</v>
      </c>
      <c r="H81" s="14">
        <v>2.0</v>
      </c>
      <c r="I81" s="21">
        <v>0.0</v>
      </c>
      <c r="J81" s="15">
        <v>9.0</v>
      </c>
      <c r="K81" s="15">
        <v>0.1</v>
      </c>
      <c r="L81" s="22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23">
        <v>0.0</v>
      </c>
      <c r="U81" s="21">
        <v>0.0</v>
      </c>
      <c r="V81" s="21">
        <v>0.0</v>
      </c>
      <c r="W81" s="21">
        <v>0.0</v>
      </c>
      <c r="X81" s="21">
        <v>0.0</v>
      </c>
      <c r="Y81" s="20" t="s">
        <v>347</v>
      </c>
    </row>
    <row r="82">
      <c r="A82" s="9">
        <v>80.0</v>
      </c>
      <c r="B82" s="10" t="s">
        <v>348</v>
      </c>
      <c r="C82" s="11" t="s">
        <v>349</v>
      </c>
      <c r="D82" s="12" t="s">
        <v>31</v>
      </c>
      <c r="E82" s="13" t="s">
        <v>350</v>
      </c>
      <c r="F82" s="12">
        <v>23.0</v>
      </c>
      <c r="G82" s="12">
        <v>2001.0</v>
      </c>
      <c r="H82" s="14">
        <v>33.0</v>
      </c>
      <c r="I82" s="15">
        <v>32.0</v>
      </c>
      <c r="J82" s="16">
        <v>2795.0</v>
      </c>
      <c r="K82" s="15">
        <v>31.1</v>
      </c>
      <c r="L82" s="17">
        <v>0.1</v>
      </c>
      <c r="M82" s="18">
        <v>0.03</v>
      </c>
      <c r="N82" s="18">
        <v>0.13</v>
      </c>
      <c r="O82" s="18">
        <v>0.1</v>
      </c>
      <c r="P82" s="19">
        <v>0.0</v>
      </c>
      <c r="Q82" s="19">
        <v>0.0</v>
      </c>
      <c r="R82" s="18">
        <v>0.35</v>
      </c>
      <c r="S82" s="18">
        <v>0.03</v>
      </c>
      <c r="T82" s="14">
        <v>0.1</v>
      </c>
      <c r="U82" s="15">
        <v>0.03</v>
      </c>
      <c r="V82" s="15">
        <v>0.13</v>
      </c>
      <c r="W82" s="15">
        <v>0.1</v>
      </c>
      <c r="X82" s="15">
        <v>0.13</v>
      </c>
      <c r="Y82" s="20" t="s">
        <v>351</v>
      </c>
    </row>
    <row r="83">
      <c r="A83" s="9">
        <v>81.0</v>
      </c>
      <c r="B83" s="10" t="s">
        <v>352</v>
      </c>
      <c r="C83" s="11" t="s">
        <v>353</v>
      </c>
      <c r="D83" s="12" t="s">
        <v>31</v>
      </c>
      <c r="E83" s="13" t="s">
        <v>354</v>
      </c>
      <c r="F83" s="12">
        <v>34.0</v>
      </c>
      <c r="G83" s="12">
        <v>1991.0</v>
      </c>
      <c r="H83" s="14">
        <v>24.0</v>
      </c>
      <c r="I83" s="15">
        <v>6.0</v>
      </c>
      <c r="J83" s="15">
        <v>775.0</v>
      </c>
      <c r="K83" s="15">
        <v>8.6</v>
      </c>
      <c r="L83" s="17">
        <v>0.23</v>
      </c>
      <c r="M83" s="19">
        <v>0.0</v>
      </c>
      <c r="N83" s="18">
        <v>0.23</v>
      </c>
      <c r="O83" s="18">
        <v>0.23</v>
      </c>
      <c r="P83" s="19">
        <v>0.0</v>
      </c>
      <c r="Q83" s="19">
        <v>0.0</v>
      </c>
      <c r="R83" s="18">
        <v>0.35</v>
      </c>
      <c r="S83" s="19">
        <v>0.0</v>
      </c>
      <c r="T83" s="14">
        <v>0.23</v>
      </c>
      <c r="U83" s="21">
        <v>0.0</v>
      </c>
      <c r="V83" s="15">
        <v>0.23</v>
      </c>
      <c r="W83" s="15">
        <v>0.23</v>
      </c>
      <c r="X83" s="15">
        <v>0.23</v>
      </c>
      <c r="Y83" s="20" t="s">
        <v>355</v>
      </c>
    </row>
    <row r="84">
      <c r="A84" s="9">
        <v>82.0</v>
      </c>
      <c r="B84" s="10" t="s">
        <v>356</v>
      </c>
      <c r="C84" s="11" t="s">
        <v>357</v>
      </c>
      <c r="D84" s="12" t="s">
        <v>36</v>
      </c>
      <c r="E84" s="13" t="s">
        <v>358</v>
      </c>
      <c r="F84" s="12">
        <v>23.0</v>
      </c>
      <c r="G84" s="12">
        <v>2002.0</v>
      </c>
      <c r="H84" s="14">
        <v>26.0</v>
      </c>
      <c r="I84" s="15">
        <v>22.0</v>
      </c>
      <c r="J84" s="16">
        <v>1699.0</v>
      </c>
      <c r="K84" s="15">
        <v>18.9</v>
      </c>
      <c r="L84" s="17">
        <v>0.05</v>
      </c>
      <c r="M84" s="18">
        <v>0.11</v>
      </c>
      <c r="N84" s="18">
        <v>0.16</v>
      </c>
      <c r="O84" s="18">
        <v>0.05</v>
      </c>
      <c r="P84" s="19">
        <v>0.0</v>
      </c>
      <c r="Q84" s="19">
        <v>0.0</v>
      </c>
      <c r="R84" s="18">
        <v>0.26</v>
      </c>
      <c r="S84" s="19">
        <v>0.0</v>
      </c>
      <c r="T84" s="14">
        <v>0.05</v>
      </c>
      <c r="U84" s="15">
        <v>0.11</v>
      </c>
      <c r="V84" s="15">
        <v>0.16</v>
      </c>
      <c r="W84" s="15">
        <v>0.05</v>
      </c>
      <c r="X84" s="15">
        <v>0.16</v>
      </c>
      <c r="Y84" s="20" t="s">
        <v>359</v>
      </c>
    </row>
    <row r="85">
      <c r="A85" s="9">
        <v>83.0</v>
      </c>
      <c r="B85" s="10" t="s">
        <v>360</v>
      </c>
      <c r="C85" s="11" t="s">
        <v>361</v>
      </c>
      <c r="D85" s="12" t="s">
        <v>41</v>
      </c>
      <c r="E85" s="13" t="s">
        <v>362</v>
      </c>
      <c r="F85" s="12">
        <v>28.0</v>
      </c>
      <c r="G85" s="12">
        <v>1997.0</v>
      </c>
      <c r="H85" s="14">
        <v>35.0</v>
      </c>
      <c r="I85" s="15">
        <v>30.0</v>
      </c>
      <c r="J85" s="16">
        <v>2721.0</v>
      </c>
      <c r="K85" s="15">
        <v>30.2</v>
      </c>
      <c r="L85" s="17">
        <v>0.46</v>
      </c>
      <c r="M85" s="18">
        <v>0.03</v>
      </c>
      <c r="N85" s="18">
        <v>0.5</v>
      </c>
      <c r="O85" s="18">
        <v>0.33</v>
      </c>
      <c r="P85" s="18">
        <v>0.13</v>
      </c>
      <c r="Q85" s="18">
        <v>0.17</v>
      </c>
      <c r="R85" s="18">
        <v>0.1</v>
      </c>
      <c r="S85" s="19">
        <v>0.0</v>
      </c>
      <c r="T85" s="14">
        <v>0.46</v>
      </c>
      <c r="U85" s="15">
        <v>0.03</v>
      </c>
      <c r="V85" s="15">
        <v>0.5</v>
      </c>
      <c r="W85" s="15">
        <v>0.33</v>
      </c>
      <c r="X85" s="15">
        <v>0.36</v>
      </c>
      <c r="Y85" s="20" t="s">
        <v>363</v>
      </c>
    </row>
    <row r="86">
      <c r="A86" s="9">
        <v>84.0</v>
      </c>
      <c r="B86" s="10" t="s">
        <v>364</v>
      </c>
      <c r="C86" s="11" t="s">
        <v>365</v>
      </c>
      <c r="D86" s="12" t="s">
        <v>36</v>
      </c>
      <c r="E86" s="13" t="s">
        <v>366</v>
      </c>
      <c r="F86" s="12">
        <v>19.0</v>
      </c>
      <c r="G86" s="12">
        <v>2006.0</v>
      </c>
      <c r="H86" s="14">
        <v>20.0</v>
      </c>
      <c r="I86" s="15">
        <v>14.0</v>
      </c>
      <c r="J86" s="16">
        <v>1336.0</v>
      </c>
      <c r="K86" s="15">
        <v>14.8</v>
      </c>
      <c r="L86" s="22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8">
        <v>0.2</v>
      </c>
      <c r="S86" s="19">
        <v>0.0</v>
      </c>
      <c r="T86" s="23">
        <v>0.0</v>
      </c>
      <c r="U86" s="21">
        <v>0.0</v>
      </c>
      <c r="V86" s="21">
        <v>0.0</v>
      </c>
      <c r="W86" s="21">
        <v>0.0</v>
      </c>
      <c r="X86" s="21">
        <v>0.0</v>
      </c>
      <c r="Y86" s="20" t="s">
        <v>367</v>
      </c>
    </row>
    <row r="87">
      <c r="A87" s="9">
        <v>85.0</v>
      </c>
      <c r="B87" s="10" t="s">
        <v>368</v>
      </c>
      <c r="C87" s="11" t="s">
        <v>369</v>
      </c>
      <c r="D87" s="12" t="s">
        <v>31</v>
      </c>
      <c r="E87" s="13" t="s">
        <v>370</v>
      </c>
      <c r="F87" s="12">
        <v>19.0</v>
      </c>
      <c r="G87" s="12">
        <v>2006.0</v>
      </c>
      <c r="H87" s="14">
        <v>1.0</v>
      </c>
      <c r="I87" s="15">
        <v>1.0</v>
      </c>
      <c r="J87" s="15">
        <v>90.0</v>
      </c>
      <c r="K87" s="15">
        <v>1.0</v>
      </c>
      <c r="L87" s="22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23">
        <v>0.0</v>
      </c>
      <c r="U87" s="21">
        <v>0.0</v>
      </c>
      <c r="V87" s="21">
        <v>0.0</v>
      </c>
      <c r="W87" s="21">
        <v>0.0</v>
      </c>
      <c r="X87" s="21">
        <v>0.0</v>
      </c>
      <c r="Y87" s="20" t="s">
        <v>371</v>
      </c>
    </row>
    <row r="88">
      <c r="A88" s="9">
        <v>86.0</v>
      </c>
      <c r="B88" s="10" t="s">
        <v>372</v>
      </c>
      <c r="C88" s="11" t="s">
        <v>373</v>
      </c>
      <c r="D88" s="12" t="s">
        <v>31</v>
      </c>
      <c r="E88" s="13" t="s">
        <v>374</v>
      </c>
      <c r="F88" s="12">
        <v>22.0</v>
      </c>
      <c r="G88" s="12">
        <v>2002.0</v>
      </c>
      <c r="H88" s="14">
        <v>6.0</v>
      </c>
      <c r="I88" s="15">
        <v>1.0</v>
      </c>
      <c r="J88" s="15">
        <v>102.0</v>
      </c>
      <c r="K88" s="15">
        <v>1.1</v>
      </c>
      <c r="L88" s="17">
        <v>0.91</v>
      </c>
      <c r="M88" s="19">
        <v>0.0</v>
      </c>
      <c r="N88" s="18">
        <v>0.91</v>
      </c>
      <c r="O88" s="18">
        <v>0.91</v>
      </c>
      <c r="P88" s="19">
        <v>0.0</v>
      </c>
      <c r="Q88" s="19">
        <v>0.0</v>
      </c>
      <c r="R88" s="19">
        <v>0.0</v>
      </c>
      <c r="S88" s="19">
        <v>0.0</v>
      </c>
      <c r="T88" s="14">
        <v>0.88</v>
      </c>
      <c r="U88" s="21">
        <v>0.0</v>
      </c>
      <c r="V88" s="15">
        <v>0.88</v>
      </c>
      <c r="W88" s="15">
        <v>0.88</v>
      </c>
      <c r="X88" s="15">
        <v>0.88</v>
      </c>
      <c r="Y88" s="20" t="s">
        <v>375</v>
      </c>
    </row>
    <row r="89">
      <c r="A89" s="9">
        <v>87.0</v>
      </c>
      <c r="B89" s="10" t="s">
        <v>376</v>
      </c>
      <c r="C89" s="11" t="s">
        <v>377</v>
      </c>
      <c r="D89" s="12" t="s">
        <v>31</v>
      </c>
      <c r="E89" s="13" t="s">
        <v>378</v>
      </c>
      <c r="F89" s="12">
        <v>33.0</v>
      </c>
      <c r="G89" s="12">
        <v>1992.0</v>
      </c>
      <c r="H89" s="14">
        <v>34.0</v>
      </c>
      <c r="I89" s="15">
        <v>33.0</v>
      </c>
      <c r="J89" s="16">
        <v>2571.0</v>
      </c>
      <c r="K89" s="15">
        <v>28.6</v>
      </c>
      <c r="L89" s="17">
        <v>0.31</v>
      </c>
      <c r="M89" s="18">
        <v>0.07</v>
      </c>
      <c r="N89" s="18">
        <v>0.38</v>
      </c>
      <c r="O89" s="18">
        <v>0.31</v>
      </c>
      <c r="P89" s="19">
        <v>0.0</v>
      </c>
      <c r="Q89" s="19">
        <v>0.0</v>
      </c>
      <c r="R89" s="18">
        <v>0.38</v>
      </c>
      <c r="S89" s="18">
        <v>0.03</v>
      </c>
      <c r="T89" s="14">
        <v>0.32</v>
      </c>
      <c r="U89" s="15">
        <v>0.07</v>
      </c>
      <c r="V89" s="15">
        <v>0.39</v>
      </c>
      <c r="W89" s="15">
        <v>0.32</v>
      </c>
      <c r="X89" s="15">
        <v>0.39</v>
      </c>
      <c r="Y89" s="20" t="s">
        <v>379</v>
      </c>
    </row>
    <row r="90">
      <c r="A90" s="9">
        <v>88.0</v>
      </c>
      <c r="B90" s="10" t="s">
        <v>380</v>
      </c>
      <c r="C90" s="11" t="s">
        <v>381</v>
      </c>
      <c r="D90" s="12" t="s">
        <v>36</v>
      </c>
      <c r="E90" s="13" t="s">
        <v>382</v>
      </c>
      <c r="F90" s="12">
        <v>27.0</v>
      </c>
      <c r="G90" s="12">
        <v>1997.0</v>
      </c>
      <c r="H90" s="14">
        <v>35.0</v>
      </c>
      <c r="I90" s="15">
        <v>34.0</v>
      </c>
      <c r="J90" s="16">
        <v>3014.0</v>
      </c>
      <c r="K90" s="15">
        <v>33.5</v>
      </c>
      <c r="L90" s="17">
        <v>0.09</v>
      </c>
      <c r="M90" s="18">
        <v>0.09</v>
      </c>
      <c r="N90" s="18">
        <v>0.18</v>
      </c>
      <c r="O90" s="18">
        <v>0.09</v>
      </c>
      <c r="P90" s="19">
        <v>0.0</v>
      </c>
      <c r="Q90" s="19">
        <v>0.0</v>
      </c>
      <c r="R90" s="18">
        <v>0.27</v>
      </c>
      <c r="S90" s="19">
        <v>0.0</v>
      </c>
      <c r="T90" s="14">
        <v>0.09</v>
      </c>
      <c r="U90" s="15">
        <v>0.09</v>
      </c>
      <c r="V90" s="15">
        <v>0.18</v>
      </c>
      <c r="W90" s="15">
        <v>0.09</v>
      </c>
      <c r="X90" s="15">
        <v>0.18</v>
      </c>
      <c r="Y90" s="20" t="s">
        <v>383</v>
      </c>
    </row>
    <row r="91">
      <c r="A91" s="9">
        <v>89.0</v>
      </c>
      <c r="B91" s="10" t="s">
        <v>384</v>
      </c>
      <c r="C91" s="11" t="s">
        <v>385</v>
      </c>
      <c r="D91" s="12" t="s">
        <v>345</v>
      </c>
      <c r="E91" s="13" t="s">
        <v>386</v>
      </c>
      <c r="F91" s="12">
        <v>29.0</v>
      </c>
      <c r="G91" s="12">
        <v>1995.0</v>
      </c>
      <c r="H91" s="14">
        <v>30.0</v>
      </c>
      <c r="I91" s="15">
        <v>20.0</v>
      </c>
      <c r="J91" s="16">
        <v>1845.0</v>
      </c>
      <c r="K91" s="15">
        <v>20.5</v>
      </c>
      <c r="L91" s="22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8">
        <v>0.2</v>
      </c>
      <c r="S91" s="19">
        <v>0.0</v>
      </c>
      <c r="T91" s="23">
        <v>0.0</v>
      </c>
      <c r="U91" s="21">
        <v>0.0</v>
      </c>
      <c r="V91" s="21">
        <v>0.0</v>
      </c>
      <c r="W91" s="21">
        <v>0.0</v>
      </c>
      <c r="X91" s="21">
        <v>0.0</v>
      </c>
      <c r="Y91" s="20" t="s">
        <v>387</v>
      </c>
    </row>
    <row r="92">
      <c r="A92" s="9">
        <v>90.0</v>
      </c>
      <c r="B92" s="10" t="s">
        <v>388</v>
      </c>
      <c r="C92" s="11" t="s">
        <v>389</v>
      </c>
      <c r="D92" s="12" t="s">
        <v>41</v>
      </c>
      <c r="E92" s="13" t="s">
        <v>390</v>
      </c>
      <c r="F92" s="12">
        <v>26.0</v>
      </c>
      <c r="G92" s="12">
        <v>1998.0</v>
      </c>
      <c r="H92" s="14">
        <v>18.0</v>
      </c>
      <c r="I92" s="15">
        <v>17.0</v>
      </c>
      <c r="J92" s="16">
        <v>1384.0</v>
      </c>
      <c r="K92" s="15">
        <v>15.4</v>
      </c>
      <c r="L92" s="17">
        <v>0.39</v>
      </c>
      <c r="M92" s="19">
        <v>0.0</v>
      </c>
      <c r="N92" s="18">
        <v>0.39</v>
      </c>
      <c r="O92" s="18">
        <v>0.39</v>
      </c>
      <c r="P92" s="19">
        <v>0.0</v>
      </c>
      <c r="Q92" s="19">
        <v>0.0</v>
      </c>
      <c r="R92" s="18">
        <v>0.39</v>
      </c>
      <c r="S92" s="19">
        <v>0.0</v>
      </c>
      <c r="T92" s="14">
        <v>0.39</v>
      </c>
      <c r="U92" s="21">
        <v>0.0</v>
      </c>
      <c r="V92" s="15">
        <v>0.39</v>
      </c>
      <c r="W92" s="15">
        <v>0.39</v>
      </c>
      <c r="X92" s="15">
        <v>0.39</v>
      </c>
      <c r="Y92" s="20" t="s">
        <v>391</v>
      </c>
    </row>
    <row r="93">
      <c r="A93" s="9">
        <v>91.0</v>
      </c>
      <c r="B93" s="10" t="s">
        <v>392</v>
      </c>
      <c r="C93" s="11" t="s">
        <v>393</v>
      </c>
      <c r="D93" s="12" t="s">
        <v>36</v>
      </c>
      <c r="E93" s="13" t="s">
        <v>394</v>
      </c>
      <c r="F93" s="12">
        <v>26.0</v>
      </c>
      <c r="G93" s="12">
        <v>1999.0</v>
      </c>
      <c r="H93" s="14">
        <v>34.0</v>
      </c>
      <c r="I93" s="15">
        <v>31.0</v>
      </c>
      <c r="J93" s="16">
        <v>2783.0</v>
      </c>
      <c r="K93" s="15">
        <v>30.9</v>
      </c>
      <c r="L93" s="17">
        <v>0.1</v>
      </c>
      <c r="M93" s="19">
        <v>0.0</v>
      </c>
      <c r="N93" s="18">
        <v>0.1</v>
      </c>
      <c r="O93" s="18">
        <v>0.1</v>
      </c>
      <c r="P93" s="19">
        <v>0.0</v>
      </c>
      <c r="Q93" s="19">
        <v>0.0</v>
      </c>
      <c r="R93" s="18">
        <v>0.1</v>
      </c>
      <c r="S93" s="18">
        <v>0.03</v>
      </c>
      <c r="T93" s="14">
        <v>0.1</v>
      </c>
      <c r="U93" s="21">
        <v>0.0</v>
      </c>
      <c r="V93" s="15">
        <v>0.1</v>
      </c>
      <c r="W93" s="15">
        <v>0.1</v>
      </c>
      <c r="X93" s="15">
        <v>0.1</v>
      </c>
      <c r="Y93" s="20" t="s">
        <v>395</v>
      </c>
    </row>
    <row r="94">
      <c r="A94" s="9">
        <v>92.0</v>
      </c>
      <c r="B94" s="10" t="s">
        <v>396</v>
      </c>
      <c r="C94" s="11" t="s">
        <v>397</v>
      </c>
      <c r="D94" s="12" t="s">
        <v>31</v>
      </c>
      <c r="E94" s="13" t="s">
        <v>398</v>
      </c>
      <c r="F94" s="12">
        <v>21.0</v>
      </c>
      <c r="G94" s="12">
        <v>2003.0</v>
      </c>
      <c r="H94" s="14">
        <v>33.0</v>
      </c>
      <c r="I94" s="15">
        <v>19.0</v>
      </c>
      <c r="J94" s="16">
        <v>1786.0</v>
      </c>
      <c r="K94" s="15">
        <v>19.8</v>
      </c>
      <c r="L94" s="17">
        <v>0.2</v>
      </c>
      <c r="M94" s="18">
        <v>0.61</v>
      </c>
      <c r="N94" s="18">
        <v>0.81</v>
      </c>
      <c r="O94" s="18">
        <v>0.2</v>
      </c>
      <c r="P94" s="19">
        <v>0.0</v>
      </c>
      <c r="Q94" s="19">
        <v>0.0</v>
      </c>
      <c r="R94" s="18">
        <v>0.05</v>
      </c>
      <c r="S94" s="19">
        <v>0.0</v>
      </c>
      <c r="T94" s="14">
        <v>0.2</v>
      </c>
      <c r="U94" s="15">
        <v>0.6</v>
      </c>
      <c r="V94" s="15">
        <v>0.81</v>
      </c>
      <c r="W94" s="15">
        <v>0.2</v>
      </c>
      <c r="X94" s="15">
        <v>0.81</v>
      </c>
      <c r="Y94" s="20" t="s">
        <v>399</v>
      </c>
    </row>
    <row r="95">
      <c r="A95" s="9">
        <v>93.0</v>
      </c>
      <c r="B95" s="10" t="s">
        <v>400</v>
      </c>
      <c r="C95" s="11" t="s">
        <v>401</v>
      </c>
      <c r="D95" s="12" t="s">
        <v>31</v>
      </c>
      <c r="E95" s="13" t="s">
        <v>402</v>
      </c>
      <c r="F95" s="12">
        <v>27.0</v>
      </c>
      <c r="G95" s="12">
        <v>1997.0</v>
      </c>
      <c r="H95" s="14">
        <v>26.0</v>
      </c>
      <c r="I95" s="15">
        <v>1.0</v>
      </c>
      <c r="J95" s="15">
        <v>339.0</v>
      </c>
      <c r="K95" s="15">
        <v>3.8</v>
      </c>
      <c r="L95" s="17">
        <v>0.53</v>
      </c>
      <c r="M95" s="18">
        <v>0.26</v>
      </c>
      <c r="N95" s="18">
        <v>0.79</v>
      </c>
      <c r="O95" s="18">
        <v>0.53</v>
      </c>
      <c r="P95" s="19">
        <v>0.0</v>
      </c>
      <c r="Q95" s="19">
        <v>0.0</v>
      </c>
      <c r="R95" s="18">
        <v>0.79</v>
      </c>
      <c r="S95" s="19">
        <v>0.0</v>
      </c>
      <c r="T95" s="14">
        <v>0.53</v>
      </c>
      <c r="U95" s="15">
        <v>0.27</v>
      </c>
      <c r="V95" s="15">
        <v>0.8</v>
      </c>
      <c r="W95" s="15">
        <v>0.53</v>
      </c>
      <c r="X95" s="15">
        <v>0.8</v>
      </c>
      <c r="Y95" s="20" t="s">
        <v>403</v>
      </c>
    </row>
    <row r="96">
      <c r="A96" s="9">
        <v>94.0</v>
      </c>
      <c r="B96" s="10" t="s">
        <v>404</v>
      </c>
      <c r="C96" s="11" t="s">
        <v>405</v>
      </c>
      <c r="D96" s="12" t="s">
        <v>31</v>
      </c>
      <c r="E96" s="13" t="s">
        <v>406</v>
      </c>
      <c r="F96" s="12">
        <v>21.0</v>
      </c>
      <c r="G96" s="12">
        <v>2003.0</v>
      </c>
      <c r="H96" s="14">
        <v>2.0</v>
      </c>
      <c r="I96" s="21">
        <v>0.0</v>
      </c>
      <c r="J96" s="15">
        <v>27.0</v>
      </c>
      <c r="K96" s="15">
        <v>0.3</v>
      </c>
      <c r="L96" s="22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23">
        <v>0.0</v>
      </c>
      <c r="U96" s="21">
        <v>0.0</v>
      </c>
      <c r="V96" s="21">
        <v>0.0</v>
      </c>
      <c r="W96" s="21">
        <v>0.0</v>
      </c>
      <c r="X96" s="21">
        <v>0.0</v>
      </c>
      <c r="Y96" s="20" t="s">
        <v>407</v>
      </c>
    </row>
    <row r="97">
      <c r="A97" s="9">
        <v>95.0</v>
      </c>
      <c r="B97" s="10" t="s">
        <v>408</v>
      </c>
      <c r="C97" s="11" t="s">
        <v>409</v>
      </c>
      <c r="D97" s="12" t="s">
        <v>31</v>
      </c>
      <c r="E97" s="13" t="s">
        <v>410</v>
      </c>
      <c r="F97" s="12">
        <v>30.0</v>
      </c>
      <c r="G97" s="12">
        <v>1995.0</v>
      </c>
      <c r="H97" s="14">
        <v>26.0</v>
      </c>
      <c r="I97" s="15">
        <v>9.0</v>
      </c>
      <c r="J97" s="15">
        <v>993.0</v>
      </c>
      <c r="K97" s="15">
        <v>11.0</v>
      </c>
      <c r="L97" s="17">
        <v>0.18</v>
      </c>
      <c r="M97" s="19">
        <v>0.0</v>
      </c>
      <c r="N97" s="18">
        <v>0.18</v>
      </c>
      <c r="O97" s="18">
        <v>0.18</v>
      </c>
      <c r="P97" s="19">
        <v>0.0</v>
      </c>
      <c r="Q97" s="19">
        <v>0.0</v>
      </c>
      <c r="R97" s="18">
        <v>0.27</v>
      </c>
      <c r="S97" s="18">
        <v>0.09</v>
      </c>
      <c r="T97" s="14">
        <v>0.18</v>
      </c>
      <c r="U97" s="21">
        <v>0.0</v>
      </c>
      <c r="V97" s="15">
        <v>0.18</v>
      </c>
      <c r="W97" s="15">
        <v>0.18</v>
      </c>
      <c r="X97" s="15">
        <v>0.18</v>
      </c>
      <c r="Y97" s="20" t="s">
        <v>411</v>
      </c>
    </row>
    <row r="98">
      <c r="A98" s="9">
        <v>96.0</v>
      </c>
      <c r="B98" s="10" t="s">
        <v>412</v>
      </c>
      <c r="C98" s="11" t="s">
        <v>413</v>
      </c>
      <c r="D98" s="12" t="s">
        <v>31</v>
      </c>
      <c r="E98" s="13" t="s">
        <v>414</v>
      </c>
      <c r="F98" s="12">
        <v>26.0</v>
      </c>
      <c r="G98" s="12">
        <v>1999.0</v>
      </c>
      <c r="H98" s="14">
        <v>23.0</v>
      </c>
      <c r="I98" s="15">
        <v>10.0</v>
      </c>
      <c r="J98" s="16">
        <v>1079.0</v>
      </c>
      <c r="K98" s="15">
        <v>12.0</v>
      </c>
      <c r="L98" s="17">
        <v>0.25</v>
      </c>
      <c r="M98" s="18">
        <v>0.33</v>
      </c>
      <c r="N98" s="18">
        <v>0.58</v>
      </c>
      <c r="O98" s="18">
        <v>0.25</v>
      </c>
      <c r="P98" s="19">
        <v>0.0</v>
      </c>
      <c r="Q98" s="19">
        <v>0.0</v>
      </c>
      <c r="R98" s="19">
        <v>0.0</v>
      </c>
      <c r="S98" s="19">
        <v>0.0</v>
      </c>
      <c r="T98" s="14">
        <v>0.25</v>
      </c>
      <c r="U98" s="15">
        <v>0.33</v>
      </c>
      <c r="V98" s="15">
        <v>0.58</v>
      </c>
      <c r="W98" s="15">
        <v>0.25</v>
      </c>
      <c r="X98" s="15">
        <v>0.58</v>
      </c>
      <c r="Y98" s="20" t="s">
        <v>415</v>
      </c>
    </row>
    <row r="99">
      <c r="A99" s="9">
        <v>97.0</v>
      </c>
      <c r="B99" s="10" t="s">
        <v>416</v>
      </c>
      <c r="C99" s="11" t="s">
        <v>417</v>
      </c>
      <c r="D99" s="12" t="s">
        <v>36</v>
      </c>
      <c r="E99" s="13" t="s">
        <v>418</v>
      </c>
      <c r="F99" s="12">
        <v>23.0</v>
      </c>
      <c r="G99" s="12">
        <v>2002.0</v>
      </c>
      <c r="H99" s="14">
        <v>8.0</v>
      </c>
      <c r="I99" s="15">
        <v>3.0</v>
      </c>
      <c r="J99" s="15">
        <v>323.0</v>
      </c>
      <c r="K99" s="15">
        <v>3.6</v>
      </c>
      <c r="L99" s="22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8">
        <v>0.56</v>
      </c>
      <c r="S99" s="19">
        <v>0.0</v>
      </c>
      <c r="T99" s="23">
        <v>0.0</v>
      </c>
      <c r="U99" s="21">
        <v>0.0</v>
      </c>
      <c r="V99" s="21">
        <v>0.0</v>
      </c>
      <c r="W99" s="21">
        <v>0.0</v>
      </c>
      <c r="X99" s="21">
        <v>0.0</v>
      </c>
      <c r="Y99" s="20" t="s">
        <v>419</v>
      </c>
    </row>
    <row r="100">
      <c r="A100" s="9">
        <v>98.0</v>
      </c>
      <c r="B100" s="10" t="s">
        <v>420</v>
      </c>
      <c r="C100" s="11" t="s">
        <v>421</v>
      </c>
      <c r="D100" s="12" t="s">
        <v>264</v>
      </c>
      <c r="E100" s="13" t="s">
        <v>422</v>
      </c>
      <c r="F100" s="12">
        <v>34.0</v>
      </c>
      <c r="G100" s="12">
        <v>1991.0</v>
      </c>
      <c r="H100" s="14">
        <v>10.0</v>
      </c>
      <c r="I100" s="15">
        <v>7.0</v>
      </c>
      <c r="J100" s="15">
        <v>594.0</v>
      </c>
      <c r="K100" s="15">
        <v>6.6</v>
      </c>
      <c r="L100" s="22">
        <v>0.0</v>
      </c>
      <c r="M100" s="18">
        <v>0.15</v>
      </c>
      <c r="N100" s="18">
        <v>0.15</v>
      </c>
      <c r="O100" s="19">
        <v>0.0</v>
      </c>
      <c r="P100" s="19">
        <v>0.0</v>
      </c>
      <c r="Q100" s="19">
        <v>0.0</v>
      </c>
      <c r="R100" s="18">
        <v>0.15</v>
      </c>
      <c r="S100" s="19">
        <v>0.0</v>
      </c>
      <c r="T100" s="23">
        <v>0.0</v>
      </c>
      <c r="U100" s="15">
        <v>0.15</v>
      </c>
      <c r="V100" s="15">
        <v>0.15</v>
      </c>
      <c r="W100" s="21">
        <v>0.0</v>
      </c>
      <c r="X100" s="15">
        <v>0.15</v>
      </c>
      <c r="Y100" s="20" t="s">
        <v>423</v>
      </c>
    </row>
    <row r="101">
      <c r="A101" s="9">
        <v>99.0</v>
      </c>
      <c r="B101" s="10" t="s">
        <v>424</v>
      </c>
      <c r="C101" s="11" t="s">
        <v>425</v>
      </c>
      <c r="D101" s="12" t="s">
        <v>36</v>
      </c>
      <c r="E101" s="13" t="s">
        <v>426</v>
      </c>
      <c r="F101" s="12">
        <v>36.0</v>
      </c>
      <c r="G101" s="12">
        <v>1988.0</v>
      </c>
      <c r="H101" s="14">
        <v>5.0</v>
      </c>
      <c r="I101" s="15">
        <v>1.0</v>
      </c>
      <c r="J101" s="15">
        <v>21.0</v>
      </c>
      <c r="K101" s="15">
        <v>0.2</v>
      </c>
      <c r="L101" s="22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23">
        <v>0.0</v>
      </c>
      <c r="U101" s="21">
        <v>0.0</v>
      </c>
      <c r="V101" s="21">
        <v>0.0</v>
      </c>
      <c r="W101" s="21">
        <v>0.0</v>
      </c>
      <c r="X101" s="21">
        <v>0.0</v>
      </c>
      <c r="Y101" s="20" t="s">
        <v>427</v>
      </c>
    </row>
    <row r="102">
      <c r="A102" s="9">
        <v>100.0</v>
      </c>
      <c r="B102" s="10" t="s">
        <v>428</v>
      </c>
      <c r="C102" s="11" t="s">
        <v>429</v>
      </c>
      <c r="D102" s="12" t="s">
        <v>36</v>
      </c>
      <c r="E102" s="13" t="s">
        <v>430</v>
      </c>
      <c r="F102" s="12">
        <v>24.0</v>
      </c>
      <c r="G102" s="12">
        <v>2001.0</v>
      </c>
      <c r="H102" s="14">
        <v>35.0</v>
      </c>
      <c r="I102" s="15">
        <v>32.0</v>
      </c>
      <c r="J102" s="16">
        <v>2975.0</v>
      </c>
      <c r="K102" s="15">
        <v>33.1</v>
      </c>
      <c r="L102" s="17">
        <v>0.03</v>
      </c>
      <c r="M102" s="18">
        <v>0.06</v>
      </c>
      <c r="N102" s="18">
        <v>0.09</v>
      </c>
      <c r="O102" s="18">
        <v>0.03</v>
      </c>
      <c r="P102" s="19">
        <v>0.0</v>
      </c>
      <c r="Q102" s="19">
        <v>0.0</v>
      </c>
      <c r="R102" s="18">
        <v>0.21</v>
      </c>
      <c r="S102" s="19">
        <v>0.0</v>
      </c>
      <c r="T102" s="14">
        <v>0.03</v>
      </c>
      <c r="U102" s="15">
        <v>0.06</v>
      </c>
      <c r="V102" s="15">
        <v>0.09</v>
      </c>
      <c r="W102" s="15">
        <v>0.03</v>
      </c>
      <c r="X102" s="15">
        <v>0.09</v>
      </c>
      <c r="Y102" s="20" t="s">
        <v>431</v>
      </c>
    </row>
    <row r="103">
      <c r="A103" s="9">
        <v>101.0</v>
      </c>
      <c r="B103" s="10" t="s">
        <v>432</v>
      </c>
      <c r="C103" s="11" t="s">
        <v>433</v>
      </c>
      <c r="D103" s="12" t="s">
        <v>36</v>
      </c>
      <c r="E103" s="13" t="s">
        <v>434</v>
      </c>
      <c r="F103" s="12">
        <v>22.0</v>
      </c>
      <c r="G103" s="12">
        <v>2003.0</v>
      </c>
      <c r="H103" s="14">
        <v>3.0</v>
      </c>
      <c r="I103" s="15">
        <v>2.0</v>
      </c>
      <c r="J103" s="15">
        <v>225.0</v>
      </c>
      <c r="K103" s="15">
        <v>2.5</v>
      </c>
      <c r="L103" s="22">
        <v>0.0</v>
      </c>
      <c r="M103" s="19">
        <v>0.0</v>
      </c>
      <c r="N103" s="19">
        <v>0.0</v>
      </c>
      <c r="O103" s="19">
        <v>0.0</v>
      </c>
      <c r="P103" s="19">
        <v>0.0</v>
      </c>
      <c r="Q103" s="19">
        <v>0.0</v>
      </c>
      <c r="R103" s="19">
        <v>0.0</v>
      </c>
      <c r="S103" s="19">
        <v>0.0</v>
      </c>
      <c r="T103" s="23">
        <v>0.0</v>
      </c>
      <c r="U103" s="21">
        <v>0.0</v>
      </c>
      <c r="V103" s="21">
        <v>0.0</v>
      </c>
      <c r="W103" s="21">
        <v>0.0</v>
      </c>
      <c r="X103" s="21">
        <v>0.0</v>
      </c>
      <c r="Y103" s="20" t="s">
        <v>435</v>
      </c>
    </row>
    <row r="104">
      <c r="A104" s="9">
        <v>102.0</v>
      </c>
      <c r="B104" s="10" t="s">
        <v>436</v>
      </c>
      <c r="C104" s="11" t="s">
        <v>437</v>
      </c>
      <c r="D104" s="12" t="s">
        <v>264</v>
      </c>
      <c r="E104" s="13" t="s">
        <v>438</v>
      </c>
      <c r="F104" s="12">
        <v>28.0</v>
      </c>
      <c r="G104" s="12">
        <v>1997.0</v>
      </c>
      <c r="H104" s="14">
        <v>18.0</v>
      </c>
      <c r="I104" s="15">
        <v>8.0</v>
      </c>
      <c r="J104" s="15">
        <v>874.0</v>
      </c>
      <c r="K104" s="15">
        <v>9.7</v>
      </c>
      <c r="L104" s="22">
        <v>0.0</v>
      </c>
      <c r="M104" s="18">
        <v>0.1</v>
      </c>
      <c r="N104" s="18">
        <v>0.1</v>
      </c>
      <c r="O104" s="19">
        <v>0.0</v>
      </c>
      <c r="P104" s="19">
        <v>0.0</v>
      </c>
      <c r="Q104" s="19">
        <v>0.0</v>
      </c>
      <c r="R104" s="18">
        <v>0.1</v>
      </c>
      <c r="S104" s="18">
        <v>0.1</v>
      </c>
      <c r="T104" s="23">
        <v>0.0</v>
      </c>
      <c r="U104" s="15">
        <v>0.1</v>
      </c>
      <c r="V104" s="15">
        <v>0.1</v>
      </c>
      <c r="W104" s="21">
        <v>0.0</v>
      </c>
      <c r="X104" s="15">
        <v>0.1</v>
      </c>
      <c r="Y104" s="20" t="s">
        <v>439</v>
      </c>
    </row>
    <row r="105">
      <c r="A105" s="9">
        <v>103.0</v>
      </c>
      <c r="B105" s="10" t="s">
        <v>440</v>
      </c>
      <c r="C105" s="11" t="s">
        <v>441</v>
      </c>
      <c r="D105" s="12" t="s">
        <v>36</v>
      </c>
      <c r="E105" s="13" t="s">
        <v>442</v>
      </c>
      <c r="F105" s="12">
        <v>21.0</v>
      </c>
      <c r="G105" s="12">
        <v>2003.0</v>
      </c>
      <c r="H105" s="14">
        <v>5.0</v>
      </c>
      <c r="I105" s="15">
        <v>2.0</v>
      </c>
      <c r="J105" s="15">
        <v>194.0</v>
      </c>
      <c r="K105" s="15">
        <v>2.2</v>
      </c>
      <c r="L105" s="22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8">
        <v>0.91</v>
      </c>
      <c r="S105" s="19">
        <v>0.0</v>
      </c>
      <c r="T105" s="23">
        <v>0.0</v>
      </c>
      <c r="U105" s="21">
        <v>0.0</v>
      </c>
      <c r="V105" s="21">
        <v>0.0</v>
      </c>
      <c r="W105" s="21">
        <v>0.0</v>
      </c>
      <c r="X105" s="21">
        <v>0.0</v>
      </c>
      <c r="Y105" s="20" t="s">
        <v>443</v>
      </c>
    </row>
    <row r="106">
      <c r="A106" s="9">
        <v>104.0</v>
      </c>
      <c r="B106" s="10" t="s">
        <v>444</v>
      </c>
      <c r="C106" s="11" t="s">
        <v>445</v>
      </c>
      <c r="D106" s="12" t="s">
        <v>36</v>
      </c>
      <c r="E106" s="13" t="s">
        <v>446</v>
      </c>
      <c r="F106" s="12">
        <v>27.0</v>
      </c>
      <c r="G106" s="12">
        <v>1998.0</v>
      </c>
      <c r="H106" s="14">
        <v>34.0</v>
      </c>
      <c r="I106" s="15">
        <v>31.0</v>
      </c>
      <c r="J106" s="16">
        <v>2707.0</v>
      </c>
      <c r="K106" s="15">
        <v>30.1</v>
      </c>
      <c r="L106" s="17">
        <v>0.03</v>
      </c>
      <c r="M106" s="18">
        <v>0.13</v>
      </c>
      <c r="N106" s="18">
        <v>0.17</v>
      </c>
      <c r="O106" s="18">
        <v>0.03</v>
      </c>
      <c r="P106" s="19">
        <v>0.0</v>
      </c>
      <c r="Q106" s="19">
        <v>0.0</v>
      </c>
      <c r="R106" s="18">
        <v>0.27</v>
      </c>
      <c r="S106" s="18">
        <v>0.03</v>
      </c>
      <c r="T106" s="14">
        <v>0.03</v>
      </c>
      <c r="U106" s="15">
        <v>0.13</v>
      </c>
      <c r="V106" s="15">
        <v>0.17</v>
      </c>
      <c r="W106" s="15">
        <v>0.03</v>
      </c>
      <c r="X106" s="15">
        <v>0.17</v>
      </c>
      <c r="Y106" s="20" t="s">
        <v>447</v>
      </c>
    </row>
    <row r="107">
      <c r="A107" s="9">
        <v>105.0</v>
      </c>
      <c r="B107" s="10" t="s">
        <v>448</v>
      </c>
      <c r="C107" s="11" t="s">
        <v>449</v>
      </c>
      <c r="D107" s="12" t="s">
        <v>36</v>
      </c>
      <c r="E107" s="13" t="s">
        <v>450</v>
      </c>
      <c r="F107" s="12">
        <v>25.0</v>
      </c>
      <c r="G107" s="12">
        <v>1999.0</v>
      </c>
      <c r="H107" s="14">
        <v>15.0</v>
      </c>
      <c r="I107" s="15">
        <v>11.0</v>
      </c>
      <c r="J107" s="15">
        <v>938.0</v>
      </c>
      <c r="K107" s="15">
        <v>10.4</v>
      </c>
      <c r="L107" s="22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8">
        <v>0.58</v>
      </c>
      <c r="S107" s="19">
        <v>0.0</v>
      </c>
      <c r="T107" s="23">
        <v>0.0</v>
      </c>
      <c r="U107" s="21">
        <v>0.0</v>
      </c>
      <c r="V107" s="21">
        <v>0.0</v>
      </c>
      <c r="W107" s="21">
        <v>0.0</v>
      </c>
      <c r="X107" s="21">
        <v>0.0</v>
      </c>
      <c r="Y107" s="20" t="s">
        <v>451</v>
      </c>
    </row>
    <row r="108">
      <c r="A108" s="9">
        <v>106.0</v>
      </c>
      <c r="B108" s="10" t="s">
        <v>452</v>
      </c>
      <c r="C108" s="11" t="s">
        <v>453</v>
      </c>
      <c r="D108" s="12" t="s">
        <v>31</v>
      </c>
      <c r="E108" s="13" t="s">
        <v>454</v>
      </c>
      <c r="F108" s="12">
        <v>29.0</v>
      </c>
      <c r="G108" s="12">
        <v>1996.0</v>
      </c>
      <c r="H108" s="14">
        <v>18.0</v>
      </c>
      <c r="I108" s="15">
        <v>18.0</v>
      </c>
      <c r="J108" s="16">
        <v>1514.0</v>
      </c>
      <c r="K108" s="15">
        <v>16.8</v>
      </c>
      <c r="L108" s="17">
        <v>0.12</v>
      </c>
      <c r="M108" s="18">
        <v>0.12</v>
      </c>
      <c r="N108" s="18">
        <v>0.24</v>
      </c>
      <c r="O108" s="18">
        <v>0.12</v>
      </c>
      <c r="P108" s="19">
        <v>0.0</v>
      </c>
      <c r="Q108" s="19">
        <v>0.0</v>
      </c>
      <c r="R108" s="18">
        <v>0.12</v>
      </c>
      <c r="S108" s="19">
        <v>0.0</v>
      </c>
      <c r="T108" s="14">
        <v>0.12</v>
      </c>
      <c r="U108" s="15">
        <v>0.12</v>
      </c>
      <c r="V108" s="15">
        <v>0.24</v>
      </c>
      <c r="W108" s="15">
        <v>0.12</v>
      </c>
      <c r="X108" s="15">
        <v>0.24</v>
      </c>
      <c r="Y108" s="20" t="s">
        <v>455</v>
      </c>
    </row>
    <row r="109">
      <c r="A109" s="9">
        <v>107.0</v>
      </c>
      <c r="B109" s="10" t="s">
        <v>456</v>
      </c>
      <c r="C109" s="11" t="s">
        <v>457</v>
      </c>
      <c r="D109" s="12" t="s">
        <v>36</v>
      </c>
      <c r="E109" s="13" t="s">
        <v>458</v>
      </c>
      <c r="F109" s="12">
        <v>20.0</v>
      </c>
      <c r="G109" s="12">
        <v>2005.0</v>
      </c>
      <c r="H109" s="14">
        <v>9.0</v>
      </c>
      <c r="I109" s="15">
        <v>6.0</v>
      </c>
      <c r="J109" s="15">
        <v>517.0</v>
      </c>
      <c r="K109" s="15">
        <v>5.7</v>
      </c>
      <c r="L109" s="22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23">
        <v>0.0</v>
      </c>
      <c r="U109" s="21">
        <v>0.0</v>
      </c>
      <c r="V109" s="21">
        <v>0.0</v>
      </c>
      <c r="W109" s="21">
        <v>0.0</v>
      </c>
      <c r="X109" s="21">
        <v>0.0</v>
      </c>
      <c r="Y109" s="20" t="s">
        <v>459</v>
      </c>
    </row>
    <row r="110">
      <c r="A110" s="9">
        <v>108.0</v>
      </c>
      <c r="B110" s="10" t="s">
        <v>460</v>
      </c>
      <c r="C110" s="11" t="s">
        <v>461</v>
      </c>
      <c r="D110" s="12" t="s">
        <v>26</v>
      </c>
      <c r="E110" s="13" t="s">
        <v>462</v>
      </c>
      <c r="F110" s="12">
        <v>26.0</v>
      </c>
      <c r="G110" s="12">
        <v>1999.0</v>
      </c>
      <c r="H110" s="14">
        <v>33.0</v>
      </c>
      <c r="I110" s="15">
        <v>29.0</v>
      </c>
      <c r="J110" s="16">
        <v>2494.0</v>
      </c>
      <c r="K110" s="15">
        <v>27.7</v>
      </c>
      <c r="L110" s="17">
        <v>0.36</v>
      </c>
      <c r="M110" s="18">
        <v>0.07</v>
      </c>
      <c r="N110" s="18">
        <v>0.43</v>
      </c>
      <c r="O110" s="18">
        <v>0.36</v>
      </c>
      <c r="P110" s="19">
        <v>0.0</v>
      </c>
      <c r="Q110" s="19">
        <v>0.0</v>
      </c>
      <c r="R110" s="18">
        <v>0.14</v>
      </c>
      <c r="S110" s="19">
        <v>0.0</v>
      </c>
      <c r="T110" s="14">
        <v>0.36</v>
      </c>
      <c r="U110" s="15">
        <v>0.07</v>
      </c>
      <c r="V110" s="15">
        <v>0.43</v>
      </c>
      <c r="W110" s="15">
        <v>0.36</v>
      </c>
      <c r="X110" s="15">
        <v>0.43</v>
      </c>
      <c r="Y110" s="20" t="s">
        <v>463</v>
      </c>
    </row>
    <row r="111">
      <c r="A111" s="9">
        <v>109.0</v>
      </c>
      <c r="B111" s="10" t="s">
        <v>464</v>
      </c>
      <c r="C111" s="11" t="s">
        <v>465</v>
      </c>
      <c r="D111" s="12" t="s">
        <v>345</v>
      </c>
      <c r="E111" s="13" t="s">
        <v>466</v>
      </c>
      <c r="F111" s="12">
        <v>26.0</v>
      </c>
      <c r="G111" s="12">
        <v>1999.0</v>
      </c>
      <c r="H111" s="14">
        <v>34.0</v>
      </c>
      <c r="I111" s="15">
        <v>29.0</v>
      </c>
      <c r="J111" s="16">
        <v>2614.0</v>
      </c>
      <c r="K111" s="15">
        <v>29.0</v>
      </c>
      <c r="L111" s="17">
        <v>0.03</v>
      </c>
      <c r="M111" s="18">
        <v>0.1</v>
      </c>
      <c r="N111" s="18">
        <v>0.14</v>
      </c>
      <c r="O111" s="18">
        <v>0.03</v>
      </c>
      <c r="P111" s="19">
        <v>0.0</v>
      </c>
      <c r="Q111" s="19">
        <v>0.0</v>
      </c>
      <c r="R111" s="18">
        <v>0.17</v>
      </c>
      <c r="S111" s="19">
        <v>0.0</v>
      </c>
      <c r="T111" s="14">
        <v>0.03</v>
      </c>
      <c r="U111" s="15">
        <v>0.1</v>
      </c>
      <c r="V111" s="15">
        <v>0.14</v>
      </c>
      <c r="W111" s="15">
        <v>0.03</v>
      </c>
      <c r="X111" s="15">
        <v>0.14</v>
      </c>
      <c r="Y111" s="20" t="s">
        <v>467</v>
      </c>
    </row>
    <row r="112">
      <c r="A112" s="9">
        <v>110.0</v>
      </c>
      <c r="B112" s="10" t="s">
        <v>468</v>
      </c>
      <c r="C112" s="11" t="s">
        <v>469</v>
      </c>
      <c r="D112" s="12" t="s">
        <v>31</v>
      </c>
      <c r="E112" s="13" t="s">
        <v>470</v>
      </c>
      <c r="F112" s="12">
        <v>25.0</v>
      </c>
      <c r="G112" s="12">
        <v>2000.0</v>
      </c>
      <c r="H112" s="14">
        <v>33.0</v>
      </c>
      <c r="I112" s="15">
        <v>24.0</v>
      </c>
      <c r="J112" s="16">
        <v>2054.0</v>
      </c>
      <c r="K112" s="15">
        <v>22.8</v>
      </c>
      <c r="L112" s="17">
        <v>0.18</v>
      </c>
      <c r="M112" s="18">
        <v>0.18</v>
      </c>
      <c r="N112" s="18">
        <v>0.35</v>
      </c>
      <c r="O112" s="18">
        <v>0.18</v>
      </c>
      <c r="P112" s="19">
        <v>0.0</v>
      </c>
      <c r="Q112" s="19">
        <v>0.0</v>
      </c>
      <c r="R112" s="19">
        <v>0.0</v>
      </c>
      <c r="S112" s="19">
        <v>0.0</v>
      </c>
      <c r="T112" s="14">
        <v>0.18</v>
      </c>
      <c r="U112" s="15">
        <v>0.18</v>
      </c>
      <c r="V112" s="15">
        <v>0.35</v>
      </c>
      <c r="W112" s="15">
        <v>0.18</v>
      </c>
      <c r="X112" s="15">
        <v>0.35</v>
      </c>
      <c r="Y112" s="20" t="s">
        <v>471</v>
      </c>
    </row>
    <row r="113">
      <c r="A113" s="9">
        <v>111.0</v>
      </c>
      <c r="B113" s="10" t="s">
        <v>472</v>
      </c>
      <c r="C113" s="11" t="s">
        <v>473</v>
      </c>
      <c r="D113" s="12" t="s">
        <v>36</v>
      </c>
      <c r="E113" s="13" t="s">
        <v>474</v>
      </c>
      <c r="F113" s="12">
        <v>26.0</v>
      </c>
      <c r="G113" s="12">
        <v>1998.0</v>
      </c>
      <c r="H113" s="14">
        <v>24.0</v>
      </c>
      <c r="I113" s="15">
        <v>17.0</v>
      </c>
      <c r="J113" s="16">
        <v>1494.0</v>
      </c>
      <c r="K113" s="15">
        <v>16.6</v>
      </c>
      <c r="L113" s="22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8">
        <v>0.48</v>
      </c>
      <c r="S113" s="19">
        <v>0.0</v>
      </c>
      <c r="T113" s="23">
        <v>0.0</v>
      </c>
      <c r="U113" s="21">
        <v>0.0</v>
      </c>
      <c r="V113" s="21">
        <v>0.0</v>
      </c>
      <c r="W113" s="21">
        <v>0.0</v>
      </c>
      <c r="X113" s="21">
        <v>0.0</v>
      </c>
      <c r="Y113" s="20" t="s">
        <v>475</v>
      </c>
    </row>
    <row r="114">
      <c r="A114" s="9">
        <v>112.0</v>
      </c>
      <c r="B114" s="10" t="s">
        <v>476</v>
      </c>
      <c r="C114" s="11" t="s">
        <v>477</v>
      </c>
      <c r="D114" s="12" t="s">
        <v>98</v>
      </c>
      <c r="E114" s="13" t="s">
        <v>478</v>
      </c>
      <c r="F114" s="12">
        <v>34.0</v>
      </c>
      <c r="G114" s="12">
        <v>1990.0</v>
      </c>
      <c r="H114" s="14">
        <v>22.0</v>
      </c>
      <c r="I114" s="15">
        <v>22.0</v>
      </c>
      <c r="J114" s="16">
        <v>1980.0</v>
      </c>
      <c r="K114" s="15">
        <v>22.0</v>
      </c>
      <c r="L114" s="22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8">
        <v>0.05</v>
      </c>
      <c r="S114" s="19">
        <v>0.0</v>
      </c>
      <c r="T114" s="23">
        <v>0.0</v>
      </c>
      <c r="U114" s="21">
        <v>0.0</v>
      </c>
      <c r="V114" s="21">
        <v>0.0</v>
      </c>
      <c r="W114" s="21">
        <v>0.0</v>
      </c>
      <c r="X114" s="21">
        <v>0.0</v>
      </c>
      <c r="Y114" s="20" t="s">
        <v>479</v>
      </c>
    </row>
    <row r="115">
      <c r="A115" s="9">
        <v>113.0</v>
      </c>
      <c r="B115" s="10" t="s">
        <v>480</v>
      </c>
      <c r="C115" s="11" t="s">
        <v>481</v>
      </c>
      <c r="D115" s="12" t="s">
        <v>31</v>
      </c>
      <c r="E115" s="13" t="s">
        <v>482</v>
      </c>
      <c r="F115" s="12">
        <v>26.0</v>
      </c>
      <c r="G115" s="12">
        <v>1998.0</v>
      </c>
      <c r="H115" s="14">
        <v>2.0</v>
      </c>
      <c r="I115" s="21">
        <v>0.0</v>
      </c>
      <c r="J115" s="15">
        <v>3.0</v>
      </c>
      <c r="K115" s="21">
        <v>0.0</v>
      </c>
      <c r="L115" s="23">
        <v>0.0</v>
      </c>
      <c r="M115" s="21">
        <v>0.0</v>
      </c>
      <c r="N115" s="21">
        <v>0.0</v>
      </c>
      <c r="O115" s="21">
        <v>0.0</v>
      </c>
      <c r="P115" s="21">
        <v>0.0</v>
      </c>
      <c r="Q115" s="21">
        <v>0.0</v>
      </c>
      <c r="R115" s="21">
        <v>0.0</v>
      </c>
      <c r="S115" s="21">
        <v>0.0</v>
      </c>
      <c r="T115" s="23">
        <v>0.0</v>
      </c>
      <c r="U115" s="21">
        <v>0.0</v>
      </c>
      <c r="V115" s="21">
        <v>0.0</v>
      </c>
      <c r="W115" s="21">
        <v>0.0</v>
      </c>
      <c r="X115" s="21">
        <v>0.0</v>
      </c>
      <c r="Y115" s="20" t="s">
        <v>483</v>
      </c>
    </row>
    <row r="116">
      <c r="A116" s="9">
        <v>114.0</v>
      </c>
      <c r="B116" s="10" t="s">
        <v>484</v>
      </c>
      <c r="C116" s="11" t="s">
        <v>485</v>
      </c>
      <c r="D116" s="12" t="s">
        <v>36</v>
      </c>
      <c r="E116" s="13" t="s">
        <v>486</v>
      </c>
      <c r="F116" s="12">
        <v>32.0</v>
      </c>
      <c r="G116" s="12">
        <v>1993.0</v>
      </c>
      <c r="H116" s="14">
        <v>3.0</v>
      </c>
      <c r="I116" s="15">
        <v>2.0</v>
      </c>
      <c r="J116" s="15">
        <v>137.0</v>
      </c>
      <c r="K116" s="15">
        <v>1.5</v>
      </c>
      <c r="L116" s="17">
        <v>0.67</v>
      </c>
      <c r="M116" s="19">
        <v>0.0</v>
      </c>
      <c r="N116" s="18">
        <v>0.67</v>
      </c>
      <c r="O116" s="18">
        <v>0.67</v>
      </c>
      <c r="P116" s="19">
        <v>0.0</v>
      </c>
      <c r="Q116" s="19">
        <v>0.0</v>
      </c>
      <c r="R116" s="18">
        <v>0.67</v>
      </c>
      <c r="S116" s="19">
        <v>0.0</v>
      </c>
      <c r="T116" s="14">
        <v>0.66</v>
      </c>
      <c r="U116" s="21">
        <v>0.0</v>
      </c>
      <c r="V116" s="15">
        <v>0.66</v>
      </c>
      <c r="W116" s="15">
        <v>0.66</v>
      </c>
      <c r="X116" s="15">
        <v>0.66</v>
      </c>
      <c r="Y116" s="20" t="s">
        <v>487</v>
      </c>
    </row>
    <row r="117">
      <c r="A117" s="9">
        <v>115.0</v>
      </c>
      <c r="B117" s="10" t="s">
        <v>488</v>
      </c>
      <c r="C117" s="11" t="s">
        <v>489</v>
      </c>
      <c r="D117" s="12" t="s">
        <v>345</v>
      </c>
      <c r="E117" s="13" t="s">
        <v>490</v>
      </c>
      <c r="F117" s="12">
        <v>24.0</v>
      </c>
      <c r="G117" s="12">
        <v>2000.0</v>
      </c>
      <c r="H117" s="14">
        <v>30.0</v>
      </c>
      <c r="I117" s="15">
        <v>17.0</v>
      </c>
      <c r="J117" s="16">
        <v>1415.0</v>
      </c>
      <c r="K117" s="15">
        <v>15.7</v>
      </c>
      <c r="L117" s="17">
        <v>0.13</v>
      </c>
      <c r="M117" s="18">
        <v>0.19</v>
      </c>
      <c r="N117" s="18">
        <v>0.32</v>
      </c>
      <c r="O117" s="18">
        <v>0.13</v>
      </c>
      <c r="P117" s="19">
        <v>0.0</v>
      </c>
      <c r="Q117" s="19">
        <v>0.0</v>
      </c>
      <c r="R117" s="18">
        <v>0.13</v>
      </c>
      <c r="S117" s="19">
        <v>0.0</v>
      </c>
      <c r="T117" s="14">
        <v>0.13</v>
      </c>
      <c r="U117" s="15">
        <v>0.19</v>
      </c>
      <c r="V117" s="15">
        <v>0.32</v>
      </c>
      <c r="W117" s="15">
        <v>0.13</v>
      </c>
      <c r="X117" s="15">
        <v>0.32</v>
      </c>
      <c r="Y117" s="20" t="s">
        <v>491</v>
      </c>
    </row>
    <row r="118">
      <c r="A118" s="9">
        <v>116.0</v>
      </c>
      <c r="B118" s="10" t="s">
        <v>492</v>
      </c>
      <c r="C118" s="11" t="s">
        <v>493</v>
      </c>
      <c r="D118" s="12" t="s">
        <v>41</v>
      </c>
      <c r="E118" s="13" t="s">
        <v>494</v>
      </c>
      <c r="F118" s="12">
        <v>22.0</v>
      </c>
      <c r="G118" s="12">
        <v>2003.0</v>
      </c>
      <c r="H118" s="14">
        <v>28.0</v>
      </c>
      <c r="I118" s="15">
        <v>12.0</v>
      </c>
      <c r="J118" s="16">
        <v>1107.0</v>
      </c>
      <c r="K118" s="15">
        <v>12.3</v>
      </c>
      <c r="L118" s="17">
        <v>0.08</v>
      </c>
      <c r="M118" s="19">
        <v>0.0</v>
      </c>
      <c r="N118" s="18">
        <v>0.08</v>
      </c>
      <c r="O118" s="18">
        <v>0.08</v>
      </c>
      <c r="P118" s="19">
        <v>0.0</v>
      </c>
      <c r="Q118" s="19">
        <v>0.0</v>
      </c>
      <c r="R118" s="18">
        <v>0.33</v>
      </c>
      <c r="S118" s="19">
        <v>0.0</v>
      </c>
      <c r="T118" s="14">
        <v>0.08</v>
      </c>
      <c r="U118" s="21">
        <v>0.0</v>
      </c>
      <c r="V118" s="15">
        <v>0.08</v>
      </c>
      <c r="W118" s="15">
        <v>0.08</v>
      </c>
      <c r="X118" s="15">
        <v>0.08</v>
      </c>
      <c r="Y118" s="20" t="s">
        <v>495</v>
      </c>
    </row>
    <row r="119">
      <c r="A119" s="9">
        <v>117.0</v>
      </c>
      <c r="B119" s="10" t="s">
        <v>496</v>
      </c>
      <c r="C119" s="11" t="s">
        <v>497</v>
      </c>
      <c r="D119" s="12" t="s">
        <v>36</v>
      </c>
      <c r="E119" s="13" t="s">
        <v>498</v>
      </c>
      <c r="F119" s="12">
        <v>23.0</v>
      </c>
      <c r="G119" s="12">
        <v>2001.0</v>
      </c>
      <c r="H119" s="14">
        <v>32.0</v>
      </c>
      <c r="I119" s="15">
        <v>30.0</v>
      </c>
      <c r="J119" s="16">
        <v>2763.0</v>
      </c>
      <c r="K119" s="15">
        <v>30.7</v>
      </c>
      <c r="L119" s="22">
        <v>0.0</v>
      </c>
      <c r="M119" s="18">
        <v>0.07</v>
      </c>
      <c r="N119" s="18">
        <v>0.07</v>
      </c>
      <c r="O119" s="19">
        <v>0.0</v>
      </c>
      <c r="P119" s="19">
        <v>0.0</v>
      </c>
      <c r="Q119" s="19">
        <v>0.0</v>
      </c>
      <c r="R119" s="18">
        <v>0.07</v>
      </c>
      <c r="S119" s="19">
        <v>0.0</v>
      </c>
      <c r="T119" s="23">
        <v>0.0</v>
      </c>
      <c r="U119" s="15">
        <v>0.07</v>
      </c>
      <c r="V119" s="15">
        <v>0.07</v>
      </c>
      <c r="W119" s="21">
        <v>0.0</v>
      </c>
      <c r="X119" s="15">
        <v>0.07</v>
      </c>
      <c r="Y119" s="20" t="s">
        <v>499</v>
      </c>
    </row>
    <row r="120">
      <c r="A120" s="9">
        <v>118.0</v>
      </c>
      <c r="B120" s="10" t="s">
        <v>500</v>
      </c>
      <c r="C120" s="11" t="s">
        <v>501</v>
      </c>
      <c r="D120" s="12" t="s">
        <v>31</v>
      </c>
      <c r="E120" s="13" t="s">
        <v>502</v>
      </c>
      <c r="F120" s="12">
        <v>18.0</v>
      </c>
      <c r="G120" s="12">
        <v>2007.0</v>
      </c>
      <c r="H120" s="14">
        <v>1.0</v>
      </c>
      <c r="I120" s="15">
        <v>1.0</v>
      </c>
      <c r="J120" s="15">
        <v>44.0</v>
      </c>
      <c r="K120" s="15">
        <v>0.5</v>
      </c>
      <c r="L120" s="22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23">
        <v>0.0</v>
      </c>
      <c r="U120" s="21">
        <v>0.0</v>
      </c>
      <c r="V120" s="21">
        <v>0.0</v>
      </c>
      <c r="W120" s="21">
        <v>0.0</v>
      </c>
      <c r="X120" s="21">
        <v>0.0</v>
      </c>
      <c r="Y120" s="20" t="s">
        <v>503</v>
      </c>
    </row>
    <row r="121">
      <c r="A121" s="9">
        <v>119.0</v>
      </c>
      <c r="B121" s="10" t="s">
        <v>504</v>
      </c>
      <c r="C121" s="11" t="s">
        <v>505</v>
      </c>
      <c r="D121" s="12" t="s">
        <v>26</v>
      </c>
      <c r="E121" s="13" t="s">
        <v>506</v>
      </c>
      <c r="F121" s="12">
        <v>21.0</v>
      </c>
      <c r="G121" s="12">
        <v>2003.0</v>
      </c>
      <c r="H121" s="14">
        <v>21.0</v>
      </c>
      <c r="I121" s="15">
        <v>7.0</v>
      </c>
      <c r="J121" s="15">
        <v>796.0</v>
      </c>
      <c r="K121" s="15">
        <v>8.8</v>
      </c>
      <c r="L121" s="17">
        <v>0.11</v>
      </c>
      <c r="M121" s="19">
        <v>0.0</v>
      </c>
      <c r="N121" s="18">
        <v>0.11</v>
      </c>
      <c r="O121" s="19">
        <v>0.0</v>
      </c>
      <c r="P121" s="18">
        <v>0.11</v>
      </c>
      <c r="Q121" s="18">
        <v>0.11</v>
      </c>
      <c r="R121" s="19">
        <v>0.0</v>
      </c>
      <c r="S121" s="19">
        <v>0.0</v>
      </c>
      <c r="T121" s="14">
        <v>0.11</v>
      </c>
      <c r="U121" s="21">
        <v>0.0</v>
      </c>
      <c r="V121" s="15">
        <v>0.11</v>
      </c>
      <c r="W121" s="21">
        <v>0.0</v>
      </c>
      <c r="X121" s="21">
        <v>0.0</v>
      </c>
      <c r="Y121" s="20" t="s">
        <v>507</v>
      </c>
    </row>
    <row r="122">
      <c r="A122" s="9">
        <v>120.0</v>
      </c>
      <c r="B122" s="10" t="s">
        <v>508</v>
      </c>
      <c r="C122" s="11" t="s">
        <v>509</v>
      </c>
      <c r="D122" s="12" t="s">
        <v>31</v>
      </c>
      <c r="E122" s="13" t="s">
        <v>510</v>
      </c>
      <c r="F122" s="12">
        <v>26.0</v>
      </c>
      <c r="G122" s="12">
        <v>1998.0</v>
      </c>
      <c r="H122" s="14">
        <v>31.0</v>
      </c>
      <c r="I122" s="15">
        <v>30.0</v>
      </c>
      <c r="J122" s="16">
        <v>2626.0</v>
      </c>
      <c r="K122" s="15">
        <v>29.2</v>
      </c>
      <c r="L122" s="17">
        <v>0.27</v>
      </c>
      <c r="M122" s="18">
        <v>0.14</v>
      </c>
      <c r="N122" s="18">
        <v>0.41</v>
      </c>
      <c r="O122" s="18">
        <v>0.27</v>
      </c>
      <c r="P122" s="19">
        <v>0.0</v>
      </c>
      <c r="Q122" s="19">
        <v>0.0</v>
      </c>
      <c r="R122" s="18">
        <v>0.21</v>
      </c>
      <c r="S122" s="19">
        <v>0.0</v>
      </c>
      <c r="T122" s="14">
        <v>0.27</v>
      </c>
      <c r="U122" s="15">
        <v>0.14</v>
      </c>
      <c r="V122" s="15">
        <v>0.41</v>
      </c>
      <c r="W122" s="15">
        <v>0.27</v>
      </c>
      <c r="X122" s="15">
        <v>0.41</v>
      </c>
      <c r="Y122" s="20" t="s">
        <v>511</v>
      </c>
    </row>
    <row r="123">
      <c r="A123" s="9">
        <v>121.0</v>
      </c>
      <c r="B123" s="10" t="s">
        <v>512</v>
      </c>
      <c r="C123" s="11" t="s">
        <v>513</v>
      </c>
      <c r="D123" s="12" t="s">
        <v>36</v>
      </c>
      <c r="E123" s="13" t="s">
        <v>514</v>
      </c>
      <c r="F123" s="12">
        <v>24.0</v>
      </c>
      <c r="G123" s="12">
        <v>2001.0</v>
      </c>
      <c r="H123" s="14">
        <v>18.0</v>
      </c>
      <c r="I123" s="15">
        <v>15.0</v>
      </c>
      <c r="J123" s="16">
        <v>1277.0</v>
      </c>
      <c r="K123" s="15">
        <v>14.2</v>
      </c>
      <c r="L123" s="22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8">
        <v>0.07</v>
      </c>
      <c r="S123" s="19">
        <v>0.0</v>
      </c>
      <c r="T123" s="23">
        <v>0.0</v>
      </c>
      <c r="U123" s="21">
        <v>0.0</v>
      </c>
      <c r="V123" s="21">
        <v>0.0</v>
      </c>
      <c r="W123" s="21">
        <v>0.0</v>
      </c>
      <c r="X123" s="21">
        <v>0.0</v>
      </c>
      <c r="Y123" s="20" t="s">
        <v>515</v>
      </c>
    </row>
    <row r="124">
      <c r="A124" s="9">
        <v>122.0</v>
      </c>
      <c r="B124" s="10" t="s">
        <v>516</v>
      </c>
      <c r="C124" s="11" t="s">
        <v>517</v>
      </c>
      <c r="D124" s="12" t="s">
        <v>31</v>
      </c>
      <c r="E124" s="13" t="s">
        <v>518</v>
      </c>
      <c r="F124" s="12">
        <v>23.0</v>
      </c>
      <c r="G124" s="12">
        <v>2002.0</v>
      </c>
      <c r="H124" s="14">
        <v>32.0</v>
      </c>
      <c r="I124" s="15">
        <v>27.0</v>
      </c>
      <c r="J124" s="16">
        <v>2341.0</v>
      </c>
      <c r="K124" s="15">
        <v>26.0</v>
      </c>
      <c r="L124" s="17">
        <v>0.08</v>
      </c>
      <c r="M124" s="18">
        <v>0.12</v>
      </c>
      <c r="N124" s="18">
        <v>0.19</v>
      </c>
      <c r="O124" s="18">
        <v>0.08</v>
      </c>
      <c r="P124" s="19">
        <v>0.0</v>
      </c>
      <c r="Q124" s="19">
        <v>0.0</v>
      </c>
      <c r="R124" s="18">
        <v>0.08</v>
      </c>
      <c r="S124" s="19">
        <v>0.0</v>
      </c>
      <c r="T124" s="14">
        <v>0.08</v>
      </c>
      <c r="U124" s="15">
        <v>0.12</v>
      </c>
      <c r="V124" s="15">
        <v>0.19</v>
      </c>
      <c r="W124" s="15">
        <v>0.08</v>
      </c>
      <c r="X124" s="15">
        <v>0.19</v>
      </c>
      <c r="Y124" s="20" t="s">
        <v>519</v>
      </c>
    </row>
    <row r="125">
      <c r="A125" s="9">
        <v>123.0</v>
      </c>
      <c r="B125" s="10" t="s">
        <v>520</v>
      </c>
      <c r="C125" s="11" t="s">
        <v>521</v>
      </c>
      <c r="D125" s="12" t="s">
        <v>31</v>
      </c>
      <c r="E125" s="13" t="s">
        <v>522</v>
      </c>
      <c r="F125" s="12">
        <v>21.0</v>
      </c>
      <c r="G125" s="12">
        <v>2004.0</v>
      </c>
      <c r="H125" s="14">
        <v>20.0</v>
      </c>
      <c r="I125" s="15">
        <v>15.0</v>
      </c>
      <c r="J125" s="16">
        <v>1405.0</v>
      </c>
      <c r="K125" s="15">
        <v>15.6</v>
      </c>
      <c r="L125" s="17">
        <v>0.13</v>
      </c>
      <c r="M125" s="18">
        <v>0.13</v>
      </c>
      <c r="N125" s="18">
        <v>0.26</v>
      </c>
      <c r="O125" s="18">
        <v>0.06</v>
      </c>
      <c r="P125" s="18">
        <v>0.06</v>
      </c>
      <c r="Q125" s="18">
        <v>0.06</v>
      </c>
      <c r="R125" s="18">
        <v>0.38</v>
      </c>
      <c r="S125" s="19">
        <v>0.0</v>
      </c>
      <c r="T125" s="14">
        <v>0.13</v>
      </c>
      <c r="U125" s="15">
        <v>0.13</v>
      </c>
      <c r="V125" s="15">
        <v>0.26</v>
      </c>
      <c r="W125" s="15">
        <v>0.06</v>
      </c>
      <c r="X125" s="15">
        <v>0.19</v>
      </c>
      <c r="Y125" s="20" t="s">
        <v>523</v>
      </c>
    </row>
    <row r="126">
      <c r="A126" s="9">
        <v>124.0</v>
      </c>
      <c r="B126" s="10" t="s">
        <v>524</v>
      </c>
      <c r="C126" s="11" t="s">
        <v>525</v>
      </c>
      <c r="D126" s="12" t="s">
        <v>36</v>
      </c>
      <c r="E126" s="13" t="s">
        <v>526</v>
      </c>
      <c r="F126" s="12">
        <v>28.0</v>
      </c>
      <c r="G126" s="12">
        <v>1997.0</v>
      </c>
      <c r="H126" s="14">
        <v>26.0</v>
      </c>
      <c r="I126" s="15">
        <v>24.0</v>
      </c>
      <c r="J126" s="16">
        <v>2141.0</v>
      </c>
      <c r="K126" s="15">
        <v>23.8</v>
      </c>
      <c r="L126" s="17">
        <v>0.08</v>
      </c>
      <c r="M126" s="19">
        <v>0.0</v>
      </c>
      <c r="N126" s="18">
        <v>0.08</v>
      </c>
      <c r="O126" s="18">
        <v>0.08</v>
      </c>
      <c r="P126" s="19">
        <v>0.0</v>
      </c>
      <c r="Q126" s="19">
        <v>0.0</v>
      </c>
      <c r="R126" s="18">
        <v>0.13</v>
      </c>
      <c r="S126" s="19">
        <v>0.0</v>
      </c>
      <c r="T126" s="14">
        <v>0.08</v>
      </c>
      <c r="U126" s="21">
        <v>0.0</v>
      </c>
      <c r="V126" s="15">
        <v>0.08</v>
      </c>
      <c r="W126" s="15">
        <v>0.08</v>
      </c>
      <c r="X126" s="15">
        <v>0.08</v>
      </c>
      <c r="Y126" s="20" t="s">
        <v>527</v>
      </c>
    </row>
    <row r="127">
      <c r="A127" s="9">
        <v>125.0</v>
      </c>
      <c r="B127" s="10" t="s">
        <v>528</v>
      </c>
      <c r="C127" s="11" t="s">
        <v>529</v>
      </c>
      <c r="D127" s="12" t="s">
        <v>31</v>
      </c>
      <c r="E127" s="13" t="s">
        <v>530</v>
      </c>
      <c r="F127" s="12">
        <v>19.0</v>
      </c>
      <c r="G127" s="12">
        <v>2006.0</v>
      </c>
      <c r="H127" s="14">
        <v>14.0</v>
      </c>
      <c r="I127" s="15">
        <v>4.0</v>
      </c>
      <c r="J127" s="15">
        <v>358.0</v>
      </c>
      <c r="K127" s="15">
        <v>4.0</v>
      </c>
      <c r="L127" s="22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8">
        <v>0.5</v>
      </c>
      <c r="S127" s="19">
        <v>0.0</v>
      </c>
      <c r="T127" s="23">
        <v>0.0</v>
      </c>
      <c r="U127" s="21">
        <v>0.0</v>
      </c>
      <c r="V127" s="21">
        <v>0.0</v>
      </c>
      <c r="W127" s="21">
        <v>0.0</v>
      </c>
      <c r="X127" s="21">
        <v>0.0</v>
      </c>
      <c r="Y127" s="20" t="s">
        <v>531</v>
      </c>
    </row>
    <row r="128">
      <c r="A128" s="9">
        <v>126.0</v>
      </c>
      <c r="B128" s="10" t="s">
        <v>532</v>
      </c>
      <c r="C128" s="11" t="s">
        <v>533</v>
      </c>
      <c r="D128" s="12" t="s">
        <v>36</v>
      </c>
      <c r="E128" s="13" t="s">
        <v>534</v>
      </c>
      <c r="F128" s="12">
        <v>32.0</v>
      </c>
      <c r="G128" s="12">
        <v>1993.0</v>
      </c>
      <c r="H128" s="14">
        <v>31.0</v>
      </c>
      <c r="I128" s="15">
        <v>21.0</v>
      </c>
      <c r="J128" s="16">
        <v>1852.0</v>
      </c>
      <c r="K128" s="15">
        <v>20.6</v>
      </c>
      <c r="L128" s="22">
        <v>0.0</v>
      </c>
      <c r="M128" s="18">
        <v>0.29</v>
      </c>
      <c r="N128" s="18">
        <v>0.29</v>
      </c>
      <c r="O128" s="19">
        <v>0.0</v>
      </c>
      <c r="P128" s="19">
        <v>0.0</v>
      </c>
      <c r="Q128" s="19">
        <v>0.0</v>
      </c>
      <c r="R128" s="18">
        <v>0.15</v>
      </c>
      <c r="S128" s="19">
        <v>0.0</v>
      </c>
      <c r="T128" s="23">
        <v>0.0</v>
      </c>
      <c r="U128" s="15">
        <v>0.29</v>
      </c>
      <c r="V128" s="15">
        <v>0.29</v>
      </c>
      <c r="W128" s="21">
        <v>0.0</v>
      </c>
      <c r="X128" s="15">
        <v>0.29</v>
      </c>
      <c r="Y128" s="20" t="s">
        <v>535</v>
      </c>
    </row>
    <row r="129">
      <c r="A129" s="9">
        <v>127.0</v>
      </c>
      <c r="B129" s="10" t="s">
        <v>536</v>
      </c>
      <c r="C129" s="11" t="s">
        <v>537</v>
      </c>
      <c r="D129" s="12" t="s">
        <v>36</v>
      </c>
      <c r="E129" s="13" t="s">
        <v>538</v>
      </c>
      <c r="F129" s="12">
        <v>28.0</v>
      </c>
      <c r="G129" s="12">
        <v>1997.0</v>
      </c>
      <c r="H129" s="14">
        <v>13.0</v>
      </c>
      <c r="I129" s="15">
        <v>8.0</v>
      </c>
      <c r="J129" s="15">
        <v>816.0</v>
      </c>
      <c r="K129" s="15">
        <v>9.1</v>
      </c>
      <c r="L129" s="17">
        <v>0.11</v>
      </c>
      <c r="M129" s="19">
        <v>0.0</v>
      </c>
      <c r="N129" s="18">
        <v>0.11</v>
      </c>
      <c r="O129" s="18">
        <v>0.11</v>
      </c>
      <c r="P129" s="19">
        <v>0.0</v>
      </c>
      <c r="Q129" s="19">
        <v>0.0</v>
      </c>
      <c r="R129" s="18">
        <v>0.22</v>
      </c>
      <c r="S129" s="19">
        <v>0.0</v>
      </c>
      <c r="T129" s="14">
        <v>0.11</v>
      </c>
      <c r="U129" s="21">
        <v>0.0</v>
      </c>
      <c r="V129" s="15">
        <v>0.11</v>
      </c>
      <c r="W129" s="15">
        <v>0.11</v>
      </c>
      <c r="X129" s="15">
        <v>0.11</v>
      </c>
      <c r="Y129" s="20" t="s">
        <v>539</v>
      </c>
    </row>
    <row r="130">
      <c r="A130" s="9">
        <v>128.0</v>
      </c>
      <c r="B130" s="10" t="s">
        <v>540</v>
      </c>
      <c r="C130" s="11" t="s">
        <v>541</v>
      </c>
      <c r="D130" s="12" t="s">
        <v>345</v>
      </c>
      <c r="E130" s="13" t="s">
        <v>542</v>
      </c>
      <c r="F130" s="12">
        <v>20.0</v>
      </c>
      <c r="G130" s="12">
        <v>2004.0</v>
      </c>
      <c r="H130" s="14">
        <v>32.0</v>
      </c>
      <c r="I130" s="15">
        <v>30.0</v>
      </c>
      <c r="J130" s="16">
        <v>2707.0</v>
      </c>
      <c r="K130" s="15">
        <v>30.1</v>
      </c>
      <c r="L130" s="22">
        <v>0.0</v>
      </c>
      <c r="M130" s="18">
        <v>0.17</v>
      </c>
      <c r="N130" s="18">
        <v>0.17</v>
      </c>
      <c r="O130" s="19">
        <v>0.0</v>
      </c>
      <c r="P130" s="19">
        <v>0.0</v>
      </c>
      <c r="Q130" s="19">
        <v>0.0</v>
      </c>
      <c r="R130" s="18">
        <v>0.2</v>
      </c>
      <c r="S130" s="19">
        <v>0.0</v>
      </c>
      <c r="T130" s="23">
        <v>0.0</v>
      </c>
      <c r="U130" s="15">
        <v>0.17</v>
      </c>
      <c r="V130" s="15">
        <v>0.17</v>
      </c>
      <c r="W130" s="21">
        <v>0.0</v>
      </c>
      <c r="X130" s="15">
        <v>0.17</v>
      </c>
      <c r="Y130" s="20" t="s">
        <v>543</v>
      </c>
    </row>
    <row r="131">
      <c r="A131" s="9">
        <v>129.0</v>
      </c>
      <c r="B131" s="10" t="s">
        <v>544</v>
      </c>
      <c r="C131" s="11" t="s">
        <v>545</v>
      </c>
      <c r="D131" s="12" t="s">
        <v>36</v>
      </c>
      <c r="E131" s="13" t="s">
        <v>546</v>
      </c>
      <c r="F131" s="12">
        <v>27.0</v>
      </c>
      <c r="G131" s="12">
        <v>1998.0</v>
      </c>
      <c r="H131" s="14">
        <v>14.0</v>
      </c>
      <c r="I131" s="15">
        <v>14.0</v>
      </c>
      <c r="J131" s="16">
        <v>1254.0</v>
      </c>
      <c r="K131" s="15">
        <v>13.9</v>
      </c>
      <c r="L131" s="22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8">
        <v>0.07</v>
      </c>
      <c r="S131" s="19">
        <v>0.0</v>
      </c>
      <c r="T131" s="23">
        <v>0.0</v>
      </c>
      <c r="U131" s="21">
        <v>0.0</v>
      </c>
      <c r="V131" s="21">
        <v>0.0</v>
      </c>
      <c r="W131" s="21">
        <v>0.0</v>
      </c>
      <c r="X131" s="21">
        <v>0.0</v>
      </c>
      <c r="Y131" s="20" t="s">
        <v>547</v>
      </c>
    </row>
    <row r="132">
      <c r="A132" s="9">
        <v>130.0</v>
      </c>
      <c r="B132" s="10" t="s">
        <v>548</v>
      </c>
      <c r="C132" s="11" t="s">
        <v>549</v>
      </c>
      <c r="D132" s="12" t="s">
        <v>345</v>
      </c>
      <c r="E132" s="13" t="s">
        <v>550</v>
      </c>
      <c r="F132" s="12">
        <v>33.0</v>
      </c>
      <c r="G132" s="12">
        <v>1992.0</v>
      </c>
      <c r="H132" s="14">
        <v>11.0</v>
      </c>
      <c r="I132" s="15">
        <v>11.0</v>
      </c>
      <c r="J132" s="15">
        <v>787.0</v>
      </c>
      <c r="K132" s="15">
        <v>8.7</v>
      </c>
      <c r="L132" s="22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8">
        <v>0.46</v>
      </c>
      <c r="S132" s="19">
        <v>0.0</v>
      </c>
      <c r="T132" s="23">
        <v>0.0</v>
      </c>
      <c r="U132" s="21">
        <v>0.0</v>
      </c>
      <c r="V132" s="21">
        <v>0.0</v>
      </c>
      <c r="W132" s="21">
        <v>0.0</v>
      </c>
      <c r="X132" s="21">
        <v>0.0</v>
      </c>
      <c r="Y132" s="20" t="s">
        <v>551</v>
      </c>
    </row>
    <row r="133">
      <c r="A133" s="9">
        <v>131.0</v>
      </c>
      <c r="B133" s="10" t="s">
        <v>552</v>
      </c>
      <c r="C133" s="11" t="s">
        <v>553</v>
      </c>
      <c r="D133" s="12" t="s">
        <v>26</v>
      </c>
      <c r="E133" s="13" t="s">
        <v>554</v>
      </c>
      <c r="F133" s="12">
        <v>23.0</v>
      </c>
      <c r="G133" s="12">
        <v>2002.0</v>
      </c>
      <c r="H133" s="14">
        <v>30.0</v>
      </c>
      <c r="I133" s="15">
        <v>19.0</v>
      </c>
      <c r="J133" s="16">
        <v>1784.0</v>
      </c>
      <c r="K133" s="15">
        <v>19.8</v>
      </c>
      <c r="L133" s="17">
        <v>0.25</v>
      </c>
      <c r="M133" s="18">
        <v>0.25</v>
      </c>
      <c r="N133" s="18">
        <v>0.51</v>
      </c>
      <c r="O133" s="18">
        <v>0.25</v>
      </c>
      <c r="P133" s="19">
        <v>0.0</v>
      </c>
      <c r="Q133" s="19">
        <v>0.0</v>
      </c>
      <c r="R133" s="19">
        <v>0.0</v>
      </c>
      <c r="S133" s="19">
        <v>0.0</v>
      </c>
      <c r="T133" s="14">
        <v>0.25</v>
      </c>
      <c r="U133" s="15">
        <v>0.25</v>
      </c>
      <c r="V133" s="15">
        <v>0.5</v>
      </c>
      <c r="W133" s="15">
        <v>0.25</v>
      </c>
      <c r="X133" s="15">
        <v>0.5</v>
      </c>
      <c r="Y133" s="20" t="s">
        <v>555</v>
      </c>
    </row>
    <row r="134">
      <c r="A134" s="9">
        <v>132.0</v>
      </c>
      <c r="B134" s="10" t="s">
        <v>556</v>
      </c>
      <c r="C134" s="11" t="s">
        <v>557</v>
      </c>
      <c r="D134" s="12" t="s">
        <v>31</v>
      </c>
      <c r="E134" s="13" t="s">
        <v>558</v>
      </c>
      <c r="F134" s="12">
        <v>27.0</v>
      </c>
      <c r="G134" s="12">
        <v>1998.0</v>
      </c>
      <c r="H134" s="14">
        <v>27.0</v>
      </c>
      <c r="I134" s="15">
        <v>17.0</v>
      </c>
      <c r="J134" s="16">
        <v>1175.0</v>
      </c>
      <c r="K134" s="15">
        <v>13.1</v>
      </c>
      <c r="L134" s="17">
        <v>0.08</v>
      </c>
      <c r="M134" s="18">
        <v>0.08</v>
      </c>
      <c r="N134" s="18">
        <v>0.15</v>
      </c>
      <c r="O134" s="18">
        <v>0.08</v>
      </c>
      <c r="P134" s="19">
        <v>0.0</v>
      </c>
      <c r="Q134" s="19">
        <v>0.0</v>
      </c>
      <c r="R134" s="18">
        <v>0.23</v>
      </c>
      <c r="S134" s="19">
        <v>0.0</v>
      </c>
      <c r="T134" s="14">
        <v>0.08</v>
      </c>
      <c r="U134" s="15">
        <v>0.08</v>
      </c>
      <c r="V134" s="15">
        <v>0.15</v>
      </c>
      <c r="W134" s="15">
        <v>0.08</v>
      </c>
      <c r="X134" s="15">
        <v>0.15</v>
      </c>
      <c r="Y134" s="20" t="s">
        <v>559</v>
      </c>
    </row>
    <row r="135">
      <c r="A135" s="9">
        <v>133.0</v>
      </c>
      <c r="B135" s="10" t="s">
        <v>560</v>
      </c>
      <c r="C135" s="11" t="s">
        <v>561</v>
      </c>
      <c r="D135" s="12" t="s">
        <v>98</v>
      </c>
      <c r="E135" s="13" t="s">
        <v>562</v>
      </c>
      <c r="F135" s="12">
        <v>26.0</v>
      </c>
      <c r="G135" s="12">
        <v>1999.0</v>
      </c>
      <c r="H135" s="14">
        <v>34.0</v>
      </c>
      <c r="I135" s="15">
        <v>34.0</v>
      </c>
      <c r="J135" s="16">
        <v>3060.0</v>
      </c>
      <c r="K135" s="15">
        <v>34.0</v>
      </c>
      <c r="L135" s="22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8">
        <v>0.24</v>
      </c>
      <c r="S135" s="19">
        <v>0.0</v>
      </c>
      <c r="T135" s="23">
        <v>0.0</v>
      </c>
      <c r="U135" s="21">
        <v>0.0</v>
      </c>
      <c r="V135" s="21">
        <v>0.0</v>
      </c>
      <c r="W135" s="21">
        <v>0.0</v>
      </c>
      <c r="X135" s="21">
        <v>0.0</v>
      </c>
      <c r="Y135" s="20" t="s">
        <v>563</v>
      </c>
    </row>
    <row r="136">
      <c r="A136" s="9">
        <v>134.0</v>
      </c>
      <c r="B136" s="10" t="s">
        <v>564</v>
      </c>
      <c r="C136" s="11" t="s">
        <v>565</v>
      </c>
      <c r="D136" s="12" t="s">
        <v>41</v>
      </c>
      <c r="E136" s="13" t="s">
        <v>566</v>
      </c>
      <c r="F136" s="12">
        <v>18.0</v>
      </c>
      <c r="G136" s="12">
        <v>2006.0</v>
      </c>
      <c r="H136" s="14">
        <v>4.0</v>
      </c>
      <c r="I136" s="21">
        <v>0.0</v>
      </c>
      <c r="J136" s="15">
        <v>41.0</v>
      </c>
      <c r="K136" s="15">
        <v>0.5</v>
      </c>
      <c r="L136" s="22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23">
        <v>0.0</v>
      </c>
      <c r="U136" s="21">
        <v>0.0</v>
      </c>
      <c r="V136" s="21">
        <v>0.0</v>
      </c>
      <c r="W136" s="21">
        <v>0.0</v>
      </c>
      <c r="X136" s="21">
        <v>0.0</v>
      </c>
      <c r="Y136" s="20" t="s">
        <v>567</v>
      </c>
    </row>
    <row r="137">
      <c r="A137" s="9">
        <v>135.0</v>
      </c>
      <c r="B137" s="10" t="s">
        <v>568</v>
      </c>
      <c r="C137" s="11" t="s">
        <v>569</v>
      </c>
      <c r="D137" s="12" t="s">
        <v>31</v>
      </c>
      <c r="E137" s="13" t="s">
        <v>570</v>
      </c>
      <c r="F137" s="12">
        <v>20.0</v>
      </c>
      <c r="G137" s="12">
        <v>2004.0</v>
      </c>
      <c r="H137" s="14">
        <v>26.0</v>
      </c>
      <c r="I137" s="15">
        <v>15.0</v>
      </c>
      <c r="J137" s="16">
        <v>1449.0</v>
      </c>
      <c r="K137" s="15">
        <v>16.1</v>
      </c>
      <c r="L137" s="17">
        <v>0.25</v>
      </c>
      <c r="M137" s="18">
        <v>0.25</v>
      </c>
      <c r="N137" s="18">
        <v>0.5</v>
      </c>
      <c r="O137" s="18">
        <v>0.25</v>
      </c>
      <c r="P137" s="19">
        <v>0.0</v>
      </c>
      <c r="Q137" s="19">
        <v>0.0</v>
      </c>
      <c r="R137" s="18">
        <v>0.31</v>
      </c>
      <c r="S137" s="19">
        <v>0.0</v>
      </c>
      <c r="T137" s="14">
        <v>0.25</v>
      </c>
      <c r="U137" s="15">
        <v>0.25</v>
      </c>
      <c r="V137" s="15">
        <v>0.5</v>
      </c>
      <c r="W137" s="15">
        <v>0.25</v>
      </c>
      <c r="X137" s="15">
        <v>0.5</v>
      </c>
      <c r="Y137" s="20" t="s">
        <v>571</v>
      </c>
    </row>
    <row r="138">
      <c r="A138" s="9">
        <v>136.0</v>
      </c>
      <c r="B138" s="10" t="s">
        <v>572</v>
      </c>
      <c r="C138" s="11" t="s">
        <v>573</v>
      </c>
      <c r="D138" s="12" t="s">
        <v>31</v>
      </c>
      <c r="E138" s="13" t="s">
        <v>574</v>
      </c>
      <c r="F138" s="12">
        <v>15.0</v>
      </c>
      <c r="G138" s="12">
        <v>2009.0</v>
      </c>
      <c r="H138" s="14">
        <v>6.0</v>
      </c>
      <c r="I138" s="15">
        <v>1.0</v>
      </c>
      <c r="J138" s="15">
        <v>157.0</v>
      </c>
      <c r="K138" s="15">
        <v>1.7</v>
      </c>
      <c r="L138" s="17">
        <v>0.59</v>
      </c>
      <c r="M138" s="19">
        <v>0.0</v>
      </c>
      <c r="N138" s="18">
        <v>0.59</v>
      </c>
      <c r="O138" s="18">
        <v>0.59</v>
      </c>
      <c r="P138" s="19">
        <v>0.0</v>
      </c>
      <c r="Q138" s="19">
        <v>0.0</v>
      </c>
      <c r="R138" s="19">
        <v>0.0</v>
      </c>
      <c r="S138" s="19">
        <v>0.0</v>
      </c>
      <c r="T138" s="14">
        <v>0.57</v>
      </c>
      <c r="U138" s="21">
        <v>0.0</v>
      </c>
      <c r="V138" s="15">
        <v>0.57</v>
      </c>
      <c r="W138" s="15">
        <v>0.57</v>
      </c>
      <c r="X138" s="15">
        <v>0.57</v>
      </c>
      <c r="Y138" s="20" t="s">
        <v>575</v>
      </c>
    </row>
    <row r="139">
      <c r="A139" s="9">
        <v>137.0</v>
      </c>
      <c r="B139" s="10" t="s">
        <v>576</v>
      </c>
      <c r="C139" s="11" t="s">
        <v>577</v>
      </c>
      <c r="D139" s="12" t="s">
        <v>36</v>
      </c>
      <c r="E139" s="13" t="s">
        <v>578</v>
      </c>
      <c r="F139" s="12">
        <v>23.0</v>
      </c>
      <c r="G139" s="12">
        <v>2002.0</v>
      </c>
      <c r="H139" s="14">
        <v>10.0</v>
      </c>
      <c r="I139" s="15">
        <v>5.0</v>
      </c>
      <c r="J139" s="15">
        <v>517.0</v>
      </c>
      <c r="K139" s="15">
        <v>5.7</v>
      </c>
      <c r="L139" s="22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23">
        <v>0.0</v>
      </c>
      <c r="U139" s="21">
        <v>0.0</v>
      </c>
      <c r="V139" s="21">
        <v>0.0</v>
      </c>
      <c r="W139" s="21">
        <v>0.0</v>
      </c>
      <c r="X139" s="21">
        <v>0.0</v>
      </c>
      <c r="Y139" s="20" t="s">
        <v>579</v>
      </c>
    </row>
    <row r="140">
      <c r="A140" s="9">
        <v>138.0</v>
      </c>
      <c r="B140" s="10" t="s">
        <v>580</v>
      </c>
      <c r="C140" s="11" t="s">
        <v>581</v>
      </c>
      <c r="D140" s="12" t="s">
        <v>31</v>
      </c>
      <c r="E140" s="13" t="s">
        <v>582</v>
      </c>
      <c r="F140" s="12">
        <v>16.0</v>
      </c>
      <c r="G140" s="12">
        <v>2009.0</v>
      </c>
      <c r="H140" s="14">
        <v>2.0</v>
      </c>
      <c r="I140" s="21">
        <v>0.0</v>
      </c>
      <c r="J140" s="15">
        <v>9.0</v>
      </c>
      <c r="K140" s="15">
        <v>0.1</v>
      </c>
      <c r="L140" s="22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23">
        <v>0.0</v>
      </c>
      <c r="U140" s="21">
        <v>0.0</v>
      </c>
      <c r="V140" s="21">
        <v>0.0</v>
      </c>
      <c r="W140" s="21">
        <v>0.0</v>
      </c>
      <c r="X140" s="21">
        <v>0.0</v>
      </c>
      <c r="Y140" s="20" t="s">
        <v>583</v>
      </c>
    </row>
    <row r="141">
      <c r="A141" s="9">
        <v>139.0</v>
      </c>
      <c r="B141" s="10" t="s">
        <v>584</v>
      </c>
      <c r="C141" s="11" t="s">
        <v>585</v>
      </c>
      <c r="D141" s="12" t="s">
        <v>98</v>
      </c>
      <c r="E141" s="13" t="s">
        <v>586</v>
      </c>
      <c r="F141" s="12">
        <v>36.0</v>
      </c>
      <c r="G141" s="12">
        <v>1989.0</v>
      </c>
      <c r="H141" s="14">
        <v>35.0</v>
      </c>
      <c r="I141" s="15">
        <v>35.0</v>
      </c>
      <c r="J141" s="16">
        <v>3150.0</v>
      </c>
      <c r="K141" s="15">
        <v>35.0</v>
      </c>
      <c r="L141" s="22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8">
        <v>0.03</v>
      </c>
      <c r="S141" s="19">
        <v>0.0</v>
      </c>
      <c r="T141" s="23">
        <v>0.0</v>
      </c>
      <c r="U141" s="21">
        <v>0.0</v>
      </c>
      <c r="V141" s="21">
        <v>0.0</v>
      </c>
      <c r="W141" s="21">
        <v>0.0</v>
      </c>
      <c r="X141" s="21">
        <v>0.0</v>
      </c>
      <c r="Y141" s="20" t="s">
        <v>587</v>
      </c>
    </row>
    <row r="142">
      <c r="A142" s="9">
        <v>140.0</v>
      </c>
      <c r="B142" s="10" t="s">
        <v>588</v>
      </c>
      <c r="C142" s="11" t="s">
        <v>589</v>
      </c>
      <c r="D142" s="12" t="s">
        <v>36</v>
      </c>
      <c r="E142" s="13" t="s">
        <v>590</v>
      </c>
      <c r="F142" s="12">
        <v>33.0</v>
      </c>
      <c r="G142" s="12">
        <v>1991.0</v>
      </c>
      <c r="H142" s="14">
        <v>33.0</v>
      </c>
      <c r="I142" s="15">
        <v>31.0</v>
      </c>
      <c r="J142" s="16">
        <v>2838.0</v>
      </c>
      <c r="K142" s="15">
        <v>31.5</v>
      </c>
      <c r="L142" s="17">
        <v>0.03</v>
      </c>
      <c r="M142" s="19">
        <v>0.0</v>
      </c>
      <c r="N142" s="18">
        <v>0.03</v>
      </c>
      <c r="O142" s="18">
        <v>0.03</v>
      </c>
      <c r="P142" s="19">
        <v>0.0</v>
      </c>
      <c r="Q142" s="19">
        <v>0.0</v>
      </c>
      <c r="R142" s="18">
        <v>0.32</v>
      </c>
      <c r="S142" s="19">
        <v>0.0</v>
      </c>
      <c r="T142" s="14">
        <v>0.03</v>
      </c>
      <c r="U142" s="21">
        <v>0.0</v>
      </c>
      <c r="V142" s="15">
        <v>0.03</v>
      </c>
      <c r="W142" s="15">
        <v>0.03</v>
      </c>
      <c r="X142" s="15">
        <v>0.03</v>
      </c>
      <c r="Y142" s="20" t="s">
        <v>591</v>
      </c>
    </row>
    <row r="143">
      <c r="A143" s="9">
        <v>141.0</v>
      </c>
      <c r="B143" s="10" t="s">
        <v>592</v>
      </c>
      <c r="C143" s="11" t="s">
        <v>593</v>
      </c>
      <c r="D143" s="12" t="s">
        <v>31</v>
      </c>
      <c r="E143" s="13" t="s">
        <v>594</v>
      </c>
      <c r="F143" s="12">
        <v>20.0</v>
      </c>
      <c r="G143" s="12">
        <v>2004.0</v>
      </c>
      <c r="H143" s="14">
        <v>1.0</v>
      </c>
      <c r="I143" s="21">
        <v>0.0</v>
      </c>
      <c r="J143" s="15">
        <v>9.0</v>
      </c>
      <c r="K143" s="15">
        <v>0.1</v>
      </c>
      <c r="L143" s="22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23">
        <v>0.0</v>
      </c>
      <c r="U143" s="21">
        <v>0.0</v>
      </c>
      <c r="V143" s="21">
        <v>0.0</v>
      </c>
      <c r="W143" s="21">
        <v>0.0</v>
      </c>
      <c r="X143" s="21">
        <v>0.0</v>
      </c>
      <c r="Y143" s="20" t="s">
        <v>595</v>
      </c>
    </row>
    <row r="144">
      <c r="A144" s="9">
        <v>142.0</v>
      </c>
      <c r="B144" s="10" t="s">
        <v>596</v>
      </c>
      <c r="C144" s="11" t="s">
        <v>597</v>
      </c>
      <c r="D144" s="12" t="s">
        <v>41</v>
      </c>
      <c r="E144" s="13" t="s">
        <v>598</v>
      </c>
      <c r="F144" s="12">
        <v>27.0</v>
      </c>
      <c r="G144" s="12">
        <v>1998.0</v>
      </c>
      <c r="H144" s="14">
        <v>1.0</v>
      </c>
      <c r="I144" s="21">
        <v>0.0</v>
      </c>
      <c r="J144" s="15">
        <v>3.0</v>
      </c>
      <c r="K144" s="21">
        <v>0.0</v>
      </c>
      <c r="L144" s="23">
        <v>0.0</v>
      </c>
      <c r="M144" s="21">
        <v>0.0</v>
      </c>
      <c r="N144" s="21">
        <v>0.0</v>
      </c>
      <c r="O144" s="21">
        <v>0.0</v>
      </c>
      <c r="P144" s="21">
        <v>0.0</v>
      </c>
      <c r="Q144" s="21">
        <v>0.0</v>
      </c>
      <c r="R144" s="21">
        <v>0.0</v>
      </c>
      <c r="S144" s="21">
        <v>0.0</v>
      </c>
      <c r="T144" s="23">
        <v>0.0</v>
      </c>
      <c r="U144" s="21">
        <v>0.0</v>
      </c>
      <c r="V144" s="21">
        <v>0.0</v>
      </c>
      <c r="W144" s="21">
        <v>0.0</v>
      </c>
      <c r="X144" s="21">
        <v>0.0</v>
      </c>
      <c r="Y144" s="20" t="s">
        <v>599</v>
      </c>
    </row>
    <row r="145">
      <c r="A145" s="9">
        <v>143.0</v>
      </c>
      <c r="B145" s="10" t="s">
        <v>600</v>
      </c>
      <c r="C145" s="11" t="s">
        <v>601</v>
      </c>
      <c r="D145" s="12" t="s">
        <v>31</v>
      </c>
      <c r="E145" s="13" t="s">
        <v>602</v>
      </c>
      <c r="F145" s="12">
        <v>19.0</v>
      </c>
      <c r="G145" s="12">
        <v>2006.0</v>
      </c>
      <c r="H145" s="14">
        <v>3.0</v>
      </c>
      <c r="I145" s="21">
        <v>0.0</v>
      </c>
      <c r="J145" s="15">
        <v>14.0</v>
      </c>
      <c r="K145" s="15">
        <v>0.2</v>
      </c>
      <c r="L145" s="17">
        <v>5.0</v>
      </c>
      <c r="M145" s="19">
        <v>0.0</v>
      </c>
      <c r="N145" s="18">
        <v>5.0</v>
      </c>
      <c r="O145" s="18">
        <v>5.0</v>
      </c>
      <c r="P145" s="19">
        <v>0.0</v>
      </c>
      <c r="Q145" s="19">
        <v>0.0</v>
      </c>
      <c r="R145" s="19">
        <v>0.0</v>
      </c>
      <c r="S145" s="19">
        <v>0.0</v>
      </c>
      <c r="T145" s="14">
        <v>6.43</v>
      </c>
      <c r="U145" s="21">
        <v>0.0</v>
      </c>
      <c r="V145" s="15">
        <v>6.43</v>
      </c>
      <c r="W145" s="15">
        <v>6.43</v>
      </c>
      <c r="X145" s="15">
        <v>6.43</v>
      </c>
      <c r="Y145" s="20" t="s">
        <v>603</v>
      </c>
    </row>
    <row r="146">
      <c r="A146" s="9">
        <v>144.0</v>
      </c>
      <c r="B146" s="10" t="s">
        <v>604</v>
      </c>
      <c r="C146" s="11" t="s">
        <v>605</v>
      </c>
      <c r="D146" s="12" t="s">
        <v>31</v>
      </c>
      <c r="E146" s="13" t="s">
        <v>606</v>
      </c>
      <c r="F146" s="12">
        <v>19.0</v>
      </c>
      <c r="G146" s="12">
        <v>2006.0</v>
      </c>
      <c r="H146" s="14">
        <v>3.0</v>
      </c>
      <c r="I146" s="21">
        <v>0.0</v>
      </c>
      <c r="J146" s="15">
        <v>49.0</v>
      </c>
      <c r="K146" s="15">
        <v>0.5</v>
      </c>
      <c r="L146" s="22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23">
        <v>0.0</v>
      </c>
      <c r="U146" s="21">
        <v>0.0</v>
      </c>
      <c r="V146" s="21">
        <v>0.0</v>
      </c>
      <c r="W146" s="21">
        <v>0.0</v>
      </c>
      <c r="X146" s="21">
        <v>0.0</v>
      </c>
      <c r="Y146" s="20" t="s">
        <v>607</v>
      </c>
    </row>
    <row r="147">
      <c r="A147" s="9">
        <v>145.0</v>
      </c>
      <c r="B147" s="10" t="s">
        <v>608</v>
      </c>
      <c r="C147" s="11" t="s">
        <v>609</v>
      </c>
      <c r="D147" s="12" t="s">
        <v>26</v>
      </c>
      <c r="E147" s="13" t="s">
        <v>610</v>
      </c>
      <c r="F147" s="12">
        <v>26.0</v>
      </c>
      <c r="G147" s="12">
        <v>1998.0</v>
      </c>
      <c r="H147" s="14">
        <v>23.0</v>
      </c>
      <c r="I147" s="15">
        <v>11.0</v>
      </c>
      <c r="J147" s="16">
        <v>1067.0</v>
      </c>
      <c r="K147" s="15">
        <v>11.9</v>
      </c>
      <c r="L147" s="17">
        <v>0.08</v>
      </c>
      <c r="M147" s="18">
        <v>0.25</v>
      </c>
      <c r="N147" s="18">
        <v>0.34</v>
      </c>
      <c r="O147" s="18">
        <v>0.08</v>
      </c>
      <c r="P147" s="19">
        <v>0.0</v>
      </c>
      <c r="Q147" s="19">
        <v>0.0</v>
      </c>
      <c r="R147" s="19">
        <v>0.0</v>
      </c>
      <c r="S147" s="19">
        <v>0.0</v>
      </c>
      <c r="T147" s="14">
        <v>0.08</v>
      </c>
      <c r="U147" s="15">
        <v>0.25</v>
      </c>
      <c r="V147" s="15">
        <v>0.34</v>
      </c>
      <c r="W147" s="15">
        <v>0.08</v>
      </c>
      <c r="X147" s="15">
        <v>0.34</v>
      </c>
      <c r="Y147" s="20" t="s">
        <v>611</v>
      </c>
    </row>
    <row r="148">
      <c r="A148" s="9">
        <v>146.0</v>
      </c>
      <c r="B148" s="10" t="s">
        <v>612</v>
      </c>
      <c r="C148" s="11" t="s">
        <v>613</v>
      </c>
      <c r="D148" s="12" t="s">
        <v>36</v>
      </c>
      <c r="E148" s="13" t="s">
        <v>614</v>
      </c>
      <c r="F148" s="12">
        <v>26.0</v>
      </c>
      <c r="G148" s="12">
        <v>1998.0</v>
      </c>
      <c r="H148" s="14">
        <v>19.0</v>
      </c>
      <c r="I148" s="15">
        <v>17.0</v>
      </c>
      <c r="J148" s="16">
        <v>1539.0</v>
      </c>
      <c r="K148" s="15">
        <v>17.1</v>
      </c>
      <c r="L148" s="22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23">
        <v>0.0</v>
      </c>
      <c r="U148" s="21">
        <v>0.0</v>
      </c>
      <c r="V148" s="21">
        <v>0.0</v>
      </c>
      <c r="W148" s="21">
        <v>0.0</v>
      </c>
      <c r="X148" s="21">
        <v>0.0</v>
      </c>
      <c r="Y148" s="20" t="s">
        <v>615</v>
      </c>
    </row>
    <row r="149">
      <c r="A149" s="9">
        <v>147.0</v>
      </c>
      <c r="B149" s="10" t="s">
        <v>616</v>
      </c>
      <c r="C149" s="11" t="s">
        <v>617</v>
      </c>
      <c r="D149" s="12" t="s">
        <v>41</v>
      </c>
      <c r="E149" s="13" t="s">
        <v>618</v>
      </c>
      <c r="F149" s="12">
        <v>23.0</v>
      </c>
      <c r="G149" s="12">
        <v>2002.0</v>
      </c>
      <c r="H149" s="14">
        <v>28.0</v>
      </c>
      <c r="I149" s="15">
        <v>21.0</v>
      </c>
      <c r="J149" s="16">
        <v>1803.0</v>
      </c>
      <c r="K149" s="15">
        <v>20.0</v>
      </c>
      <c r="L149" s="17">
        <v>0.55</v>
      </c>
      <c r="M149" s="18">
        <v>0.2</v>
      </c>
      <c r="N149" s="18">
        <v>0.75</v>
      </c>
      <c r="O149" s="18">
        <v>0.55</v>
      </c>
      <c r="P149" s="19">
        <v>0.0</v>
      </c>
      <c r="Q149" s="19">
        <v>0.0</v>
      </c>
      <c r="R149" s="19">
        <v>0.0</v>
      </c>
      <c r="S149" s="19">
        <v>0.0</v>
      </c>
      <c r="T149" s="14">
        <v>0.55</v>
      </c>
      <c r="U149" s="15">
        <v>0.2</v>
      </c>
      <c r="V149" s="15">
        <v>0.75</v>
      </c>
      <c r="W149" s="15">
        <v>0.55</v>
      </c>
      <c r="X149" s="15">
        <v>0.75</v>
      </c>
      <c r="Y149" s="20" t="s">
        <v>619</v>
      </c>
    </row>
    <row r="150">
      <c r="A150" s="9">
        <v>148.0</v>
      </c>
      <c r="B150" s="10" t="s">
        <v>620</v>
      </c>
      <c r="C150" s="11" t="s">
        <v>621</v>
      </c>
      <c r="D150" s="12" t="s">
        <v>107</v>
      </c>
      <c r="E150" s="13" t="s">
        <v>622</v>
      </c>
      <c r="F150" s="12">
        <v>23.0</v>
      </c>
      <c r="G150" s="12">
        <v>2002.0</v>
      </c>
      <c r="H150" s="14">
        <v>32.0</v>
      </c>
      <c r="I150" s="15">
        <v>14.0</v>
      </c>
      <c r="J150" s="16">
        <v>1319.0</v>
      </c>
      <c r="K150" s="15">
        <v>14.7</v>
      </c>
      <c r="L150" s="22">
        <v>0.0</v>
      </c>
      <c r="M150" s="18">
        <v>0.07</v>
      </c>
      <c r="N150" s="18">
        <v>0.07</v>
      </c>
      <c r="O150" s="19">
        <v>0.0</v>
      </c>
      <c r="P150" s="19">
        <v>0.0</v>
      </c>
      <c r="Q150" s="19">
        <v>0.0</v>
      </c>
      <c r="R150" s="19">
        <v>0.0</v>
      </c>
      <c r="S150" s="19">
        <v>0.0</v>
      </c>
      <c r="T150" s="23">
        <v>0.0</v>
      </c>
      <c r="U150" s="15">
        <v>0.07</v>
      </c>
      <c r="V150" s="15">
        <v>0.07</v>
      </c>
      <c r="W150" s="21">
        <v>0.0</v>
      </c>
      <c r="X150" s="15">
        <v>0.07</v>
      </c>
      <c r="Y150" s="20" t="s">
        <v>623</v>
      </c>
    </row>
    <row r="151">
      <c r="A151" s="9">
        <v>149.0</v>
      </c>
      <c r="B151" s="10" t="s">
        <v>624</v>
      </c>
      <c r="C151" s="11" t="s">
        <v>625</v>
      </c>
      <c r="D151" s="12" t="s">
        <v>98</v>
      </c>
      <c r="E151" s="13" t="s">
        <v>626</v>
      </c>
      <c r="F151" s="12">
        <v>22.0</v>
      </c>
      <c r="G151" s="12">
        <v>2003.0</v>
      </c>
      <c r="H151" s="14">
        <v>3.0</v>
      </c>
      <c r="I151" s="15">
        <v>3.0</v>
      </c>
      <c r="J151" s="15">
        <v>270.0</v>
      </c>
      <c r="K151" s="15">
        <v>3.0</v>
      </c>
      <c r="L151" s="22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23">
        <v>0.0</v>
      </c>
      <c r="U151" s="21">
        <v>0.0</v>
      </c>
      <c r="V151" s="21">
        <v>0.0</v>
      </c>
      <c r="W151" s="21">
        <v>0.0</v>
      </c>
      <c r="X151" s="21">
        <v>0.0</v>
      </c>
      <c r="Y151" s="20" t="s">
        <v>627</v>
      </c>
    </row>
    <row r="152">
      <c r="A152" s="9">
        <v>150.0</v>
      </c>
      <c r="B152" s="10" t="s">
        <v>628</v>
      </c>
      <c r="C152" s="11" t="s">
        <v>629</v>
      </c>
      <c r="D152" s="12" t="s">
        <v>107</v>
      </c>
      <c r="E152" s="13" t="s">
        <v>630</v>
      </c>
      <c r="F152" s="12">
        <v>22.0</v>
      </c>
      <c r="G152" s="12">
        <v>2003.0</v>
      </c>
      <c r="H152" s="14">
        <v>1.0</v>
      </c>
      <c r="I152" s="21">
        <v>0.0</v>
      </c>
      <c r="J152" s="15">
        <v>1.0</v>
      </c>
      <c r="K152" s="21">
        <v>0.0</v>
      </c>
      <c r="L152" s="23">
        <v>0.0</v>
      </c>
      <c r="M152" s="21">
        <v>0.0</v>
      </c>
      <c r="N152" s="21">
        <v>0.0</v>
      </c>
      <c r="O152" s="21">
        <v>0.0</v>
      </c>
      <c r="P152" s="21">
        <v>0.0</v>
      </c>
      <c r="Q152" s="21">
        <v>0.0</v>
      </c>
      <c r="R152" s="21">
        <v>0.0</v>
      </c>
      <c r="S152" s="21">
        <v>0.0</v>
      </c>
      <c r="T152" s="23">
        <v>0.0</v>
      </c>
      <c r="U152" s="21">
        <v>0.0</v>
      </c>
      <c r="V152" s="21">
        <v>0.0</v>
      </c>
      <c r="W152" s="21">
        <v>0.0</v>
      </c>
      <c r="X152" s="21">
        <v>0.0</v>
      </c>
      <c r="Y152" s="20" t="s">
        <v>631</v>
      </c>
    </row>
    <row r="153">
      <c r="A153" s="9">
        <v>151.0</v>
      </c>
      <c r="B153" s="10" t="s">
        <v>632</v>
      </c>
      <c r="C153" s="11" t="s">
        <v>633</v>
      </c>
      <c r="D153" s="12" t="s">
        <v>31</v>
      </c>
      <c r="E153" s="13" t="s">
        <v>634</v>
      </c>
      <c r="F153" s="12">
        <v>22.0</v>
      </c>
      <c r="G153" s="12">
        <v>2003.0</v>
      </c>
      <c r="H153" s="14">
        <v>4.0</v>
      </c>
      <c r="I153" s="15">
        <v>1.0</v>
      </c>
      <c r="J153" s="15">
        <v>112.0</v>
      </c>
      <c r="K153" s="15">
        <v>1.2</v>
      </c>
      <c r="L153" s="22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23">
        <v>0.0</v>
      </c>
      <c r="U153" s="21">
        <v>0.0</v>
      </c>
      <c r="V153" s="21">
        <v>0.0</v>
      </c>
      <c r="W153" s="21">
        <v>0.0</v>
      </c>
      <c r="X153" s="21">
        <v>0.0</v>
      </c>
      <c r="Y153" s="20" t="s">
        <v>635</v>
      </c>
    </row>
    <row r="154">
      <c r="A154" s="9">
        <v>152.0</v>
      </c>
      <c r="B154" s="10" t="s">
        <v>636</v>
      </c>
      <c r="C154" s="11" t="s">
        <v>637</v>
      </c>
      <c r="D154" s="12" t="s">
        <v>36</v>
      </c>
      <c r="E154" s="13" t="s">
        <v>638</v>
      </c>
      <c r="F154" s="12">
        <v>32.0</v>
      </c>
      <c r="G154" s="12">
        <v>1993.0</v>
      </c>
      <c r="H154" s="14">
        <v>8.0</v>
      </c>
      <c r="I154" s="15">
        <v>1.0</v>
      </c>
      <c r="J154" s="15">
        <v>175.0</v>
      </c>
      <c r="K154" s="15">
        <v>1.9</v>
      </c>
      <c r="L154" s="22">
        <v>0.0</v>
      </c>
      <c r="M154" s="18">
        <v>0.53</v>
      </c>
      <c r="N154" s="18">
        <v>0.53</v>
      </c>
      <c r="O154" s="19">
        <v>0.0</v>
      </c>
      <c r="P154" s="19">
        <v>0.0</v>
      </c>
      <c r="Q154" s="19">
        <v>0.0</v>
      </c>
      <c r="R154" s="18">
        <v>0.53</v>
      </c>
      <c r="S154" s="19">
        <v>0.0</v>
      </c>
      <c r="T154" s="23">
        <v>0.0</v>
      </c>
      <c r="U154" s="15">
        <v>0.51</v>
      </c>
      <c r="V154" s="15">
        <v>0.51</v>
      </c>
      <c r="W154" s="21">
        <v>0.0</v>
      </c>
      <c r="X154" s="15">
        <v>0.51</v>
      </c>
      <c r="Y154" s="20" t="s">
        <v>639</v>
      </c>
    </row>
    <row r="155">
      <c r="A155" s="9">
        <v>153.0</v>
      </c>
      <c r="B155" s="10" t="s">
        <v>640</v>
      </c>
      <c r="C155" s="11" t="s">
        <v>641</v>
      </c>
      <c r="D155" s="12" t="s">
        <v>31</v>
      </c>
      <c r="E155" s="13" t="s">
        <v>642</v>
      </c>
      <c r="F155" s="12">
        <v>20.0</v>
      </c>
      <c r="G155" s="12">
        <v>2005.0</v>
      </c>
      <c r="H155" s="14">
        <v>4.0</v>
      </c>
      <c r="I155" s="21">
        <v>0.0</v>
      </c>
      <c r="J155" s="15">
        <v>44.0</v>
      </c>
      <c r="K155" s="15">
        <v>0.5</v>
      </c>
      <c r="L155" s="22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23">
        <v>0.0</v>
      </c>
      <c r="U155" s="21">
        <v>0.0</v>
      </c>
      <c r="V155" s="21">
        <v>0.0</v>
      </c>
      <c r="W155" s="21">
        <v>0.0</v>
      </c>
      <c r="X155" s="21">
        <v>0.0</v>
      </c>
      <c r="Y155" s="20" t="s">
        <v>643</v>
      </c>
    </row>
    <row r="156">
      <c r="A156" s="9">
        <v>154.0</v>
      </c>
      <c r="B156" s="10" t="s">
        <v>644</v>
      </c>
      <c r="C156" s="11" t="s">
        <v>645</v>
      </c>
      <c r="D156" s="12" t="s">
        <v>31</v>
      </c>
      <c r="E156" s="13" t="s">
        <v>646</v>
      </c>
      <c r="F156" s="12">
        <v>20.0</v>
      </c>
      <c r="G156" s="12">
        <v>2005.0</v>
      </c>
      <c r="H156" s="14">
        <v>3.0</v>
      </c>
      <c r="I156" s="21">
        <v>0.0</v>
      </c>
      <c r="J156" s="15">
        <v>30.0</v>
      </c>
      <c r="K156" s="15">
        <v>0.3</v>
      </c>
      <c r="L156" s="22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8">
        <v>6.67</v>
      </c>
      <c r="S156" s="19">
        <v>0.0</v>
      </c>
      <c r="T156" s="23">
        <v>0.0</v>
      </c>
      <c r="U156" s="21">
        <v>0.0</v>
      </c>
      <c r="V156" s="21">
        <v>0.0</v>
      </c>
      <c r="W156" s="21">
        <v>0.0</v>
      </c>
      <c r="X156" s="21">
        <v>0.0</v>
      </c>
      <c r="Y156" s="20" t="s">
        <v>647</v>
      </c>
    </row>
    <row r="157">
      <c r="A157" s="9">
        <v>155.0</v>
      </c>
      <c r="B157" s="10" t="s">
        <v>648</v>
      </c>
      <c r="C157" s="11" t="s">
        <v>649</v>
      </c>
      <c r="D157" s="12" t="s">
        <v>36</v>
      </c>
      <c r="E157" s="13" t="s">
        <v>650</v>
      </c>
      <c r="F157" s="12">
        <v>23.0</v>
      </c>
      <c r="G157" s="12">
        <v>2002.0</v>
      </c>
      <c r="H157" s="14">
        <v>34.0</v>
      </c>
      <c r="I157" s="15">
        <v>34.0</v>
      </c>
      <c r="J157" s="16">
        <v>2932.0</v>
      </c>
      <c r="K157" s="15">
        <v>32.6</v>
      </c>
      <c r="L157" s="22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8">
        <v>0.03</v>
      </c>
      <c r="S157" s="19">
        <v>0.0</v>
      </c>
      <c r="T157" s="23">
        <v>0.0</v>
      </c>
      <c r="U157" s="21">
        <v>0.0</v>
      </c>
      <c r="V157" s="21">
        <v>0.0</v>
      </c>
      <c r="W157" s="21">
        <v>0.0</v>
      </c>
      <c r="X157" s="21">
        <v>0.0</v>
      </c>
      <c r="Y157" s="20" t="s">
        <v>651</v>
      </c>
    </row>
    <row r="158">
      <c r="A158" s="9">
        <v>156.0</v>
      </c>
      <c r="B158" s="10" t="s">
        <v>652</v>
      </c>
      <c r="C158" s="11" t="s">
        <v>653</v>
      </c>
      <c r="D158" s="12" t="s">
        <v>41</v>
      </c>
      <c r="E158" s="13" t="s">
        <v>654</v>
      </c>
      <c r="F158" s="12">
        <v>25.0</v>
      </c>
      <c r="G158" s="12">
        <v>1999.0</v>
      </c>
      <c r="H158" s="14">
        <v>36.0</v>
      </c>
      <c r="I158" s="15">
        <v>32.0</v>
      </c>
      <c r="J158" s="16">
        <v>2742.0</v>
      </c>
      <c r="K158" s="15">
        <v>30.5</v>
      </c>
      <c r="L158" s="17">
        <v>0.2</v>
      </c>
      <c r="M158" s="18">
        <v>0.03</v>
      </c>
      <c r="N158" s="18">
        <v>0.23</v>
      </c>
      <c r="O158" s="18">
        <v>0.2</v>
      </c>
      <c r="P158" s="19">
        <v>0.0</v>
      </c>
      <c r="Q158" s="19">
        <v>0.0</v>
      </c>
      <c r="R158" s="18">
        <v>0.07</v>
      </c>
      <c r="S158" s="19">
        <v>0.0</v>
      </c>
      <c r="T158" s="14">
        <v>0.2</v>
      </c>
      <c r="U158" s="15">
        <v>0.03</v>
      </c>
      <c r="V158" s="15">
        <v>0.23</v>
      </c>
      <c r="W158" s="15">
        <v>0.2</v>
      </c>
      <c r="X158" s="15">
        <v>0.23</v>
      </c>
      <c r="Y158" s="20" t="s">
        <v>655</v>
      </c>
    </row>
    <row r="159">
      <c r="A159" s="9">
        <v>157.0</v>
      </c>
      <c r="B159" s="10" t="s">
        <v>656</v>
      </c>
      <c r="C159" s="11" t="s">
        <v>657</v>
      </c>
      <c r="D159" s="12" t="s">
        <v>31</v>
      </c>
      <c r="E159" s="13" t="s">
        <v>658</v>
      </c>
      <c r="F159" s="12">
        <v>27.0</v>
      </c>
      <c r="G159" s="12">
        <v>1998.0</v>
      </c>
      <c r="H159" s="14">
        <v>1.0</v>
      </c>
      <c r="I159" s="15">
        <v>1.0</v>
      </c>
      <c r="J159" s="15">
        <v>83.0</v>
      </c>
      <c r="K159" s="15">
        <v>0.9</v>
      </c>
      <c r="L159" s="22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23">
        <v>0.0</v>
      </c>
      <c r="U159" s="21">
        <v>0.0</v>
      </c>
      <c r="V159" s="21">
        <v>0.0</v>
      </c>
      <c r="W159" s="21">
        <v>0.0</v>
      </c>
      <c r="X159" s="21">
        <v>0.0</v>
      </c>
      <c r="Y159" s="20" t="s">
        <v>659</v>
      </c>
    </row>
    <row r="160">
      <c r="A160" s="9">
        <v>158.0</v>
      </c>
      <c r="B160" s="10" t="s">
        <v>660</v>
      </c>
      <c r="C160" s="11" t="s">
        <v>661</v>
      </c>
      <c r="D160" s="12" t="s">
        <v>26</v>
      </c>
      <c r="E160" s="13" t="s">
        <v>662</v>
      </c>
      <c r="F160" s="12">
        <v>27.0</v>
      </c>
      <c r="G160" s="12">
        <v>1998.0</v>
      </c>
      <c r="H160" s="14">
        <v>32.0</v>
      </c>
      <c r="I160" s="15">
        <v>21.0</v>
      </c>
      <c r="J160" s="16">
        <v>1812.0</v>
      </c>
      <c r="K160" s="15">
        <v>20.1</v>
      </c>
      <c r="L160" s="17">
        <v>0.35</v>
      </c>
      <c r="M160" s="18">
        <v>0.1</v>
      </c>
      <c r="N160" s="18">
        <v>0.45</v>
      </c>
      <c r="O160" s="18">
        <v>0.35</v>
      </c>
      <c r="P160" s="19">
        <v>0.0</v>
      </c>
      <c r="Q160" s="19">
        <v>0.0</v>
      </c>
      <c r="R160" s="18">
        <v>0.05</v>
      </c>
      <c r="S160" s="19">
        <v>0.0</v>
      </c>
      <c r="T160" s="14">
        <v>0.35</v>
      </c>
      <c r="U160" s="15">
        <v>0.1</v>
      </c>
      <c r="V160" s="15">
        <v>0.45</v>
      </c>
      <c r="W160" s="15">
        <v>0.35</v>
      </c>
      <c r="X160" s="15">
        <v>0.45</v>
      </c>
      <c r="Y160" s="20" t="s">
        <v>663</v>
      </c>
    </row>
    <row r="161">
      <c r="A161" s="9">
        <v>159.0</v>
      </c>
      <c r="B161" s="10" t="s">
        <v>664</v>
      </c>
      <c r="C161" s="11" t="s">
        <v>665</v>
      </c>
      <c r="D161" s="12" t="s">
        <v>31</v>
      </c>
      <c r="E161" s="13" t="s">
        <v>666</v>
      </c>
      <c r="F161" s="12">
        <v>30.0</v>
      </c>
      <c r="G161" s="12">
        <v>1994.0</v>
      </c>
      <c r="H161" s="14">
        <v>35.0</v>
      </c>
      <c r="I161" s="15">
        <v>35.0</v>
      </c>
      <c r="J161" s="16">
        <v>3063.0</v>
      </c>
      <c r="K161" s="15">
        <v>34.0</v>
      </c>
      <c r="L161" s="17">
        <v>0.26</v>
      </c>
      <c r="M161" s="18">
        <v>0.62</v>
      </c>
      <c r="N161" s="18">
        <v>0.88</v>
      </c>
      <c r="O161" s="18">
        <v>0.15</v>
      </c>
      <c r="P161" s="18">
        <v>0.12</v>
      </c>
      <c r="Q161" s="18">
        <v>0.18</v>
      </c>
      <c r="R161" s="18">
        <v>0.15</v>
      </c>
      <c r="S161" s="19">
        <v>0.0</v>
      </c>
      <c r="T161" s="14">
        <v>0.26</v>
      </c>
      <c r="U161" s="15">
        <v>0.62</v>
      </c>
      <c r="V161" s="15">
        <v>0.88</v>
      </c>
      <c r="W161" s="15">
        <v>0.15</v>
      </c>
      <c r="X161" s="15">
        <v>0.76</v>
      </c>
      <c r="Y161" s="20" t="s">
        <v>667</v>
      </c>
    </row>
    <row r="162">
      <c r="A162" s="9">
        <v>160.0</v>
      </c>
      <c r="B162" s="10" t="s">
        <v>668</v>
      </c>
      <c r="C162" s="11" t="s">
        <v>669</v>
      </c>
      <c r="D162" s="12" t="s">
        <v>31</v>
      </c>
      <c r="E162" s="13" t="s">
        <v>670</v>
      </c>
      <c r="F162" s="12">
        <v>21.0</v>
      </c>
      <c r="G162" s="12">
        <v>2004.0</v>
      </c>
      <c r="H162" s="14">
        <v>36.0</v>
      </c>
      <c r="I162" s="15">
        <v>35.0</v>
      </c>
      <c r="J162" s="16">
        <v>3016.0</v>
      </c>
      <c r="K162" s="15">
        <v>33.5</v>
      </c>
      <c r="L162" s="17">
        <v>0.09</v>
      </c>
      <c r="M162" s="18">
        <v>0.12</v>
      </c>
      <c r="N162" s="18">
        <v>0.21</v>
      </c>
      <c r="O162" s="18">
        <v>0.09</v>
      </c>
      <c r="P162" s="19">
        <v>0.0</v>
      </c>
      <c r="Q162" s="19">
        <v>0.0</v>
      </c>
      <c r="R162" s="18">
        <v>0.21</v>
      </c>
      <c r="S162" s="19">
        <v>0.0</v>
      </c>
      <c r="T162" s="14">
        <v>0.09</v>
      </c>
      <c r="U162" s="15">
        <v>0.12</v>
      </c>
      <c r="V162" s="15">
        <v>0.21</v>
      </c>
      <c r="W162" s="15">
        <v>0.09</v>
      </c>
      <c r="X162" s="15">
        <v>0.21</v>
      </c>
      <c r="Y162" s="20" t="s">
        <v>671</v>
      </c>
    </row>
    <row r="163">
      <c r="A163" s="9">
        <v>161.0</v>
      </c>
      <c r="B163" s="10" t="s">
        <v>672</v>
      </c>
      <c r="C163" s="11" t="s">
        <v>673</v>
      </c>
      <c r="D163" s="12" t="s">
        <v>31</v>
      </c>
      <c r="E163" s="13" t="s">
        <v>674</v>
      </c>
      <c r="F163" s="12">
        <v>24.0</v>
      </c>
      <c r="G163" s="12">
        <v>2001.0</v>
      </c>
      <c r="H163" s="14">
        <v>36.0</v>
      </c>
      <c r="I163" s="15">
        <v>35.0</v>
      </c>
      <c r="J163" s="16">
        <v>3115.0</v>
      </c>
      <c r="K163" s="15">
        <v>34.6</v>
      </c>
      <c r="L163" s="17">
        <v>0.29</v>
      </c>
      <c r="M163" s="18">
        <v>0.12</v>
      </c>
      <c r="N163" s="18">
        <v>0.4</v>
      </c>
      <c r="O163" s="18">
        <v>0.23</v>
      </c>
      <c r="P163" s="18">
        <v>0.06</v>
      </c>
      <c r="Q163" s="18">
        <v>0.06</v>
      </c>
      <c r="R163" s="18">
        <v>0.29</v>
      </c>
      <c r="S163" s="19">
        <v>0.0</v>
      </c>
      <c r="T163" s="14">
        <v>0.29</v>
      </c>
      <c r="U163" s="15">
        <v>0.12</v>
      </c>
      <c r="V163" s="15">
        <v>0.4</v>
      </c>
      <c r="W163" s="15">
        <v>0.23</v>
      </c>
      <c r="X163" s="15">
        <v>0.35</v>
      </c>
      <c r="Y163" s="20" t="s">
        <v>675</v>
      </c>
    </row>
    <row r="164">
      <c r="A164" s="9">
        <v>162.0</v>
      </c>
      <c r="B164" s="10" t="s">
        <v>676</v>
      </c>
      <c r="C164" s="11" t="s">
        <v>677</v>
      </c>
      <c r="D164" s="12" t="s">
        <v>41</v>
      </c>
      <c r="E164" s="13" t="s">
        <v>678</v>
      </c>
      <c r="F164" s="12">
        <v>26.0</v>
      </c>
      <c r="G164" s="12">
        <v>1998.0</v>
      </c>
      <c r="H164" s="14">
        <v>29.0</v>
      </c>
      <c r="I164" s="15">
        <v>21.0</v>
      </c>
      <c r="J164" s="16">
        <v>1768.0</v>
      </c>
      <c r="K164" s="15">
        <v>19.6</v>
      </c>
      <c r="L164" s="17">
        <v>0.56</v>
      </c>
      <c r="M164" s="19">
        <v>0.0</v>
      </c>
      <c r="N164" s="18">
        <v>0.56</v>
      </c>
      <c r="O164" s="18">
        <v>0.46</v>
      </c>
      <c r="P164" s="18">
        <v>0.1</v>
      </c>
      <c r="Q164" s="18">
        <v>0.1</v>
      </c>
      <c r="R164" s="18">
        <v>0.26</v>
      </c>
      <c r="S164" s="19">
        <v>0.0</v>
      </c>
      <c r="T164" s="14">
        <v>0.56</v>
      </c>
      <c r="U164" s="21">
        <v>0.0</v>
      </c>
      <c r="V164" s="15">
        <v>0.56</v>
      </c>
      <c r="W164" s="15">
        <v>0.46</v>
      </c>
      <c r="X164" s="15">
        <v>0.46</v>
      </c>
      <c r="Y164" s="20" t="s">
        <v>679</v>
      </c>
    </row>
    <row r="165">
      <c r="A165" s="9">
        <v>163.0</v>
      </c>
      <c r="B165" s="10" t="s">
        <v>680</v>
      </c>
      <c r="C165" s="11" t="s">
        <v>681</v>
      </c>
      <c r="D165" s="12" t="s">
        <v>31</v>
      </c>
      <c r="E165" s="13" t="s">
        <v>682</v>
      </c>
      <c r="F165" s="12">
        <v>18.0</v>
      </c>
      <c r="G165" s="12">
        <v>2007.0</v>
      </c>
      <c r="H165" s="14">
        <v>3.0</v>
      </c>
      <c r="I165" s="21">
        <v>0.0</v>
      </c>
      <c r="J165" s="15">
        <v>108.0</v>
      </c>
      <c r="K165" s="15">
        <v>1.2</v>
      </c>
      <c r="L165" s="22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23">
        <v>0.0</v>
      </c>
      <c r="U165" s="21">
        <v>0.0</v>
      </c>
      <c r="V165" s="21">
        <v>0.0</v>
      </c>
      <c r="W165" s="21">
        <v>0.0</v>
      </c>
      <c r="X165" s="21">
        <v>0.0</v>
      </c>
      <c r="Y165" s="20" t="s">
        <v>683</v>
      </c>
    </row>
    <row r="166">
      <c r="A166" s="9">
        <v>164.0</v>
      </c>
      <c r="B166" s="10" t="s">
        <v>684</v>
      </c>
      <c r="C166" s="11" t="s">
        <v>685</v>
      </c>
      <c r="D166" s="12" t="s">
        <v>31</v>
      </c>
      <c r="E166" s="13" t="s">
        <v>686</v>
      </c>
      <c r="F166" s="12">
        <v>18.0</v>
      </c>
      <c r="G166" s="12">
        <v>2007.0</v>
      </c>
      <c r="H166" s="14">
        <v>2.0</v>
      </c>
      <c r="I166" s="21">
        <v>0.0</v>
      </c>
      <c r="J166" s="15">
        <v>18.0</v>
      </c>
      <c r="K166" s="15">
        <v>0.2</v>
      </c>
      <c r="L166" s="22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23">
        <v>0.0</v>
      </c>
      <c r="U166" s="21">
        <v>0.0</v>
      </c>
      <c r="V166" s="21">
        <v>0.0</v>
      </c>
      <c r="W166" s="21">
        <v>0.0</v>
      </c>
      <c r="X166" s="21">
        <v>0.0</v>
      </c>
      <c r="Y166" s="20" t="s">
        <v>687</v>
      </c>
    </row>
    <row r="167">
      <c r="A167" s="9">
        <v>165.0</v>
      </c>
      <c r="B167" s="10" t="s">
        <v>688</v>
      </c>
      <c r="C167" s="11" t="s">
        <v>689</v>
      </c>
      <c r="D167" s="12" t="s">
        <v>31</v>
      </c>
      <c r="E167" s="13" t="s">
        <v>690</v>
      </c>
      <c r="F167" s="12">
        <v>25.0</v>
      </c>
      <c r="G167" s="12">
        <v>2000.0</v>
      </c>
      <c r="H167" s="14">
        <v>33.0</v>
      </c>
      <c r="I167" s="15">
        <v>23.0</v>
      </c>
      <c r="J167" s="16">
        <v>2086.0</v>
      </c>
      <c r="K167" s="15">
        <v>23.2</v>
      </c>
      <c r="L167" s="17">
        <v>0.3</v>
      </c>
      <c r="M167" s="18">
        <v>0.22</v>
      </c>
      <c r="N167" s="18">
        <v>0.52</v>
      </c>
      <c r="O167" s="18">
        <v>0.3</v>
      </c>
      <c r="P167" s="19">
        <v>0.0</v>
      </c>
      <c r="Q167" s="19">
        <v>0.0</v>
      </c>
      <c r="R167" s="18">
        <v>0.17</v>
      </c>
      <c r="S167" s="19">
        <v>0.0</v>
      </c>
      <c r="T167" s="14">
        <v>0.3</v>
      </c>
      <c r="U167" s="15">
        <v>0.22</v>
      </c>
      <c r="V167" s="15">
        <v>0.52</v>
      </c>
      <c r="W167" s="15">
        <v>0.3</v>
      </c>
      <c r="X167" s="15">
        <v>0.52</v>
      </c>
      <c r="Y167" s="20" t="s">
        <v>691</v>
      </c>
    </row>
    <row r="168">
      <c r="A168" s="9">
        <v>166.0</v>
      </c>
      <c r="B168" s="10" t="s">
        <v>692</v>
      </c>
      <c r="C168" s="11" t="s">
        <v>693</v>
      </c>
      <c r="D168" s="12" t="s">
        <v>36</v>
      </c>
      <c r="E168" s="13" t="s">
        <v>694</v>
      </c>
      <c r="F168" s="12">
        <v>24.0</v>
      </c>
      <c r="G168" s="12">
        <v>2000.0</v>
      </c>
      <c r="H168" s="14">
        <v>25.0</v>
      </c>
      <c r="I168" s="15">
        <v>20.0</v>
      </c>
      <c r="J168" s="16">
        <v>1722.0</v>
      </c>
      <c r="K168" s="15">
        <v>19.1</v>
      </c>
      <c r="L168" s="22">
        <v>0.0</v>
      </c>
      <c r="M168" s="18">
        <v>0.05</v>
      </c>
      <c r="N168" s="18">
        <v>0.05</v>
      </c>
      <c r="O168" s="19">
        <v>0.0</v>
      </c>
      <c r="P168" s="19">
        <v>0.0</v>
      </c>
      <c r="Q168" s="19">
        <v>0.0</v>
      </c>
      <c r="R168" s="18">
        <v>0.47</v>
      </c>
      <c r="S168" s="18">
        <v>0.1</v>
      </c>
      <c r="T168" s="23">
        <v>0.0</v>
      </c>
      <c r="U168" s="15">
        <v>0.05</v>
      </c>
      <c r="V168" s="15">
        <v>0.05</v>
      </c>
      <c r="W168" s="21">
        <v>0.0</v>
      </c>
      <c r="X168" s="15">
        <v>0.05</v>
      </c>
      <c r="Y168" s="20" t="s">
        <v>695</v>
      </c>
    </row>
    <row r="169">
      <c r="A169" s="9">
        <v>167.0</v>
      </c>
      <c r="B169" s="10" t="s">
        <v>696</v>
      </c>
      <c r="C169" s="11" t="s">
        <v>697</v>
      </c>
      <c r="D169" s="12" t="s">
        <v>107</v>
      </c>
      <c r="E169" s="13" t="s">
        <v>698</v>
      </c>
      <c r="F169" s="12">
        <v>24.0</v>
      </c>
      <c r="G169" s="12">
        <v>2000.0</v>
      </c>
      <c r="H169" s="14">
        <v>26.0</v>
      </c>
      <c r="I169" s="15">
        <v>15.0</v>
      </c>
      <c r="J169" s="16">
        <v>1371.0</v>
      </c>
      <c r="K169" s="15">
        <v>15.2</v>
      </c>
      <c r="L169" s="17">
        <v>0.2</v>
      </c>
      <c r="M169" s="18">
        <v>0.13</v>
      </c>
      <c r="N169" s="18">
        <v>0.33</v>
      </c>
      <c r="O169" s="18">
        <v>0.2</v>
      </c>
      <c r="P169" s="19">
        <v>0.0</v>
      </c>
      <c r="Q169" s="19">
        <v>0.0</v>
      </c>
      <c r="R169" s="18">
        <v>0.26</v>
      </c>
      <c r="S169" s="19">
        <v>0.0</v>
      </c>
      <c r="T169" s="14">
        <v>0.2</v>
      </c>
      <c r="U169" s="15">
        <v>0.13</v>
      </c>
      <c r="V169" s="15">
        <v>0.33</v>
      </c>
      <c r="W169" s="15">
        <v>0.2</v>
      </c>
      <c r="X169" s="15">
        <v>0.33</v>
      </c>
      <c r="Y169" s="20" t="s">
        <v>699</v>
      </c>
    </row>
    <row r="170">
      <c r="A170" s="9">
        <v>168.0</v>
      </c>
      <c r="B170" s="10" t="s">
        <v>700</v>
      </c>
      <c r="C170" s="11" t="s">
        <v>701</v>
      </c>
      <c r="D170" s="12" t="s">
        <v>36</v>
      </c>
      <c r="E170" s="13" t="s">
        <v>702</v>
      </c>
      <c r="F170" s="12">
        <v>20.0</v>
      </c>
      <c r="G170" s="12">
        <v>2005.0</v>
      </c>
      <c r="H170" s="14">
        <v>1.0</v>
      </c>
      <c r="I170" s="21">
        <v>0.0</v>
      </c>
      <c r="J170" s="15">
        <v>3.0</v>
      </c>
      <c r="K170" s="21">
        <v>0.0</v>
      </c>
      <c r="L170" s="23">
        <v>0.0</v>
      </c>
      <c r="M170" s="21">
        <v>0.0</v>
      </c>
      <c r="N170" s="21">
        <v>0.0</v>
      </c>
      <c r="O170" s="21">
        <v>0.0</v>
      </c>
      <c r="P170" s="21">
        <v>0.0</v>
      </c>
      <c r="Q170" s="21">
        <v>0.0</v>
      </c>
      <c r="R170" s="21">
        <v>0.0</v>
      </c>
      <c r="S170" s="21">
        <v>0.0</v>
      </c>
      <c r="T170" s="23">
        <v>0.0</v>
      </c>
      <c r="U170" s="21">
        <v>0.0</v>
      </c>
      <c r="V170" s="21">
        <v>0.0</v>
      </c>
      <c r="W170" s="21">
        <v>0.0</v>
      </c>
      <c r="X170" s="21">
        <v>0.0</v>
      </c>
      <c r="Y170" s="20" t="s">
        <v>703</v>
      </c>
    </row>
    <row r="171">
      <c r="A171" s="9">
        <v>169.0</v>
      </c>
      <c r="B171" s="10" t="s">
        <v>704</v>
      </c>
      <c r="C171" s="11" t="s">
        <v>705</v>
      </c>
      <c r="D171" s="12" t="s">
        <v>345</v>
      </c>
      <c r="E171" s="13" t="s">
        <v>706</v>
      </c>
      <c r="F171" s="12">
        <v>24.0</v>
      </c>
      <c r="G171" s="12">
        <v>2000.0</v>
      </c>
      <c r="H171" s="14">
        <v>21.0</v>
      </c>
      <c r="I171" s="15">
        <v>12.0</v>
      </c>
      <c r="J171" s="16">
        <v>1040.0</v>
      </c>
      <c r="K171" s="15">
        <v>11.6</v>
      </c>
      <c r="L171" s="22">
        <v>0.0</v>
      </c>
      <c r="M171" s="18">
        <v>0.09</v>
      </c>
      <c r="N171" s="18">
        <v>0.09</v>
      </c>
      <c r="O171" s="19">
        <v>0.0</v>
      </c>
      <c r="P171" s="19">
        <v>0.0</v>
      </c>
      <c r="Q171" s="19">
        <v>0.0</v>
      </c>
      <c r="R171" s="18">
        <v>0.09</v>
      </c>
      <c r="S171" s="19">
        <v>0.0</v>
      </c>
      <c r="T171" s="23">
        <v>0.0</v>
      </c>
      <c r="U171" s="15">
        <v>0.09</v>
      </c>
      <c r="V171" s="15">
        <v>0.09</v>
      </c>
      <c r="W171" s="21">
        <v>0.0</v>
      </c>
      <c r="X171" s="15">
        <v>0.09</v>
      </c>
      <c r="Y171" s="20" t="s">
        <v>707</v>
      </c>
    </row>
    <row r="172">
      <c r="A172" s="9">
        <v>170.0</v>
      </c>
      <c r="B172" s="10" t="s">
        <v>708</v>
      </c>
      <c r="C172" s="11" t="s">
        <v>709</v>
      </c>
      <c r="D172" s="12" t="s">
        <v>41</v>
      </c>
      <c r="E172" s="13" t="s">
        <v>710</v>
      </c>
      <c r="F172" s="12">
        <v>32.0</v>
      </c>
      <c r="G172" s="12">
        <v>1993.0</v>
      </c>
      <c r="H172" s="14">
        <v>8.0</v>
      </c>
      <c r="I172" s="15">
        <v>5.0</v>
      </c>
      <c r="J172" s="15">
        <v>409.0</v>
      </c>
      <c r="K172" s="15">
        <v>4.5</v>
      </c>
      <c r="L172" s="22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23">
        <v>0.0</v>
      </c>
      <c r="U172" s="21">
        <v>0.0</v>
      </c>
      <c r="V172" s="21">
        <v>0.0</v>
      </c>
      <c r="W172" s="21">
        <v>0.0</v>
      </c>
      <c r="X172" s="21">
        <v>0.0</v>
      </c>
      <c r="Y172" s="20" t="s">
        <v>711</v>
      </c>
    </row>
    <row r="173">
      <c r="A173" s="9">
        <v>171.0</v>
      </c>
      <c r="B173" s="10" t="s">
        <v>712</v>
      </c>
      <c r="C173" s="11" t="s">
        <v>713</v>
      </c>
      <c r="D173" s="12" t="s">
        <v>41</v>
      </c>
      <c r="E173" s="13" t="s">
        <v>714</v>
      </c>
      <c r="F173" s="12">
        <v>18.0</v>
      </c>
      <c r="G173" s="12">
        <v>2007.0</v>
      </c>
      <c r="H173" s="14">
        <v>1.0</v>
      </c>
      <c r="I173" s="21">
        <v>0.0</v>
      </c>
      <c r="J173" s="15">
        <v>1.0</v>
      </c>
      <c r="K173" s="21">
        <v>0.0</v>
      </c>
      <c r="L173" s="23">
        <v>0.0</v>
      </c>
      <c r="M173" s="21">
        <v>0.0</v>
      </c>
      <c r="N173" s="21">
        <v>0.0</v>
      </c>
      <c r="O173" s="21">
        <v>0.0</v>
      </c>
      <c r="P173" s="21">
        <v>0.0</v>
      </c>
      <c r="Q173" s="21">
        <v>0.0</v>
      </c>
      <c r="R173" s="21">
        <v>0.0</v>
      </c>
      <c r="S173" s="21">
        <v>0.0</v>
      </c>
      <c r="T173" s="23">
        <v>0.0</v>
      </c>
      <c r="U173" s="21">
        <v>0.0</v>
      </c>
      <c r="V173" s="21">
        <v>0.0</v>
      </c>
      <c r="W173" s="21">
        <v>0.0</v>
      </c>
      <c r="X173" s="21">
        <v>0.0</v>
      </c>
      <c r="Y173" s="20" t="s">
        <v>715</v>
      </c>
    </row>
    <row r="174">
      <c r="A174" s="9">
        <v>172.0</v>
      </c>
      <c r="B174" s="10" t="s">
        <v>716</v>
      </c>
      <c r="C174" s="11" t="s">
        <v>717</v>
      </c>
      <c r="D174" s="12" t="s">
        <v>26</v>
      </c>
      <c r="E174" s="13" t="s">
        <v>718</v>
      </c>
      <c r="F174" s="12">
        <v>26.0</v>
      </c>
      <c r="G174" s="12">
        <v>1999.0</v>
      </c>
      <c r="H174" s="14">
        <v>36.0</v>
      </c>
      <c r="I174" s="15">
        <v>32.0</v>
      </c>
      <c r="J174" s="16">
        <v>2737.0</v>
      </c>
      <c r="K174" s="15">
        <v>30.4</v>
      </c>
      <c r="L174" s="17">
        <v>0.23</v>
      </c>
      <c r="M174" s="18">
        <v>0.16</v>
      </c>
      <c r="N174" s="18">
        <v>0.39</v>
      </c>
      <c r="O174" s="18">
        <v>0.23</v>
      </c>
      <c r="P174" s="19">
        <v>0.0</v>
      </c>
      <c r="Q174" s="19">
        <v>0.0</v>
      </c>
      <c r="R174" s="18">
        <v>0.1</v>
      </c>
      <c r="S174" s="19">
        <v>0.0</v>
      </c>
      <c r="T174" s="14">
        <v>0.23</v>
      </c>
      <c r="U174" s="15">
        <v>0.16</v>
      </c>
      <c r="V174" s="15">
        <v>0.39</v>
      </c>
      <c r="W174" s="15">
        <v>0.23</v>
      </c>
      <c r="X174" s="15">
        <v>0.39</v>
      </c>
      <c r="Y174" s="20" t="s">
        <v>719</v>
      </c>
    </row>
    <row r="175">
      <c r="A175" s="9">
        <v>173.0</v>
      </c>
      <c r="B175" s="10" t="s">
        <v>720</v>
      </c>
      <c r="C175" s="11" t="s">
        <v>721</v>
      </c>
      <c r="D175" s="12" t="s">
        <v>31</v>
      </c>
      <c r="E175" s="13" t="s">
        <v>722</v>
      </c>
      <c r="F175" s="12">
        <v>25.0</v>
      </c>
      <c r="G175" s="12">
        <v>2000.0</v>
      </c>
      <c r="H175" s="14">
        <v>16.0</v>
      </c>
      <c r="I175" s="15">
        <v>14.0</v>
      </c>
      <c r="J175" s="16">
        <v>1184.0</v>
      </c>
      <c r="K175" s="15">
        <v>13.2</v>
      </c>
      <c r="L175" s="17">
        <v>0.08</v>
      </c>
      <c r="M175" s="18">
        <v>0.08</v>
      </c>
      <c r="N175" s="18">
        <v>0.15</v>
      </c>
      <c r="O175" s="18">
        <v>0.08</v>
      </c>
      <c r="P175" s="19">
        <v>0.0</v>
      </c>
      <c r="Q175" s="19">
        <v>0.0</v>
      </c>
      <c r="R175" s="18">
        <v>0.15</v>
      </c>
      <c r="S175" s="19">
        <v>0.0</v>
      </c>
      <c r="T175" s="14">
        <v>0.08</v>
      </c>
      <c r="U175" s="15">
        <v>0.08</v>
      </c>
      <c r="V175" s="15">
        <v>0.15</v>
      </c>
      <c r="W175" s="15">
        <v>0.08</v>
      </c>
      <c r="X175" s="15">
        <v>0.15</v>
      </c>
      <c r="Y175" s="20" t="s">
        <v>723</v>
      </c>
    </row>
    <row r="176">
      <c r="A176" s="9">
        <v>174.0</v>
      </c>
      <c r="B176" s="10" t="s">
        <v>724</v>
      </c>
      <c r="C176" s="11" t="s">
        <v>725</v>
      </c>
      <c r="D176" s="12" t="s">
        <v>31</v>
      </c>
      <c r="E176" s="13" t="s">
        <v>726</v>
      </c>
      <c r="F176" s="12">
        <v>35.0</v>
      </c>
      <c r="G176" s="12">
        <v>1989.0</v>
      </c>
      <c r="H176" s="14">
        <v>25.0</v>
      </c>
      <c r="I176" s="15">
        <v>25.0</v>
      </c>
      <c r="J176" s="16">
        <v>2093.0</v>
      </c>
      <c r="K176" s="15">
        <v>23.3</v>
      </c>
      <c r="L176" s="17">
        <v>0.09</v>
      </c>
      <c r="M176" s="18">
        <v>0.13</v>
      </c>
      <c r="N176" s="18">
        <v>0.21</v>
      </c>
      <c r="O176" s="18">
        <v>0.09</v>
      </c>
      <c r="P176" s="19">
        <v>0.0</v>
      </c>
      <c r="Q176" s="19">
        <v>0.0</v>
      </c>
      <c r="R176" s="18">
        <v>0.04</v>
      </c>
      <c r="S176" s="18">
        <v>0.04</v>
      </c>
      <c r="T176" s="14">
        <v>0.09</v>
      </c>
      <c r="U176" s="15">
        <v>0.13</v>
      </c>
      <c r="V176" s="15">
        <v>0.22</v>
      </c>
      <c r="W176" s="15">
        <v>0.09</v>
      </c>
      <c r="X176" s="15">
        <v>0.22</v>
      </c>
      <c r="Y176" s="20" t="s">
        <v>727</v>
      </c>
    </row>
    <row r="177">
      <c r="A177" s="9">
        <v>175.0</v>
      </c>
      <c r="B177" s="10" t="s">
        <v>728</v>
      </c>
      <c r="C177" s="11" t="s">
        <v>729</v>
      </c>
      <c r="D177" s="12" t="s">
        <v>31</v>
      </c>
      <c r="E177" s="13" t="s">
        <v>730</v>
      </c>
      <c r="F177" s="12">
        <v>19.0</v>
      </c>
      <c r="G177" s="12">
        <v>2005.0</v>
      </c>
      <c r="H177" s="14">
        <v>8.0</v>
      </c>
      <c r="I177" s="21">
        <v>0.0</v>
      </c>
      <c r="J177" s="15">
        <v>113.0</v>
      </c>
      <c r="K177" s="15">
        <v>1.3</v>
      </c>
      <c r="L177" s="22">
        <v>0.0</v>
      </c>
      <c r="M177" s="18">
        <v>0.77</v>
      </c>
      <c r="N177" s="18">
        <v>0.77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23">
        <v>0.0</v>
      </c>
      <c r="U177" s="15">
        <v>0.8</v>
      </c>
      <c r="V177" s="15">
        <v>0.8</v>
      </c>
      <c r="W177" s="21">
        <v>0.0</v>
      </c>
      <c r="X177" s="15">
        <v>0.8</v>
      </c>
      <c r="Y177" s="20" t="s">
        <v>731</v>
      </c>
    </row>
    <row r="178">
      <c r="A178" s="9">
        <v>176.0</v>
      </c>
      <c r="B178" s="10" t="s">
        <v>732</v>
      </c>
      <c r="C178" s="11" t="s">
        <v>733</v>
      </c>
      <c r="D178" s="12" t="s">
        <v>36</v>
      </c>
      <c r="E178" s="13" t="s">
        <v>734</v>
      </c>
      <c r="F178" s="12">
        <v>22.0</v>
      </c>
      <c r="G178" s="12">
        <v>2003.0</v>
      </c>
      <c r="H178" s="14">
        <v>6.0</v>
      </c>
      <c r="I178" s="15">
        <v>1.0</v>
      </c>
      <c r="J178" s="15">
        <v>86.0</v>
      </c>
      <c r="K178" s="15">
        <v>1.0</v>
      </c>
      <c r="L178" s="22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23">
        <v>0.0</v>
      </c>
      <c r="U178" s="21">
        <v>0.0</v>
      </c>
      <c r="V178" s="21">
        <v>0.0</v>
      </c>
      <c r="W178" s="21">
        <v>0.0</v>
      </c>
      <c r="X178" s="21">
        <v>0.0</v>
      </c>
      <c r="Y178" s="20" t="s">
        <v>735</v>
      </c>
    </row>
    <row r="179">
      <c r="A179" s="9">
        <v>177.0</v>
      </c>
      <c r="B179" s="10" t="s">
        <v>736</v>
      </c>
      <c r="C179" s="11" t="s">
        <v>737</v>
      </c>
      <c r="D179" s="12" t="s">
        <v>31</v>
      </c>
      <c r="E179" s="13" t="s">
        <v>738</v>
      </c>
      <c r="F179" s="12">
        <v>21.0</v>
      </c>
      <c r="G179" s="12">
        <v>2004.0</v>
      </c>
      <c r="H179" s="14">
        <v>24.0</v>
      </c>
      <c r="I179" s="15">
        <v>14.0</v>
      </c>
      <c r="J179" s="16">
        <v>1268.0</v>
      </c>
      <c r="K179" s="15">
        <v>14.1</v>
      </c>
      <c r="L179" s="17">
        <v>0.07</v>
      </c>
      <c r="M179" s="18">
        <v>0.28</v>
      </c>
      <c r="N179" s="18">
        <v>0.35</v>
      </c>
      <c r="O179" s="18">
        <v>0.07</v>
      </c>
      <c r="P179" s="19">
        <v>0.0</v>
      </c>
      <c r="Q179" s="19">
        <v>0.0</v>
      </c>
      <c r="R179" s="18">
        <v>0.14</v>
      </c>
      <c r="S179" s="19">
        <v>0.0</v>
      </c>
      <c r="T179" s="14">
        <v>0.07</v>
      </c>
      <c r="U179" s="15">
        <v>0.28</v>
      </c>
      <c r="V179" s="15">
        <v>0.35</v>
      </c>
      <c r="W179" s="15">
        <v>0.07</v>
      </c>
      <c r="X179" s="15">
        <v>0.35</v>
      </c>
      <c r="Y179" s="20" t="s">
        <v>739</v>
      </c>
    </row>
    <row r="180">
      <c r="A180" s="9">
        <v>178.0</v>
      </c>
      <c r="B180" s="10" t="s">
        <v>740</v>
      </c>
      <c r="C180" s="11" t="s">
        <v>741</v>
      </c>
      <c r="D180" s="12" t="s">
        <v>264</v>
      </c>
      <c r="E180" s="13" t="s">
        <v>742</v>
      </c>
      <c r="F180" s="12">
        <v>24.0</v>
      </c>
      <c r="G180" s="12">
        <v>2001.0</v>
      </c>
      <c r="H180" s="14">
        <v>38.0</v>
      </c>
      <c r="I180" s="15">
        <v>38.0</v>
      </c>
      <c r="J180" s="16">
        <v>3413.0</v>
      </c>
      <c r="K180" s="15">
        <v>37.9</v>
      </c>
      <c r="L180" s="17">
        <v>0.05</v>
      </c>
      <c r="M180" s="18">
        <v>0.18</v>
      </c>
      <c r="N180" s="18">
        <v>0.24</v>
      </c>
      <c r="O180" s="18">
        <v>0.05</v>
      </c>
      <c r="P180" s="19">
        <v>0.0</v>
      </c>
      <c r="Q180" s="19">
        <v>0.0</v>
      </c>
      <c r="R180" s="18">
        <v>0.32</v>
      </c>
      <c r="S180" s="19">
        <v>0.0</v>
      </c>
      <c r="T180" s="14">
        <v>0.05</v>
      </c>
      <c r="U180" s="15">
        <v>0.18</v>
      </c>
      <c r="V180" s="15">
        <v>0.24</v>
      </c>
      <c r="W180" s="15">
        <v>0.05</v>
      </c>
      <c r="X180" s="15">
        <v>0.24</v>
      </c>
      <c r="Y180" s="20" t="s">
        <v>743</v>
      </c>
    </row>
    <row r="181">
      <c r="A181" s="9">
        <v>179.0</v>
      </c>
      <c r="B181" s="10" t="s">
        <v>744</v>
      </c>
      <c r="C181" s="11" t="s">
        <v>745</v>
      </c>
      <c r="D181" s="12" t="s">
        <v>345</v>
      </c>
      <c r="E181" s="13" t="s">
        <v>746</v>
      </c>
      <c r="F181" s="12">
        <v>25.0</v>
      </c>
      <c r="G181" s="12">
        <v>2000.0</v>
      </c>
      <c r="H181" s="14">
        <v>28.0</v>
      </c>
      <c r="I181" s="15">
        <v>17.0</v>
      </c>
      <c r="J181" s="16">
        <v>1693.0</v>
      </c>
      <c r="K181" s="15">
        <v>18.8</v>
      </c>
      <c r="L181" s="22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8">
        <v>0.11</v>
      </c>
      <c r="S181" s="19">
        <v>0.0</v>
      </c>
      <c r="T181" s="23">
        <v>0.0</v>
      </c>
      <c r="U181" s="21">
        <v>0.0</v>
      </c>
      <c r="V181" s="21">
        <v>0.0</v>
      </c>
      <c r="W181" s="21">
        <v>0.0</v>
      </c>
      <c r="X181" s="21">
        <v>0.0</v>
      </c>
      <c r="Y181" s="20" t="s">
        <v>747</v>
      </c>
    </row>
    <row r="182">
      <c r="A182" s="9">
        <v>180.0</v>
      </c>
      <c r="B182" s="10" t="s">
        <v>748</v>
      </c>
      <c r="C182" s="11" t="s">
        <v>749</v>
      </c>
      <c r="D182" s="12" t="s">
        <v>41</v>
      </c>
      <c r="E182" s="13" t="s">
        <v>750</v>
      </c>
      <c r="F182" s="12">
        <v>19.0</v>
      </c>
      <c r="G182" s="12">
        <v>2006.0</v>
      </c>
      <c r="H182" s="14">
        <v>4.0</v>
      </c>
      <c r="I182" s="21">
        <v>0.0</v>
      </c>
      <c r="J182" s="15">
        <v>145.0</v>
      </c>
      <c r="K182" s="15">
        <v>1.6</v>
      </c>
      <c r="L182" s="22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8">
        <v>1.25</v>
      </c>
      <c r="S182" s="19">
        <v>0.0</v>
      </c>
      <c r="T182" s="23">
        <v>0.0</v>
      </c>
      <c r="U182" s="21">
        <v>0.0</v>
      </c>
      <c r="V182" s="21">
        <v>0.0</v>
      </c>
      <c r="W182" s="21">
        <v>0.0</v>
      </c>
      <c r="X182" s="21">
        <v>0.0</v>
      </c>
      <c r="Y182" s="20" t="s">
        <v>751</v>
      </c>
    </row>
    <row r="183">
      <c r="A183" s="9">
        <v>181.0</v>
      </c>
      <c r="B183" s="10" t="s">
        <v>752</v>
      </c>
      <c r="C183" s="11" t="s">
        <v>753</v>
      </c>
      <c r="D183" s="12" t="s">
        <v>31</v>
      </c>
      <c r="E183" s="13" t="s">
        <v>754</v>
      </c>
      <c r="F183" s="12">
        <v>19.0</v>
      </c>
      <c r="G183" s="12">
        <v>2006.0</v>
      </c>
      <c r="H183" s="14">
        <v>11.0</v>
      </c>
      <c r="I183" s="15">
        <v>1.0</v>
      </c>
      <c r="J183" s="15">
        <v>218.0</v>
      </c>
      <c r="K183" s="15">
        <v>2.4</v>
      </c>
      <c r="L183" s="22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23">
        <v>0.0</v>
      </c>
      <c r="U183" s="21">
        <v>0.0</v>
      </c>
      <c r="V183" s="21">
        <v>0.0</v>
      </c>
      <c r="W183" s="21">
        <v>0.0</v>
      </c>
      <c r="X183" s="21">
        <v>0.0</v>
      </c>
      <c r="Y183" s="20" t="s">
        <v>755</v>
      </c>
    </row>
    <row r="184">
      <c r="A184" s="9">
        <v>182.0</v>
      </c>
      <c r="B184" s="10" t="s">
        <v>756</v>
      </c>
      <c r="C184" s="11" t="s">
        <v>757</v>
      </c>
      <c r="D184" s="12" t="s">
        <v>31</v>
      </c>
      <c r="E184" s="13" t="s">
        <v>758</v>
      </c>
      <c r="F184" s="12">
        <v>25.0</v>
      </c>
      <c r="G184" s="12">
        <v>2000.0</v>
      </c>
      <c r="H184" s="14">
        <v>37.0</v>
      </c>
      <c r="I184" s="15">
        <v>35.0</v>
      </c>
      <c r="J184" s="16">
        <v>3097.0</v>
      </c>
      <c r="K184" s="15">
        <v>34.4</v>
      </c>
      <c r="L184" s="17">
        <v>0.44</v>
      </c>
      <c r="M184" s="18">
        <v>0.12</v>
      </c>
      <c r="N184" s="18">
        <v>0.55</v>
      </c>
      <c r="O184" s="18">
        <v>0.41</v>
      </c>
      <c r="P184" s="18">
        <v>0.03</v>
      </c>
      <c r="Q184" s="18">
        <v>0.03</v>
      </c>
      <c r="R184" s="18">
        <v>0.03</v>
      </c>
      <c r="S184" s="19">
        <v>0.0</v>
      </c>
      <c r="T184" s="14">
        <v>0.44</v>
      </c>
      <c r="U184" s="15">
        <v>0.12</v>
      </c>
      <c r="V184" s="15">
        <v>0.55</v>
      </c>
      <c r="W184" s="15">
        <v>0.41</v>
      </c>
      <c r="X184" s="15">
        <v>0.52</v>
      </c>
      <c r="Y184" s="20" t="s">
        <v>759</v>
      </c>
    </row>
    <row r="185">
      <c r="A185" s="9">
        <v>183.0</v>
      </c>
      <c r="B185" s="10" t="s">
        <v>760</v>
      </c>
      <c r="C185" s="11" t="s">
        <v>761</v>
      </c>
      <c r="D185" s="12" t="s">
        <v>31</v>
      </c>
      <c r="E185" s="13" t="s">
        <v>762</v>
      </c>
      <c r="F185" s="12">
        <v>20.0</v>
      </c>
      <c r="G185" s="12">
        <v>2004.0</v>
      </c>
      <c r="H185" s="14">
        <v>16.0</v>
      </c>
      <c r="I185" s="15">
        <v>5.0</v>
      </c>
      <c r="J185" s="15">
        <v>495.0</v>
      </c>
      <c r="K185" s="15">
        <v>5.5</v>
      </c>
      <c r="L185" s="22">
        <v>0.0</v>
      </c>
      <c r="M185" s="18">
        <v>0.36</v>
      </c>
      <c r="N185" s="18">
        <v>0.36</v>
      </c>
      <c r="O185" s="19">
        <v>0.0</v>
      </c>
      <c r="P185" s="19">
        <v>0.0</v>
      </c>
      <c r="Q185" s="19">
        <v>0.0</v>
      </c>
      <c r="R185" s="19">
        <v>0.0</v>
      </c>
      <c r="S185" s="19">
        <v>0.0</v>
      </c>
      <c r="T185" s="23">
        <v>0.0</v>
      </c>
      <c r="U185" s="15">
        <v>0.36</v>
      </c>
      <c r="V185" s="15">
        <v>0.36</v>
      </c>
      <c r="W185" s="21">
        <v>0.0</v>
      </c>
      <c r="X185" s="15">
        <v>0.36</v>
      </c>
      <c r="Y185" s="20" t="s">
        <v>763</v>
      </c>
    </row>
    <row r="186">
      <c r="A186" s="9">
        <v>184.0</v>
      </c>
      <c r="B186" s="10" t="s">
        <v>764</v>
      </c>
      <c r="C186" s="11" t="s">
        <v>765</v>
      </c>
      <c r="D186" s="12" t="s">
        <v>41</v>
      </c>
      <c r="E186" s="13" t="s">
        <v>766</v>
      </c>
      <c r="F186" s="12">
        <v>21.0</v>
      </c>
      <c r="G186" s="12">
        <v>2003.0</v>
      </c>
      <c r="H186" s="14">
        <v>23.0</v>
      </c>
      <c r="I186" s="15">
        <v>4.0</v>
      </c>
      <c r="J186" s="15">
        <v>537.0</v>
      </c>
      <c r="K186" s="15">
        <v>6.0</v>
      </c>
      <c r="L186" s="22">
        <v>0.0</v>
      </c>
      <c r="M186" s="18">
        <v>0.17</v>
      </c>
      <c r="N186" s="18">
        <v>0.17</v>
      </c>
      <c r="O186" s="19">
        <v>0.0</v>
      </c>
      <c r="P186" s="19">
        <v>0.0</v>
      </c>
      <c r="Q186" s="19">
        <v>0.0</v>
      </c>
      <c r="R186" s="18">
        <v>0.5</v>
      </c>
      <c r="S186" s="19">
        <v>0.0</v>
      </c>
      <c r="T186" s="23">
        <v>0.0</v>
      </c>
      <c r="U186" s="15">
        <v>0.17</v>
      </c>
      <c r="V186" s="15">
        <v>0.17</v>
      </c>
      <c r="W186" s="21">
        <v>0.0</v>
      </c>
      <c r="X186" s="15">
        <v>0.17</v>
      </c>
      <c r="Y186" s="20" t="s">
        <v>767</v>
      </c>
    </row>
    <row r="187">
      <c r="A187" s="9">
        <v>185.0</v>
      </c>
      <c r="B187" s="10" t="s">
        <v>768</v>
      </c>
      <c r="C187" s="11" t="s">
        <v>769</v>
      </c>
      <c r="D187" s="12" t="s">
        <v>26</v>
      </c>
      <c r="E187" s="13" t="s">
        <v>770</v>
      </c>
      <c r="F187" s="12">
        <v>24.0</v>
      </c>
      <c r="G187" s="12">
        <v>2000.0</v>
      </c>
      <c r="H187" s="14">
        <v>12.0</v>
      </c>
      <c r="I187" s="15">
        <v>7.0</v>
      </c>
      <c r="J187" s="15">
        <v>461.0</v>
      </c>
      <c r="K187" s="15">
        <v>5.1</v>
      </c>
      <c r="L187" s="22">
        <v>0.0</v>
      </c>
      <c r="M187" s="19">
        <v>0.0</v>
      </c>
      <c r="N187" s="19">
        <v>0.0</v>
      </c>
      <c r="O187" s="19">
        <v>0.0</v>
      </c>
      <c r="P187" s="19">
        <v>0.0</v>
      </c>
      <c r="Q187" s="19">
        <v>0.0</v>
      </c>
      <c r="R187" s="18">
        <v>0.2</v>
      </c>
      <c r="S187" s="19">
        <v>0.0</v>
      </c>
      <c r="T187" s="23">
        <v>0.0</v>
      </c>
      <c r="U187" s="21">
        <v>0.0</v>
      </c>
      <c r="V187" s="21">
        <v>0.0</v>
      </c>
      <c r="W187" s="21">
        <v>0.0</v>
      </c>
      <c r="X187" s="21">
        <v>0.0</v>
      </c>
      <c r="Y187" s="20" t="s">
        <v>771</v>
      </c>
    </row>
    <row r="188">
      <c r="A188" s="9">
        <v>186.0</v>
      </c>
      <c r="B188" s="10" t="s">
        <v>772</v>
      </c>
      <c r="C188" s="11" t="s">
        <v>773</v>
      </c>
      <c r="D188" s="12" t="s">
        <v>31</v>
      </c>
      <c r="E188" s="13" t="s">
        <v>774</v>
      </c>
      <c r="F188" s="12">
        <v>24.0</v>
      </c>
      <c r="G188" s="12">
        <v>2001.0</v>
      </c>
      <c r="H188" s="14">
        <v>35.0</v>
      </c>
      <c r="I188" s="15">
        <v>32.0</v>
      </c>
      <c r="J188" s="16">
        <v>2829.0</v>
      </c>
      <c r="K188" s="15">
        <v>31.4</v>
      </c>
      <c r="L188" s="17">
        <v>0.03</v>
      </c>
      <c r="M188" s="18">
        <v>0.03</v>
      </c>
      <c r="N188" s="18">
        <v>0.06</v>
      </c>
      <c r="O188" s="18">
        <v>0.03</v>
      </c>
      <c r="P188" s="19">
        <v>0.0</v>
      </c>
      <c r="Q188" s="19">
        <v>0.0</v>
      </c>
      <c r="R188" s="18">
        <v>0.32</v>
      </c>
      <c r="S188" s="19">
        <v>0.0</v>
      </c>
      <c r="T188" s="14">
        <v>0.03</v>
      </c>
      <c r="U188" s="15">
        <v>0.03</v>
      </c>
      <c r="V188" s="15">
        <v>0.06</v>
      </c>
      <c r="W188" s="15">
        <v>0.03</v>
      </c>
      <c r="X188" s="15">
        <v>0.06</v>
      </c>
      <c r="Y188" s="20" t="s">
        <v>775</v>
      </c>
    </row>
    <row r="189">
      <c r="A189" s="9">
        <v>187.0</v>
      </c>
      <c r="B189" s="10" t="s">
        <v>776</v>
      </c>
      <c r="C189" s="11" t="s">
        <v>777</v>
      </c>
      <c r="D189" s="12" t="s">
        <v>26</v>
      </c>
      <c r="E189" s="13" t="s">
        <v>778</v>
      </c>
      <c r="F189" s="12">
        <v>22.0</v>
      </c>
      <c r="G189" s="12">
        <v>2003.0</v>
      </c>
      <c r="H189" s="14">
        <v>22.0</v>
      </c>
      <c r="I189" s="15">
        <v>9.0</v>
      </c>
      <c r="J189" s="15">
        <v>960.0</v>
      </c>
      <c r="K189" s="15">
        <v>10.7</v>
      </c>
      <c r="L189" s="17">
        <v>0.28</v>
      </c>
      <c r="M189" s="19">
        <v>0.0</v>
      </c>
      <c r="N189" s="18">
        <v>0.28</v>
      </c>
      <c r="O189" s="18">
        <v>0.28</v>
      </c>
      <c r="P189" s="19">
        <v>0.0</v>
      </c>
      <c r="Q189" s="19">
        <v>0.0</v>
      </c>
      <c r="R189" s="19">
        <v>0.0</v>
      </c>
      <c r="S189" s="19">
        <v>0.0</v>
      </c>
      <c r="T189" s="14">
        <v>0.28</v>
      </c>
      <c r="U189" s="21">
        <v>0.0</v>
      </c>
      <c r="V189" s="15">
        <v>0.28</v>
      </c>
      <c r="W189" s="15">
        <v>0.28</v>
      </c>
      <c r="X189" s="15">
        <v>0.28</v>
      </c>
      <c r="Y189" s="20" t="s">
        <v>779</v>
      </c>
    </row>
    <row r="190">
      <c r="A190" s="9">
        <v>188.0</v>
      </c>
      <c r="B190" s="10" t="s">
        <v>780</v>
      </c>
      <c r="C190" s="11" t="s">
        <v>781</v>
      </c>
      <c r="D190" s="12" t="s">
        <v>36</v>
      </c>
      <c r="E190" s="13" t="s">
        <v>782</v>
      </c>
      <c r="F190" s="12">
        <v>26.0</v>
      </c>
      <c r="G190" s="12">
        <v>1999.0</v>
      </c>
      <c r="H190" s="14">
        <v>19.0</v>
      </c>
      <c r="I190" s="15">
        <v>17.0</v>
      </c>
      <c r="J190" s="16">
        <v>1424.0</v>
      </c>
      <c r="K190" s="15">
        <v>15.8</v>
      </c>
      <c r="L190" s="22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8">
        <v>0.13</v>
      </c>
      <c r="S190" s="18">
        <v>0.06</v>
      </c>
      <c r="T190" s="23">
        <v>0.0</v>
      </c>
      <c r="U190" s="21">
        <v>0.0</v>
      </c>
      <c r="V190" s="21">
        <v>0.0</v>
      </c>
      <c r="W190" s="21">
        <v>0.0</v>
      </c>
      <c r="X190" s="21">
        <v>0.0</v>
      </c>
      <c r="Y190" s="20" t="s">
        <v>783</v>
      </c>
    </row>
    <row r="191">
      <c r="A191" s="9">
        <v>189.0</v>
      </c>
      <c r="B191" s="10" t="s">
        <v>784</v>
      </c>
      <c r="C191" s="11" t="s">
        <v>785</v>
      </c>
      <c r="D191" s="12" t="s">
        <v>26</v>
      </c>
      <c r="E191" s="13" t="s">
        <v>786</v>
      </c>
      <c r="F191" s="12">
        <v>22.0</v>
      </c>
      <c r="G191" s="12">
        <v>2003.0</v>
      </c>
      <c r="H191" s="14">
        <v>32.0</v>
      </c>
      <c r="I191" s="15">
        <v>26.0</v>
      </c>
      <c r="J191" s="16">
        <v>2120.0</v>
      </c>
      <c r="K191" s="15">
        <v>23.6</v>
      </c>
      <c r="L191" s="17">
        <v>0.21</v>
      </c>
      <c r="M191" s="18">
        <v>0.04</v>
      </c>
      <c r="N191" s="18">
        <v>0.25</v>
      </c>
      <c r="O191" s="18">
        <v>0.21</v>
      </c>
      <c r="P191" s="19">
        <v>0.0</v>
      </c>
      <c r="Q191" s="19">
        <v>0.0</v>
      </c>
      <c r="R191" s="18">
        <v>0.38</v>
      </c>
      <c r="S191" s="19">
        <v>0.0</v>
      </c>
      <c r="T191" s="14">
        <v>0.21</v>
      </c>
      <c r="U191" s="15">
        <v>0.04</v>
      </c>
      <c r="V191" s="15">
        <v>0.25</v>
      </c>
      <c r="W191" s="15">
        <v>0.21</v>
      </c>
      <c r="X191" s="15">
        <v>0.25</v>
      </c>
      <c r="Y191" s="20" t="s">
        <v>787</v>
      </c>
    </row>
    <row r="192">
      <c r="A192" s="9">
        <v>190.0</v>
      </c>
      <c r="B192" s="10" t="s">
        <v>788</v>
      </c>
      <c r="C192" s="11" t="s">
        <v>789</v>
      </c>
      <c r="D192" s="12" t="s">
        <v>36</v>
      </c>
      <c r="E192" s="13" t="s">
        <v>790</v>
      </c>
      <c r="F192" s="12">
        <v>28.0</v>
      </c>
      <c r="G192" s="12">
        <v>1997.0</v>
      </c>
      <c r="H192" s="14">
        <v>21.0</v>
      </c>
      <c r="I192" s="15">
        <v>7.0</v>
      </c>
      <c r="J192" s="15">
        <v>607.0</v>
      </c>
      <c r="K192" s="15">
        <v>6.7</v>
      </c>
      <c r="L192" s="22">
        <v>0.0</v>
      </c>
      <c r="M192" s="18">
        <v>0.3</v>
      </c>
      <c r="N192" s="18">
        <v>0.3</v>
      </c>
      <c r="O192" s="19">
        <v>0.0</v>
      </c>
      <c r="P192" s="19">
        <v>0.0</v>
      </c>
      <c r="Q192" s="19">
        <v>0.0</v>
      </c>
      <c r="R192" s="18">
        <v>0.6</v>
      </c>
      <c r="S192" s="19">
        <v>0.0</v>
      </c>
      <c r="T192" s="23">
        <v>0.0</v>
      </c>
      <c r="U192" s="15">
        <v>0.3</v>
      </c>
      <c r="V192" s="15">
        <v>0.3</v>
      </c>
      <c r="W192" s="21">
        <v>0.0</v>
      </c>
      <c r="X192" s="15">
        <v>0.3</v>
      </c>
      <c r="Y192" s="20" t="s">
        <v>791</v>
      </c>
    </row>
    <row r="193">
      <c r="A193" s="9">
        <v>191.0</v>
      </c>
      <c r="B193" s="10" t="s">
        <v>792</v>
      </c>
      <c r="C193" s="11" t="s">
        <v>793</v>
      </c>
      <c r="D193" s="12" t="s">
        <v>31</v>
      </c>
      <c r="E193" s="13" t="s">
        <v>794</v>
      </c>
      <c r="F193" s="12">
        <v>23.0</v>
      </c>
      <c r="G193" s="12">
        <v>2002.0</v>
      </c>
      <c r="H193" s="14">
        <v>25.0</v>
      </c>
      <c r="I193" s="15">
        <v>17.0</v>
      </c>
      <c r="J193" s="16">
        <v>1569.0</v>
      </c>
      <c r="K193" s="15">
        <v>17.4</v>
      </c>
      <c r="L193" s="17">
        <v>0.06</v>
      </c>
      <c r="M193" s="19">
        <v>0.0</v>
      </c>
      <c r="N193" s="18">
        <v>0.06</v>
      </c>
      <c r="O193" s="18">
        <v>0.06</v>
      </c>
      <c r="P193" s="19">
        <v>0.0</v>
      </c>
      <c r="Q193" s="19">
        <v>0.0</v>
      </c>
      <c r="R193" s="18">
        <v>0.34</v>
      </c>
      <c r="S193" s="19">
        <v>0.0</v>
      </c>
      <c r="T193" s="14">
        <v>0.06</v>
      </c>
      <c r="U193" s="21">
        <v>0.0</v>
      </c>
      <c r="V193" s="15">
        <v>0.06</v>
      </c>
      <c r="W193" s="15">
        <v>0.06</v>
      </c>
      <c r="X193" s="15">
        <v>0.06</v>
      </c>
      <c r="Y193" s="20" t="s">
        <v>795</v>
      </c>
    </row>
    <row r="194">
      <c r="A194" s="9">
        <v>192.0</v>
      </c>
      <c r="B194" s="10" t="s">
        <v>796</v>
      </c>
      <c r="C194" s="11" t="s">
        <v>797</v>
      </c>
      <c r="D194" s="12" t="s">
        <v>41</v>
      </c>
      <c r="E194" s="13" t="s">
        <v>798</v>
      </c>
      <c r="F194" s="12">
        <v>24.0</v>
      </c>
      <c r="G194" s="12">
        <v>2001.0</v>
      </c>
      <c r="H194" s="14">
        <v>26.0</v>
      </c>
      <c r="I194" s="15">
        <v>24.0</v>
      </c>
      <c r="J194" s="16">
        <v>1795.0</v>
      </c>
      <c r="K194" s="15">
        <v>19.9</v>
      </c>
      <c r="L194" s="17">
        <v>0.3</v>
      </c>
      <c r="M194" s="18">
        <v>0.1</v>
      </c>
      <c r="N194" s="18">
        <v>0.4</v>
      </c>
      <c r="O194" s="18">
        <v>0.15</v>
      </c>
      <c r="P194" s="18">
        <v>0.15</v>
      </c>
      <c r="Q194" s="18">
        <v>0.15</v>
      </c>
      <c r="R194" s="18">
        <v>0.15</v>
      </c>
      <c r="S194" s="18">
        <v>0.05</v>
      </c>
      <c r="T194" s="14">
        <v>0.3</v>
      </c>
      <c r="U194" s="15">
        <v>0.1</v>
      </c>
      <c r="V194" s="15">
        <v>0.4</v>
      </c>
      <c r="W194" s="15">
        <v>0.15</v>
      </c>
      <c r="X194" s="15">
        <v>0.25</v>
      </c>
      <c r="Y194" s="20" t="s">
        <v>799</v>
      </c>
    </row>
    <row r="195">
      <c r="A195" s="9">
        <v>193.0</v>
      </c>
      <c r="B195" s="10" t="s">
        <v>800</v>
      </c>
      <c r="C195" s="11" t="s">
        <v>801</v>
      </c>
      <c r="D195" s="12" t="s">
        <v>31</v>
      </c>
      <c r="E195" s="13" t="s">
        <v>802</v>
      </c>
      <c r="F195" s="12">
        <v>23.0</v>
      </c>
      <c r="G195" s="12">
        <v>2002.0</v>
      </c>
      <c r="H195" s="14">
        <v>36.0</v>
      </c>
      <c r="I195" s="15">
        <v>34.0</v>
      </c>
      <c r="J195" s="16">
        <v>2992.0</v>
      </c>
      <c r="K195" s="15">
        <v>33.2</v>
      </c>
      <c r="L195" s="17">
        <v>0.15</v>
      </c>
      <c r="M195" s="18">
        <v>0.09</v>
      </c>
      <c r="N195" s="18">
        <v>0.24</v>
      </c>
      <c r="O195" s="18">
        <v>0.15</v>
      </c>
      <c r="P195" s="19">
        <v>0.0</v>
      </c>
      <c r="Q195" s="19">
        <v>0.0</v>
      </c>
      <c r="R195" s="18">
        <v>0.15</v>
      </c>
      <c r="S195" s="19">
        <v>0.0</v>
      </c>
      <c r="T195" s="14">
        <v>0.15</v>
      </c>
      <c r="U195" s="15">
        <v>0.09</v>
      </c>
      <c r="V195" s="15">
        <v>0.24</v>
      </c>
      <c r="W195" s="15">
        <v>0.15</v>
      </c>
      <c r="X195" s="15">
        <v>0.24</v>
      </c>
      <c r="Y195" s="20" t="s">
        <v>803</v>
      </c>
    </row>
    <row r="196">
      <c r="A196" s="9">
        <v>194.0</v>
      </c>
      <c r="B196" s="10" t="s">
        <v>804</v>
      </c>
      <c r="C196" s="11" t="s">
        <v>805</v>
      </c>
      <c r="D196" s="12" t="s">
        <v>264</v>
      </c>
      <c r="E196" s="13" t="s">
        <v>806</v>
      </c>
      <c r="F196" s="12">
        <v>19.0</v>
      </c>
      <c r="G196" s="12">
        <v>2006.0</v>
      </c>
      <c r="H196" s="14">
        <v>24.0</v>
      </c>
      <c r="I196" s="15">
        <v>18.0</v>
      </c>
      <c r="J196" s="16">
        <v>1478.0</v>
      </c>
      <c r="K196" s="15">
        <v>16.4</v>
      </c>
      <c r="L196" s="17">
        <v>0.12</v>
      </c>
      <c r="M196" s="18">
        <v>0.12</v>
      </c>
      <c r="N196" s="18">
        <v>0.24</v>
      </c>
      <c r="O196" s="18">
        <v>0.12</v>
      </c>
      <c r="P196" s="19">
        <v>0.0</v>
      </c>
      <c r="Q196" s="19">
        <v>0.0</v>
      </c>
      <c r="R196" s="18">
        <v>0.3</v>
      </c>
      <c r="S196" s="19">
        <v>0.0</v>
      </c>
      <c r="T196" s="14">
        <v>0.12</v>
      </c>
      <c r="U196" s="15">
        <v>0.12</v>
      </c>
      <c r="V196" s="15">
        <v>0.24</v>
      </c>
      <c r="W196" s="15">
        <v>0.12</v>
      </c>
      <c r="X196" s="15">
        <v>0.24</v>
      </c>
      <c r="Y196" s="20" t="s">
        <v>807</v>
      </c>
    </row>
    <row r="197">
      <c r="A197" s="9">
        <v>195.0</v>
      </c>
      <c r="B197" s="10" t="s">
        <v>808</v>
      </c>
      <c r="C197" s="11" t="s">
        <v>809</v>
      </c>
      <c r="D197" s="12" t="s">
        <v>31</v>
      </c>
      <c r="E197" s="13" t="s">
        <v>810</v>
      </c>
      <c r="F197" s="12">
        <v>29.0</v>
      </c>
      <c r="G197" s="12">
        <v>1995.0</v>
      </c>
      <c r="H197" s="14">
        <v>20.0</v>
      </c>
      <c r="I197" s="15">
        <v>18.0</v>
      </c>
      <c r="J197" s="16">
        <v>1627.0</v>
      </c>
      <c r="K197" s="15">
        <v>18.1</v>
      </c>
      <c r="L197" s="17">
        <v>0.11</v>
      </c>
      <c r="M197" s="18">
        <v>0.33</v>
      </c>
      <c r="N197" s="18">
        <v>0.44</v>
      </c>
      <c r="O197" s="18">
        <v>0.11</v>
      </c>
      <c r="P197" s="19">
        <v>0.0</v>
      </c>
      <c r="Q197" s="19">
        <v>0.0</v>
      </c>
      <c r="R197" s="18">
        <v>0.28</v>
      </c>
      <c r="S197" s="18">
        <v>0.06</v>
      </c>
      <c r="T197" s="14">
        <v>0.11</v>
      </c>
      <c r="U197" s="15">
        <v>0.33</v>
      </c>
      <c r="V197" s="15">
        <v>0.44</v>
      </c>
      <c r="W197" s="15">
        <v>0.11</v>
      </c>
      <c r="X197" s="15">
        <v>0.44</v>
      </c>
      <c r="Y197" s="20" t="s">
        <v>811</v>
      </c>
    </row>
    <row r="198">
      <c r="A198" s="9">
        <v>196.0</v>
      </c>
      <c r="B198" s="10" t="s">
        <v>812</v>
      </c>
      <c r="C198" s="11" t="s">
        <v>813</v>
      </c>
      <c r="D198" s="12" t="s">
        <v>31</v>
      </c>
      <c r="E198" s="13" t="s">
        <v>814</v>
      </c>
      <c r="F198" s="12">
        <v>34.0</v>
      </c>
      <c r="G198" s="12">
        <v>1991.0</v>
      </c>
      <c r="H198" s="14">
        <v>19.0</v>
      </c>
      <c r="I198" s="15">
        <v>18.0</v>
      </c>
      <c r="J198" s="16">
        <v>1636.0</v>
      </c>
      <c r="K198" s="15">
        <v>18.2</v>
      </c>
      <c r="L198" s="17">
        <v>0.05</v>
      </c>
      <c r="M198" s="18">
        <v>0.16</v>
      </c>
      <c r="N198" s="18">
        <v>0.22</v>
      </c>
      <c r="O198" s="18">
        <v>0.05</v>
      </c>
      <c r="P198" s="19">
        <v>0.0</v>
      </c>
      <c r="Q198" s="19">
        <v>0.0</v>
      </c>
      <c r="R198" s="18">
        <v>0.11</v>
      </c>
      <c r="S198" s="19">
        <v>0.0</v>
      </c>
      <c r="T198" s="14">
        <v>0.06</v>
      </c>
      <c r="U198" s="15">
        <v>0.17</v>
      </c>
      <c r="V198" s="15">
        <v>0.22</v>
      </c>
      <c r="W198" s="15">
        <v>0.06</v>
      </c>
      <c r="X198" s="15">
        <v>0.22</v>
      </c>
      <c r="Y198" s="20" t="s">
        <v>815</v>
      </c>
    </row>
    <row r="199">
      <c r="A199" s="9">
        <v>197.0</v>
      </c>
      <c r="B199" s="10" t="s">
        <v>816</v>
      </c>
      <c r="C199" s="11" t="s">
        <v>817</v>
      </c>
      <c r="D199" s="12" t="s">
        <v>31</v>
      </c>
      <c r="E199" s="13" t="s">
        <v>818</v>
      </c>
      <c r="F199" s="12">
        <v>21.0</v>
      </c>
      <c r="G199" s="12">
        <v>2004.0</v>
      </c>
      <c r="H199" s="14">
        <v>18.0</v>
      </c>
      <c r="I199" s="15">
        <v>8.0</v>
      </c>
      <c r="J199" s="15">
        <v>719.0</v>
      </c>
      <c r="K199" s="15">
        <v>8.0</v>
      </c>
      <c r="L199" s="17">
        <v>0.13</v>
      </c>
      <c r="M199" s="18">
        <v>0.13</v>
      </c>
      <c r="N199" s="18">
        <v>0.25</v>
      </c>
      <c r="O199" s="18">
        <v>0.13</v>
      </c>
      <c r="P199" s="19">
        <v>0.0</v>
      </c>
      <c r="Q199" s="19">
        <v>0.0</v>
      </c>
      <c r="R199" s="18">
        <v>0.25</v>
      </c>
      <c r="S199" s="19">
        <v>0.0</v>
      </c>
      <c r="T199" s="14">
        <v>0.13</v>
      </c>
      <c r="U199" s="15">
        <v>0.13</v>
      </c>
      <c r="V199" s="15">
        <v>0.25</v>
      </c>
      <c r="W199" s="15">
        <v>0.13</v>
      </c>
      <c r="X199" s="15">
        <v>0.25</v>
      </c>
      <c r="Y199" s="20" t="s">
        <v>819</v>
      </c>
    </row>
    <row r="200">
      <c r="A200" s="9">
        <v>198.0</v>
      </c>
      <c r="B200" s="10" t="s">
        <v>820</v>
      </c>
      <c r="C200" s="11" t="s">
        <v>821</v>
      </c>
      <c r="D200" s="12" t="s">
        <v>31</v>
      </c>
      <c r="E200" s="13" t="s">
        <v>822</v>
      </c>
      <c r="F200" s="12">
        <v>25.0</v>
      </c>
      <c r="G200" s="12">
        <v>2000.0</v>
      </c>
      <c r="H200" s="14">
        <v>23.0</v>
      </c>
      <c r="I200" s="15">
        <v>15.0</v>
      </c>
      <c r="J200" s="16">
        <v>1323.0</v>
      </c>
      <c r="K200" s="15">
        <v>14.7</v>
      </c>
      <c r="L200" s="22">
        <v>0.0</v>
      </c>
      <c r="M200" s="18">
        <v>0.2</v>
      </c>
      <c r="N200" s="18">
        <v>0.2</v>
      </c>
      <c r="O200" s="19">
        <v>0.0</v>
      </c>
      <c r="P200" s="19">
        <v>0.0</v>
      </c>
      <c r="Q200" s="19">
        <v>0.0</v>
      </c>
      <c r="R200" s="18">
        <v>0.2</v>
      </c>
      <c r="S200" s="19">
        <v>0.0</v>
      </c>
      <c r="T200" s="23">
        <v>0.0</v>
      </c>
      <c r="U200" s="15">
        <v>0.2</v>
      </c>
      <c r="V200" s="15">
        <v>0.2</v>
      </c>
      <c r="W200" s="21">
        <v>0.0</v>
      </c>
      <c r="X200" s="15">
        <v>0.2</v>
      </c>
      <c r="Y200" s="20" t="s">
        <v>823</v>
      </c>
    </row>
    <row r="201">
      <c r="A201" s="9">
        <v>199.0</v>
      </c>
      <c r="B201" s="10" t="s">
        <v>824</v>
      </c>
      <c r="C201" s="11" t="s">
        <v>825</v>
      </c>
      <c r="D201" s="12" t="s">
        <v>345</v>
      </c>
      <c r="E201" s="13" t="s">
        <v>826</v>
      </c>
      <c r="F201" s="12">
        <v>26.0</v>
      </c>
      <c r="G201" s="12">
        <v>1999.0</v>
      </c>
      <c r="H201" s="14">
        <v>32.0</v>
      </c>
      <c r="I201" s="15">
        <v>31.0</v>
      </c>
      <c r="J201" s="16">
        <v>2631.0</v>
      </c>
      <c r="K201" s="15">
        <v>29.2</v>
      </c>
      <c r="L201" s="22">
        <v>0.0</v>
      </c>
      <c r="M201" s="19">
        <v>0.0</v>
      </c>
      <c r="N201" s="19">
        <v>0.0</v>
      </c>
      <c r="O201" s="19">
        <v>0.0</v>
      </c>
      <c r="P201" s="19">
        <v>0.0</v>
      </c>
      <c r="Q201" s="19">
        <v>0.0</v>
      </c>
      <c r="R201" s="18">
        <v>0.21</v>
      </c>
      <c r="S201" s="18">
        <v>0.03</v>
      </c>
      <c r="T201" s="23">
        <v>0.0</v>
      </c>
      <c r="U201" s="21">
        <v>0.0</v>
      </c>
      <c r="V201" s="21">
        <v>0.0</v>
      </c>
      <c r="W201" s="21">
        <v>0.0</v>
      </c>
      <c r="X201" s="21">
        <v>0.0</v>
      </c>
      <c r="Y201" s="20" t="s">
        <v>827</v>
      </c>
    </row>
    <row r="202">
      <c r="A202" s="9">
        <v>200.0</v>
      </c>
      <c r="B202" s="10" t="s">
        <v>828</v>
      </c>
      <c r="C202" s="11" t="s">
        <v>829</v>
      </c>
      <c r="D202" s="12" t="s">
        <v>36</v>
      </c>
      <c r="E202" s="13" t="s">
        <v>830</v>
      </c>
      <c r="F202" s="12">
        <v>25.0</v>
      </c>
      <c r="G202" s="12">
        <v>2000.0</v>
      </c>
      <c r="H202" s="14">
        <v>20.0</v>
      </c>
      <c r="I202" s="15">
        <v>20.0</v>
      </c>
      <c r="J202" s="16">
        <v>1800.0</v>
      </c>
      <c r="K202" s="15">
        <v>20.0</v>
      </c>
      <c r="L202" s="17">
        <v>0.1</v>
      </c>
      <c r="M202" s="18">
        <v>0.1</v>
      </c>
      <c r="N202" s="18">
        <v>0.2</v>
      </c>
      <c r="O202" s="18">
        <v>0.1</v>
      </c>
      <c r="P202" s="19">
        <v>0.0</v>
      </c>
      <c r="Q202" s="19">
        <v>0.0</v>
      </c>
      <c r="R202" s="18">
        <v>0.2</v>
      </c>
      <c r="S202" s="19">
        <v>0.0</v>
      </c>
      <c r="T202" s="14">
        <v>0.1</v>
      </c>
      <c r="U202" s="15">
        <v>0.1</v>
      </c>
      <c r="V202" s="15">
        <v>0.2</v>
      </c>
      <c r="W202" s="15">
        <v>0.1</v>
      </c>
      <c r="X202" s="15">
        <v>0.2</v>
      </c>
      <c r="Y202" s="20" t="s">
        <v>831</v>
      </c>
    </row>
    <row r="203">
      <c r="A203" s="9">
        <v>201.0</v>
      </c>
      <c r="B203" s="10" t="s">
        <v>832</v>
      </c>
      <c r="C203" s="11" t="s">
        <v>833</v>
      </c>
      <c r="D203" s="12" t="s">
        <v>36</v>
      </c>
      <c r="E203" s="13" t="s">
        <v>834</v>
      </c>
      <c r="F203" s="12">
        <v>25.0</v>
      </c>
      <c r="G203" s="12">
        <v>2000.0</v>
      </c>
      <c r="H203" s="14">
        <v>15.0</v>
      </c>
      <c r="I203" s="15">
        <v>15.0</v>
      </c>
      <c r="J203" s="16">
        <v>1350.0</v>
      </c>
      <c r="K203" s="15">
        <v>15.0</v>
      </c>
      <c r="L203" s="17">
        <v>0.07</v>
      </c>
      <c r="M203" s="18">
        <v>0.07</v>
      </c>
      <c r="N203" s="18">
        <v>0.13</v>
      </c>
      <c r="O203" s="18">
        <v>0.07</v>
      </c>
      <c r="P203" s="19">
        <v>0.0</v>
      </c>
      <c r="Q203" s="19">
        <v>0.0</v>
      </c>
      <c r="R203" s="18">
        <v>0.13</v>
      </c>
      <c r="S203" s="19">
        <v>0.0</v>
      </c>
      <c r="T203" s="14">
        <v>0.07</v>
      </c>
      <c r="U203" s="15">
        <v>0.07</v>
      </c>
      <c r="V203" s="15">
        <v>0.13</v>
      </c>
      <c r="W203" s="15">
        <v>0.07</v>
      </c>
      <c r="X203" s="15">
        <v>0.13</v>
      </c>
      <c r="Y203" s="20" t="s">
        <v>835</v>
      </c>
    </row>
    <row r="204">
      <c r="A204" s="9">
        <v>202.0</v>
      </c>
      <c r="B204" s="10" t="s">
        <v>836</v>
      </c>
      <c r="C204" s="11" t="s">
        <v>837</v>
      </c>
      <c r="D204" s="12" t="s">
        <v>31</v>
      </c>
      <c r="E204" s="13" t="s">
        <v>838</v>
      </c>
      <c r="F204" s="12">
        <v>24.0</v>
      </c>
      <c r="G204" s="12">
        <v>2001.0</v>
      </c>
      <c r="H204" s="14">
        <v>8.0</v>
      </c>
      <c r="I204" s="15">
        <v>3.0</v>
      </c>
      <c r="J204" s="15">
        <v>330.0</v>
      </c>
      <c r="K204" s="15">
        <v>3.7</v>
      </c>
      <c r="L204" s="17">
        <v>0.27</v>
      </c>
      <c r="M204" s="18">
        <v>0.27</v>
      </c>
      <c r="N204" s="18">
        <v>0.54</v>
      </c>
      <c r="O204" s="18">
        <v>0.27</v>
      </c>
      <c r="P204" s="19">
        <v>0.0</v>
      </c>
      <c r="Q204" s="19">
        <v>0.0</v>
      </c>
      <c r="R204" s="19">
        <v>0.0</v>
      </c>
      <c r="S204" s="19">
        <v>0.0</v>
      </c>
      <c r="T204" s="14">
        <v>0.27</v>
      </c>
      <c r="U204" s="15">
        <v>0.27</v>
      </c>
      <c r="V204" s="15">
        <v>0.55</v>
      </c>
      <c r="W204" s="15">
        <v>0.27</v>
      </c>
      <c r="X204" s="15">
        <v>0.55</v>
      </c>
      <c r="Y204" s="20" t="s">
        <v>839</v>
      </c>
    </row>
    <row r="205">
      <c r="A205" s="9">
        <v>203.0</v>
      </c>
      <c r="B205" s="10" t="s">
        <v>840</v>
      </c>
      <c r="C205" s="11" t="s">
        <v>841</v>
      </c>
      <c r="D205" s="12" t="s">
        <v>31</v>
      </c>
      <c r="E205" s="13" t="s">
        <v>842</v>
      </c>
      <c r="F205" s="12">
        <v>24.0</v>
      </c>
      <c r="G205" s="12">
        <v>2001.0</v>
      </c>
      <c r="H205" s="14">
        <v>13.0</v>
      </c>
      <c r="I205" s="15">
        <v>6.0</v>
      </c>
      <c r="J205" s="15">
        <v>588.0</v>
      </c>
      <c r="K205" s="15">
        <v>6.5</v>
      </c>
      <c r="L205" s="22">
        <v>0.0</v>
      </c>
      <c r="M205" s="18">
        <v>0.15</v>
      </c>
      <c r="N205" s="18">
        <v>0.15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23">
        <v>0.0</v>
      </c>
      <c r="U205" s="15">
        <v>0.15</v>
      </c>
      <c r="V205" s="15">
        <v>0.15</v>
      </c>
      <c r="W205" s="21">
        <v>0.0</v>
      </c>
      <c r="X205" s="15">
        <v>0.15</v>
      </c>
      <c r="Y205" s="20" t="s">
        <v>843</v>
      </c>
    </row>
    <row r="206">
      <c r="A206" s="9">
        <v>204.0</v>
      </c>
      <c r="B206" s="10" t="s">
        <v>844</v>
      </c>
      <c r="C206" s="11" t="s">
        <v>845</v>
      </c>
      <c r="D206" s="12" t="s">
        <v>41</v>
      </c>
      <c r="E206" s="13" t="s">
        <v>846</v>
      </c>
      <c r="F206" s="12">
        <v>19.0</v>
      </c>
      <c r="G206" s="12">
        <v>2006.0</v>
      </c>
      <c r="H206" s="14">
        <v>5.0</v>
      </c>
      <c r="I206" s="15">
        <v>1.0</v>
      </c>
      <c r="J206" s="15">
        <v>125.0</v>
      </c>
      <c r="K206" s="15">
        <v>1.4</v>
      </c>
      <c r="L206" s="22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23">
        <v>0.0</v>
      </c>
      <c r="U206" s="21">
        <v>0.0</v>
      </c>
      <c r="V206" s="21">
        <v>0.0</v>
      </c>
      <c r="W206" s="21">
        <v>0.0</v>
      </c>
      <c r="X206" s="21">
        <v>0.0</v>
      </c>
      <c r="Y206" s="20" t="s">
        <v>847</v>
      </c>
    </row>
    <row r="207">
      <c r="A207" s="9">
        <v>205.0</v>
      </c>
      <c r="B207" s="10" t="s">
        <v>848</v>
      </c>
      <c r="C207" s="11" t="s">
        <v>849</v>
      </c>
      <c r="D207" s="12" t="s">
        <v>31</v>
      </c>
      <c r="E207" s="13" t="s">
        <v>850</v>
      </c>
      <c r="F207" s="12">
        <v>27.0</v>
      </c>
      <c r="G207" s="12">
        <v>1997.0</v>
      </c>
      <c r="H207" s="14">
        <v>29.0</v>
      </c>
      <c r="I207" s="15">
        <v>27.0</v>
      </c>
      <c r="J207" s="16">
        <v>2453.0</v>
      </c>
      <c r="K207" s="15">
        <v>27.3</v>
      </c>
      <c r="L207" s="17">
        <v>0.33</v>
      </c>
      <c r="M207" s="18">
        <v>0.18</v>
      </c>
      <c r="N207" s="18">
        <v>0.51</v>
      </c>
      <c r="O207" s="18">
        <v>0.26</v>
      </c>
      <c r="P207" s="18">
        <v>0.07</v>
      </c>
      <c r="Q207" s="18">
        <v>0.07</v>
      </c>
      <c r="R207" s="18">
        <v>0.22</v>
      </c>
      <c r="S207" s="19">
        <v>0.0</v>
      </c>
      <c r="T207" s="14">
        <v>0.33</v>
      </c>
      <c r="U207" s="15">
        <v>0.18</v>
      </c>
      <c r="V207" s="15">
        <v>0.51</v>
      </c>
      <c r="W207" s="15">
        <v>0.26</v>
      </c>
      <c r="X207" s="15">
        <v>0.44</v>
      </c>
      <c r="Y207" s="20" t="s">
        <v>851</v>
      </c>
    </row>
    <row r="208">
      <c r="A208" s="9">
        <v>206.0</v>
      </c>
      <c r="B208" s="10" t="s">
        <v>852</v>
      </c>
      <c r="C208" s="11" t="s">
        <v>853</v>
      </c>
      <c r="D208" s="12" t="s">
        <v>41</v>
      </c>
      <c r="E208" s="13" t="s">
        <v>854</v>
      </c>
      <c r="F208" s="12">
        <v>19.0</v>
      </c>
      <c r="G208" s="12">
        <v>2006.0</v>
      </c>
      <c r="H208" s="14">
        <v>2.0</v>
      </c>
      <c r="I208" s="21">
        <v>0.0</v>
      </c>
      <c r="J208" s="15">
        <v>15.0</v>
      </c>
      <c r="K208" s="15">
        <v>0.2</v>
      </c>
      <c r="L208" s="22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23">
        <v>0.0</v>
      </c>
      <c r="U208" s="21">
        <v>0.0</v>
      </c>
      <c r="V208" s="21">
        <v>0.0</v>
      </c>
      <c r="W208" s="21">
        <v>0.0</v>
      </c>
      <c r="X208" s="21">
        <v>0.0</v>
      </c>
      <c r="Y208" s="20" t="s">
        <v>855</v>
      </c>
    </row>
    <row r="209">
      <c r="A209" s="9">
        <v>207.0</v>
      </c>
      <c r="B209" s="10" t="s">
        <v>856</v>
      </c>
      <c r="C209" s="11" t="s">
        <v>857</v>
      </c>
      <c r="D209" s="12" t="s">
        <v>41</v>
      </c>
      <c r="E209" s="13" t="s">
        <v>858</v>
      </c>
      <c r="F209" s="12">
        <v>19.0</v>
      </c>
      <c r="G209" s="12">
        <v>2006.0</v>
      </c>
      <c r="H209" s="14">
        <v>8.0</v>
      </c>
      <c r="I209" s="15">
        <v>1.0</v>
      </c>
      <c r="J209" s="15">
        <v>257.0</v>
      </c>
      <c r="K209" s="15">
        <v>2.9</v>
      </c>
      <c r="L209" s="22">
        <v>0.0</v>
      </c>
      <c r="M209" s="18">
        <v>0.34</v>
      </c>
      <c r="N209" s="18">
        <v>0.34</v>
      </c>
      <c r="O209" s="19">
        <v>0.0</v>
      </c>
      <c r="P209" s="19">
        <v>0.0</v>
      </c>
      <c r="Q209" s="19">
        <v>0.0</v>
      </c>
      <c r="R209" s="18">
        <v>0.34</v>
      </c>
      <c r="S209" s="19">
        <v>0.0</v>
      </c>
      <c r="T209" s="23">
        <v>0.0</v>
      </c>
      <c r="U209" s="15">
        <v>0.35</v>
      </c>
      <c r="V209" s="15">
        <v>0.35</v>
      </c>
      <c r="W209" s="21">
        <v>0.0</v>
      </c>
      <c r="X209" s="15">
        <v>0.35</v>
      </c>
      <c r="Y209" s="20" t="s">
        <v>859</v>
      </c>
    </row>
    <row r="210">
      <c r="A210" s="9">
        <v>208.0</v>
      </c>
      <c r="B210" s="10" t="s">
        <v>860</v>
      </c>
      <c r="C210" s="11" t="s">
        <v>861</v>
      </c>
      <c r="D210" s="12" t="s">
        <v>98</v>
      </c>
      <c r="E210" s="13" t="s">
        <v>862</v>
      </c>
      <c r="F210" s="12">
        <v>29.0</v>
      </c>
      <c r="G210" s="12">
        <v>1996.0</v>
      </c>
      <c r="H210" s="14">
        <v>1.0</v>
      </c>
      <c r="I210" s="21">
        <v>0.0</v>
      </c>
      <c r="J210" s="15">
        <v>45.0</v>
      </c>
      <c r="K210" s="15">
        <v>0.5</v>
      </c>
      <c r="L210" s="22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23">
        <v>0.0</v>
      </c>
      <c r="U210" s="21">
        <v>0.0</v>
      </c>
      <c r="V210" s="21">
        <v>0.0</v>
      </c>
      <c r="W210" s="21">
        <v>0.0</v>
      </c>
      <c r="X210" s="21">
        <v>0.0</v>
      </c>
      <c r="Y210" s="20" t="s">
        <v>863</v>
      </c>
    </row>
    <row r="211">
      <c r="A211" s="9">
        <v>209.0</v>
      </c>
      <c r="B211" s="10" t="s">
        <v>864</v>
      </c>
      <c r="C211" s="11" t="s">
        <v>865</v>
      </c>
      <c r="D211" s="12" t="s">
        <v>345</v>
      </c>
      <c r="E211" s="13" t="s">
        <v>866</v>
      </c>
      <c r="F211" s="12">
        <v>22.0</v>
      </c>
      <c r="G211" s="12">
        <v>2003.0</v>
      </c>
      <c r="H211" s="14">
        <v>34.0</v>
      </c>
      <c r="I211" s="15">
        <v>26.0</v>
      </c>
      <c r="J211" s="16">
        <v>2261.0</v>
      </c>
      <c r="K211" s="15">
        <v>25.1</v>
      </c>
      <c r="L211" s="17">
        <v>0.08</v>
      </c>
      <c r="M211" s="18">
        <v>0.12</v>
      </c>
      <c r="N211" s="18">
        <v>0.2</v>
      </c>
      <c r="O211" s="18">
        <v>0.08</v>
      </c>
      <c r="P211" s="19">
        <v>0.0</v>
      </c>
      <c r="Q211" s="19">
        <v>0.0</v>
      </c>
      <c r="R211" s="18">
        <v>0.2</v>
      </c>
      <c r="S211" s="18">
        <v>0.04</v>
      </c>
      <c r="T211" s="14">
        <v>0.08</v>
      </c>
      <c r="U211" s="15">
        <v>0.12</v>
      </c>
      <c r="V211" s="15">
        <v>0.2</v>
      </c>
      <c r="W211" s="15">
        <v>0.08</v>
      </c>
      <c r="X211" s="15">
        <v>0.2</v>
      </c>
      <c r="Y211" s="20" t="s">
        <v>867</v>
      </c>
    </row>
    <row r="212">
      <c r="A212" s="9">
        <v>210.0</v>
      </c>
      <c r="B212" s="10" t="s">
        <v>868</v>
      </c>
      <c r="C212" s="11" t="s">
        <v>869</v>
      </c>
      <c r="D212" s="12" t="s">
        <v>36</v>
      </c>
      <c r="E212" s="13" t="s">
        <v>870</v>
      </c>
      <c r="F212" s="12">
        <v>23.0</v>
      </c>
      <c r="G212" s="12">
        <v>2002.0</v>
      </c>
      <c r="H212" s="14">
        <v>18.0</v>
      </c>
      <c r="I212" s="15">
        <v>16.0</v>
      </c>
      <c r="J212" s="16">
        <v>1372.0</v>
      </c>
      <c r="K212" s="15">
        <v>15.2</v>
      </c>
      <c r="L212" s="17">
        <v>0.13</v>
      </c>
      <c r="M212" s="18">
        <v>0.13</v>
      </c>
      <c r="N212" s="18">
        <v>0.26</v>
      </c>
      <c r="O212" s="18">
        <v>0.13</v>
      </c>
      <c r="P212" s="19">
        <v>0.0</v>
      </c>
      <c r="Q212" s="19">
        <v>0.0</v>
      </c>
      <c r="R212" s="18">
        <v>0.13</v>
      </c>
      <c r="S212" s="19">
        <v>0.0</v>
      </c>
      <c r="T212" s="14">
        <v>0.13</v>
      </c>
      <c r="U212" s="15">
        <v>0.13</v>
      </c>
      <c r="V212" s="15">
        <v>0.26</v>
      </c>
      <c r="W212" s="15">
        <v>0.13</v>
      </c>
      <c r="X212" s="15">
        <v>0.26</v>
      </c>
      <c r="Y212" s="20" t="s">
        <v>871</v>
      </c>
    </row>
    <row r="213">
      <c r="A213" s="9">
        <v>211.0</v>
      </c>
      <c r="B213" s="10" t="s">
        <v>872</v>
      </c>
      <c r="C213" s="11" t="s">
        <v>873</v>
      </c>
      <c r="D213" s="12" t="s">
        <v>41</v>
      </c>
      <c r="E213" s="13" t="s">
        <v>874</v>
      </c>
      <c r="F213" s="12">
        <v>27.0</v>
      </c>
      <c r="G213" s="12">
        <v>1998.0</v>
      </c>
      <c r="H213" s="14">
        <v>36.0</v>
      </c>
      <c r="I213" s="15">
        <v>26.0</v>
      </c>
      <c r="J213" s="16">
        <v>2224.0</v>
      </c>
      <c r="K213" s="15">
        <v>24.7</v>
      </c>
      <c r="L213" s="17">
        <v>0.57</v>
      </c>
      <c r="M213" s="18">
        <v>0.04</v>
      </c>
      <c r="N213" s="18">
        <v>0.61</v>
      </c>
      <c r="O213" s="18">
        <v>0.45</v>
      </c>
      <c r="P213" s="18">
        <v>0.12</v>
      </c>
      <c r="Q213" s="18">
        <v>0.12</v>
      </c>
      <c r="R213" s="18">
        <v>0.2</v>
      </c>
      <c r="S213" s="19">
        <v>0.0</v>
      </c>
      <c r="T213" s="14">
        <v>0.57</v>
      </c>
      <c r="U213" s="15">
        <v>0.04</v>
      </c>
      <c r="V213" s="15">
        <v>0.61</v>
      </c>
      <c r="W213" s="15">
        <v>0.45</v>
      </c>
      <c r="X213" s="15">
        <v>0.49</v>
      </c>
      <c r="Y213" s="20" t="s">
        <v>875</v>
      </c>
    </row>
    <row r="214">
      <c r="A214" s="9">
        <v>212.0</v>
      </c>
      <c r="B214" s="10" t="s">
        <v>876</v>
      </c>
      <c r="C214" s="11" t="s">
        <v>877</v>
      </c>
      <c r="D214" s="12" t="s">
        <v>41</v>
      </c>
      <c r="E214" s="13" t="s">
        <v>878</v>
      </c>
      <c r="F214" s="12">
        <v>25.0</v>
      </c>
      <c r="G214" s="12">
        <v>2000.0</v>
      </c>
      <c r="H214" s="14">
        <v>35.0</v>
      </c>
      <c r="I214" s="15">
        <v>34.0</v>
      </c>
      <c r="J214" s="16">
        <v>2953.0</v>
      </c>
      <c r="K214" s="15">
        <v>32.8</v>
      </c>
      <c r="L214" s="17">
        <v>0.82</v>
      </c>
      <c r="M214" s="18">
        <v>0.24</v>
      </c>
      <c r="N214" s="18">
        <v>1.07</v>
      </c>
      <c r="O214" s="18">
        <v>0.73</v>
      </c>
      <c r="P214" s="18">
        <v>0.09</v>
      </c>
      <c r="Q214" s="18">
        <v>0.12</v>
      </c>
      <c r="R214" s="18">
        <v>0.06</v>
      </c>
      <c r="S214" s="19">
        <v>0.0</v>
      </c>
      <c r="T214" s="14">
        <v>0.82</v>
      </c>
      <c r="U214" s="15">
        <v>0.24</v>
      </c>
      <c r="V214" s="15">
        <v>1.07</v>
      </c>
      <c r="W214" s="15">
        <v>0.73</v>
      </c>
      <c r="X214" s="15">
        <v>0.98</v>
      </c>
      <c r="Y214" s="20" t="s">
        <v>879</v>
      </c>
    </row>
    <row r="215">
      <c r="A215" s="9">
        <v>213.0</v>
      </c>
      <c r="B215" s="10" t="s">
        <v>880</v>
      </c>
      <c r="C215" s="11" t="s">
        <v>881</v>
      </c>
      <c r="D215" s="12" t="s">
        <v>36</v>
      </c>
      <c r="E215" s="13" t="s">
        <v>882</v>
      </c>
      <c r="F215" s="12">
        <v>20.0</v>
      </c>
      <c r="G215" s="12">
        <v>2004.0</v>
      </c>
      <c r="H215" s="14">
        <v>30.0</v>
      </c>
      <c r="I215" s="15">
        <v>24.0</v>
      </c>
      <c r="J215" s="16">
        <v>2181.0</v>
      </c>
      <c r="K215" s="15">
        <v>24.2</v>
      </c>
      <c r="L215" s="17">
        <v>0.04</v>
      </c>
      <c r="M215" s="18">
        <v>0.04</v>
      </c>
      <c r="N215" s="18">
        <v>0.08</v>
      </c>
      <c r="O215" s="18">
        <v>0.04</v>
      </c>
      <c r="P215" s="19">
        <v>0.0</v>
      </c>
      <c r="Q215" s="19">
        <v>0.0</v>
      </c>
      <c r="R215" s="18">
        <v>0.17</v>
      </c>
      <c r="S215" s="19">
        <v>0.0</v>
      </c>
      <c r="T215" s="14">
        <v>0.04</v>
      </c>
      <c r="U215" s="15">
        <v>0.04</v>
      </c>
      <c r="V215" s="15">
        <v>0.08</v>
      </c>
      <c r="W215" s="15">
        <v>0.04</v>
      </c>
      <c r="X215" s="15">
        <v>0.08</v>
      </c>
      <c r="Y215" s="20" t="s">
        <v>883</v>
      </c>
    </row>
    <row r="216">
      <c r="A216" s="9">
        <v>214.0</v>
      </c>
      <c r="B216" s="10" t="s">
        <v>884</v>
      </c>
      <c r="C216" s="11" t="s">
        <v>885</v>
      </c>
      <c r="D216" s="12" t="s">
        <v>41</v>
      </c>
      <c r="E216" s="13" t="s">
        <v>886</v>
      </c>
      <c r="F216" s="12">
        <v>28.0</v>
      </c>
      <c r="G216" s="12">
        <v>1996.0</v>
      </c>
      <c r="H216" s="14">
        <v>11.0</v>
      </c>
      <c r="I216" s="15">
        <v>1.0</v>
      </c>
      <c r="J216" s="15">
        <v>269.0</v>
      </c>
      <c r="K216" s="15">
        <v>3.0</v>
      </c>
      <c r="L216" s="22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23">
        <v>0.0</v>
      </c>
      <c r="U216" s="21">
        <v>0.0</v>
      </c>
      <c r="V216" s="21">
        <v>0.0</v>
      </c>
      <c r="W216" s="21">
        <v>0.0</v>
      </c>
      <c r="X216" s="21">
        <v>0.0</v>
      </c>
      <c r="Y216" s="20" t="s">
        <v>887</v>
      </c>
    </row>
    <row r="217">
      <c r="A217" s="9">
        <v>215.0</v>
      </c>
      <c r="B217" s="10" t="s">
        <v>888</v>
      </c>
      <c r="C217" s="11" t="s">
        <v>889</v>
      </c>
      <c r="D217" s="12" t="s">
        <v>36</v>
      </c>
      <c r="E217" s="13" t="s">
        <v>890</v>
      </c>
      <c r="F217" s="12">
        <v>23.0</v>
      </c>
      <c r="G217" s="12">
        <v>2001.0</v>
      </c>
      <c r="H217" s="14">
        <v>21.0</v>
      </c>
      <c r="I217" s="15">
        <v>21.0</v>
      </c>
      <c r="J217" s="16">
        <v>1825.0</v>
      </c>
      <c r="K217" s="15">
        <v>20.3</v>
      </c>
      <c r="L217" s="22">
        <v>0.0</v>
      </c>
      <c r="M217" s="18">
        <v>0.25</v>
      </c>
      <c r="N217" s="18">
        <v>0.25</v>
      </c>
      <c r="O217" s="19">
        <v>0.0</v>
      </c>
      <c r="P217" s="19">
        <v>0.0</v>
      </c>
      <c r="Q217" s="19">
        <v>0.0</v>
      </c>
      <c r="R217" s="18">
        <v>0.05</v>
      </c>
      <c r="S217" s="19">
        <v>0.0</v>
      </c>
      <c r="T217" s="23">
        <v>0.0</v>
      </c>
      <c r="U217" s="15">
        <v>0.25</v>
      </c>
      <c r="V217" s="15">
        <v>0.25</v>
      </c>
      <c r="W217" s="21">
        <v>0.0</v>
      </c>
      <c r="X217" s="15">
        <v>0.25</v>
      </c>
      <c r="Y217" s="20" t="s">
        <v>891</v>
      </c>
    </row>
    <row r="218">
      <c r="A218" s="9">
        <v>216.0</v>
      </c>
      <c r="B218" s="10" t="s">
        <v>892</v>
      </c>
      <c r="C218" s="11" t="s">
        <v>893</v>
      </c>
      <c r="D218" s="12" t="s">
        <v>36</v>
      </c>
      <c r="E218" s="13" t="s">
        <v>894</v>
      </c>
      <c r="F218" s="12">
        <v>19.0</v>
      </c>
      <c r="G218" s="12">
        <v>2006.0</v>
      </c>
      <c r="H218" s="14">
        <v>22.0</v>
      </c>
      <c r="I218" s="15">
        <v>12.0</v>
      </c>
      <c r="J218" s="16">
        <v>1148.0</v>
      </c>
      <c r="K218" s="15">
        <v>12.8</v>
      </c>
      <c r="L218" s="22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8">
        <v>0.55</v>
      </c>
      <c r="S218" s="19">
        <v>0.0</v>
      </c>
      <c r="T218" s="23">
        <v>0.0</v>
      </c>
      <c r="U218" s="21">
        <v>0.0</v>
      </c>
      <c r="V218" s="21">
        <v>0.0</v>
      </c>
      <c r="W218" s="21">
        <v>0.0</v>
      </c>
      <c r="X218" s="21">
        <v>0.0</v>
      </c>
      <c r="Y218" s="20" t="s">
        <v>895</v>
      </c>
    </row>
    <row r="219">
      <c r="A219" s="9">
        <v>217.0</v>
      </c>
      <c r="B219" s="10" t="s">
        <v>896</v>
      </c>
      <c r="C219" s="11" t="s">
        <v>897</v>
      </c>
      <c r="D219" s="12" t="s">
        <v>107</v>
      </c>
      <c r="E219" s="13" t="s">
        <v>898</v>
      </c>
      <c r="F219" s="12">
        <v>26.0</v>
      </c>
      <c r="G219" s="12">
        <v>1999.0</v>
      </c>
      <c r="H219" s="14">
        <v>12.0</v>
      </c>
      <c r="I219" s="15">
        <v>7.0</v>
      </c>
      <c r="J219" s="15">
        <v>581.0</v>
      </c>
      <c r="K219" s="15">
        <v>6.5</v>
      </c>
      <c r="L219" s="17">
        <v>0.31</v>
      </c>
      <c r="M219" s="18">
        <v>0.46</v>
      </c>
      <c r="N219" s="18">
        <v>0.77</v>
      </c>
      <c r="O219" s="18">
        <v>0.31</v>
      </c>
      <c r="P219" s="19">
        <v>0.0</v>
      </c>
      <c r="Q219" s="19">
        <v>0.0</v>
      </c>
      <c r="R219" s="18">
        <v>0.15</v>
      </c>
      <c r="S219" s="19">
        <v>0.0</v>
      </c>
      <c r="T219" s="14">
        <v>0.31</v>
      </c>
      <c r="U219" s="15">
        <v>0.46</v>
      </c>
      <c r="V219" s="15">
        <v>0.77</v>
      </c>
      <c r="W219" s="15">
        <v>0.31</v>
      </c>
      <c r="X219" s="15">
        <v>0.77</v>
      </c>
      <c r="Y219" s="20" t="s">
        <v>899</v>
      </c>
    </row>
    <row r="220">
      <c r="A220" s="9">
        <v>218.0</v>
      </c>
      <c r="B220" s="10" t="s">
        <v>900</v>
      </c>
      <c r="C220" s="11" t="s">
        <v>901</v>
      </c>
      <c r="D220" s="12" t="s">
        <v>36</v>
      </c>
      <c r="E220" s="13" t="s">
        <v>902</v>
      </c>
      <c r="F220" s="12">
        <v>18.0</v>
      </c>
      <c r="G220" s="12">
        <v>2006.0</v>
      </c>
      <c r="H220" s="14">
        <v>17.0</v>
      </c>
      <c r="I220" s="15">
        <v>11.0</v>
      </c>
      <c r="J220" s="15">
        <v>924.0</v>
      </c>
      <c r="K220" s="15">
        <v>10.3</v>
      </c>
      <c r="L220" s="22">
        <v>0.0</v>
      </c>
      <c r="M220" s="18">
        <v>0.1</v>
      </c>
      <c r="N220" s="18">
        <v>0.1</v>
      </c>
      <c r="O220" s="19">
        <v>0.0</v>
      </c>
      <c r="P220" s="19">
        <v>0.0</v>
      </c>
      <c r="Q220" s="19">
        <v>0.0</v>
      </c>
      <c r="R220" s="18">
        <v>0.19</v>
      </c>
      <c r="S220" s="19">
        <v>0.0</v>
      </c>
      <c r="T220" s="23">
        <v>0.0</v>
      </c>
      <c r="U220" s="15">
        <v>0.1</v>
      </c>
      <c r="V220" s="15">
        <v>0.1</v>
      </c>
      <c r="W220" s="21">
        <v>0.0</v>
      </c>
      <c r="X220" s="15">
        <v>0.1</v>
      </c>
      <c r="Y220" s="20" t="s">
        <v>903</v>
      </c>
    </row>
    <row r="221">
      <c r="A221" s="9">
        <v>219.0</v>
      </c>
      <c r="B221" s="10" t="s">
        <v>904</v>
      </c>
      <c r="C221" s="11" t="s">
        <v>905</v>
      </c>
      <c r="D221" s="12" t="s">
        <v>36</v>
      </c>
      <c r="E221" s="13" t="s">
        <v>906</v>
      </c>
      <c r="F221" s="12">
        <v>25.0</v>
      </c>
      <c r="G221" s="12">
        <v>2000.0</v>
      </c>
      <c r="H221" s="14">
        <v>36.0</v>
      </c>
      <c r="I221" s="15">
        <v>36.0</v>
      </c>
      <c r="J221" s="16">
        <v>3210.0</v>
      </c>
      <c r="K221" s="15">
        <v>35.7</v>
      </c>
      <c r="L221" s="17">
        <v>0.08</v>
      </c>
      <c r="M221" s="18">
        <v>0.08</v>
      </c>
      <c r="N221" s="18">
        <v>0.17</v>
      </c>
      <c r="O221" s="18">
        <v>0.08</v>
      </c>
      <c r="P221" s="19">
        <v>0.0</v>
      </c>
      <c r="Q221" s="19">
        <v>0.0</v>
      </c>
      <c r="R221" s="18">
        <v>0.25</v>
      </c>
      <c r="S221" s="19">
        <v>0.0</v>
      </c>
      <c r="T221" s="14">
        <v>0.08</v>
      </c>
      <c r="U221" s="15">
        <v>0.08</v>
      </c>
      <c r="V221" s="15">
        <v>0.17</v>
      </c>
      <c r="W221" s="15">
        <v>0.08</v>
      </c>
      <c r="X221" s="15">
        <v>0.17</v>
      </c>
      <c r="Y221" s="20" t="s">
        <v>907</v>
      </c>
    </row>
    <row r="222">
      <c r="A222" s="9">
        <v>220.0</v>
      </c>
      <c r="B222" s="10" t="s">
        <v>908</v>
      </c>
      <c r="C222" s="11" t="s">
        <v>909</v>
      </c>
      <c r="D222" s="12" t="s">
        <v>107</v>
      </c>
      <c r="E222" s="13" t="s">
        <v>910</v>
      </c>
      <c r="F222" s="12">
        <v>29.0</v>
      </c>
      <c r="G222" s="12">
        <v>1996.0</v>
      </c>
      <c r="H222" s="14">
        <v>26.0</v>
      </c>
      <c r="I222" s="15">
        <v>18.0</v>
      </c>
      <c r="J222" s="16">
        <v>1446.0</v>
      </c>
      <c r="K222" s="15">
        <v>16.1</v>
      </c>
      <c r="L222" s="17">
        <v>0.12</v>
      </c>
      <c r="M222" s="18">
        <v>0.12</v>
      </c>
      <c r="N222" s="18">
        <v>0.25</v>
      </c>
      <c r="O222" s="18">
        <v>0.06</v>
      </c>
      <c r="P222" s="18">
        <v>0.06</v>
      </c>
      <c r="Q222" s="18">
        <v>0.06</v>
      </c>
      <c r="R222" s="18">
        <v>0.31</v>
      </c>
      <c r="S222" s="19">
        <v>0.0</v>
      </c>
      <c r="T222" s="14">
        <v>0.12</v>
      </c>
      <c r="U222" s="15">
        <v>0.12</v>
      </c>
      <c r="V222" s="15">
        <v>0.25</v>
      </c>
      <c r="W222" s="15">
        <v>0.06</v>
      </c>
      <c r="X222" s="15">
        <v>0.19</v>
      </c>
      <c r="Y222" s="20" t="s">
        <v>911</v>
      </c>
    </row>
    <row r="223">
      <c r="A223" s="9">
        <v>221.0</v>
      </c>
      <c r="B223" s="10" t="s">
        <v>912</v>
      </c>
      <c r="C223" s="11" t="s">
        <v>913</v>
      </c>
      <c r="D223" s="12" t="s">
        <v>31</v>
      </c>
      <c r="E223" s="13" t="s">
        <v>914</v>
      </c>
      <c r="F223" s="12">
        <v>18.0</v>
      </c>
      <c r="G223" s="12">
        <v>2007.0</v>
      </c>
      <c r="H223" s="14">
        <v>2.0</v>
      </c>
      <c r="I223" s="21">
        <v>0.0</v>
      </c>
      <c r="J223" s="15">
        <v>27.0</v>
      </c>
      <c r="K223" s="15">
        <v>0.3</v>
      </c>
      <c r="L223" s="22">
        <v>0.0</v>
      </c>
      <c r="M223" s="19">
        <v>0.0</v>
      </c>
      <c r="N223" s="19">
        <v>0.0</v>
      </c>
      <c r="O223" s="19">
        <v>0.0</v>
      </c>
      <c r="P223" s="19">
        <v>0.0</v>
      </c>
      <c r="Q223" s="19">
        <v>0.0</v>
      </c>
      <c r="R223" s="19">
        <v>0.0</v>
      </c>
      <c r="S223" s="19">
        <v>0.0</v>
      </c>
      <c r="T223" s="23">
        <v>0.0</v>
      </c>
      <c r="U223" s="21">
        <v>0.0</v>
      </c>
      <c r="V223" s="21">
        <v>0.0</v>
      </c>
      <c r="W223" s="21">
        <v>0.0</v>
      </c>
      <c r="X223" s="21">
        <v>0.0</v>
      </c>
      <c r="Y223" s="20" t="s">
        <v>915</v>
      </c>
    </row>
    <row r="224">
      <c r="A224" s="9">
        <v>222.0</v>
      </c>
      <c r="B224" s="10" t="s">
        <v>916</v>
      </c>
      <c r="C224" s="11" t="s">
        <v>917</v>
      </c>
      <c r="D224" s="12" t="s">
        <v>98</v>
      </c>
      <c r="E224" s="13" t="s">
        <v>918</v>
      </c>
      <c r="F224" s="12">
        <v>28.0</v>
      </c>
      <c r="G224" s="12">
        <v>1997.0</v>
      </c>
      <c r="H224" s="14">
        <v>37.0</v>
      </c>
      <c r="I224" s="15">
        <v>37.0</v>
      </c>
      <c r="J224" s="16">
        <v>3330.0</v>
      </c>
      <c r="K224" s="15">
        <v>37.0</v>
      </c>
      <c r="L224" s="22">
        <v>0.0</v>
      </c>
      <c r="M224" s="19">
        <v>0.0</v>
      </c>
      <c r="N224" s="19">
        <v>0.0</v>
      </c>
      <c r="O224" s="19">
        <v>0.0</v>
      </c>
      <c r="P224" s="19">
        <v>0.0</v>
      </c>
      <c r="Q224" s="19">
        <v>0.0</v>
      </c>
      <c r="R224" s="18">
        <v>0.14</v>
      </c>
      <c r="S224" s="19">
        <v>0.0</v>
      </c>
      <c r="T224" s="23">
        <v>0.0</v>
      </c>
      <c r="U224" s="21">
        <v>0.0</v>
      </c>
      <c r="V224" s="21">
        <v>0.0</v>
      </c>
      <c r="W224" s="21">
        <v>0.0</v>
      </c>
      <c r="X224" s="21">
        <v>0.0</v>
      </c>
      <c r="Y224" s="20" t="s">
        <v>919</v>
      </c>
    </row>
    <row r="225">
      <c r="A225" s="9">
        <v>223.0</v>
      </c>
      <c r="B225" s="10" t="s">
        <v>920</v>
      </c>
      <c r="C225" s="11" t="s">
        <v>921</v>
      </c>
      <c r="D225" s="12" t="s">
        <v>31</v>
      </c>
      <c r="E225" s="13" t="s">
        <v>922</v>
      </c>
      <c r="F225" s="12">
        <v>35.0</v>
      </c>
      <c r="G225" s="12">
        <v>1990.0</v>
      </c>
      <c r="H225" s="14">
        <v>32.0</v>
      </c>
      <c r="I225" s="15">
        <v>22.0</v>
      </c>
      <c r="J225" s="16">
        <v>1919.0</v>
      </c>
      <c r="K225" s="15">
        <v>21.3</v>
      </c>
      <c r="L225" s="17">
        <v>0.05</v>
      </c>
      <c r="M225" s="18">
        <v>0.14</v>
      </c>
      <c r="N225" s="18">
        <v>0.19</v>
      </c>
      <c r="O225" s="18">
        <v>0.05</v>
      </c>
      <c r="P225" s="19">
        <v>0.0</v>
      </c>
      <c r="Q225" s="19">
        <v>0.0</v>
      </c>
      <c r="R225" s="18">
        <v>0.28</v>
      </c>
      <c r="S225" s="19">
        <v>0.0</v>
      </c>
      <c r="T225" s="14">
        <v>0.05</v>
      </c>
      <c r="U225" s="15">
        <v>0.14</v>
      </c>
      <c r="V225" s="15">
        <v>0.19</v>
      </c>
      <c r="W225" s="15">
        <v>0.05</v>
      </c>
      <c r="X225" s="15">
        <v>0.19</v>
      </c>
      <c r="Y225" s="20" t="s">
        <v>923</v>
      </c>
    </row>
    <row r="226">
      <c r="A226" s="9">
        <v>224.0</v>
      </c>
      <c r="B226" s="10" t="s">
        <v>924</v>
      </c>
      <c r="C226" s="11" t="s">
        <v>925</v>
      </c>
      <c r="D226" s="12" t="s">
        <v>36</v>
      </c>
      <c r="E226" s="13" t="s">
        <v>926</v>
      </c>
      <c r="F226" s="12">
        <v>28.0</v>
      </c>
      <c r="G226" s="12">
        <v>1997.0</v>
      </c>
      <c r="H226" s="14">
        <v>25.0</v>
      </c>
      <c r="I226" s="15">
        <v>14.0</v>
      </c>
      <c r="J226" s="16">
        <v>1328.0</v>
      </c>
      <c r="K226" s="15">
        <v>14.8</v>
      </c>
      <c r="L226" s="22">
        <v>0.0</v>
      </c>
      <c r="M226" s="18">
        <v>0.07</v>
      </c>
      <c r="N226" s="18">
        <v>0.07</v>
      </c>
      <c r="O226" s="19">
        <v>0.0</v>
      </c>
      <c r="P226" s="19">
        <v>0.0</v>
      </c>
      <c r="Q226" s="19">
        <v>0.0</v>
      </c>
      <c r="R226" s="18">
        <v>0.14</v>
      </c>
      <c r="S226" s="19">
        <v>0.0</v>
      </c>
      <c r="T226" s="23">
        <v>0.0</v>
      </c>
      <c r="U226" s="15">
        <v>0.07</v>
      </c>
      <c r="V226" s="15">
        <v>0.07</v>
      </c>
      <c r="W226" s="21">
        <v>0.0</v>
      </c>
      <c r="X226" s="15">
        <v>0.07</v>
      </c>
      <c r="Y226" s="20" t="s">
        <v>927</v>
      </c>
    </row>
    <row r="227">
      <c r="A227" s="9">
        <v>225.0</v>
      </c>
      <c r="B227" s="10" t="s">
        <v>928</v>
      </c>
      <c r="C227" s="11" t="s">
        <v>929</v>
      </c>
      <c r="D227" s="12" t="s">
        <v>98</v>
      </c>
      <c r="E227" s="13" t="s">
        <v>930</v>
      </c>
      <c r="F227" s="12">
        <v>25.0</v>
      </c>
      <c r="G227" s="12">
        <v>2000.0</v>
      </c>
      <c r="H227" s="14">
        <v>18.0</v>
      </c>
      <c r="I227" s="15">
        <v>18.0</v>
      </c>
      <c r="J227" s="16">
        <v>1620.0</v>
      </c>
      <c r="K227" s="15">
        <v>18.0</v>
      </c>
      <c r="L227" s="22">
        <v>0.0</v>
      </c>
      <c r="M227" s="18">
        <v>0.06</v>
      </c>
      <c r="N227" s="18">
        <v>0.06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23">
        <v>0.0</v>
      </c>
      <c r="U227" s="15">
        <v>0.06</v>
      </c>
      <c r="V227" s="15">
        <v>0.06</v>
      </c>
      <c r="W227" s="21">
        <v>0.0</v>
      </c>
      <c r="X227" s="15">
        <v>0.06</v>
      </c>
      <c r="Y227" s="20" t="s">
        <v>931</v>
      </c>
    </row>
    <row r="228">
      <c r="A228" s="9">
        <v>226.0</v>
      </c>
      <c r="B228" s="10" t="s">
        <v>932</v>
      </c>
      <c r="C228" s="11" t="s">
        <v>933</v>
      </c>
      <c r="D228" s="12" t="s">
        <v>345</v>
      </c>
      <c r="E228" s="13" t="s">
        <v>934</v>
      </c>
      <c r="F228" s="12">
        <v>23.0</v>
      </c>
      <c r="G228" s="12">
        <v>2002.0</v>
      </c>
      <c r="H228" s="14">
        <v>21.0</v>
      </c>
      <c r="I228" s="15">
        <v>8.0</v>
      </c>
      <c r="J228" s="15">
        <v>690.0</v>
      </c>
      <c r="K228" s="15">
        <v>7.7</v>
      </c>
      <c r="L228" s="22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8">
        <v>0.13</v>
      </c>
      <c r="S228" s="19">
        <v>0.0</v>
      </c>
      <c r="T228" s="23">
        <v>0.0</v>
      </c>
      <c r="U228" s="21">
        <v>0.0</v>
      </c>
      <c r="V228" s="21">
        <v>0.0</v>
      </c>
      <c r="W228" s="21">
        <v>0.0</v>
      </c>
      <c r="X228" s="21">
        <v>0.0</v>
      </c>
      <c r="Y228" s="20" t="s">
        <v>935</v>
      </c>
    </row>
    <row r="229">
      <c r="A229" s="9">
        <v>227.0</v>
      </c>
      <c r="B229" s="10" t="s">
        <v>936</v>
      </c>
      <c r="C229" s="11" t="s">
        <v>937</v>
      </c>
      <c r="D229" s="12" t="s">
        <v>36</v>
      </c>
      <c r="E229" s="13" t="s">
        <v>938</v>
      </c>
      <c r="F229" s="12">
        <v>23.0</v>
      </c>
      <c r="G229" s="12">
        <v>2002.0</v>
      </c>
      <c r="H229" s="14">
        <v>29.0</v>
      </c>
      <c r="I229" s="15">
        <v>22.0</v>
      </c>
      <c r="J229" s="16">
        <v>2106.0</v>
      </c>
      <c r="K229" s="15">
        <v>23.4</v>
      </c>
      <c r="L229" s="22">
        <v>0.0</v>
      </c>
      <c r="M229" s="18">
        <v>0.13</v>
      </c>
      <c r="N229" s="18">
        <v>0.13</v>
      </c>
      <c r="O229" s="19">
        <v>0.0</v>
      </c>
      <c r="P229" s="19">
        <v>0.0</v>
      </c>
      <c r="Q229" s="19">
        <v>0.0</v>
      </c>
      <c r="R229" s="18">
        <v>0.21</v>
      </c>
      <c r="S229" s="19">
        <v>0.0</v>
      </c>
      <c r="T229" s="23">
        <v>0.0</v>
      </c>
      <c r="U229" s="15">
        <v>0.13</v>
      </c>
      <c r="V229" s="15">
        <v>0.13</v>
      </c>
      <c r="W229" s="21">
        <v>0.0</v>
      </c>
      <c r="X229" s="15">
        <v>0.13</v>
      </c>
      <c r="Y229" s="20" t="s">
        <v>939</v>
      </c>
    </row>
    <row r="230">
      <c r="A230" s="9">
        <v>228.0</v>
      </c>
      <c r="B230" s="10" t="s">
        <v>940</v>
      </c>
      <c r="C230" s="11" t="s">
        <v>941</v>
      </c>
      <c r="D230" s="12" t="s">
        <v>36</v>
      </c>
      <c r="E230" s="13" t="s">
        <v>942</v>
      </c>
      <c r="F230" s="12">
        <v>23.0</v>
      </c>
      <c r="G230" s="12">
        <v>2002.0</v>
      </c>
      <c r="H230" s="14">
        <v>25.0</v>
      </c>
      <c r="I230" s="15">
        <v>20.0</v>
      </c>
      <c r="J230" s="16">
        <v>1792.0</v>
      </c>
      <c r="K230" s="15">
        <v>19.9</v>
      </c>
      <c r="L230" s="17">
        <v>0.05</v>
      </c>
      <c r="M230" s="18">
        <v>0.1</v>
      </c>
      <c r="N230" s="18">
        <v>0.15</v>
      </c>
      <c r="O230" s="18">
        <v>0.05</v>
      </c>
      <c r="P230" s="19">
        <v>0.0</v>
      </c>
      <c r="Q230" s="19">
        <v>0.0</v>
      </c>
      <c r="R230" s="18">
        <v>0.1</v>
      </c>
      <c r="S230" s="19">
        <v>0.0</v>
      </c>
      <c r="T230" s="14">
        <v>0.05</v>
      </c>
      <c r="U230" s="15">
        <v>0.1</v>
      </c>
      <c r="V230" s="15">
        <v>0.15</v>
      </c>
      <c r="W230" s="15">
        <v>0.05</v>
      </c>
      <c r="X230" s="15">
        <v>0.15</v>
      </c>
      <c r="Y230" s="20" t="s">
        <v>943</v>
      </c>
    </row>
    <row r="231">
      <c r="A231" s="9">
        <v>229.0</v>
      </c>
      <c r="B231" s="10" t="s">
        <v>944</v>
      </c>
      <c r="C231" s="11" t="s">
        <v>945</v>
      </c>
      <c r="D231" s="12" t="s">
        <v>31</v>
      </c>
      <c r="E231" s="13" t="s">
        <v>946</v>
      </c>
      <c r="F231" s="12">
        <v>20.0</v>
      </c>
      <c r="G231" s="12">
        <v>2005.0</v>
      </c>
      <c r="H231" s="14">
        <v>27.0</v>
      </c>
      <c r="I231" s="15">
        <v>20.0</v>
      </c>
      <c r="J231" s="16">
        <v>1741.0</v>
      </c>
      <c r="K231" s="15">
        <v>19.3</v>
      </c>
      <c r="L231" s="17">
        <v>0.21</v>
      </c>
      <c r="M231" s="18">
        <v>0.16</v>
      </c>
      <c r="N231" s="18">
        <v>0.36</v>
      </c>
      <c r="O231" s="18">
        <v>0.21</v>
      </c>
      <c r="P231" s="19">
        <v>0.0</v>
      </c>
      <c r="Q231" s="19">
        <v>0.0</v>
      </c>
      <c r="R231" s="19">
        <v>0.0</v>
      </c>
      <c r="S231" s="19">
        <v>0.0</v>
      </c>
      <c r="T231" s="14">
        <v>0.21</v>
      </c>
      <c r="U231" s="15">
        <v>0.16</v>
      </c>
      <c r="V231" s="15">
        <v>0.36</v>
      </c>
      <c r="W231" s="15">
        <v>0.21</v>
      </c>
      <c r="X231" s="15">
        <v>0.36</v>
      </c>
      <c r="Y231" s="20" t="s">
        <v>947</v>
      </c>
    </row>
    <row r="232">
      <c r="A232" s="9">
        <v>230.0</v>
      </c>
      <c r="B232" s="10" t="s">
        <v>948</v>
      </c>
      <c r="C232" s="11" t="s">
        <v>949</v>
      </c>
      <c r="D232" s="12" t="s">
        <v>264</v>
      </c>
      <c r="E232" s="13" t="s">
        <v>950</v>
      </c>
      <c r="F232" s="12">
        <v>23.0</v>
      </c>
      <c r="G232" s="12">
        <v>2002.0</v>
      </c>
      <c r="H232" s="14">
        <v>8.0</v>
      </c>
      <c r="I232" s="15">
        <v>6.0</v>
      </c>
      <c r="J232" s="15">
        <v>425.0</v>
      </c>
      <c r="K232" s="15">
        <v>4.7</v>
      </c>
      <c r="L232" s="22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23">
        <v>0.0</v>
      </c>
      <c r="U232" s="21">
        <v>0.0</v>
      </c>
      <c r="V232" s="21">
        <v>0.0</v>
      </c>
      <c r="W232" s="21">
        <v>0.0</v>
      </c>
      <c r="X232" s="21">
        <v>0.0</v>
      </c>
      <c r="Y232" s="20" t="s">
        <v>951</v>
      </c>
    </row>
    <row r="233">
      <c r="A233" s="9">
        <v>231.0</v>
      </c>
      <c r="B233" s="10" t="s">
        <v>952</v>
      </c>
      <c r="C233" s="11" t="s">
        <v>953</v>
      </c>
      <c r="D233" s="12" t="s">
        <v>31</v>
      </c>
      <c r="E233" s="13" t="s">
        <v>954</v>
      </c>
      <c r="F233" s="12">
        <v>17.0</v>
      </c>
      <c r="G233" s="12">
        <v>2008.0</v>
      </c>
      <c r="H233" s="14">
        <v>3.0</v>
      </c>
      <c r="I233" s="15">
        <v>1.0</v>
      </c>
      <c r="J233" s="15">
        <v>94.0</v>
      </c>
      <c r="K233" s="15">
        <v>1.0</v>
      </c>
      <c r="L233" s="22">
        <v>0.0</v>
      </c>
      <c r="M233" s="19">
        <v>0.0</v>
      </c>
      <c r="N233" s="19">
        <v>0.0</v>
      </c>
      <c r="O233" s="19">
        <v>0.0</v>
      </c>
      <c r="P233" s="19">
        <v>0.0</v>
      </c>
      <c r="Q233" s="19">
        <v>0.0</v>
      </c>
      <c r="R233" s="19">
        <v>0.0</v>
      </c>
      <c r="S233" s="19">
        <v>0.0</v>
      </c>
      <c r="T233" s="23">
        <v>0.0</v>
      </c>
      <c r="U233" s="21">
        <v>0.0</v>
      </c>
      <c r="V233" s="21">
        <v>0.0</v>
      </c>
      <c r="W233" s="21">
        <v>0.0</v>
      </c>
      <c r="X233" s="21">
        <v>0.0</v>
      </c>
      <c r="Y233" s="20" t="s">
        <v>955</v>
      </c>
    </row>
    <row r="234">
      <c r="A234" s="9">
        <v>232.0</v>
      </c>
      <c r="B234" s="10" t="s">
        <v>956</v>
      </c>
      <c r="C234" s="11" t="s">
        <v>957</v>
      </c>
      <c r="D234" s="12" t="s">
        <v>31</v>
      </c>
      <c r="E234" s="13" t="s">
        <v>958</v>
      </c>
      <c r="F234" s="12">
        <v>24.0</v>
      </c>
      <c r="G234" s="12">
        <v>2000.0</v>
      </c>
      <c r="H234" s="14">
        <v>30.0</v>
      </c>
      <c r="I234" s="15">
        <v>21.0</v>
      </c>
      <c r="J234" s="16">
        <v>1841.0</v>
      </c>
      <c r="K234" s="15">
        <v>20.5</v>
      </c>
      <c r="L234" s="17">
        <v>0.15</v>
      </c>
      <c r="M234" s="18">
        <v>0.2</v>
      </c>
      <c r="N234" s="18">
        <v>0.34</v>
      </c>
      <c r="O234" s="18">
        <v>0.15</v>
      </c>
      <c r="P234" s="19">
        <v>0.0</v>
      </c>
      <c r="Q234" s="19">
        <v>0.0</v>
      </c>
      <c r="R234" s="19">
        <v>0.0</v>
      </c>
      <c r="S234" s="19">
        <v>0.0</v>
      </c>
      <c r="T234" s="14">
        <v>0.15</v>
      </c>
      <c r="U234" s="15">
        <v>0.2</v>
      </c>
      <c r="V234" s="15">
        <v>0.34</v>
      </c>
      <c r="W234" s="15">
        <v>0.15</v>
      </c>
      <c r="X234" s="15">
        <v>0.34</v>
      </c>
      <c r="Y234" s="20" t="s">
        <v>959</v>
      </c>
    </row>
    <row r="235">
      <c r="A235" s="9">
        <v>233.0</v>
      </c>
      <c r="B235" s="10" t="s">
        <v>960</v>
      </c>
      <c r="C235" s="11" t="s">
        <v>961</v>
      </c>
      <c r="D235" s="12" t="s">
        <v>31</v>
      </c>
      <c r="E235" s="13" t="s">
        <v>962</v>
      </c>
      <c r="F235" s="12">
        <v>30.0</v>
      </c>
      <c r="G235" s="12">
        <v>1995.0</v>
      </c>
      <c r="H235" s="14">
        <v>31.0</v>
      </c>
      <c r="I235" s="15">
        <v>19.0</v>
      </c>
      <c r="J235" s="16">
        <v>1571.0</v>
      </c>
      <c r="K235" s="15">
        <v>17.5</v>
      </c>
      <c r="L235" s="22">
        <v>0.0</v>
      </c>
      <c r="M235" s="19">
        <v>0.0</v>
      </c>
      <c r="N235" s="19">
        <v>0.0</v>
      </c>
      <c r="O235" s="19">
        <v>0.0</v>
      </c>
      <c r="P235" s="19">
        <v>0.0</v>
      </c>
      <c r="Q235" s="19">
        <v>0.0</v>
      </c>
      <c r="R235" s="18">
        <v>0.4</v>
      </c>
      <c r="S235" s="19">
        <v>0.0</v>
      </c>
      <c r="T235" s="23">
        <v>0.0</v>
      </c>
      <c r="U235" s="21">
        <v>0.0</v>
      </c>
      <c r="V235" s="21">
        <v>0.0</v>
      </c>
      <c r="W235" s="21">
        <v>0.0</v>
      </c>
      <c r="X235" s="21">
        <v>0.0</v>
      </c>
      <c r="Y235" s="20" t="s">
        <v>963</v>
      </c>
    </row>
    <row r="236">
      <c r="A236" s="9">
        <v>234.0</v>
      </c>
      <c r="B236" s="10" t="s">
        <v>964</v>
      </c>
      <c r="C236" s="11" t="s">
        <v>965</v>
      </c>
      <c r="D236" s="12" t="s">
        <v>345</v>
      </c>
      <c r="E236" s="13" t="s">
        <v>966</v>
      </c>
      <c r="F236" s="12">
        <v>23.0</v>
      </c>
      <c r="G236" s="12">
        <v>2002.0</v>
      </c>
      <c r="H236" s="14">
        <v>38.0</v>
      </c>
      <c r="I236" s="15">
        <v>34.0</v>
      </c>
      <c r="J236" s="16">
        <v>3036.0</v>
      </c>
      <c r="K236" s="15">
        <v>33.7</v>
      </c>
      <c r="L236" s="17">
        <v>0.06</v>
      </c>
      <c r="M236" s="18">
        <v>0.03</v>
      </c>
      <c r="N236" s="18">
        <v>0.09</v>
      </c>
      <c r="O236" s="18">
        <v>0.06</v>
      </c>
      <c r="P236" s="19">
        <v>0.0</v>
      </c>
      <c r="Q236" s="19">
        <v>0.0</v>
      </c>
      <c r="R236" s="18">
        <v>0.27</v>
      </c>
      <c r="S236" s="19">
        <v>0.0</v>
      </c>
      <c r="T236" s="14">
        <v>0.06</v>
      </c>
      <c r="U236" s="15">
        <v>0.03</v>
      </c>
      <c r="V236" s="15">
        <v>0.09</v>
      </c>
      <c r="W236" s="15">
        <v>0.06</v>
      </c>
      <c r="X236" s="15">
        <v>0.09</v>
      </c>
      <c r="Y236" s="20" t="s">
        <v>967</v>
      </c>
    </row>
    <row r="237">
      <c r="A237" s="9">
        <v>235.0</v>
      </c>
      <c r="B237" s="10" t="s">
        <v>968</v>
      </c>
      <c r="C237" s="11" t="s">
        <v>969</v>
      </c>
      <c r="D237" s="12" t="s">
        <v>345</v>
      </c>
      <c r="E237" s="13" t="s">
        <v>970</v>
      </c>
      <c r="F237" s="12">
        <v>22.0</v>
      </c>
      <c r="G237" s="12">
        <v>2003.0</v>
      </c>
      <c r="H237" s="14">
        <v>20.0</v>
      </c>
      <c r="I237" s="15">
        <v>17.0</v>
      </c>
      <c r="J237" s="16">
        <v>1578.0</v>
      </c>
      <c r="K237" s="15">
        <v>17.5</v>
      </c>
      <c r="L237" s="22">
        <v>0.0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8">
        <v>0.34</v>
      </c>
      <c r="S237" s="19">
        <v>0.0</v>
      </c>
      <c r="T237" s="23">
        <v>0.0</v>
      </c>
      <c r="U237" s="21">
        <v>0.0</v>
      </c>
      <c r="V237" s="21">
        <v>0.0</v>
      </c>
      <c r="W237" s="21">
        <v>0.0</v>
      </c>
      <c r="X237" s="21">
        <v>0.0</v>
      </c>
      <c r="Y237" s="20" t="s">
        <v>971</v>
      </c>
    </row>
    <row r="238">
      <c r="A238" s="9">
        <v>236.0</v>
      </c>
      <c r="B238" s="10" t="s">
        <v>972</v>
      </c>
      <c r="C238" s="11" t="s">
        <v>973</v>
      </c>
      <c r="D238" s="12" t="s">
        <v>31</v>
      </c>
      <c r="E238" s="13" t="s">
        <v>974</v>
      </c>
      <c r="F238" s="12">
        <v>21.0</v>
      </c>
      <c r="G238" s="12">
        <v>2003.0</v>
      </c>
      <c r="H238" s="14">
        <v>31.0</v>
      </c>
      <c r="I238" s="15">
        <v>17.0</v>
      </c>
      <c r="J238" s="16">
        <v>1688.0</v>
      </c>
      <c r="K238" s="15">
        <v>18.8</v>
      </c>
      <c r="L238" s="17">
        <v>0.05</v>
      </c>
      <c r="M238" s="18">
        <v>0.27</v>
      </c>
      <c r="N238" s="18">
        <v>0.32</v>
      </c>
      <c r="O238" s="18">
        <v>0.05</v>
      </c>
      <c r="P238" s="19">
        <v>0.0</v>
      </c>
      <c r="Q238" s="19">
        <v>0.0</v>
      </c>
      <c r="R238" s="18">
        <v>0.05</v>
      </c>
      <c r="S238" s="19">
        <v>0.0</v>
      </c>
      <c r="T238" s="14">
        <v>0.05</v>
      </c>
      <c r="U238" s="15">
        <v>0.27</v>
      </c>
      <c r="V238" s="15">
        <v>0.32</v>
      </c>
      <c r="W238" s="15">
        <v>0.05</v>
      </c>
      <c r="X238" s="15">
        <v>0.32</v>
      </c>
      <c r="Y238" s="20" t="s">
        <v>975</v>
      </c>
    </row>
    <row r="239">
      <c r="A239" s="9">
        <v>237.0</v>
      </c>
      <c r="B239" s="10" t="s">
        <v>976</v>
      </c>
      <c r="C239" s="11" t="s">
        <v>977</v>
      </c>
      <c r="D239" s="12" t="s">
        <v>36</v>
      </c>
      <c r="E239" s="13" t="s">
        <v>978</v>
      </c>
      <c r="F239" s="12">
        <v>27.0</v>
      </c>
      <c r="G239" s="12">
        <v>1998.0</v>
      </c>
      <c r="H239" s="14">
        <v>4.0</v>
      </c>
      <c r="I239" s="15">
        <v>1.0</v>
      </c>
      <c r="J239" s="15">
        <v>105.0</v>
      </c>
      <c r="K239" s="15">
        <v>1.2</v>
      </c>
      <c r="L239" s="22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23">
        <v>0.0</v>
      </c>
      <c r="U239" s="21">
        <v>0.0</v>
      </c>
      <c r="V239" s="21">
        <v>0.0</v>
      </c>
      <c r="W239" s="21">
        <v>0.0</v>
      </c>
      <c r="X239" s="21">
        <v>0.0</v>
      </c>
      <c r="Y239" s="20" t="s">
        <v>979</v>
      </c>
    </row>
    <row r="240">
      <c r="A240" s="9">
        <v>238.0</v>
      </c>
      <c r="B240" s="10" t="s">
        <v>980</v>
      </c>
      <c r="C240" s="11" t="s">
        <v>981</v>
      </c>
      <c r="D240" s="12" t="s">
        <v>31</v>
      </c>
      <c r="E240" s="13" t="s">
        <v>982</v>
      </c>
      <c r="F240" s="12">
        <v>22.0</v>
      </c>
      <c r="G240" s="12">
        <v>2003.0</v>
      </c>
      <c r="H240" s="14">
        <v>29.0</v>
      </c>
      <c r="I240" s="15">
        <v>17.0</v>
      </c>
      <c r="J240" s="16">
        <v>1487.0</v>
      </c>
      <c r="K240" s="15">
        <v>16.5</v>
      </c>
      <c r="L240" s="22">
        <v>0.0</v>
      </c>
      <c r="M240" s="18">
        <v>0.12</v>
      </c>
      <c r="N240" s="18">
        <v>0.12</v>
      </c>
      <c r="O240" s="19">
        <v>0.0</v>
      </c>
      <c r="P240" s="19">
        <v>0.0</v>
      </c>
      <c r="Q240" s="19">
        <v>0.0</v>
      </c>
      <c r="R240" s="18">
        <v>0.55</v>
      </c>
      <c r="S240" s="19">
        <v>0.0</v>
      </c>
      <c r="T240" s="23">
        <v>0.0</v>
      </c>
      <c r="U240" s="15">
        <v>0.12</v>
      </c>
      <c r="V240" s="15">
        <v>0.12</v>
      </c>
      <c r="W240" s="21">
        <v>0.0</v>
      </c>
      <c r="X240" s="15">
        <v>0.12</v>
      </c>
      <c r="Y240" s="20" t="s">
        <v>983</v>
      </c>
    </row>
    <row r="241">
      <c r="A241" s="9">
        <v>239.0</v>
      </c>
      <c r="B241" s="10" t="s">
        <v>984</v>
      </c>
      <c r="C241" s="11" t="s">
        <v>985</v>
      </c>
      <c r="D241" s="12" t="s">
        <v>31</v>
      </c>
      <c r="E241" s="13" t="s">
        <v>986</v>
      </c>
      <c r="F241" s="12">
        <v>25.0</v>
      </c>
      <c r="G241" s="12">
        <v>2000.0</v>
      </c>
      <c r="H241" s="14">
        <v>7.0</v>
      </c>
      <c r="I241" s="15">
        <v>2.0</v>
      </c>
      <c r="J241" s="15">
        <v>158.0</v>
      </c>
      <c r="K241" s="15">
        <v>1.8</v>
      </c>
      <c r="L241" s="22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23">
        <v>0.0</v>
      </c>
      <c r="U241" s="21">
        <v>0.0</v>
      </c>
      <c r="V241" s="21">
        <v>0.0</v>
      </c>
      <c r="W241" s="21">
        <v>0.0</v>
      </c>
      <c r="X241" s="21">
        <v>0.0</v>
      </c>
      <c r="Y241" s="20" t="s">
        <v>987</v>
      </c>
    </row>
    <row r="242">
      <c r="A242" s="9">
        <v>240.0</v>
      </c>
      <c r="B242" s="10" t="s">
        <v>988</v>
      </c>
      <c r="C242" s="11" t="s">
        <v>989</v>
      </c>
      <c r="D242" s="12" t="s">
        <v>41</v>
      </c>
      <c r="E242" s="13" t="s">
        <v>990</v>
      </c>
      <c r="F242" s="12">
        <v>25.0</v>
      </c>
      <c r="G242" s="12">
        <v>1999.0</v>
      </c>
      <c r="H242" s="14">
        <v>14.0</v>
      </c>
      <c r="I242" s="15">
        <v>8.0</v>
      </c>
      <c r="J242" s="15">
        <v>699.0</v>
      </c>
      <c r="K242" s="15">
        <v>7.8</v>
      </c>
      <c r="L242" s="17">
        <v>0.38</v>
      </c>
      <c r="M242" s="18">
        <v>0.13</v>
      </c>
      <c r="N242" s="18">
        <v>0.51</v>
      </c>
      <c r="O242" s="18">
        <v>0.38</v>
      </c>
      <c r="P242" s="19">
        <v>0.0</v>
      </c>
      <c r="Q242" s="19">
        <v>0.0</v>
      </c>
      <c r="R242" s="19">
        <v>0.0</v>
      </c>
      <c r="S242" s="19">
        <v>0.0</v>
      </c>
      <c r="T242" s="14">
        <v>0.39</v>
      </c>
      <c r="U242" s="15">
        <v>0.13</v>
      </c>
      <c r="V242" s="15">
        <v>0.52</v>
      </c>
      <c r="W242" s="15">
        <v>0.39</v>
      </c>
      <c r="X242" s="15">
        <v>0.52</v>
      </c>
      <c r="Y242" s="20" t="s">
        <v>991</v>
      </c>
    </row>
    <row r="243">
      <c r="A243" s="9">
        <v>241.0</v>
      </c>
      <c r="B243" s="10" t="s">
        <v>992</v>
      </c>
      <c r="C243" s="11" t="s">
        <v>993</v>
      </c>
      <c r="D243" s="12" t="s">
        <v>41</v>
      </c>
      <c r="E243" s="13" t="s">
        <v>994</v>
      </c>
      <c r="F243" s="12">
        <v>24.0</v>
      </c>
      <c r="G243" s="12">
        <v>2000.0</v>
      </c>
      <c r="H243" s="14">
        <v>32.0</v>
      </c>
      <c r="I243" s="15">
        <v>11.0</v>
      </c>
      <c r="J243" s="16">
        <v>1165.0</v>
      </c>
      <c r="K243" s="15">
        <v>12.9</v>
      </c>
      <c r="L243" s="17">
        <v>0.47</v>
      </c>
      <c r="M243" s="19">
        <v>0.0</v>
      </c>
      <c r="N243" s="18">
        <v>0.47</v>
      </c>
      <c r="O243" s="18">
        <v>0.47</v>
      </c>
      <c r="P243" s="19">
        <v>0.0</v>
      </c>
      <c r="Q243" s="19">
        <v>0.0</v>
      </c>
      <c r="R243" s="18">
        <v>0.08</v>
      </c>
      <c r="S243" s="19">
        <v>0.0</v>
      </c>
      <c r="T243" s="14">
        <v>0.46</v>
      </c>
      <c r="U243" s="21">
        <v>0.0</v>
      </c>
      <c r="V243" s="15">
        <v>0.46</v>
      </c>
      <c r="W243" s="15">
        <v>0.46</v>
      </c>
      <c r="X243" s="15">
        <v>0.46</v>
      </c>
      <c r="Y243" s="20" t="s">
        <v>995</v>
      </c>
    </row>
    <row r="244">
      <c r="A244" s="9">
        <v>242.0</v>
      </c>
      <c r="B244" s="10" t="s">
        <v>996</v>
      </c>
      <c r="C244" s="11" t="s">
        <v>997</v>
      </c>
      <c r="D244" s="12" t="s">
        <v>31</v>
      </c>
      <c r="E244" s="13" t="s">
        <v>998</v>
      </c>
      <c r="F244" s="12">
        <v>29.0</v>
      </c>
      <c r="G244" s="12">
        <v>1996.0</v>
      </c>
      <c r="H244" s="14">
        <v>29.0</v>
      </c>
      <c r="I244" s="15">
        <v>29.0</v>
      </c>
      <c r="J244" s="16">
        <v>2419.0</v>
      </c>
      <c r="K244" s="15">
        <v>26.9</v>
      </c>
      <c r="L244" s="17">
        <v>0.15</v>
      </c>
      <c r="M244" s="18">
        <v>0.11</v>
      </c>
      <c r="N244" s="18">
        <v>0.26</v>
      </c>
      <c r="O244" s="18">
        <v>0.15</v>
      </c>
      <c r="P244" s="19">
        <v>0.0</v>
      </c>
      <c r="Q244" s="19">
        <v>0.0</v>
      </c>
      <c r="R244" s="18">
        <v>0.11</v>
      </c>
      <c r="S244" s="19">
        <v>0.0</v>
      </c>
      <c r="T244" s="14">
        <v>0.15</v>
      </c>
      <c r="U244" s="15">
        <v>0.11</v>
      </c>
      <c r="V244" s="15">
        <v>0.26</v>
      </c>
      <c r="W244" s="15">
        <v>0.15</v>
      </c>
      <c r="X244" s="15">
        <v>0.26</v>
      </c>
      <c r="Y244" s="20" t="s">
        <v>999</v>
      </c>
    </row>
    <row r="245">
      <c r="A245" s="9">
        <v>243.0</v>
      </c>
      <c r="B245" s="10" t="s">
        <v>1000</v>
      </c>
      <c r="C245" s="11" t="s">
        <v>1001</v>
      </c>
      <c r="D245" s="12" t="s">
        <v>107</v>
      </c>
      <c r="E245" s="13" t="s">
        <v>1002</v>
      </c>
      <c r="F245" s="12">
        <v>27.0</v>
      </c>
      <c r="G245" s="12">
        <v>1997.0</v>
      </c>
      <c r="H245" s="14">
        <v>19.0</v>
      </c>
      <c r="I245" s="15">
        <v>6.0</v>
      </c>
      <c r="J245" s="15">
        <v>559.0</v>
      </c>
      <c r="K245" s="15">
        <v>6.2</v>
      </c>
      <c r="L245" s="22">
        <v>0.0</v>
      </c>
      <c r="M245" s="19">
        <v>0.0</v>
      </c>
      <c r="N245" s="19">
        <v>0.0</v>
      </c>
      <c r="O245" s="19">
        <v>0.0</v>
      </c>
      <c r="P245" s="19">
        <v>0.0</v>
      </c>
      <c r="Q245" s="19">
        <v>0.0</v>
      </c>
      <c r="R245" s="19">
        <v>0.0</v>
      </c>
      <c r="S245" s="19">
        <v>0.0</v>
      </c>
      <c r="T245" s="23">
        <v>0.0</v>
      </c>
      <c r="U245" s="21">
        <v>0.0</v>
      </c>
      <c r="V245" s="21">
        <v>0.0</v>
      </c>
      <c r="W245" s="21">
        <v>0.0</v>
      </c>
      <c r="X245" s="21">
        <v>0.0</v>
      </c>
      <c r="Y245" s="20" t="s">
        <v>1003</v>
      </c>
    </row>
    <row r="246">
      <c r="A246" s="9">
        <v>244.0</v>
      </c>
      <c r="B246" s="10" t="s">
        <v>1004</v>
      </c>
      <c r="C246" s="11" t="s">
        <v>1005</v>
      </c>
      <c r="D246" s="12" t="s">
        <v>345</v>
      </c>
      <c r="E246" s="13" t="s">
        <v>1006</v>
      </c>
      <c r="F246" s="12">
        <v>25.0</v>
      </c>
      <c r="G246" s="12">
        <v>1999.0</v>
      </c>
      <c r="H246" s="14">
        <v>29.0</v>
      </c>
      <c r="I246" s="15">
        <v>20.0</v>
      </c>
      <c r="J246" s="16">
        <v>1963.0</v>
      </c>
      <c r="K246" s="15">
        <v>21.8</v>
      </c>
      <c r="L246" s="17">
        <v>0.09</v>
      </c>
      <c r="M246" s="18">
        <v>0.18</v>
      </c>
      <c r="N246" s="18">
        <v>0.28</v>
      </c>
      <c r="O246" s="18">
        <v>0.09</v>
      </c>
      <c r="P246" s="19">
        <v>0.0</v>
      </c>
      <c r="Q246" s="19">
        <v>0.0</v>
      </c>
      <c r="R246" s="18">
        <v>0.18</v>
      </c>
      <c r="S246" s="19">
        <v>0.0</v>
      </c>
      <c r="T246" s="14">
        <v>0.09</v>
      </c>
      <c r="U246" s="15">
        <v>0.18</v>
      </c>
      <c r="V246" s="15">
        <v>0.28</v>
      </c>
      <c r="W246" s="15">
        <v>0.09</v>
      </c>
      <c r="X246" s="15">
        <v>0.28</v>
      </c>
      <c r="Y246" s="20" t="s">
        <v>1007</v>
      </c>
    </row>
    <row r="247">
      <c r="A247" s="9">
        <v>245.0</v>
      </c>
      <c r="B247" s="10" t="s">
        <v>1008</v>
      </c>
      <c r="C247" s="11" t="s">
        <v>1009</v>
      </c>
      <c r="D247" s="12" t="s">
        <v>31</v>
      </c>
      <c r="E247" s="13" t="s">
        <v>1010</v>
      </c>
      <c r="F247" s="12">
        <v>27.0</v>
      </c>
      <c r="G247" s="12">
        <v>1998.0</v>
      </c>
      <c r="H247" s="14">
        <v>25.0</v>
      </c>
      <c r="I247" s="15">
        <v>15.0</v>
      </c>
      <c r="J247" s="16">
        <v>1444.0</v>
      </c>
      <c r="K247" s="15">
        <v>16.0</v>
      </c>
      <c r="L247" s="17">
        <v>0.06</v>
      </c>
      <c r="M247" s="18">
        <v>0.25</v>
      </c>
      <c r="N247" s="18">
        <v>0.31</v>
      </c>
      <c r="O247" s="18">
        <v>0.06</v>
      </c>
      <c r="P247" s="19">
        <v>0.0</v>
      </c>
      <c r="Q247" s="19">
        <v>0.0</v>
      </c>
      <c r="R247" s="18">
        <v>0.5</v>
      </c>
      <c r="S247" s="19">
        <v>0.0</v>
      </c>
      <c r="T247" s="14">
        <v>0.06</v>
      </c>
      <c r="U247" s="15">
        <v>0.25</v>
      </c>
      <c r="V247" s="15">
        <v>0.31</v>
      </c>
      <c r="W247" s="15">
        <v>0.06</v>
      </c>
      <c r="X247" s="15">
        <v>0.31</v>
      </c>
      <c r="Y247" s="20" t="s">
        <v>1011</v>
      </c>
    </row>
    <row r="248">
      <c r="A248" s="9">
        <v>246.0</v>
      </c>
      <c r="B248" s="10" t="s">
        <v>1012</v>
      </c>
      <c r="C248" s="11" t="s">
        <v>1013</v>
      </c>
      <c r="D248" s="12" t="s">
        <v>31</v>
      </c>
      <c r="E248" s="13" t="s">
        <v>1014</v>
      </c>
      <c r="F248" s="12">
        <v>29.0</v>
      </c>
      <c r="G248" s="12">
        <v>1996.0</v>
      </c>
      <c r="H248" s="14">
        <v>36.0</v>
      </c>
      <c r="I248" s="15">
        <v>26.0</v>
      </c>
      <c r="J248" s="16">
        <v>2247.0</v>
      </c>
      <c r="K248" s="15">
        <v>25.0</v>
      </c>
      <c r="L248" s="17">
        <v>0.12</v>
      </c>
      <c r="M248" s="18">
        <v>0.04</v>
      </c>
      <c r="N248" s="18">
        <v>0.16</v>
      </c>
      <c r="O248" s="18">
        <v>0.12</v>
      </c>
      <c r="P248" s="19">
        <v>0.0</v>
      </c>
      <c r="Q248" s="19">
        <v>0.0</v>
      </c>
      <c r="R248" s="18">
        <v>0.12</v>
      </c>
      <c r="S248" s="19">
        <v>0.0</v>
      </c>
      <c r="T248" s="14">
        <v>0.12</v>
      </c>
      <c r="U248" s="15">
        <v>0.04</v>
      </c>
      <c r="V248" s="15">
        <v>0.16</v>
      </c>
      <c r="W248" s="15">
        <v>0.12</v>
      </c>
      <c r="X248" s="15">
        <v>0.16</v>
      </c>
      <c r="Y248" s="20" t="s">
        <v>1015</v>
      </c>
    </row>
    <row r="249">
      <c r="A249" s="9">
        <v>247.0</v>
      </c>
      <c r="B249" s="10" t="s">
        <v>1016</v>
      </c>
      <c r="C249" s="11" t="s">
        <v>1017</v>
      </c>
      <c r="D249" s="12" t="s">
        <v>41</v>
      </c>
      <c r="E249" s="13" t="s">
        <v>1018</v>
      </c>
      <c r="F249" s="12">
        <v>28.0</v>
      </c>
      <c r="G249" s="12">
        <v>1997.0</v>
      </c>
      <c r="H249" s="14">
        <v>14.0</v>
      </c>
      <c r="I249" s="15">
        <v>3.0</v>
      </c>
      <c r="J249" s="15">
        <v>429.0</v>
      </c>
      <c r="K249" s="15">
        <v>4.8</v>
      </c>
      <c r="L249" s="17">
        <v>0.63</v>
      </c>
      <c r="M249" s="19">
        <v>0.0</v>
      </c>
      <c r="N249" s="18">
        <v>0.63</v>
      </c>
      <c r="O249" s="18">
        <v>0.63</v>
      </c>
      <c r="P249" s="19">
        <v>0.0</v>
      </c>
      <c r="Q249" s="19">
        <v>0.0</v>
      </c>
      <c r="R249" s="18">
        <v>0.63</v>
      </c>
      <c r="S249" s="19">
        <v>0.0</v>
      </c>
      <c r="T249" s="14">
        <v>0.63</v>
      </c>
      <c r="U249" s="21">
        <v>0.0</v>
      </c>
      <c r="V249" s="15">
        <v>0.63</v>
      </c>
      <c r="W249" s="15">
        <v>0.63</v>
      </c>
      <c r="X249" s="15">
        <v>0.63</v>
      </c>
      <c r="Y249" s="20" t="s">
        <v>1019</v>
      </c>
    </row>
    <row r="250">
      <c r="A250" s="9">
        <v>248.0</v>
      </c>
      <c r="B250" s="10" t="s">
        <v>1020</v>
      </c>
      <c r="C250" s="11" t="s">
        <v>1021</v>
      </c>
      <c r="D250" s="12" t="s">
        <v>41</v>
      </c>
      <c r="E250" s="13" t="s">
        <v>1022</v>
      </c>
      <c r="F250" s="12">
        <v>24.0</v>
      </c>
      <c r="G250" s="12">
        <v>2001.0</v>
      </c>
      <c r="H250" s="14">
        <v>37.0</v>
      </c>
      <c r="I250" s="15">
        <v>28.0</v>
      </c>
      <c r="J250" s="16">
        <v>2298.0</v>
      </c>
      <c r="K250" s="15">
        <v>25.5</v>
      </c>
      <c r="L250" s="17">
        <v>0.24</v>
      </c>
      <c r="M250" s="18">
        <v>0.16</v>
      </c>
      <c r="N250" s="18">
        <v>0.39</v>
      </c>
      <c r="O250" s="18">
        <v>0.2</v>
      </c>
      <c r="P250" s="18">
        <v>0.04</v>
      </c>
      <c r="Q250" s="18">
        <v>0.04</v>
      </c>
      <c r="R250" s="18">
        <v>0.08</v>
      </c>
      <c r="S250" s="19">
        <v>0.0</v>
      </c>
      <c r="T250" s="14">
        <v>0.23</v>
      </c>
      <c r="U250" s="15">
        <v>0.16</v>
      </c>
      <c r="V250" s="15">
        <v>0.39</v>
      </c>
      <c r="W250" s="15">
        <v>0.2</v>
      </c>
      <c r="X250" s="15">
        <v>0.35</v>
      </c>
      <c r="Y250" s="20" t="s">
        <v>1023</v>
      </c>
    </row>
    <row r="251">
      <c r="A251" s="9">
        <v>249.0</v>
      </c>
      <c r="B251" s="10" t="s">
        <v>1024</v>
      </c>
      <c r="C251" s="11" t="s">
        <v>1025</v>
      </c>
      <c r="D251" s="12" t="s">
        <v>345</v>
      </c>
      <c r="E251" s="13" t="s">
        <v>1026</v>
      </c>
      <c r="F251" s="12">
        <v>20.0</v>
      </c>
      <c r="G251" s="12">
        <v>2005.0</v>
      </c>
      <c r="H251" s="14">
        <v>31.0</v>
      </c>
      <c r="I251" s="15">
        <v>26.0</v>
      </c>
      <c r="J251" s="16">
        <v>2317.0</v>
      </c>
      <c r="K251" s="15">
        <v>25.7</v>
      </c>
      <c r="L251" s="17">
        <v>0.04</v>
      </c>
      <c r="M251" s="19">
        <v>0.0</v>
      </c>
      <c r="N251" s="18">
        <v>0.04</v>
      </c>
      <c r="O251" s="18">
        <v>0.04</v>
      </c>
      <c r="P251" s="19">
        <v>0.0</v>
      </c>
      <c r="Q251" s="19">
        <v>0.0</v>
      </c>
      <c r="R251" s="18">
        <v>0.39</v>
      </c>
      <c r="S251" s="19">
        <v>0.0</v>
      </c>
      <c r="T251" s="14">
        <v>0.04</v>
      </c>
      <c r="U251" s="21">
        <v>0.0</v>
      </c>
      <c r="V251" s="15">
        <v>0.04</v>
      </c>
      <c r="W251" s="15">
        <v>0.04</v>
      </c>
      <c r="X251" s="15">
        <v>0.04</v>
      </c>
      <c r="Y251" s="20" t="s">
        <v>1027</v>
      </c>
    </row>
    <row r="252">
      <c r="A252" s="9">
        <v>250.0</v>
      </c>
      <c r="B252" s="10" t="s">
        <v>1028</v>
      </c>
      <c r="C252" s="11" t="s">
        <v>1029</v>
      </c>
      <c r="D252" s="12" t="s">
        <v>41</v>
      </c>
      <c r="E252" s="13" t="s">
        <v>1030</v>
      </c>
      <c r="F252" s="12">
        <v>34.0</v>
      </c>
      <c r="G252" s="12">
        <v>1991.0</v>
      </c>
      <c r="H252" s="14">
        <v>36.0</v>
      </c>
      <c r="I252" s="15">
        <v>27.0</v>
      </c>
      <c r="J252" s="16">
        <v>2189.0</v>
      </c>
      <c r="K252" s="15">
        <v>24.3</v>
      </c>
      <c r="L252" s="17">
        <v>0.37</v>
      </c>
      <c r="M252" s="18">
        <v>0.12</v>
      </c>
      <c r="N252" s="18">
        <v>0.49</v>
      </c>
      <c r="O252" s="18">
        <v>0.21</v>
      </c>
      <c r="P252" s="18">
        <v>0.16</v>
      </c>
      <c r="Q252" s="18">
        <v>0.16</v>
      </c>
      <c r="R252" s="18">
        <v>0.21</v>
      </c>
      <c r="S252" s="19">
        <v>0.0</v>
      </c>
      <c r="T252" s="14">
        <v>0.37</v>
      </c>
      <c r="U252" s="15">
        <v>0.12</v>
      </c>
      <c r="V252" s="15">
        <v>0.49</v>
      </c>
      <c r="W252" s="15">
        <v>0.21</v>
      </c>
      <c r="X252" s="15">
        <v>0.33</v>
      </c>
      <c r="Y252" s="20" t="s">
        <v>1031</v>
      </c>
    </row>
    <row r="253">
      <c r="A253" s="9">
        <v>251.0</v>
      </c>
      <c r="B253" s="10" t="s">
        <v>1032</v>
      </c>
      <c r="C253" s="11" t="s">
        <v>1033</v>
      </c>
      <c r="D253" s="12" t="s">
        <v>31</v>
      </c>
      <c r="E253" s="13" t="s">
        <v>1034</v>
      </c>
      <c r="F253" s="12">
        <v>18.0</v>
      </c>
      <c r="G253" s="12">
        <v>2006.0</v>
      </c>
      <c r="H253" s="14">
        <v>1.0</v>
      </c>
      <c r="I253" s="21">
        <v>0.0</v>
      </c>
      <c r="J253" s="15">
        <v>9.0</v>
      </c>
      <c r="K253" s="15">
        <v>0.1</v>
      </c>
      <c r="L253" s="22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23">
        <v>0.0</v>
      </c>
      <c r="U253" s="21">
        <v>0.0</v>
      </c>
      <c r="V253" s="21">
        <v>0.0</v>
      </c>
      <c r="W253" s="21">
        <v>0.0</v>
      </c>
      <c r="X253" s="21">
        <v>0.0</v>
      </c>
      <c r="Y253" s="20" t="s">
        <v>1035</v>
      </c>
    </row>
    <row r="254">
      <c r="A254" s="9">
        <v>252.0</v>
      </c>
      <c r="B254" s="10" t="s">
        <v>1036</v>
      </c>
      <c r="C254" s="11" t="s">
        <v>1037</v>
      </c>
      <c r="D254" s="12" t="s">
        <v>107</v>
      </c>
      <c r="E254" s="13" t="s">
        <v>1038</v>
      </c>
      <c r="F254" s="12">
        <v>23.0</v>
      </c>
      <c r="G254" s="12">
        <v>2001.0</v>
      </c>
      <c r="H254" s="14">
        <v>35.0</v>
      </c>
      <c r="I254" s="15">
        <v>31.0</v>
      </c>
      <c r="J254" s="16">
        <v>2661.0</v>
      </c>
      <c r="K254" s="15">
        <v>29.6</v>
      </c>
      <c r="L254" s="17">
        <v>0.51</v>
      </c>
      <c r="M254" s="18">
        <v>0.17</v>
      </c>
      <c r="N254" s="18">
        <v>0.68</v>
      </c>
      <c r="O254" s="18">
        <v>0.51</v>
      </c>
      <c r="P254" s="19">
        <v>0.0</v>
      </c>
      <c r="Q254" s="19">
        <v>0.0</v>
      </c>
      <c r="R254" s="18">
        <v>0.17</v>
      </c>
      <c r="S254" s="19">
        <v>0.0</v>
      </c>
      <c r="T254" s="14">
        <v>0.51</v>
      </c>
      <c r="U254" s="15">
        <v>0.17</v>
      </c>
      <c r="V254" s="15">
        <v>0.68</v>
      </c>
      <c r="W254" s="15">
        <v>0.51</v>
      </c>
      <c r="X254" s="15">
        <v>0.68</v>
      </c>
      <c r="Y254" s="20" t="s">
        <v>1039</v>
      </c>
    </row>
    <row r="255">
      <c r="A255" s="9">
        <v>253.0</v>
      </c>
      <c r="B255" s="10" t="s">
        <v>1040</v>
      </c>
      <c r="C255" s="11" t="s">
        <v>1041</v>
      </c>
      <c r="D255" s="12" t="s">
        <v>31</v>
      </c>
      <c r="E255" s="13" t="s">
        <v>1042</v>
      </c>
      <c r="F255" s="12">
        <v>28.0</v>
      </c>
      <c r="G255" s="12">
        <v>1996.0</v>
      </c>
      <c r="H255" s="14">
        <v>27.0</v>
      </c>
      <c r="I255" s="15">
        <v>23.0</v>
      </c>
      <c r="J255" s="16">
        <v>1951.0</v>
      </c>
      <c r="K255" s="15">
        <v>21.7</v>
      </c>
      <c r="L255" s="17">
        <v>0.09</v>
      </c>
      <c r="M255" s="18">
        <v>0.05</v>
      </c>
      <c r="N255" s="18">
        <v>0.14</v>
      </c>
      <c r="O255" s="18">
        <v>0.09</v>
      </c>
      <c r="P255" s="19">
        <v>0.0</v>
      </c>
      <c r="Q255" s="19">
        <v>0.0</v>
      </c>
      <c r="R255" s="18">
        <v>0.46</v>
      </c>
      <c r="S255" s="19">
        <v>0.0</v>
      </c>
      <c r="T255" s="14">
        <v>0.09</v>
      </c>
      <c r="U255" s="15">
        <v>0.05</v>
      </c>
      <c r="V255" s="15">
        <v>0.14</v>
      </c>
      <c r="W255" s="15">
        <v>0.09</v>
      </c>
      <c r="X255" s="15">
        <v>0.14</v>
      </c>
      <c r="Y255" s="20" t="s">
        <v>1043</v>
      </c>
    </row>
    <row r="256">
      <c r="A256" s="9">
        <v>254.0</v>
      </c>
      <c r="B256" s="10" t="s">
        <v>1044</v>
      </c>
      <c r="C256" s="11" t="s">
        <v>1045</v>
      </c>
      <c r="D256" s="12" t="s">
        <v>98</v>
      </c>
      <c r="E256" s="13" t="s">
        <v>1046</v>
      </c>
      <c r="F256" s="12">
        <v>29.0</v>
      </c>
      <c r="G256" s="12">
        <v>1996.0</v>
      </c>
      <c r="H256" s="14">
        <v>5.0</v>
      </c>
      <c r="I256" s="15">
        <v>5.0</v>
      </c>
      <c r="J256" s="15">
        <v>437.0</v>
      </c>
      <c r="K256" s="15">
        <v>4.9</v>
      </c>
      <c r="L256" s="22">
        <v>0.0</v>
      </c>
      <c r="M256" s="19">
        <v>0.0</v>
      </c>
      <c r="N256" s="19">
        <v>0.0</v>
      </c>
      <c r="O256" s="19">
        <v>0.0</v>
      </c>
      <c r="P256" s="19">
        <v>0.0</v>
      </c>
      <c r="Q256" s="19">
        <v>0.0</v>
      </c>
      <c r="R256" s="18">
        <v>0.2</v>
      </c>
      <c r="S256" s="19">
        <v>0.0</v>
      </c>
      <c r="T256" s="23">
        <v>0.0</v>
      </c>
      <c r="U256" s="21">
        <v>0.0</v>
      </c>
      <c r="V256" s="21">
        <v>0.0</v>
      </c>
      <c r="W256" s="21">
        <v>0.0</v>
      </c>
      <c r="X256" s="21">
        <v>0.0</v>
      </c>
      <c r="Y256" s="20" t="s">
        <v>1047</v>
      </c>
    </row>
    <row r="257">
      <c r="A257" s="9">
        <v>255.0</v>
      </c>
      <c r="B257" s="10" t="s">
        <v>1048</v>
      </c>
      <c r="C257" s="11" t="s">
        <v>1049</v>
      </c>
      <c r="D257" s="12" t="s">
        <v>26</v>
      </c>
      <c r="E257" s="13" t="s">
        <v>1050</v>
      </c>
      <c r="F257" s="12">
        <v>24.0</v>
      </c>
      <c r="G257" s="12">
        <v>2001.0</v>
      </c>
      <c r="H257" s="14">
        <v>16.0</v>
      </c>
      <c r="I257" s="15">
        <v>6.0</v>
      </c>
      <c r="J257" s="15">
        <v>610.0</v>
      </c>
      <c r="K257" s="15">
        <v>6.8</v>
      </c>
      <c r="L257" s="17">
        <v>0.29</v>
      </c>
      <c r="M257" s="19">
        <v>0.0</v>
      </c>
      <c r="N257" s="18">
        <v>0.29</v>
      </c>
      <c r="O257" s="18">
        <v>0.29</v>
      </c>
      <c r="P257" s="19">
        <v>0.0</v>
      </c>
      <c r="Q257" s="19">
        <v>0.0</v>
      </c>
      <c r="R257" s="18">
        <v>0.29</v>
      </c>
      <c r="S257" s="19">
        <v>0.0</v>
      </c>
      <c r="T257" s="14">
        <v>0.3</v>
      </c>
      <c r="U257" s="21">
        <v>0.0</v>
      </c>
      <c r="V257" s="15">
        <v>0.3</v>
      </c>
      <c r="W257" s="15">
        <v>0.3</v>
      </c>
      <c r="X257" s="15">
        <v>0.3</v>
      </c>
      <c r="Y257" s="20" t="s">
        <v>1051</v>
      </c>
    </row>
    <row r="258">
      <c r="A258" s="9">
        <v>256.0</v>
      </c>
      <c r="B258" s="10" t="s">
        <v>1052</v>
      </c>
      <c r="C258" s="11" t="s">
        <v>1053</v>
      </c>
      <c r="D258" s="12" t="s">
        <v>26</v>
      </c>
      <c r="E258" s="13" t="s">
        <v>1054</v>
      </c>
      <c r="F258" s="12">
        <v>24.0</v>
      </c>
      <c r="G258" s="12">
        <v>2001.0</v>
      </c>
      <c r="H258" s="14">
        <v>18.0</v>
      </c>
      <c r="I258" s="15">
        <v>13.0</v>
      </c>
      <c r="J258" s="16">
        <v>1112.0</v>
      </c>
      <c r="K258" s="15">
        <v>12.4</v>
      </c>
      <c r="L258" s="22">
        <v>0.0</v>
      </c>
      <c r="M258" s="18">
        <v>0.08</v>
      </c>
      <c r="N258" s="18">
        <v>0.08</v>
      </c>
      <c r="O258" s="19">
        <v>0.0</v>
      </c>
      <c r="P258" s="19">
        <v>0.0</v>
      </c>
      <c r="Q258" s="19">
        <v>0.0</v>
      </c>
      <c r="R258" s="18">
        <v>0.32</v>
      </c>
      <c r="S258" s="19">
        <v>0.0</v>
      </c>
      <c r="T258" s="23">
        <v>0.0</v>
      </c>
      <c r="U258" s="15">
        <v>0.08</v>
      </c>
      <c r="V258" s="15">
        <v>0.08</v>
      </c>
      <c r="W258" s="21">
        <v>0.0</v>
      </c>
      <c r="X258" s="15">
        <v>0.08</v>
      </c>
      <c r="Y258" s="20" t="s">
        <v>1055</v>
      </c>
    </row>
    <row r="259">
      <c r="A259" s="9">
        <v>257.0</v>
      </c>
      <c r="B259" s="10" t="s">
        <v>1056</v>
      </c>
      <c r="C259" s="11" t="s">
        <v>1057</v>
      </c>
      <c r="D259" s="12" t="s">
        <v>98</v>
      </c>
      <c r="E259" s="13" t="s">
        <v>1058</v>
      </c>
      <c r="F259" s="12">
        <v>32.0</v>
      </c>
      <c r="G259" s="12">
        <v>1993.0</v>
      </c>
      <c r="H259" s="14">
        <v>12.0</v>
      </c>
      <c r="I259" s="15">
        <v>12.0</v>
      </c>
      <c r="J259" s="16">
        <v>1080.0</v>
      </c>
      <c r="K259" s="15">
        <v>12.0</v>
      </c>
      <c r="L259" s="22">
        <v>0.0</v>
      </c>
      <c r="M259" s="19">
        <v>0.0</v>
      </c>
      <c r="N259" s="19">
        <v>0.0</v>
      </c>
      <c r="O259" s="19">
        <v>0.0</v>
      </c>
      <c r="P259" s="19">
        <v>0.0</v>
      </c>
      <c r="Q259" s="19">
        <v>0.0</v>
      </c>
      <c r="R259" s="19">
        <v>0.0</v>
      </c>
      <c r="S259" s="19">
        <v>0.0</v>
      </c>
      <c r="T259" s="23">
        <v>0.0</v>
      </c>
      <c r="U259" s="21">
        <v>0.0</v>
      </c>
      <c r="V259" s="21">
        <v>0.0</v>
      </c>
      <c r="W259" s="21">
        <v>0.0</v>
      </c>
      <c r="X259" s="21">
        <v>0.0</v>
      </c>
      <c r="Y259" s="20" t="s">
        <v>1059</v>
      </c>
    </row>
    <row r="260">
      <c r="A260" s="9">
        <v>258.0</v>
      </c>
      <c r="B260" s="10" t="s">
        <v>1060</v>
      </c>
      <c r="C260" s="11" t="s">
        <v>1061</v>
      </c>
      <c r="D260" s="12" t="s">
        <v>264</v>
      </c>
      <c r="E260" s="13" t="s">
        <v>1062</v>
      </c>
      <c r="F260" s="12">
        <v>24.0</v>
      </c>
      <c r="G260" s="12">
        <v>2001.0</v>
      </c>
      <c r="H260" s="14">
        <v>34.0</v>
      </c>
      <c r="I260" s="15">
        <v>18.0</v>
      </c>
      <c r="J260" s="16">
        <v>1937.0</v>
      </c>
      <c r="K260" s="15">
        <v>21.5</v>
      </c>
      <c r="L260" s="17">
        <v>0.05</v>
      </c>
      <c r="M260" s="18">
        <v>0.09</v>
      </c>
      <c r="N260" s="18">
        <v>0.14</v>
      </c>
      <c r="O260" s="18">
        <v>0.05</v>
      </c>
      <c r="P260" s="19">
        <v>0.0</v>
      </c>
      <c r="Q260" s="19">
        <v>0.0</v>
      </c>
      <c r="R260" s="18">
        <v>0.09</v>
      </c>
      <c r="S260" s="19">
        <v>0.0</v>
      </c>
      <c r="T260" s="14">
        <v>0.05</v>
      </c>
      <c r="U260" s="15">
        <v>0.09</v>
      </c>
      <c r="V260" s="15">
        <v>0.14</v>
      </c>
      <c r="W260" s="15">
        <v>0.05</v>
      </c>
      <c r="X260" s="15">
        <v>0.14</v>
      </c>
      <c r="Y260" s="20" t="s">
        <v>1063</v>
      </c>
    </row>
    <row r="261">
      <c r="A261" s="9">
        <v>259.0</v>
      </c>
      <c r="B261" s="10" t="s">
        <v>1064</v>
      </c>
      <c r="C261" s="11" t="s">
        <v>1065</v>
      </c>
      <c r="D261" s="12" t="s">
        <v>26</v>
      </c>
      <c r="E261" s="13" t="s">
        <v>1066</v>
      </c>
      <c r="F261" s="12">
        <v>19.0</v>
      </c>
      <c r="G261" s="12">
        <v>2006.0</v>
      </c>
      <c r="H261" s="14">
        <v>33.0</v>
      </c>
      <c r="I261" s="15">
        <v>21.0</v>
      </c>
      <c r="J261" s="16">
        <v>1672.0</v>
      </c>
      <c r="K261" s="15">
        <v>18.6</v>
      </c>
      <c r="L261" s="17">
        <v>0.7</v>
      </c>
      <c r="M261" s="19">
        <v>0.0</v>
      </c>
      <c r="N261" s="18">
        <v>0.7</v>
      </c>
      <c r="O261" s="18">
        <v>0.59</v>
      </c>
      <c r="P261" s="18">
        <v>0.11</v>
      </c>
      <c r="Q261" s="18">
        <v>0.11</v>
      </c>
      <c r="R261" s="18">
        <v>0.27</v>
      </c>
      <c r="S261" s="19">
        <v>0.0</v>
      </c>
      <c r="T261" s="14">
        <v>0.7</v>
      </c>
      <c r="U261" s="21">
        <v>0.0</v>
      </c>
      <c r="V261" s="15">
        <v>0.7</v>
      </c>
      <c r="W261" s="15">
        <v>0.59</v>
      </c>
      <c r="X261" s="15">
        <v>0.59</v>
      </c>
      <c r="Y261" s="20" t="s">
        <v>1067</v>
      </c>
    </row>
    <row r="262">
      <c r="A262" s="9">
        <v>260.0</v>
      </c>
      <c r="B262" s="10" t="s">
        <v>1068</v>
      </c>
      <c r="C262" s="11" t="s">
        <v>1069</v>
      </c>
      <c r="D262" s="12" t="s">
        <v>31</v>
      </c>
      <c r="E262" s="13" t="s">
        <v>1070</v>
      </c>
      <c r="F262" s="12">
        <v>25.0</v>
      </c>
      <c r="G262" s="12">
        <v>2000.0</v>
      </c>
      <c r="H262" s="14">
        <v>1.0</v>
      </c>
      <c r="I262" s="21">
        <v>0.0</v>
      </c>
      <c r="J262" s="15">
        <v>17.0</v>
      </c>
      <c r="K262" s="15">
        <v>0.2</v>
      </c>
      <c r="L262" s="22">
        <v>0.0</v>
      </c>
      <c r="M262" s="18">
        <v>5.0</v>
      </c>
      <c r="N262" s="18">
        <v>5.0</v>
      </c>
      <c r="O262" s="19">
        <v>0.0</v>
      </c>
      <c r="P262" s="19">
        <v>0.0</v>
      </c>
      <c r="Q262" s="19">
        <v>0.0</v>
      </c>
      <c r="R262" s="19">
        <v>0.0</v>
      </c>
      <c r="S262" s="19">
        <v>0.0</v>
      </c>
      <c r="T262" s="23">
        <v>0.0</v>
      </c>
      <c r="U262" s="15">
        <v>5.29</v>
      </c>
      <c r="V262" s="15">
        <v>5.29</v>
      </c>
      <c r="W262" s="21">
        <v>0.0</v>
      </c>
      <c r="X262" s="15">
        <v>5.29</v>
      </c>
      <c r="Y262" s="20" t="s">
        <v>1071</v>
      </c>
    </row>
    <row r="263">
      <c r="A263" s="9">
        <v>261.0</v>
      </c>
      <c r="B263" s="10" t="s">
        <v>1072</v>
      </c>
      <c r="C263" s="11" t="s">
        <v>1073</v>
      </c>
      <c r="D263" s="12" t="s">
        <v>345</v>
      </c>
      <c r="E263" s="13" t="s">
        <v>1074</v>
      </c>
      <c r="F263" s="12">
        <v>27.0</v>
      </c>
      <c r="G263" s="12">
        <v>1998.0</v>
      </c>
      <c r="H263" s="14">
        <v>29.0</v>
      </c>
      <c r="I263" s="15">
        <v>21.0</v>
      </c>
      <c r="J263" s="16">
        <v>1901.0</v>
      </c>
      <c r="K263" s="15">
        <v>21.1</v>
      </c>
      <c r="L263" s="17">
        <v>0.09</v>
      </c>
      <c r="M263" s="18">
        <v>0.05</v>
      </c>
      <c r="N263" s="18">
        <v>0.14</v>
      </c>
      <c r="O263" s="18">
        <v>0.09</v>
      </c>
      <c r="P263" s="19">
        <v>0.0</v>
      </c>
      <c r="Q263" s="19">
        <v>0.0</v>
      </c>
      <c r="R263" s="18">
        <v>0.19</v>
      </c>
      <c r="S263" s="19">
        <v>0.0</v>
      </c>
      <c r="T263" s="14">
        <v>0.09</v>
      </c>
      <c r="U263" s="15">
        <v>0.05</v>
      </c>
      <c r="V263" s="15">
        <v>0.14</v>
      </c>
      <c r="W263" s="15">
        <v>0.09</v>
      </c>
      <c r="X263" s="15">
        <v>0.14</v>
      </c>
      <c r="Y263" s="20" t="s">
        <v>1075</v>
      </c>
    </row>
    <row r="264">
      <c r="A264" s="9">
        <v>262.0</v>
      </c>
      <c r="B264" s="10" t="s">
        <v>1076</v>
      </c>
      <c r="C264" s="11" t="s">
        <v>1077</v>
      </c>
      <c r="D264" s="12" t="s">
        <v>98</v>
      </c>
      <c r="E264" s="13" t="s">
        <v>1078</v>
      </c>
      <c r="F264" s="12">
        <v>23.0</v>
      </c>
      <c r="G264" s="12">
        <v>2002.0</v>
      </c>
      <c r="H264" s="14">
        <v>5.0</v>
      </c>
      <c r="I264" s="15">
        <v>3.0</v>
      </c>
      <c r="J264" s="15">
        <v>379.0</v>
      </c>
      <c r="K264" s="15">
        <v>4.2</v>
      </c>
      <c r="L264" s="22">
        <v>0.0</v>
      </c>
      <c r="M264" s="19">
        <v>0.0</v>
      </c>
      <c r="N264" s="19">
        <v>0.0</v>
      </c>
      <c r="O264" s="19">
        <v>0.0</v>
      </c>
      <c r="P264" s="19">
        <v>0.0</v>
      </c>
      <c r="Q264" s="19">
        <v>0.0</v>
      </c>
      <c r="R264" s="19">
        <v>0.0</v>
      </c>
      <c r="S264" s="19">
        <v>0.0</v>
      </c>
      <c r="T264" s="23">
        <v>0.0</v>
      </c>
      <c r="U264" s="21">
        <v>0.0</v>
      </c>
      <c r="V264" s="21">
        <v>0.0</v>
      </c>
      <c r="W264" s="21">
        <v>0.0</v>
      </c>
      <c r="X264" s="21">
        <v>0.0</v>
      </c>
      <c r="Y264" s="20" t="s">
        <v>1079</v>
      </c>
    </row>
    <row r="265">
      <c r="A265" s="9">
        <v>263.0</v>
      </c>
      <c r="B265" s="10" t="s">
        <v>1080</v>
      </c>
      <c r="C265" s="11" t="s">
        <v>1081</v>
      </c>
      <c r="D265" s="12" t="s">
        <v>345</v>
      </c>
      <c r="E265" s="13" t="s">
        <v>1082</v>
      </c>
      <c r="F265" s="12">
        <v>25.0</v>
      </c>
      <c r="G265" s="12">
        <v>1999.0</v>
      </c>
      <c r="H265" s="14">
        <v>37.0</v>
      </c>
      <c r="I265" s="15">
        <v>34.0</v>
      </c>
      <c r="J265" s="16">
        <v>3133.0</v>
      </c>
      <c r="K265" s="15">
        <v>34.8</v>
      </c>
      <c r="L265" s="17">
        <v>0.03</v>
      </c>
      <c r="M265" s="19">
        <v>0.0</v>
      </c>
      <c r="N265" s="18">
        <v>0.03</v>
      </c>
      <c r="O265" s="18">
        <v>0.03</v>
      </c>
      <c r="P265" s="19">
        <v>0.0</v>
      </c>
      <c r="Q265" s="19">
        <v>0.0</v>
      </c>
      <c r="R265" s="18">
        <v>0.17</v>
      </c>
      <c r="S265" s="19">
        <v>0.0</v>
      </c>
      <c r="T265" s="14">
        <v>0.03</v>
      </c>
      <c r="U265" s="21">
        <v>0.0</v>
      </c>
      <c r="V265" s="15">
        <v>0.03</v>
      </c>
      <c r="W265" s="15">
        <v>0.03</v>
      </c>
      <c r="X265" s="15">
        <v>0.03</v>
      </c>
      <c r="Y265" s="20" t="s">
        <v>1083</v>
      </c>
    </row>
    <row r="266">
      <c r="A266" s="9">
        <v>264.0</v>
      </c>
      <c r="B266" s="10" t="s">
        <v>1084</v>
      </c>
      <c r="C266" s="11" t="s">
        <v>1085</v>
      </c>
      <c r="D266" s="12" t="s">
        <v>107</v>
      </c>
      <c r="E266" s="13" t="s">
        <v>1086</v>
      </c>
      <c r="F266" s="12">
        <v>28.0</v>
      </c>
      <c r="G266" s="12">
        <v>1997.0</v>
      </c>
      <c r="H266" s="14">
        <v>1.0</v>
      </c>
      <c r="I266" s="21">
        <v>0.0</v>
      </c>
      <c r="J266" s="15">
        <v>15.0</v>
      </c>
      <c r="K266" s="15">
        <v>0.2</v>
      </c>
      <c r="L266" s="22">
        <v>0.0</v>
      </c>
      <c r="M266" s="19">
        <v>0.0</v>
      </c>
      <c r="N266" s="19">
        <v>0.0</v>
      </c>
      <c r="O266" s="19">
        <v>0.0</v>
      </c>
      <c r="P266" s="19">
        <v>0.0</v>
      </c>
      <c r="Q266" s="19">
        <v>0.0</v>
      </c>
      <c r="R266" s="19">
        <v>0.0</v>
      </c>
      <c r="S266" s="19">
        <v>0.0</v>
      </c>
      <c r="T266" s="23">
        <v>0.0</v>
      </c>
      <c r="U266" s="21">
        <v>0.0</v>
      </c>
      <c r="V266" s="21">
        <v>0.0</v>
      </c>
      <c r="W266" s="21">
        <v>0.0</v>
      </c>
      <c r="X266" s="21">
        <v>0.0</v>
      </c>
      <c r="Y266" s="20" t="s">
        <v>1087</v>
      </c>
    </row>
    <row r="267">
      <c r="A267" s="9">
        <v>265.0</v>
      </c>
      <c r="B267" s="10" t="s">
        <v>1088</v>
      </c>
      <c r="C267" s="11" t="s">
        <v>1089</v>
      </c>
      <c r="D267" s="12" t="s">
        <v>41</v>
      </c>
      <c r="E267" s="13" t="s">
        <v>1090</v>
      </c>
      <c r="F267" s="12">
        <v>23.0</v>
      </c>
      <c r="G267" s="12">
        <v>2002.0</v>
      </c>
      <c r="H267" s="14">
        <v>9.0</v>
      </c>
      <c r="I267" s="21">
        <v>0.0</v>
      </c>
      <c r="J267" s="15">
        <v>96.0</v>
      </c>
      <c r="K267" s="15">
        <v>1.1</v>
      </c>
      <c r="L267" s="22">
        <v>0.0</v>
      </c>
      <c r="M267" s="19">
        <v>0.0</v>
      </c>
      <c r="N267" s="19">
        <v>0.0</v>
      </c>
      <c r="O267" s="19">
        <v>0.0</v>
      </c>
      <c r="P267" s="19">
        <v>0.0</v>
      </c>
      <c r="Q267" s="19">
        <v>0.0</v>
      </c>
      <c r="R267" s="19">
        <v>0.0</v>
      </c>
      <c r="S267" s="19">
        <v>0.0</v>
      </c>
      <c r="T267" s="23">
        <v>0.0</v>
      </c>
      <c r="U267" s="21">
        <v>0.0</v>
      </c>
      <c r="V267" s="21">
        <v>0.0</v>
      </c>
      <c r="W267" s="21">
        <v>0.0</v>
      </c>
      <c r="X267" s="21">
        <v>0.0</v>
      </c>
      <c r="Y267" s="20" t="s">
        <v>1091</v>
      </c>
    </row>
    <row r="268">
      <c r="A268" s="9">
        <v>266.0</v>
      </c>
      <c r="B268" s="10" t="s">
        <v>1092</v>
      </c>
      <c r="C268" s="11" t="s">
        <v>1093</v>
      </c>
      <c r="D268" s="12" t="s">
        <v>31</v>
      </c>
      <c r="E268" s="13" t="s">
        <v>1094</v>
      </c>
      <c r="F268" s="12">
        <v>28.0</v>
      </c>
      <c r="G268" s="12">
        <v>1996.0</v>
      </c>
      <c r="H268" s="14">
        <v>28.0</v>
      </c>
      <c r="I268" s="15">
        <v>22.0</v>
      </c>
      <c r="J268" s="16">
        <v>1902.0</v>
      </c>
      <c r="K268" s="15">
        <v>21.1</v>
      </c>
      <c r="L268" s="22">
        <v>0.0</v>
      </c>
      <c r="M268" s="19">
        <v>0.0</v>
      </c>
      <c r="N268" s="19">
        <v>0.0</v>
      </c>
      <c r="O268" s="19">
        <v>0.0</v>
      </c>
      <c r="P268" s="19">
        <v>0.0</v>
      </c>
      <c r="Q268" s="19">
        <v>0.0</v>
      </c>
      <c r="R268" s="18">
        <v>0.14</v>
      </c>
      <c r="S268" s="19">
        <v>0.0</v>
      </c>
      <c r="T268" s="23">
        <v>0.0</v>
      </c>
      <c r="U268" s="21">
        <v>0.0</v>
      </c>
      <c r="V268" s="21">
        <v>0.0</v>
      </c>
      <c r="W268" s="21">
        <v>0.0</v>
      </c>
      <c r="X268" s="21">
        <v>0.0</v>
      </c>
      <c r="Y268" s="20" t="s">
        <v>1095</v>
      </c>
    </row>
    <row r="269">
      <c r="A269" s="9">
        <v>267.0</v>
      </c>
      <c r="B269" s="10" t="s">
        <v>1096</v>
      </c>
      <c r="C269" s="11" t="s">
        <v>1097</v>
      </c>
      <c r="D269" s="12" t="s">
        <v>31</v>
      </c>
      <c r="E269" s="13" t="s">
        <v>1098</v>
      </c>
      <c r="F269" s="12">
        <v>25.0</v>
      </c>
      <c r="G269" s="12">
        <v>1999.0</v>
      </c>
      <c r="H269" s="14">
        <v>18.0</v>
      </c>
      <c r="I269" s="15">
        <v>17.0</v>
      </c>
      <c r="J269" s="16">
        <v>1411.0</v>
      </c>
      <c r="K269" s="15">
        <v>15.7</v>
      </c>
      <c r="L269" s="17">
        <v>0.06</v>
      </c>
      <c r="M269" s="18">
        <v>0.19</v>
      </c>
      <c r="N269" s="18">
        <v>0.25</v>
      </c>
      <c r="O269" s="18">
        <v>0.06</v>
      </c>
      <c r="P269" s="19">
        <v>0.0</v>
      </c>
      <c r="Q269" s="19">
        <v>0.0</v>
      </c>
      <c r="R269" s="18">
        <v>0.32</v>
      </c>
      <c r="S269" s="19">
        <v>0.0</v>
      </c>
      <c r="T269" s="14">
        <v>0.06</v>
      </c>
      <c r="U269" s="15">
        <v>0.19</v>
      </c>
      <c r="V269" s="15">
        <v>0.26</v>
      </c>
      <c r="W269" s="15">
        <v>0.06</v>
      </c>
      <c r="X269" s="15">
        <v>0.26</v>
      </c>
      <c r="Y269" s="20" t="s">
        <v>1099</v>
      </c>
    </row>
    <row r="270">
      <c r="A270" s="9">
        <v>268.0</v>
      </c>
      <c r="B270" s="10" t="s">
        <v>1100</v>
      </c>
      <c r="C270" s="11" t="s">
        <v>1101</v>
      </c>
      <c r="D270" s="12" t="s">
        <v>31</v>
      </c>
      <c r="E270" s="13" t="s">
        <v>1102</v>
      </c>
      <c r="F270" s="12">
        <v>19.0</v>
      </c>
      <c r="G270" s="12">
        <v>2005.0</v>
      </c>
      <c r="H270" s="14">
        <v>11.0</v>
      </c>
      <c r="I270" s="21">
        <v>0.0</v>
      </c>
      <c r="J270" s="15">
        <v>75.0</v>
      </c>
      <c r="K270" s="15">
        <v>0.8</v>
      </c>
      <c r="L270" s="22">
        <v>0.0</v>
      </c>
      <c r="M270" s="19">
        <v>0.0</v>
      </c>
      <c r="N270" s="19">
        <v>0.0</v>
      </c>
      <c r="O270" s="19">
        <v>0.0</v>
      </c>
      <c r="P270" s="19">
        <v>0.0</v>
      </c>
      <c r="Q270" s="19">
        <v>0.0</v>
      </c>
      <c r="R270" s="18">
        <v>2.5</v>
      </c>
      <c r="S270" s="19">
        <v>0.0</v>
      </c>
      <c r="T270" s="23">
        <v>0.0</v>
      </c>
      <c r="U270" s="21">
        <v>0.0</v>
      </c>
      <c r="V270" s="21">
        <v>0.0</v>
      </c>
      <c r="W270" s="21">
        <v>0.0</v>
      </c>
      <c r="X270" s="21">
        <v>0.0</v>
      </c>
      <c r="Y270" s="20" t="s">
        <v>1103</v>
      </c>
    </row>
    <row r="271">
      <c r="A271" s="9">
        <v>269.0</v>
      </c>
      <c r="B271" s="10" t="s">
        <v>1104</v>
      </c>
      <c r="C271" s="11" t="s">
        <v>1105</v>
      </c>
      <c r="D271" s="12" t="s">
        <v>36</v>
      </c>
      <c r="E271" s="13" t="s">
        <v>1106</v>
      </c>
      <c r="F271" s="12">
        <v>21.0</v>
      </c>
      <c r="G271" s="12">
        <v>2004.0</v>
      </c>
      <c r="H271" s="14">
        <v>37.0</v>
      </c>
      <c r="I271" s="15">
        <v>37.0</v>
      </c>
      <c r="J271" s="16">
        <v>3258.0</v>
      </c>
      <c r="K271" s="15">
        <v>36.2</v>
      </c>
      <c r="L271" s="17">
        <v>0.03</v>
      </c>
      <c r="M271" s="18">
        <v>0.03</v>
      </c>
      <c r="N271" s="18">
        <v>0.06</v>
      </c>
      <c r="O271" s="18">
        <v>0.03</v>
      </c>
      <c r="P271" s="19">
        <v>0.0</v>
      </c>
      <c r="Q271" s="19">
        <v>0.0</v>
      </c>
      <c r="R271" s="18">
        <v>0.22</v>
      </c>
      <c r="S271" s="19">
        <v>0.0</v>
      </c>
      <c r="T271" s="14">
        <v>0.03</v>
      </c>
      <c r="U271" s="15">
        <v>0.03</v>
      </c>
      <c r="V271" s="15">
        <v>0.06</v>
      </c>
      <c r="W271" s="15">
        <v>0.03</v>
      </c>
      <c r="X271" s="15">
        <v>0.06</v>
      </c>
      <c r="Y271" s="20" t="s">
        <v>1107</v>
      </c>
    </row>
    <row r="272">
      <c r="A272" s="9">
        <v>270.0</v>
      </c>
      <c r="B272" s="10" t="s">
        <v>1108</v>
      </c>
      <c r="C272" s="11" t="s">
        <v>1109</v>
      </c>
      <c r="D272" s="12" t="s">
        <v>36</v>
      </c>
      <c r="E272" s="13" t="s">
        <v>1110</v>
      </c>
      <c r="F272" s="12">
        <v>32.0</v>
      </c>
      <c r="G272" s="12">
        <v>1993.0</v>
      </c>
      <c r="H272" s="14">
        <v>33.0</v>
      </c>
      <c r="I272" s="15">
        <v>29.0</v>
      </c>
      <c r="J272" s="16">
        <v>2591.0</v>
      </c>
      <c r="K272" s="15">
        <v>28.8</v>
      </c>
      <c r="L272" s="17">
        <v>0.1</v>
      </c>
      <c r="M272" s="18">
        <v>0.03</v>
      </c>
      <c r="N272" s="18">
        <v>0.14</v>
      </c>
      <c r="O272" s="18">
        <v>0.1</v>
      </c>
      <c r="P272" s="19">
        <v>0.0</v>
      </c>
      <c r="Q272" s="19">
        <v>0.0</v>
      </c>
      <c r="R272" s="18">
        <v>0.03</v>
      </c>
      <c r="S272" s="18">
        <v>0.03</v>
      </c>
      <c r="T272" s="14">
        <v>0.1</v>
      </c>
      <c r="U272" s="15">
        <v>0.03</v>
      </c>
      <c r="V272" s="15">
        <v>0.14</v>
      </c>
      <c r="W272" s="15">
        <v>0.1</v>
      </c>
      <c r="X272" s="15">
        <v>0.14</v>
      </c>
      <c r="Y272" s="20" t="s">
        <v>1111</v>
      </c>
    </row>
    <row r="273">
      <c r="A273" s="9">
        <v>271.0</v>
      </c>
      <c r="B273" s="10" t="s">
        <v>1112</v>
      </c>
      <c r="C273" s="11" t="s">
        <v>1113</v>
      </c>
      <c r="D273" s="12" t="s">
        <v>98</v>
      </c>
      <c r="E273" s="13" t="s">
        <v>1114</v>
      </c>
      <c r="F273" s="12">
        <v>26.0</v>
      </c>
      <c r="G273" s="12">
        <v>1998.0</v>
      </c>
      <c r="H273" s="14">
        <v>37.0</v>
      </c>
      <c r="I273" s="15">
        <v>37.0</v>
      </c>
      <c r="J273" s="16">
        <v>3330.0</v>
      </c>
      <c r="K273" s="15">
        <v>37.0</v>
      </c>
      <c r="L273" s="22">
        <v>0.0</v>
      </c>
      <c r="M273" s="19">
        <v>0.0</v>
      </c>
      <c r="N273" s="19">
        <v>0.0</v>
      </c>
      <c r="O273" s="19">
        <v>0.0</v>
      </c>
      <c r="P273" s="19">
        <v>0.0</v>
      </c>
      <c r="Q273" s="19">
        <v>0.0</v>
      </c>
      <c r="R273" s="18">
        <v>0.03</v>
      </c>
      <c r="S273" s="19">
        <v>0.0</v>
      </c>
      <c r="T273" s="23">
        <v>0.0</v>
      </c>
      <c r="U273" s="21">
        <v>0.0</v>
      </c>
      <c r="V273" s="21">
        <v>0.0</v>
      </c>
      <c r="W273" s="21">
        <v>0.0</v>
      </c>
      <c r="X273" s="21">
        <v>0.0</v>
      </c>
      <c r="Y273" s="20" t="s">
        <v>1115</v>
      </c>
    </row>
    <row r="274">
      <c r="A274" s="9">
        <v>272.0</v>
      </c>
      <c r="B274" s="10" t="s">
        <v>1116</v>
      </c>
      <c r="C274" s="11" t="s">
        <v>1117</v>
      </c>
      <c r="D274" s="12" t="s">
        <v>36</v>
      </c>
      <c r="E274" s="13" t="s">
        <v>1118</v>
      </c>
      <c r="F274" s="12">
        <v>21.0</v>
      </c>
      <c r="G274" s="12">
        <v>2003.0</v>
      </c>
      <c r="H274" s="14">
        <v>34.0</v>
      </c>
      <c r="I274" s="15">
        <v>27.0</v>
      </c>
      <c r="J274" s="16">
        <v>2257.0</v>
      </c>
      <c r="K274" s="15">
        <v>25.1</v>
      </c>
      <c r="L274" s="17">
        <v>0.08</v>
      </c>
      <c r="M274" s="18">
        <v>0.04</v>
      </c>
      <c r="N274" s="18">
        <v>0.12</v>
      </c>
      <c r="O274" s="18">
        <v>0.08</v>
      </c>
      <c r="P274" s="19">
        <v>0.0</v>
      </c>
      <c r="Q274" s="19">
        <v>0.0</v>
      </c>
      <c r="R274" s="18">
        <v>0.16</v>
      </c>
      <c r="S274" s="19">
        <v>0.0</v>
      </c>
      <c r="T274" s="14">
        <v>0.08</v>
      </c>
      <c r="U274" s="15">
        <v>0.04</v>
      </c>
      <c r="V274" s="15">
        <v>0.12</v>
      </c>
      <c r="W274" s="15">
        <v>0.08</v>
      </c>
      <c r="X274" s="15">
        <v>0.12</v>
      </c>
      <c r="Y274" s="20" t="s">
        <v>1119</v>
      </c>
    </row>
    <row r="275">
      <c r="A275" s="9">
        <v>273.0</v>
      </c>
      <c r="B275" s="10" t="s">
        <v>1120</v>
      </c>
      <c r="C275" s="11" t="s">
        <v>1121</v>
      </c>
      <c r="D275" s="12" t="s">
        <v>31</v>
      </c>
      <c r="E275" s="13" t="s">
        <v>1122</v>
      </c>
      <c r="F275" s="12">
        <v>22.0</v>
      </c>
      <c r="G275" s="12">
        <v>2003.0</v>
      </c>
      <c r="H275" s="14">
        <v>26.0</v>
      </c>
      <c r="I275" s="15">
        <v>9.0</v>
      </c>
      <c r="J275" s="16">
        <v>1041.0</v>
      </c>
      <c r="K275" s="15">
        <v>11.6</v>
      </c>
      <c r="L275" s="17">
        <v>0.09</v>
      </c>
      <c r="M275" s="18">
        <v>0.09</v>
      </c>
      <c r="N275" s="18">
        <v>0.17</v>
      </c>
      <c r="O275" s="18">
        <v>0.09</v>
      </c>
      <c r="P275" s="19">
        <v>0.0</v>
      </c>
      <c r="Q275" s="19">
        <v>0.0</v>
      </c>
      <c r="R275" s="18">
        <v>0.09</v>
      </c>
      <c r="S275" s="19">
        <v>0.0</v>
      </c>
      <c r="T275" s="14">
        <v>0.09</v>
      </c>
      <c r="U275" s="15">
        <v>0.09</v>
      </c>
      <c r="V275" s="15">
        <v>0.17</v>
      </c>
      <c r="W275" s="15">
        <v>0.09</v>
      </c>
      <c r="X275" s="15">
        <v>0.17</v>
      </c>
      <c r="Y275" s="20" t="s">
        <v>1123</v>
      </c>
    </row>
    <row r="276">
      <c r="A276" s="9">
        <v>274.0</v>
      </c>
      <c r="B276" s="10" t="s">
        <v>1124</v>
      </c>
      <c r="C276" s="11" t="s">
        <v>1125</v>
      </c>
      <c r="D276" s="12" t="s">
        <v>36</v>
      </c>
      <c r="E276" s="13" t="s">
        <v>1126</v>
      </c>
      <c r="F276" s="12">
        <v>21.0</v>
      </c>
      <c r="G276" s="12">
        <v>2004.0</v>
      </c>
      <c r="H276" s="14">
        <v>21.0</v>
      </c>
      <c r="I276" s="15">
        <v>15.0</v>
      </c>
      <c r="J276" s="16">
        <v>1432.0</v>
      </c>
      <c r="K276" s="15">
        <v>15.9</v>
      </c>
      <c r="L276" s="22">
        <v>0.0</v>
      </c>
      <c r="M276" s="19">
        <v>0.0</v>
      </c>
      <c r="N276" s="19">
        <v>0.0</v>
      </c>
      <c r="O276" s="19">
        <v>0.0</v>
      </c>
      <c r="P276" s="19">
        <v>0.0</v>
      </c>
      <c r="Q276" s="19">
        <v>0.0</v>
      </c>
      <c r="R276" s="18">
        <v>0.13</v>
      </c>
      <c r="S276" s="19">
        <v>0.0</v>
      </c>
      <c r="T276" s="23">
        <v>0.0</v>
      </c>
      <c r="U276" s="21">
        <v>0.0</v>
      </c>
      <c r="V276" s="21">
        <v>0.0</v>
      </c>
      <c r="W276" s="21">
        <v>0.0</v>
      </c>
      <c r="X276" s="21">
        <v>0.0</v>
      </c>
      <c r="Y276" s="20" t="s">
        <v>1127</v>
      </c>
    </row>
    <row r="277">
      <c r="A277" s="9">
        <v>275.0</v>
      </c>
      <c r="B277" s="10" t="s">
        <v>1128</v>
      </c>
      <c r="C277" s="11" t="s">
        <v>1129</v>
      </c>
      <c r="D277" s="12" t="s">
        <v>36</v>
      </c>
      <c r="E277" s="13" t="s">
        <v>1130</v>
      </c>
      <c r="F277" s="12">
        <v>28.0</v>
      </c>
      <c r="G277" s="12">
        <v>1997.0</v>
      </c>
      <c r="H277" s="14">
        <v>21.0</v>
      </c>
      <c r="I277" s="15">
        <v>17.0</v>
      </c>
      <c r="J277" s="16">
        <v>1561.0</v>
      </c>
      <c r="K277" s="15">
        <v>17.3</v>
      </c>
      <c r="L277" s="22">
        <v>0.0</v>
      </c>
      <c r="M277" s="19">
        <v>0.0</v>
      </c>
      <c r="N277" s="19">
        <v>0.0</v>
      </c>
      <c r="O277" s="19">
        <v>0.0</v>
      </c>
      <c r="P277" s="19">
        <v>0.0</v>
      </c>
      <c r="Q277" s="19">
        <v>0.0</v>
      </c>
      <c r="R277" s="18">
        <v>0.23</v>
      </c>
      <c r="S277" s="19">
        <v>0.0</v>
      </c>
      <c r="T277" s="23">
        <v>0.0</v>
      </c>
      <c r="U277" s="21">
        <v>0.0</v>
      </c>
      <c r="V277" s="21">
        <v>0.0</v>
      </c>
      <c r="W277" s="21">
        <v>0.0</v>
      </c>
      <c r="X277" s="21">
        <v>0.0</v>
      </c>
      <c r="Y277" s="20" t="s">
        <v>1131</v>
      </c>
    </row>
    <row r="278">
      <c r="A278" s="9">
        <v>276.0</v>
      </c>
      <c r="B278" s="10" t="s">
        <v>1132</v>
      </c>
      <c r="C278" s="11" t="s">
        <v>1133</v>
      </c>
      <c r="D278" s="12" t="s">
        <v>31</v>
      </c>
      <c r="E278" s="13" t="s">
        <v>1134</v>
      </c>
      <c r="F278" s="12">
        <v>18.0</v>
      </c>
      <c r="G278" s="12">
        <v>2007.0</v>
      </c>
      <c r="H278" s="14">
        <v>32.0</v>
      </c>
      <c r="I278" s="15">
        <v>15.0</v>
      </c>
      <c r="J278" s="16">
        <v>1308.0</v>
      </c>
      <c r="K278" s="15">
        <v>14.5</v>
      </c>
      <c r="L278" s="17">
        <v>0.07</v>
      </c>
      <c r="M278" s="18">
        <v>0.14</v>
      </c>
      <c r="N278" s="18">
        <v>0.21</v>
      </c>
      <c r="O278" s="18">
        <v>0.07</v>
      </c>
      <c r="P278" s="19">
        <v>0.0</v>
      </c>
      <c r="Q278" s="19">
        <v>0.0</v>
      </c>
      <c r="R278" s="18">
        <v>0.28</v>
      </c>
      <c r="S278" s="19">
        <v>0.0</v>
      </c>
      <c r="T278" s="14">
        <v>0.07</v>
      </c>
      <c r="U278" s="15">
        <v>0.14</v>
      </c>
      <c r="V278" s="15">
        <v>0.21</v>
      </c>
      <c r="W278" s="15">
        <v>0.07</v>
      </c>
      <c r="X278" s="15">
        <v>0.21</v>
      </c>
      <c r="Y278" s="20" t="s">
        <v>1135</v>
      </c>
    </row>
    <row r="279">
      <c r="A279" s="9">
        <v>277.0</v>
      </c>
      <c r="B279" s="10" t="s">
        <v>1136</v>
      </c>
      <c r="C279" s="11" t="s">
        <v>1137</v>
      </c>
      <c r="D279" s="12" t="s">
        <v>98</v>
      </c>
      <c r="E279" s="13" t="s">
        <v>1138</v>
      </c>
      <c r="F279" s="12">
        <v>22.0</v>
      </c>
      <c r="G279" s="12">
        <v>2003.0</v>
      </c>
      <c r="H279" s="14">
        <v>7.0</v>
      </c>
      <c r="I279" s="15">
        <v>7.0</v>
      </c>
      <c r="J279" s="15">
        <v>630.0</v>
      </c>
      <c r="K279" s="15">
        <v>7.0</v>
      </c>
      <c r="L279" s="22">
        <v>0.0</v>
      </c>
      <c r="M279" s="19">
        <v>0.0</v>
      </c>
      <c r="N279" s="19">
        <v>0.0</v>
      </c>
      <c r="O279" s="19">
        <v>0.0</v>
      </c>
      <c r="P279" s="19">
        <v>0.0</v>
      </c>
      <c r="Q279" s="19">
        <v>0.0</v>
      </c>
      <c r="R279" s="18">
        <v>0.14</v>
      </c>
      <c r="S279" s="19">
        <v>0.0</v>
      </c>
      <c r="T279" s="23">
        <v>0.0</v>
      </c>
      <c r="U279" s="21">
        <v>0.0</v>
      </c>
      <c r="V279" s="21">
        <v>0.0</v>
      </c>
      <c r="W279" s="21">
        <v>0.0</v>
      </c>
      <c r="X279" s="21">
        <v>0.0</v>
      </c>
      <c r="Y279" s="20" t="s">
        <v>1139</v>
      </c>
    </row>
    <row r="280">
      <c r="A280" s="9">
        <v>278.0</v>
      </c>
      <c r="B280" s="10" t="s">
        <v>1140</v>
      </c>
      <c r="C280" s="11" t="s">
        <v>1141</v>
      </c>
      <c r="D280" s="12" t="s">
        <v>31</v>
      </c>
      <c r="E280" s="13" t="s">
        <v>1142</v>
      </c>
      <c r="F280" s="12">
        <v>26.0</v>
      </c>
      <c r="G280" s="12">
        <v>1999.0</v>
      </c>
      <c r="H280" s="14">
        <v>20.0</v>
      </c>
      <c r="I280" s="15">
        <v>10.0</v>
      </c>
      <c r="J280" s="15">
        <v>952.0</v>
      </c>
      <c r="K280" s="15">
        <v>10.6</v>
      </c>
      <c r="L280" s="17">
        <v>0.19</v>
      </c>
      <c r="M280" s="19">
        <v>0.0</v>
      </c>
      <c r="N280" s="18">
        <v>0.19</v>
      </c>
      <c r="O280" s="18">
        <v>0.19</v>
      </c>
      <c r="P280" s="19">
        <v>0.0</v>
      </c>
      <c r="Q280" s="19">
        <v>0.0</v>
      </c>
      <c r="R280" s="18">
        <v>0.47</v>
      </c>
      <c r="S280" s="19">
        <v>0.0</v>
      </c>
      <c r="T280" s="14">
        <v>0.19</v>
      </c>
      <c r="U280" s="21">
        <v>0.0</v>
      </c>
      <c r="V280" s="15">
        <v>0.19</v>
      </c>
      <c r="W280" s="15">
        <v>0.19</v>
      </c>
      <c r="X280" s="15">
        <v>0.19</v>
      </c>
      <c r="Y280" s="20" t="s">
        <v>1143</v>
      </c>
    </row>
    <row r="281">
      <c r="A281" s="9">
        <v>279.0</v>
      </c>
      <c r="B281" s="10" t="s">
        <v>1144</v>
      </c>
      <c r="C281" s="11" t="s">
        <v>1145</v>
      </c>
      <c r="D281" s="12" t="s">
        <v>31</v>
      </c>
      <c r="E281" s="13" t="s">
        <v>1146</v>
      </c>
      <c r="F281" s="12">
        <v>19.0</v>
      </c>
      <c r="G281" s="12">
        <v>2005.0</v>
      </c>
      <c r="H281" s="14">
        <v>1.0</v>
      </c>
      <c r="I281" s="21">
        <v>0.0</v>
      </c>
      <c r="J281" s="15">
        <v>1.0</v>
      </c>
      <c r="K281" s="21">
        <v>0.0</v>
      </c>
      <c r="L281" s="23">
        <v>0.0</v>
      </c>
      <c r="M281" s="21">
        <v>0.0</v>
      </c>
      <c r="N281" s="21">
        <v>0.0</v>
      </c>
      <c r="O281" s="21">
        <v>0.0</v>
      </c>
      <c r="P281" s="21">
        <v>0.0</v>
      </c>
      <c r="Q281" s="21">
        <v>0.0</v>
      </c>
      <c r="R281" s="21">
        <v>0.0</v>
      </c>
      <c r="S281" s="21">
        <v>0.0</v>
      </c>
      <c r="T281" s="23">
        <v>0.0</v>
      </c>
      <c r="U281" s="21">
        <v>0.0</v>
      </c>
      <c r="V281" s="21">
        <v>0.0</v>
      </c>
      <c r="W281" s="21">
        <v>0.0</v>
      </c>
      <c r="X281" s="21">
        <v>0.0</v>
      </c>
      <c r="Y281" s="20" t="s">
        <v>1147</v>
      </c>
    </row>
    <row r="282">
      <c r="A282" s="9">
        <v>280.0</v>
      </c>
      <c r="B282" s="10" t="s">
        <v>1148</v>
      </c>
      <c r="C282" s="11" t="s">
        <v>1149</v>
      </c>
      <c r="D282" s="12" t="s">
        <v>107</v>
      </c>
      <c r="E282" s="13" t="s">
        <v>1150</v>
      </c>
      <c r="F282" s="12">
        <v>26.0</v>
      </c>
      <c r="G282" s="12">
        <v>1998.0</v>
      </c>
      <c r="H282" s="14">
        <v>30.0</v>
      </c>
      <c r="I282" s="15">
        <v>21.0</v>
      </c>
      <c r="J282" s="16">
        <v>1664.0</v>
      </c>
      <c r="K282" s="15">
        <v>18.5</v>
      </c>
      <c r="L282" s="17">
        <v>0.05</v>
      </c>
      <c r="M282" s="18">
        <v>0.05</v>
      </c>
      <c r="N282" s="18">
        <v>0.11</v>
      </c>
      <c r="O282" s="18">
        <v>0.05</v>
      </c>
      <c r="P282" s="19">
        <v>0.0</v>
      </c>
      <c r="Q282" s="19">
        <v>0.0</v>
      </c>
      <c r="R282" s="18">
        <v>0.16</v>
      </c>
      <c r="S282" s="19">
        <v>0.0</v>
      </c>
      <c r="T282" s="14">
        <v>0.05</v>
      </c>
      <c r="U282" s="15">
        <v>0.05</v>
      </c>
      <c r="V282" s="15">
        <v>0.11</v>
      </c>
      <c r="W282" s="15">
        <v>0.05</v>
      </c>
      <c r="X282" s="15">
        <v>0.11</v>
      </c>
      <c r="Y282" s="20" t="s">
        <v>1151</v>
      </c>
    </row>
    <row r="283">
      <c r="A283" s="9">
        <v>281.0</v>
      </c>
      <c r="B283" s="10" t="s">
        <v>1152</v>
      </c>
      <c r="C283" s="11" t="s">
        <v>1153</v>
      </c>
      <c r="D283" s="12" t="s">
        <v>36</v>
      </c>
      <c r="E283" s="13" t="s">
        <v>1154</v>
      </c>
      <c r="F283" s="12">
        <v>26.0</v>
      </c>
      <c r="G283" s="12">
        <v>1999.0</v>
      </c>
      <c r="H283" s="14">
        <v>36.0</v>
      </c>
      <c r="I283" s="15">
        <v>36.0</v>
      </c>
      <c r="J283" s="16">
        <v>3090.0</v>
      </c>
      <c r="K283" s="15">
        <v>34.3</v>
      </c>
      <c r="L283" s="17">
        <v>0.03</v>
      </c>
      <c r="M283" s="19">
        <v>0.0</v>
      </c>
      <c r="N283" s="18">
        <v>0.03</v>
      </c>
      <c r="O283" s="18">
        <v>0.03</v>
      </c>
      <c r="P283" s="19">
        <v>0.0</v>
      </c>
      <c r="Q283" s="19">
        <v>0.0</v>
      </c>
      <c r="R283" s="18">
        <v>0.2</v>
      </c>
      <c r="S283" s="19">
        <v>0.0</v>
      </c>
      <c r="T283" s="14">
        <v>0.03</v>
      </c>
      <c r="U283" s="21">
        <v>0.0</v>
      </c>
      <c r="V283" s="15">
        <v>0.03</v>
      </c>
      <c r="W283" s="15">
        <v>0.03</v>
      </c>
      <c r="X283" s="15">
        <v>0.03</v>
      </c>
      <c r="Y283" s="20" t="s">
        <v>1155</v>
      </c>
    </row>
    <row r="284">
      <c r="A284" s="9">
        <v>282.0</v>
      </c>
      <c r="B284" s="10" t="s">
        <v>1156</v>
      </c>
      <c r="C284" s="11" t="s">
        <v>1157</v>
      </c>
      <c r="D284" s="12" t="s">
        <v>36</v>
      </c>
      <c r="E284" s="13" t="s">
        <v>1158</v>
      </c>
      <c r="F284" s="12">
        <v>27.0</v>
      </c>
      <c r="G284" s="12">
        <v>1997.0</v>
      </c>
      <c r="H284" s="14">
        <v>34.0</v>
      </c>
      <c r="I284" s="15">
        <v>34.0</v>
      </c>
      <c r="J284" s="16">
        <v>3035.0</v>
      </c>
      <c r="K284" s="15">
        <v>33.7</v>
      </c>
      <c r="L284" s="22">
        <v>0.0</v>
      </c>
      <c r="M284" s="19">
        <v>0.0</v>
      </c>
      <c r="N284" s="19">
        <v>0.0</v>
      </c>
      <c r="O284" s="19">
        <v>0.0</v>
      </c>
      <c r="P284" s="19">
        <v>0.0</v>
      </c>
      <c r="Q284" s="19">
        <v>0.0</v>
      </c>
      <c r="R284" s="19">
        <v>0.0</v>
      </c>
      <c r="S284" s="18">
        <v>0.03</v>
      </c>
      <c r="T284" s="23">
        <v>0.0</v>
      </c>
      <c r="U284" s="21">
        <v>0.0</v>
      </c>
      <c r="V284" s="21">
        <v>0.0</v>
      </c>
      <c r="W284" s="21">
        <v>0.0</v>
      </c>
      <c r="X284" s="21">
        <v>0.0</v>
      </c>
      <c r="Y284" s="20" t="s">
        <v>1159</v>
      </c>
    </row>
    <row r="285">
      <c r="A285" s="9">
        <v>283.0</v>
      </c>
      <c r="B285" s="10" t="s">
        <v>1160</v>
      </c>
      <c r="C285" s="11" t="s">
        <v>1161</v>
      </c>
      <c r="D285" s="12" t="s">
        <v>41</v>
      </c>
      <c r="E285" s="13" t="s">
        <v>1162</v>
      </c>
      <c r="F285" s="12">
        <v>18.0</v>
      </c>
      <c r="G285" s="12">
        <v>2007.0</v>
      </c>
      <c r="H285" s="14">
        <v>21.0</v>
      </c>
      <c r="I285" s="15">
        <v>2.0</v>
      </c>
      <c r="J285" s="15">
        <v>369.0</v>
      </c>
      <c r="K285" s="15">
        <v>4.1</v>
      </c>
      <c r="L285" s="17">
        <v>0.49</v>
      </c>
      <c r="M285" s="18">
        <v>0.24</v>
      </c>
      <c r="N285" s="18">
        <v>0.73</v>
      </c>
      <c r="O285" s="18">
        <v>0.49</v>
      </c>
      <c r="P285" s="19">
        <v>0.0</v>
      </c>
      <c r="Q285" s="19">
        <v>0.0</v>
      </c>
      <c r="R285" s="18">
        <v>0.49</v>
      </c>
      <c r="S285" s="19">
        <v>0.0</v>
      </c>
      <c r="T285" s="14">
        <v>0.49</v>
      </c>
      <c r="U285" s="15">
        <v>0.24</v>
      </c>
      <c r="V285" s="15">
        <v>0.73</v>
      </c>
      <c r="W285" s="15">
        <v>0.49</v>
      </c>
      <c r="X285" s="15">
        <v>0.73</v>
      </c>
      <c r="Y285" s="20" t="s">
        <v>1163</v>
      </c>
    </row>
    <row r="286">
      <c r="A286" s="9">
        <v>284.0</v>
      </c>
      <c r="B286" s="10" t="s">
        <v>1164</v>
      </c>
      <c r="C286" s="11" t="s">
        <v>1165</v>
      </c>
      <c r="D286" s="12" t="s">
        <v>31</v>
      </c>
      <c r="E286" s="13" t="s">
        <v>1166</v>
      </c>
      <c r="F286" s="12">
        <v>31.0</v>
      </c>
      <c r="G286" s="12">
        <v>1994.0</v>
      </c>
      <c r="H286" s="14">
        <v>6.0</v>
      </c>
      <c r="I286" s="15">
        <v>1.0</v>
      </c>
      <c r="J286" s="15">
        <v>130.0</v>
      </c>
      <c r="K286" s="15">
        <v>1.4</v>
      </c>
      <c r="L286" s="22">
        <v>0.0</v>
      </c>
      <c r="M286" s="18">
        <v>0.71</v>
      </c>
      <c r="N286" s="18">
        <v>0.71</v>
      </c>
      <c r="O286" s="19">
        <v>0.0</v>
      </c>
      <c r="P286" s="19">
        <v>0.0</v>
      </c>
      <c r="Q286" s="19">
        <v>0.0</v>
      </c>
      <c r="R286" s="19">
        <v>0.0</v>
      </c>
      <c r="S286" s="19">
        <v>0.0</v>
      </c>
      <c r="T286" s="23">
        <v>0.0</v>
      </c>
      <c r="U286" s="15">
        <v>0.69</v>
      </c>
      <c r="V286" s="15">
        <v>0.69</v>
      </c>
      <c r="W286" s="21">
        <v>0.0</v>
      </c>
      <c r="X286" s="15">
        <v>0.69</v>
      </c>
      <c r="Y286" s="20" t="s">
        <v>1167</v>
      </c>
    </row>
    <row r="287">
      <c r="A287" s="9">
        <v>285.0</v>
      </c>
      <c r="B287" s="10" t="s">
        <v>1168</v>
      </c>
      <c r="C287" s="11" t="s">
        <v>1169</v>
      </c>
      <c r="D287" s="12" t="s">
        <v>36</v>
      </c>
      <c r="E287" s="13" t="s">
        <v>1170</v>
      </c>
      <c r="F287" s="12">
        <v>30.0</v>
      </c>
      <c r="G287" s="12">
        <v>1994.0</v>
      </c>
      <c r="H287" s="14">
        <v>1.0</v>
      </c>
      <c r="I287" s="15">
        <v>1.0</v>
      </c>
      <c r="J287" s="15">
        <v>45.0</v>
      </c>
      <c r="K287" s="15">
        <v>0.5</v>
      </c>
      <c r="L287" s="22">
        <v>0.0</v>
      </c>
      <c r="M287" s="19">
        <v>0.0</v>
      </c>
      <c r="N287" s="19">
        <v>0.0</v>
      </c>
      <c r="O287" s="19">
        <v>0.0</v>
      </c>
      <c r="P287" s="19">
        <v>0.0</v>
      </c>
      <c r="Q287" s="19">
        <v>0.0</v>
      </c>
      <c r="R287" s="19">
        <v>0.0</v>
      </c>
      <c r="S287" s="19">
        <v>0.0</v>
      </c>
      <c r="T287" s="23">
        <v>0.0</v>
      </c>
      <c r="U287" s="21">
        <v>0.0</v>
      </c>
      <c r="V287" s="21">
        <v>0.0</v>
      </c>
      <c r="W287" s="21">
        <v>0.0</v>
      </c>
      <c r="X287" s="21">
        <v>0.0</v>
      </c>
      <c r="Y287" s="20" t="s">
        <v>1171</v>
      </c>
    </row>
    <row r="288">
      <c r="A288" s="9">
        <v>286.0</v>
      </c>
      <c r="B288" s="10" t="s">
        <v>1172</v>
      </c>
      <c r="C288" s="11" t="s">
        <v>1173</v>
      </c>
      <c r="D288" s="12" t="s">
        <v>345</v>
      </c>
      <c r="E288" s="13" t="s">
        <v>1174</v>
      </c>
      <c r="F288" s="12">
        <v>26.0</v>
      </c>
      <c r="G288" s="12">
        <v>1999.0</v>
      </c>
      <c r="H288" s="14">
        <v>28.0</v>
      </c>
      <c r="I288" s="15">
        <v>27.0</v>
      </c>
      <c r="J288" s="16">
        <v>2356.0</v>
      </c>
      <c r="K288" s="15">
        <v>26.2</v>
      </c>
      <c r="L288" s="17">
        <v>0.08</v>
      </c>
      <c r="M288" s="18">
        <v>0.04</v>
      </c>
      <c r="N288" s="18">
        <v>0.11</v>
      </c>
      <c r="O288" s="18">
        <v>0.08</v>
      </c>
      <c r="P288" s="19">
        <v>0.0</v>
      </c>
      <c r="Q288" s="19">
        <v>0.0</v>
      </c>
      <c r="R288" s="18">
        <v>0.19</v>
      </c>
      <c r="S288" s="18">
        <v>0.04</v>
      </c>
      <c r="T288" s="14">
        <v>0.08</v>
      </c>
      <c r="U288" s="15">
        <v>0.04</v>
      </c>
      <c r="V288" s="15">
        <v>0.11</v>
      </c>
      <c r="W288" s="15">
        <v>0.08</v>
      </c>
      <c r="X288" s="15">
        <v>0.11</v>
      </c>
      <c r="Y288" s="20" t="s">
        <v>1175</v>
      </c>
    </row>
    <row r="289">
      <c r="A289" s="9">
        <v>287.0</v>
      </c>
      <c r="B289" s="10" t="s">
        <v>1176</v>
      </c>
      <c r="C289" s="11" t="s">
        <v>1177</v>
      </c>
      <c r="D289" s="12" t="s">
        <v>26</v>
      </c>
      <c r="E289" s="13" t="s">
        <v>1178</v>
      </c>
      <c r="F289" s="12">
        <v>24.0</v>
      </c>
      <c r="G289" s="12">
        <v>2000.0</v>
      </c>
      <c r="H289" s="14">
        <v>19.0</v>
      </c>
      <c r="I289" s="15">
        <v>19.0</v>
      </c>
      <c r="J289" s="16">
        <v>1535.0</v>
      </c>
      <c r="K289" s="15">
        <v>17.1</v>
      </c>
      <c r="L289" s="17">
        <v>0.12</v>
      </c>
      <c r="M289" s="18">
        <v>0.29</v>
      </c>
      <c r="N289" s="18">
        <v>0.41</v>
      </c>
      <c r="O289" s="18">
        <v>0.12</v>
      </c>
      <c r="P289" s="19">
        <v>0.0</v>
      </c>
      <c r="Q289" s="19">
        <v>0.0</v>
      </c>
      <c r="R289" s="18">
        <v>0.18</v>
      </c>
      <c r="S289" s="19">
        <v>0.0</v>
      </c>
      <c r="T289" s="14">
        <v>0.12</v>
      </c>
      <c r="U289" s="15">
        <v>0.29</v>
      </c>
      <c r="V289" s="15">
        <v>0.41</v>
      </c>
      <c r="W289" s="15">
        <v>0.12</v>
      </c>
      <c r="X289" s="15">
        <v>0.41</v>
      </c>
      <c r="Y289" s="20" t="s">
        <v>1179</v>
      </c>
    </row>
    <row r="290">
      <c r="A290" s="9">
        <v>288.0</v>
      </c>
      <c r="B290" s="10" t="s">
        <v>1180</v>
      </c>
      <c r="C290" s="11" t="s">
        <v>1181</v>
      </c>
      <c r="D290" s="12" t="s">
        <v>41</v>
      </c>
      <c r="E290" s="13" t="s">
        <v>1182</v>
      </c>
      <c r="F290" s="12">
        <v>18.0</v>
      </c>
      <c r="G290" s="12">
        <v>2007.0</v>
      </c>
      <c r="H290" s="14">
        <v>7.0</v>
      </c>
      <c r="I290" s="21">
        <v>0.0</v>
      </c>
      <c r="J290" s="15">
        <v>55.0</v>
      </c>
      <c r="K290" s="15">
        <v>0.6</v>
      </c>
      <c r="L290" s="22">
        <v>0.0</v>
      </c>
      <c r="M290" s="19">
        <v>0.0</v>
      </c>
      <c r="N290" s="19">
        <v>0.0</v>
      </c>
      <c r="O290" s="19">
        <v>0.0</v>
      </c>
      <c r="P290" s="19">
        <v>0.0</v>
      </c>
      <c r="Q290" s="19">
        <v>0.0</v>
      </c>
      <c r="R290" s="18">
        <v>1.67</v>
      </c>
      <c r="S290" s="19">
        <v>0.0</v>
      </c>
      <c r="T290" s="23">
        <v>0.0</v>
      </c>
      <c r="U290" s="21">
        <v>0.0</v>
      </c>
      <c r="V290" s="21">
        <v>0.0</v>
      </c>
      <c r="W290" s="21">
        <v>0.0</v>
      </c>
      <c r="X290" s="21">
        <v>0.0</v>
      </c>
      <c r="Y290" s="20" t="s">
        <v>1183</v>
      </c>
    </row>
    <row r="291">
      <c r="A291" s="9">
        <v>289.0</v>
      </c>
      <c r="B291" s="10" t="s">
        <v>1184</v>
      </c>
      <c r="C291" s="11" t="s">
        <v>1185</v>
      </c>
      <c r="D291" s="12" t="s">
        <v>41</v>
      </c>
      <c r="E291" s="13" t="s">
        <v>1186</v>
      </c>
      <c r="F291" s="12">
        <v>18.0</v>
      </c>
      <c r="G291" s="12">
        <v>2007.0</v>
      </c>
      <c r="H291" s="14">
        <v>3.0</v>
      </c>
      <c r="I291" s="21">
        <v>0.0</v>
      </c>
      <c r="J291" s="15">
        <v>43.0</v>
      </c>
      <c r="K291" s="15">
        <v>0.5</v>
      </c>
      <c r="L291" s="22">
        <v>0.0</v>
      </c>
      <c r="M291" s="19">
        <v>0.0</v>
      </c>
      <c r="N291" s="19">
        <v>0.0</v>
      </c>
      <c r="O291" s="19">
        <v>0.0</v>
      </c>
      <c r="P291" s="19">
        <v>0.0</v>
      </c>
      <c r="Q291" s="19">
        <v>0.0</v>
      </c>
      <c r="R291" s="19">
        <v>0.0</v>
      </c>
      <c r="S291" s="19">
        <v>0.0</v>
      </c>
      <c r="T291" s="23">
        <v>0.0</v>
      </c>
      <c r="U291" s="21">
        <v>0.0</v>
      </c>
      <c r="V291" s="21">
        <v>0.0</v>
      </c>
      <c r="W291" s="21">
        <v>0.0</v>
      </c>
      <c r="X291" s="21">
        <v>0.0</v>
      </c>
      <c r="Y291" s="20" t="s">
        <v>1187</v>
      </c>
    </row>
    <row r="292">
      <c r="A292" s="9">
        <v>290.0</v>
      </c>
      <c r="B292" s="10" t="s">
        <v>1188</v>
      </c>
      <c r="C292" s="11" t="s">
        <v>1189</v>
      </c>
      <c r="D292" s="12" t="s">
        <v>36</v>
      </c>
      <c r="E292" s="13" t="s">
        <v>1190</v>
      </c>
      <c r="F292" s="12">
        <v>25.0</v>
      </c>
      <c r="G292" s="12">
        <v>2000.0</v>
      </c>
      <c r="H292" s="14">
        <v>35.0</v>
      </c>
      <c r="I292" s="15">
        <v>35.0</v>
      </c>
      <c r="J292" s="16">
        <v>3085.0</v>
      </c>
      <c r="K292" s="15">
        <v>34.3</v>
      </c>
      <c r="L292" s="17">
        <v>0.03</v>
      </c>
      <c r="M292" s="18">
        <v>0.06</v>
      </c>
      <c r="N292" s="18">
        <v>0.09</v>
      </c>
      <c r="O292" s="18">
        <v>0.03</v>
      </c>
      <c r="P292" s="19">
        <v>0.0</v>
      </c>
      <c r="Q292" s="19">
        <v>0.0</v>
      </c>
      <c r="R292" s="18">
        <v>0.12</v>
      </c>
      <c r="S292" s="18">
        <v>0.03</v>
      </c>
      <c r="T292" s="14">
        <v>0.03</v>
      </c>
      <c r="U292" s="15">
        <v>0.06</v>
      </c>
      <c r="V292" s="15">
        <v>0.09</v>
      </c>
      <c r="W292" s="15">
        <v>0.03</v>
      </c>
      <c r="X292" s="15">
        <v>0.09</v>
      </c>
      <c r="Y292" s="20" t="s">
        <v>1191</v>
      </c>
    </row>
    <row r="293">
      <c r="A293" s="9">
        <v>291.0</v>
      </c>
      <c r="B293" s="10" t="s">
        <v>1192</v>
      </c>
      <c r="C293" s="11" t="s">
        <v>1193</v>
      </c>
      <c r="D293" s="12" t="s">
        <v>98</v>
      </c>
      <c r="E293" s="13" t="s">
        <v>1194</v>
      </c>
      <c r="F293" s="12">
        <v>23.0</v>
      </c>
      <c r="G293" s="12">
        <v>2002.0</v>
      </c>
      <c r="H293" s="14">
        <v>32.0</v>
      </c>
      <c r="I293" s="15">
        <v>32.0</v>
      </c>
      <c r="J293" s="16">
        <v>2880.0</v>
      </c>
      <c r="K293" s="15">
        <v>32.0</v>
      </c>
      <c r="L293" s="22">
        <v>0.0</v>
      </c>
      <c r="M293" s="19">
        <v>0.0</v>
      </c>
      <c r="N293" s="19">
        <v>0.0</v>
      </c>
      <c r="O293" s="19">
        <v>0.0</v>
      </c>
      <c r="P293" s="19">
        <v>0.0</v>
      </c>
      <c r="Q293" s="19">
        <v>0.0</v>
      </c>
      <c r="R293" s="19">
        <v>0.0</v>
      </c>
      <c r="S293" s="19">
        <v>0.0</v>
      </c>
      <c r="T293" s="23">
        <v>0.0</v>
      </c>
      <c r="U293" s="21">
        <v>0.0</v>
      </c>
      <c r="V293" s="21">
        <v>0.0</v>
      </c>
      <c r="W293" s="21">
        <v>0.0</v>
      </c>
      <c r="X293" s="21">
        <v>0.0</v>
      </c>
      <c r="Y293" s="20" t="s">
        <v>1195</v>
      </c>
    </row>
    <row r="294">
      <c r="A294" s="9">
        <v>292.0</v>
      </c>
      <c r="B294" s="10" t="s">
        <v>1196</v>
      </c>
      <c r="C294" s="11" t="s">
        <v>1197</v>
      </c>
      <c r="D294" s="12" t="s">
        <v>36</v>
      </c>
      <c r="E294" s="13" t="s">
        <v>1198</v>
      </c>
      <c r="F294" s="12">
        <v>31.0</v>
      </c>
      <c r="G294" s="12">
        <v>1993.0</v>
      </c>
      <c r="H294" s="14">
        <v>2.0</v>
      </c>
      <c r="I294" s="21">
        <v>0.0</v>
      </c>
      <c r="J294" s="15">
        <v>21.0</v>
      </c>
      <c r="K294" s="15">
        <v>0.2</v>
      </c>
      <c r="L294" s="22">
        <v>0.0</v>
      </c>
      <c r="M294" s="19">
        <v>0.0</v>
      </c>
      <c r="N294" s="19">
        <v>0.0</v>
      </c>
      <c r="O294" s="19">
        <v>0.0</v>
      </c>
      <c r="P294" s="19">
        <v>0.0</v>
      </c>
      <c r="Q294" s="19">
        <v>0.0</v>
      </c>
      <c r="R294" s="19">
        <v>0.0</v>
      </c>
      <c r="S294" s="19">
        <v>0.0</v>
      </c>
      <c r="T294" s="23">
        <v>0.0</v>
      </c>
      <c r="U294" s="21">
        <v>0.0</v>
      </c>
      <c r="V294" s="21">
        <v>0.0</v>
      </c>
      <c r="W294" s="21">
        <v>0.0</v>
      </c>
      <c r="X294" s="21">
        <v>0.0</v>
      </c>
      <c r="Y294" s="20" t="s">
        <v>1199</v>
      </c>
    </row>
    <row r="295">
      <c r="A295" s="9">
        <v>293.0</v>
      </c>
      <c r="B295" s="10" t="s">
        <v>1200</v>
      </c>
      <c r="C295" s="11" t="s">
        <v>1201</v>
      </c>
      <c r="D295" s="12" t="s">
        <v>345</v>
      </c>
      <c r="E295" s="13" t="s">
        <v>1202</v>
      </c>
      <c r="F295" s="12">
        <v>30.0</v>
      </c>
      <c r="G295" s="12">
        <v>1995.0</v>
      </c>
      <c r="H295" s="14">
        <v>33.0</v>
      </c>
      <c r="I295" s="15">
        <v>18.0</v>
      </c>
      <c r="J295" s="16">
        <v>1764.0</v>
      </c>
      <c r="K295" s="15">
        <v>19.6</v>
      </c>
      <c r="L295" s="17">
        <v>0.05</v>
      </c>
      <c r="M295" s="19">
        <v>0.0</v>
      </c>
      <c r="N295" s="18">
        <v>0.05</v>
      </c>
      <c r="O295" s="18">
        <v>0.05</v>
      </c>
      <c r="P295" s="19">
        <v>0.0</v>
      </c>
      <c r="Q295" s="19">
        <v>0.0</v>
      </c>
      <c r="R295" s="18">
        <v>0.36</v>
      </c>
      <c r="S295" s="18">
        <v>0.05</v>
      </c>
      <c r="T295" s="14">
        <v>0.05</v>
      </c>
      <c r="U295" s="21">
        <v>0.0</v>
      </c>
      <c r="V295" s="15">
        <v>0.05</v>
      </c>
      <c r="W295" s="15">
        <v>0.05</v>
      </c>
      <c r="X295" s="15">
        <v>0.05</v>
      </c>
      <c r="Y295" s="20" t="s">
        <v>1203</v>
      </c>
    </row>
    <row r="296">
      <c r="A296" s="9">
        <v>294.0</v>
      </c>
      <c r="B296" s="10" t="s">
        <v>1204</v>
      </c>
      <c r="C296" s="11" t="s">
        <v>1205</v>
      </c>
      <c r="D296" s="12" t="s">
        <v>31</v>
      </c>
      <c r="E296" s="13" t="s">
        <v>1206</v>
      </c>
      <c r="F296" s="12">
        <v>21.0</v>
      </c>
      <c r="G296" s="12">
        <v>2004.0</v>
      </c>
      <c r="H296" s="14">
        <v>12.0</v>
      </c>
      <c r="I296" s="15">
        <v>4.0</v>
      </c>
      <c r="J296" s="15">
        <v>382.0</v>
      </c>
      <c r="K296" s="15">
        <v>4.2</v>
      </c>
      <c r="L296" s="22">
        <v>0.0</v>
      </c>
      <c r="M296" s="19">
        <v>0.0</v>
      </c>
      <c r="N296" s="19">
        <v>0.0</v>
      </c>
      <c r="O296" s="19">
        <v>0.0</v>
      </c>
      <c r="P296" s="19">
        <v>0.0</v>
      </c>
      <c r="Q296" s="19">
        <v>0.0</v>
      </c>
      <c r="R296" s="19">
        <v>0.0</v>
      </c>
      <c r="S296" s="19">
        <v>0.0</v>
      </c>
      <c r="T296" s="23">
        <v>0.0</v>
      </c>
      <c r="U296" s="21">
        <v>0.0</v>
      </c>
      <c r="V296" s="21">
        <v>0.0</v>
      </c>
      <c r="W296" s="21">
        <v>0.0</v>
      </c>
      <c r="X296" s="21">
        <v>0.0</v>
      </c>
      <c r="Y296" s="20" t="s">
        <v>1207</v>
      </c>
    </row>
    <row r="297">
      <c r="A297" s="9">
        <v>295.0</v>
      </c>
      <c r="B297" s="10" t="s">
        <v>1208</v>
      </c>
      <c r="C297" s="11" t="s">
        <v>1209</v>
      </c>
      <c r="D297" s="12" t="s">
        <v>26</v>
      </c>
      <c r="E297" s="13" t="s">
        <v>1210</v>
      </c>
      <c r="F297" s="12">
        <v>25.0</v>
      </c>
      <c r="G297" s="12">
        <v>2000.0</v>
      </c>
      <c r="H297" s="14">
        <v>36.0</v>
      </c>
      <c r="I297" s="15">
        <v>33.0</v>
      </c>
      <c r="J297" s="16">
        <v>2930.0</v>
      </c>
      <c r="K297" s="15">
        <v>32.6</v>
      </c>
      <c r="L297" s="17">
        <v>0.15</v>
      </c>
      <c r="M297" s="18">
        <v>0.18</v>
      </c>
      <c r="N297" s="18">
        <v>0.34</v>
      </c>
      <c r="O297" s="18">
        <v>0.06</v>
      </c>
      <c r="P297" s="18">
        <v>0.09</v>
      </c>
      <c r="Q297" s="18">
        <v>0.12</v>
      </c>
      <c r="R297" s="18">
        <v>0.15</v>
      </c>
      <c r="S297" s="19">
        <v>0.0</v>
      </c>
      <c r="T297" s="14">
        <v>0.15</v>
      </c>
      <c r="U297" s="15">
        <v>0.18</v>
      </c>
      <c r="V297" s="15">
        <v>0.34</v>
      </c>
      <c r="W297" s="15">
        <v>0.06</v>
      </c>
      <c r="X297" s="15">
        <v>0.25</v>
      </c>
      <c r="Y297" s="20" t="s">
        <v>1211</v>
      </c>
    </row>
    <row r="298">
      <c r="A298" s="9">
        <v>296.0</v>
      </c>
      <c r="B298" s="10" t="s">
        <v>1212</v>
      </c>
      <c r="C298" s="11" t="s">
        <v>1213</v>
      </c>
      <c r="D298" s="12" t="s">
        <v>98</v>
      </c>
      <c r="E298" s="13" t="s">
        <v>1214</v>
      </c>
      <c r="F298" s="12">
        <v>33.0</v>
      </c>
      <c r="G298" s="12">
        <v>1992.0</v>
      </c>
      <c r="H298" s="14">
        <v>38.0</v>
      </c>
      <c r="I298" s="15">
        <v>38.0</v>
      </c>
      <c r="J298" s="16">
        <v>3420.0</v>
      </c>
      <c r="K298" s="15">
        <v>38.0</v>
      </c>
      <c r="L298" s="22">
        <v>0.0</v>
      </c>
      <c r="M298" s="19">
        <v>0.0</v>
      </c>
      <c r="N298" s="19">
        <v>0.0</v>
      </c>
      <c r="O298" s="19">
        <v>0.0</v>
      </c>
      <c r="P298" s="19">
        <v>0.0</v>
      </c>
      <c r="Q298" s="19">
        <v>0.0</v>
      </c>
      <c r="R298" s="18">
        <v>0.08</v>
      </c>
      <c r="S298" s="19">
        <v>0.0</v>
      </c>
      <c r="T298" s="23">
        <v>0.0</v>
      </c>
      <c r="U298" s="21">
        <v>0.0</v>
      </c>
      <c r="V298" s="21">
        <v>0.0</v>
      </c>
      <c r="W298" s="21">
        <v>0.0</v>
      </c>
      <c r="X298" s="21">
        <v>0.0</v>
      </c>
      <c r="Y298" s="20" t="s">
        <v>1215</v>
      </c>
    </row>
    <row r="299">
      <c r="A299" s="9">
        <v>297.0</v>
      </c>
      <c r="B299" s="10" t="s">
        <v>1216</v>
      </c>
      <c r="C299" s="11" t="s">
        <v>1217</v>
      </c>
      <c r="D299" s="12" t="s">
        <v>264</v>
      </c>
      <c r="E299" s="13" t="s">
        <v>1218</v>
      </c>
      <c r="F299" s="12">
        <v>30.0</v>
      </c>
      <c r="G299" s="12">
        <v>1994.0</v>
      </c>
      <c r="H299" s="14">
        <v>31.0</v>
      </c>
      <c r="I299" s="15">
        <v>18.0</v>
      </c>
      <c r="J299" s="16">
        <v>1733.0</v>
      </c>
      <c r="K299" s="15">
        <v>19.3</v>
      </c>
      <c r="L299" s="22">
        <v>0.0</v>
      </c>
      <c r="M299" s="18">
        <v>0.1</v>
      </c>
      <c r="N299" s="18">
        <v>0.1</v>
      </c>
      <c r="O299" s="19">
        <v>0.0</v>
      </c>
      <c r="P299" s="19">
        <v>0.0</v>
      </c>
      <c r="Q299" s="19">
        <v>0.0</v>
      </c>
      <c r="R299" s="18">
        <v>0.36</v>
      </c>
      <c r="S299" s="19">
        <v>0.0</v>
      </c>
      <c r="T299" s="23">
        <v>0.0</v>
      </c>
      <c r="U299" s="15">
        <v>0.1</v>
      </c>
      <c r="V299" s="15">
        <v>0.1</v>
      </c>
      <c r="W299" s="21">
        <v>0.0</v>
      </c>
      <c r="X299" s="15">
        <v>0.1</v>
      </c>
      <c r="Y299" s="20" t="s">
        <v>1219</v>
      </c>
    </row>
    <row r="300">
      <c r="A300" s="9">
        <v>298.0</v>
      </c>
      <c r="B300" s="10" t="s">
        <v>1220</v>
      </c>
      <c r="C300" s="11" t="s">
        <v>1221</v>
      </c>
      <c r="D300" s="12" t="s">
        <v>36</v>
      </c>
      <c r="E300" s="13" t="s">
        <v>1222</v>
      </c>
      <c r="F300" s="12">
        <v>20.0</v>
      </c>
      <c r="G300" s="12">
        <v>2004.0</v>
      </c>
      <c r="H300" s="14">
        <v>11.0</v>
      </c>
      <c r="I300" s="15">
        <v>4.0</v>
      </c>
      <c r="J300" s="15">
        <v>407.0</v>
      </c>
      <c r="K300" s="15">
        <v>4.5</v>
      </c>
      <c r="L300" s="22">
        <v>0.0</v>
      </c>
      <c r="M300" s="18">
        <v>0.22</v>
      </c>
      <c r="N300" s="18">
        <v>0.22</v>
      </c>
      <c r="O300" s="19">
        <v>0.0</v>
      </c>
      <c r="P300" s="19">
        <v>0.0</v>
      </c>
      <c r="Q300" s="19">
        <v>0.0</v>
      </c>
      <c r="R300" s="18">
        <v>0.44</v>
      </c>
      <c r="S300" s="19">
        <v>0.0</v>
      </c>
      <c r="T300" s="23">
        <v>0.0</v>
      </c>
      <c r="U300" s="15">
        <v>0.22</v>
      </c>
      <c r="V300" s="15">
        <v>0.22</v>
      </c>
      <c r="W300" s="21">
        <v>0.0</v>
      </c>
      <c r="X300" s="15">
        <v>0.22</v>
      </c>
      <c r="Y300" s="20" t="s">
        <v>1223</v>
      </c>
    </row>
    <row r="301">
      <c r="A301" s="9">
        <v>299.0</v>
      </c>
      <c r="B301" s="10" t="s">
        <v>1224</v>
      </c>
      <c r="C301" s="11" t="s">
        <v>1225</v>
      </c>
      <c r="D301" s="12" t="s">
        <v>345</v>
      </c>
      <c r="E301" s="13" t="s">
        <v>1226</v>
      </c>
      <c r="F301" s="12">
        <v>24.0</v>
      </c>
      <c r="G301" s="12">
        <v>2001.0</v>
      </c>
      <c r="H301" s="14">
        <v>36.0</v>
      </c>
      <c r="I301" s="15">
        <v>22.0</v>
      </c>
      <c r="J301" s="16">
        <v>1972.0</v>
      </c>
      <c r="K301" s="15">
        <v>21.9</v>
      </c>
      <c r="L301" s="17">
        <v>0.14</v>
      </c>
      <c r="M301" s="18">
        <v>0.14</v>
      </c>
      <c r="N301" s="18">
        <v>0.27</v>
      </c>
      <c r="O301" s="18">
        <v>0.14</v>
      </c>
      <c r="P301" s="19">
        <v>0.0</v>
      </c>
      <c r="Q301" s="19">
        <v>0.0</v>
      </c>
      <c r="R301" s="18">
        <v>0.05</v>
      </c>
      <c r="S301" s="19">
        <v>0.0</v>
      </c>
      <c r="T301" s="14">
        <v>0.14</v>
      </c>
      <c r="U301" s="15">
        <v>0.14</v>
      </c>
      <c r="V301" s="15">
        <v>0.27</v>
      </c>
      <c r="W301" s="15">
        <v>0.14</v>
      </c>
      <c r="X301" s="15">
        <v>0.27</v>
      </c>
      <c r="Y301" s="20" t="s">
        <v>1227</v>
      </c>
    </row>
    <row r="302">
      <c r="A302" s="9">
        <v>300.0</v>
      </c>
      <c r="B302" s="10" t="s">
        <v>1228</v>
      </c>
      <c r="C302" s="11" t="s">
        <v>1229</v>
      </c>
      <c r="D302" s="12" t="s">
        <v>264</v>
      </c>
      <c r="E302" s="13" t="s">
        <v>1230</v>
      </c>
      <c r="F302" s="12">
        <v>18.0</v>
      </c>
      <c r="G302" s="12">
        <v>2006.0</v>
      </c>
      <c r="H302" s="14">
        <v>20.0</v>
      </c>
      <c r="I302" s="15">
        <v>5.0</v>
      </c>
      <c r="J302" s="15">
        <v>709.0</v>
      </c>
      <c r="K302" s="15">
        <v>7.9</v>
      </c>
      <c r="L302" s="22">
        <v>0.0</v>
      </c>
      <c r="M302" s="19">
        <v>0.0</v>
      </c>
      <c r="N302" s="19">
        <v>0.0</v>
      </c>
      <c r="O302" s="19">
        <v>0.0</v>
      </c>
      <c r="P302" s="19">
        <v>0.0</v>
      </c>
      <c r="Q302" s="19">
        <v>0.0</v>
      </c>
      <c r="R302" s="18">
        <v>0.38</v>
      </c>
      <c r="S302" s="19">
        <v>0.0</v>
      </c>
      <c r="T302" s="23">
        <v>0.0</v>
      </c>
      <c r="U302" s="21">
        <v>0.0</v>
      </c>
      <c r="V302" s="21">
        <v>0.0</v>
      </c>
      <c r="W302" s="21">
        <v>0.0</v>
      </c>
      <c r="X302" s="21">
        <v>0.0</v>
      </c>
      <c r="Y302" s="20" t="s">
        <v>1231</v>
      </c>
    </row>
    <row r="303">
      <c r="A303" s="9">
        <v>301.0</v>
      </c>
      <c r="B303" s="10" t="s">
        <v>1232</v>
      </c>
      <c r="C303" s="11" t="s">
        <v>1233</v>
      </c>
      <c r="D303" s="12" t="s">
        <v>36</v>
      </c>
      <c r="E303" s="13" t="s">
        <v>1234</v>
      </c>
      <c r="F303" s="12">
        <v>25.0</v>
      </c>
      <c r="G303" s="12">
        <v>1999.0</v>
      </c>
      <c r="H303" s="14">
        <v>13.0</v>
      </c>
      <c r="I303" s="15">
        <v>13.0</v>
      </c>
      <c r="J303" s="16">
        <v>1170.0</v>
      </c>
      <c r="K303" s="15">
        <v>13.0</v>
      </c>
      <c r="L303" s="17">
        <v>0.08</v>
      </c>
      <c r="M303" s="19">
        <v>0.0</v>
      </c>
      <c r="N303" s="18">
        <v>0.08</v>
      </c>
      <c r="O303" s="18">
        <v>0.08</v>
      </c>
      <c r="P303" s="19">
        <v>0.0</v>
      </c>
      <c r="Q303" s="19">
        <v>0.0</v>
      </c>
      <c r="R303" s="19">
        <v>0.0</v>
      </c>
      <c r="S303" s="19">
        <v>0.0</v>
      </c>
      <c r="T303" s="14">
        <v>0.08</v>
      </c>
      <c r="U303" s="21">
        <v>0.0</v>
      </c>
      <c r="V303" s="15">
        <v>0.08</v>
      </c>
      <c r="W303" s="15">
        <v>0.08</v>
      </c>
      <c r="X303" s="15">
        <v>0.08</v>
      </c>
      <c r="Y303" s="20" t="s">
        <v>1235</v>
      </c>
    </row>
    <row r="304">
      <c r="A304" s="9">
        <v>302.0</v>
      </c>
      <c r="B304" s="10" t="s">
        <v>1236</v>
      </c>
      <c r="C304" s="11" t="s">
        <v>1237</v>
      </c>
      <c r="D304" s="12" t="s">
        <v>31</v>
      </c>
      <c r="E304" s="13" t="s">
        <v>1238</v>
      </c>
      <c r="F304" s="12">
        <v>19.0</v>
      </c>
      <c r="G304" s="12">
        <v>2006.0</v>
      </c>
      <c r="H304" s="14">
        <v>9.0</v>
      </c>
      <c r="I304" s="15">
        <v>3.0</v>
      </c>
      <c r="J304" s="15">
        <v>260.0</v>
      </c>
      <c r="K304" s="15">
        <v>2.9</v>
      </c>
      <c r="L304" s="22">
        <v>0.0</v>
      </c>
      <c r="M304" s="19">
        <v>0.0</v>
      </c>
      <c r="N304" s="19">
        <v>0.0</v>
      </c>
      <c r="O304" s="19">
        <v>0.0</v>
      </c>
      <c r="P304" s="19">
        <v>0.0</v>
      </c>
      <c r="Q304" s="19">
        <v>0.0</v>
      </c>
      <c r="R304" s="19">
        <v>0.0</v>
      </c>
      <c r="S304" s="19">
        <v>0.0</v>
      </c>
      <c r="T304" s="23">
        <v>0.0</v>
      </c>
      <c r="U304" s="21">
        <v>0.0</v>
      </c>
      <c r="V304" s="21">
        <v>0.0</v>
      </c>
      <c r="W304" s="21">
        <v>0.0</v>
      </c>
      <c r="X304" s="21">
        <v>0.0</v>
      </c>
      <c r="Y304" s="20" t="s">
        <v>1239</v>
      </c>
    </row>
    <row r="305">
      <c r="A305" s="9">
        <v>303.0</v>
      </c>
      <c r="B305" s="10" t="s">
        <v>1240</v>
      </c>
      <c r="C305" s="11" t="s">
        <v>1241</v>
      </c>
      <c r="D305" s="12" t="s">
        <v>345</v>
      </c>
      <c r="E305" s="13" t="s">
        <v>1242</v>
      </c>
      <c r="F305" s="12">
        <v>31.0</v>
      </c>
      <c r="G305" s="12">
        <v>1994.0</v>
      </c>
      <c r="H305" s="14">
        <v>17.0</v>
      </c>
      <c r="I305" s="15">
        <v>11.0</v>
      </c>
      <c r="J305" s="15">
        <v>948.0</v>
      </c>
      <c r="K305" s="15">
        <v>10.5</v>
      </c>
      <c r="L305" s="22">
        <v>0.0</v>
      </c>
      <c r="M305" s="18">
        <v>0.1</v>
      </c>
      <c r="N305" s="18">
        <v>0.1</v>
      </c>
      <c r="O305" s="19">
        <v>0.0</v>
      </c>
      <c r="P305" s="19">
        <v>0.0</v>
      </c>
      <c r="Q305" s="19">
        <v>0.0</v>
      </c>
      <c r="R305" s="19">
        <v>0.0</v>
      </c>
      <c r="S305" s="19">
        <v>0.0</v>
      </c>
      <c r="T305" s="23">
        <v>0.0</v>
      </c>
      <c r="U305" s="15">
        <v>0.09</v>
      </c>
      <c r="V305" s="15">
        <v>0.09</v>
      </c>
      <c r="W305" s="21">
        <v>0.0</v>
      </c>
      <c r="X305" s="15">
        <v>0.09</v>
      </c>
      <c r="Y305" s="20" t="s">
        <v>1243</v>
      </c>
    </row>
    <row r="306">
      <c r="A306" s="9">
        <v>304.0</v>
      </c>
      <c r="B306" s="10" t="s">
        <v>1244</v>
      </c>
      <c r="C306" s="11" t="s">
        <v>1245</v>
      </c>
      <c r="D306" s="12" t="s">
        <v>36</v>
      </c>
      <c r="E306" s="13" t="s">
        <v>1246</v>
      </c>
      <c r="F306" s="12">
        <v>22.0</v>
      </c>
      <c r="G306" s="12">
        <v>2002.0</v>
      </c>
      <c r="H306" s="14">
        <v>17.0</v>
      </c>
      <c r="I306" s="15">
        <v>14.0</v>
      </c>
      <c r="J306" s="16">
        <v>1328.0</v>
      </c>
      <c r="K306" s="15">
        <v>14.8</v>
      </c>
      <c r="L306" s="22">
        <v>0.0</v>
      </c>
      <c r="M306" s="18">
        <v>0.07</v>
      </c>
      <c r="N306" s="18">
        <v>0.07</v>
      </c>
      <c r="O306" s="19">
        <v>0.0</v>
      </c>
      <c r="P306" s="19">
        <v>0.0</v>
      </c>
      <c r="Q306" s="19">
        <v>0.0</v>
      </c>
      <c r="R306" s="18">
        <v>0.07</v>
      </c>
      <c r="S306" s="19">
        <v>0.0</v>
      </c>
      <c r="T306" s="23">
        <v>0.0</v>
      </c>
      <c r="U306" s="15">
        <v>0.07</v>
      </c>
      <c r="V306" s="15">
        <v>0.07</v>
      </c>
      <c r="W306" s="21">
        <v>0.0</v>
      </c>
      <c r="X306" s="15">
        <v>0.07</v>
      </c>
      <c r="Y306" s="20" t="s">
        <v>1247</v>
      </c>
    </row>
    <row r="307">
      <c r="A307" s="9">
        <v>305.0</v>
      </c>
      <c r="B307" s="10" t="s">
        <v>1248</v>
      </c>
      <c r="C307" s="11" t="s">
        <v>1249</v>
      </c>
      <c r="D307" s="12" t="s">
        <v>31</v>
      </c>
      <c r="E307" s="13" t="s">
        <v>1250</v>
      </c>
      <c r="F307" s="12">
        <v>27.0</v>
      </c>
      <c r="G307" s="12">
        <v>1997.0</v>
      </c>
      <c r="H307" s="14">
        <v>23.0</v>
      </c>
      <c r="I307" s="15">
        <v>10.0</v>
      </c>
      <c r="J307" s="16">
        <v>1011.0</v>
      </c>
      <c r="K307" s="15">
        <v>11.2</v>
      </c>
      <c r="L307" s="17">
        <v>0.18</v>
      </c>
      <c r="M307" s="18">
        <v>0.18</v>
      </c>
      <c r="N307" s="18">
        <v>0.36</v>
      </c>
      <c r="O307" s="18">
        <v>0.18</v>
      </c>
      <c r="P307" s="19">
        <v>0.0</v>
      </c>
      <c r="Q307" s="19">
        <v>0.0</v>
      </c>
      <c r="R307" s="18">
        <v>0.18</v>
      </c>
      <c r="S307" s="19">
        <v>0.0</v>
      </c>
      <c r="T307" s="14">
        <v>0.18</v>
      </c>
      <c r="U307" s="15">
        <v>0.18</v>
      </c>
      <c r="V307" s="15">
        <v>0.36</v>
      </c>
      <c r="W307" s="15">
        <v>0.18</v>
      </c>
      <c r="X307" s="15">
        <v>0.36</v>
      </c>
      <c r="Y307" s="20" t="s">
        <v>1251</v>
      </c>
    </row>
    <row r="308">
      <c r="A308" s="9">
        <v>306.0</v>
      </c>
      <c r="B308" s="10" t="s">
        <v>1252</v>
      </c>
      <c r="C308" s="11" t="s">
        <v>1253</v>
      </c>
      <c r="D308" s="12" t="s">
        <v>31</v>
      </c>
      <c r="E308" s="13" t="s">
        <v>1254</v>
      </c>
      <c r="F308" s="12">
        <v>21.0</v>
      </c>
      <c r="G308" s="12">
        <v>2004.0</v>
      </c>
      <c r="H308" s="14">
        <v>9.0</v>
      </c>
      <c r="I308" s="15">
        <v>2.0</v>
      </c>
      <c r="J308" s="15">
        <v>235.0</v>
      </c>
      <c r="K308" s="15">
        <v>2.6</v>
      </c>
      <c r="L308" s="22">
        <v>0.0</v>
      </c>
      <c r="M308" s="18">
        <v>0.38</v>
      </c>
      <c r="N308" s="18">
        <v>0.38</v>
      </c>
      <c r="O308" s="19">
        <v>0.0</v>
      </c>
      <c r="P308" s="19">
        <v>0.0</v>
      </c>
      <c r="Q308" s="19">
        <v>0.0</v>
      </c>
      <c r="R308" s="18">
        <v>0.38</v>
      </c>
      <c r="S308" s="19">
        <v>0.0</v>
      </c>
      <c r="T308" s="23">
        <v>0.0</v>
      </c>
      <c r="U308" s="15">
        <v>0.38</v>
      </c>
      <c r="V308" s="15">
        <v>0.38</v>
      </c>
      <c r="W308" s="21">
        <v>0.0</v>
      </c>
      <c r="X308" s="15">
        <v>0.38</v>
      </c>
      <c r="Y308" s="20" t="s">
        <v>1255</v>
      </c>
    </row>
    <row r="309">
      <c r="A309" s="9">
        <v>307.0</v>
      </c>
      <c r="B309" s="10" t="s">
        <v>1256</v>
      </c>
      <c r="C309" s="11" t="s">
        <v>1257</v>
      </c>
      <c r="D309" s="12" t="s">
        <v>264</v>
      </c>
      <c r="E309" s="13" t="s">
        <v>1258</v>
      </c>
      <c r="F309" s="12">
        <v>24.0</v>
      </c>
      <c r="G309" s="12">
        <v>2001.0</v>
      </c>
      <c r="H309" s="14">
        <v>20.0</v>
      </c>
      <c r="I309" s="15">
        <v>15.0</v>
      </c>
      <c r="J309" s="16">
        <v>1409.0</v>
      </c>
      <c r="K309" s="15">
        <v>15.7</v>
      </c>
      <c r="L309" s="22">
        <v>0.0</v>
      </c>
      <c r="M309" s="19">
        <v>0.0</v>
      </c>
      <c r="N309" s="19">
        <v>0.0</v>
      </c>
      <c r="O309" s="19">
        <v>0.0</v>
      </c>
      <c r="P309" s="19">
        <v>0.0</v>
      </c>
      <c r="Q309" s="19">
        <v>0.0</v>
      </c>
      <c r="R309" s="18">
        <v>0.06</v>
      </c>
      <c r="S309" s="18">
        <v>0.06</v>
      </c>
      <c r="T309" s="23">
        <v>0.0</v>
      </c>
      <c r="U309" s="21">
        <v>0.0</v>
      </c>
      <c r="V309" s="21">
        <v>0.0</v>
      </c>
      <c r="W309" s="21">
        <v>0.0</v>
      </c>
      <c r="X309" s="21">
        <v>0.0</v>
      </c>
      <c r="Y309" s="20" t="s">
        <v>1259</v>
      </c>
    </row>
    <row r="310">
      <c r="A310" s="9">
        <v>308.0</v>
      </c>
      <c r="B310" s="10" t="s">
        <v>1260</v>
      </c>
      <c r="C310" s="11" t="s">
        <v>1261</v>
      </c>
      <c r="D310" s="12" t="s">
        <v>41</v>
      </c>
      <c r="E310" s="13" t="s">
        <v>1262</v>
      </c>
      <c r="F310" s="12">
        <v>24.0</v>
      </c>
      <c r="G310" s="12">
        <v>2000.0</v>
      </c>
      <c r="H310" s="14">
        <v>4.0</v>
      </c>
      <c r="I310" s="15">
        <v>1.0</v>
      </c>
      <c r="J310" s="15">
        <v>129.0</v>
      </c>
      <c r="K310" s="15">
        <v>1.4</v>
      </c>
      <c r="L310" s="17">
        <v>0.71</v>
      </c>
      <c r="M310" s="19">
        <v>0.0</v>
      </c>
      <c r="N310" s="18">
        <v>0.71</v>
      </c>
      <c r="O310" s="18">
        <v>0.71</v>
      </c>
      <c r="P310" s="19">
        <v>0.0</v>
      </c>
      <c r="Q310" s="19">
        <v>0.0</v>
      </c>
      <c r="R310" s="19">
        <v>0.0</v>
      </c>
      <c r="S310" s="19">
        <v>0.0</v>
      </c>
      <c r="T310" s="14">
        <v>0.7</v>
      </c>
      <c r="U310" s="21">
        <v>0.0</v>
      </c>
      <c r="V310" s="15">
        <v>0.7</v>
      </c>
      <c r="W310" s="15">
        <v>0.7</v>
      </c>
      <c r="X310" s="15">
        <v>0.7</v>
      </c>
      <c r="Y310" s="20" t="s">
        <v>1263</v>
      </c>
    </row>
    <row r="311">
      <c r="A311" s="9">
        <v>309.0</v>
      </c>
      <c r="B311" s="10" t="s">
        <v>1264</v>
      </c>
      <c r="C311" s="11" t="s">
        <v>1265</v>
      </c>
      <c r="D311" s="12" t="s">
        <v>31</v>
      </c>
      <c r="E311" s="13" t="s">
        <v>1266</v>
      </c>
      <c r="F311" s="12">
        <v>25.0</v>
      </c>
      <c r="G311" s="12">
        <v>1999.0</v>
      </c>
      <c r="H311" s="14">
        <v>31.0</v>
      </c>
      <c r="I311" s="15">
        <v>25.0</v>
      </c>
      <c r="J311" s="16">
        <v>2105.0</v>
      </c>
      <c r="K311" s="15">
        <v>23.4</v>
      </c>
      <c r="L311" s="22">
        <v>0.0</v>
      </c>
      <c r="M311" s="18">
        <v>0.09</v>
      </c>
      <c r="N311" s="18">
        <v>0.09</v>
      </c>
      <c r="O311" s="19">
        <v>0.0</v>
      </c>
      <c r="P311" s="19">
        <v>0.0</v>
      </c>
      <c r="Q311" s="19">
        <v>0.0</v>
      </c>
      <c r="R311" s="18">
        <v>0.26</v>
      </c>
      <c r="S311" s="19">
        <v>0.0</v>
      </c>
      <c r="T311" s="23">
        <v>0.0</v>
      </c>
      <c r="U311" s="15">
        <v>0.09</v>
      </c>
      <c r="V311" s="15">
        <v>0.09</v>
      </c>
      <c r="W311" s="21">
        <v>0.0</v>
      </c>
      <c r="X311" s="15">
        <v>0.09</v>
      </c>
      <c r="Y311" s="20" t="s">
        <v>1267</v>
      </c>
    </row>
    <row r="312">
      <c r="A312" s="9">
        <v>310.0</v>
      </c>
      <c r="B312" s="10" t="s">
        <v>1268</v>
      </c>
      <c r="C312" s="11" t="s">
        <v>1269</v>
      </c>
      <c r="D312" s="12" t="s">
        <v>31</v>
      </c>
      <c r="E312" s="13" t="s">
        <v>1270</v>
      </c>
      <c r="F312" s="12">
        <v>27.0</v>
      </c>
      <c r="G312" s="12">
        <v>1998.0</v>
      </c>
      <c r="H312" s="14">
        <v>13.0</v>
      </c>
      <c r="I312" s="15">
        <v>7.0</v>
      </c>
      <c r="J312" s="15">
        <v>604.0</v>
      </c>
      <c r="K312" s="15">
        <v>6.7</v>
      </c>
      <c r="L312" s="17">
        <v>0.15</v>
      </c>
      <c r="M312" s="19">
        <v>0.0</v>
      </c>
      <c r="N312" s="18">
        <v>0.15</v>
      </c>
      <c r="O312" s="18">
        <v>0.15</v>
      </c>
      <c r="P312" s="19">
        <v>0.0</v>
      </c>
      <c r="Q312" s="19">
        <v>0.0</v>
      </c>
      <c r="R312" s="18">
        <v>0.15</v>
      </c>
      <c r="S312" s="19">
        <v>0.0</v>
      </c>
      <c r="T312" s="14">
        <v>0.15</v>
      </c>
      <c r="U312" s="21">
        <v>0.0</v>
      </c>
      <c r="V312" s="15">
        <v>0.15</v>
      </c>
      <c r="W312" s="15">
        <v>0.15</v>
      </c>
      <c r="X312" s="15">
        <v>0.15</v>
      </c>
      <c r="Y312" s="20" t="s">
        <v>1271</v>
      </c>
    </row>
    <row r="313">
      <c r="A313" s="9">
        <v>311.0</v>
      </c>
      <c r="B313" s="10" t="s">
        <v>1272</v>
      </c>
      <c r="C313" s="11" t="s">
        <v>1273</v>
      </c>
      <c r="D313" s="12" t="s">
        <v>31</v>
      </c>
      <c r="E313" s="13" t="s">
        <v>1274</v>
      </c>
      <c r="F313" s="12">
        <v>27.0</v>
      </c>
      <c r="G313" s="12">
        <v>1998.0</v>
      </c>
      <c r="H313" s="14">
        <v>8.0</v>
      </c>
      <c r="I313" s="15">
        <v>5.0</v>
      </c>
      <c r="J313" s="15">
        <v>315.0</v>
      </c>
      <c r="K313" s="15">
        <v>3.5</v>
      </c>
      <c r="L313" s="22">
        <v>0.0</v>
      </c>
      <c r="M313" s="19">
        <v>0.0</v>
      </c>
      <c r="N313" s="19">
        <v>0.0</v>
      </c>
      <c r="O313" s="19">
        <v>0.0</v>
      </c>
      <c r="P313" s="19">
        <v>0.0</v>
      </c>
      <c r="Q313" s="19">
        <v>0.0</v>
      </c>
      <c r="R313" s="18">
        <v>0.57</v>
      </c>
      <c r="S313" s="19">
        <v>0.0</v>
      </c>
      <c r="T313" s="23">
        <v>0.0</v>
      </c>
      <c r="U313" s="21">
        <v>0.0</v>
      </c>
      <c r="V313" s="21">
        <v>0.0</v>
      </c>
      <c r="W313" s="21">
        <v>0.0</v>
      </c>
      <c r="X313" s="21">
        <v>0.0</v>
      </c>
      <c r="Y313" s="20" t="s">
        <v>1275</v>
      </c>
    </row>
    <row r="314">
      <c r="A314" s="9">
        <v>312.0</v>
      </c>
      <c r="B314" s="10" t="s">
        <v>1276</v>
      </c>
      <c r="C314" s="11" t="s">
        <v>1277</v>
      </c>
      <c r="D314" s="12" t="s">
        <v>31</v>
      </c>
      <c r="E314" s="13" t="s">
        <v>1278</v>
      </c>
      <c r="F314" s="12">
        <v>28.0</v>
      </c>
      <c r="G314" s="12">
        <v>1996.0</v>
      </c>
      <c r="H314" s="14">
        <v>26.0</v>
      </c>
      <c r="I314" s="15">
        <v>20.0</v>
      </c>
      <c r="J314" s="16">
        <v>1734.0</v>
      </c>
      <c r="K314" s="15">
        <v>19.3</v>
      </c>
      <c r="L314" s="17">
        <v>0.05</v>
      </c>
      <c r="M314" s="18">
        <v>0.1</v>
      </c>
      <c r="N314" s="18">
        <v>0.16</v>
      </c>
      <c r="O314" s="18">
        <v>0.05</v>
      </c>
      <c r="P314" s="19">
        <v>0.0</v>
      </c>
      <c r="Q314" s="19">
        <v>0.0</v>
      </c>
      <c r="R314" s="18">
        <v>0.47</v>
      </c>
      <c r="S314" s="19">
        <v>0.0</v>
      </c>
      <c r="T314" s="14">
        <v>0.05</v>
      </c>
      <c r="U314" s="15">
        <v>0.1</v>
      </c>
      <c r="V314" s="15">
        <v>0.16</v>
      </c>
      <c r="W314" s="15">
        <v>0.05</v>
      </c>
      <c r="X314" s="15">
        <v>0.16</v>
      </c>
      <c r="Y314" s="20" t="s">
        <v>1279</v>
      </c>
    </row>
    <row r="315">
      <c r="A315" s="9">
        <v>313.0</v>
      </c>
      <c r="B315" s="10" t="s">
        <v>1280</v>
      </c>
      <c r="C315" s="11" t="s">
        <v>1281</v>
      </c>
      <c r="D315" s="12" t="s">
        <v>36</v>
      </c>
      <c r="E315" s="13" t="s">
        <v>1282</v>
      </c>
      <c r="F315" s="12">
        <v>23.0</v>
      </c>
      <c r="G315" s="12">
        <v>2002.0</v>
      </c>
      <c r="H315" s="14">
        <v>30.0</v>
      </c>
      <c r="I315" s="15">
        <v>17.0</v>
      </c>
      <c r="J315" s="16">
        <v>1605.0</v>
      </c>
      <c r="K315" s="15">
        <v>17.8</v>
      </c>
      <c r="L315" s="22">
        <v>0.0</v>
      </c>
      <c r="M315" s="18">
        <v>0.06</v>
      </c>
      <c r="N315" s="18">
        <v>0.06</v>
      </c>
      <c r="O315" s="19">
        <v>0.0</v>
      </c>
      <c r="P315" s="19">
        <v>0.0</v>
      </c>
      <c r="Q315" s="19">
        <v>0.0</v>
      </c>
      <c r="R315" s="18">
        <v>0.11</v>
      </c>
      <c r="S315" s="19">
        <v>0.0</v>
      </c>
      <c r="T315" s="23">
        <v>0.0</v>
      </c>
      <c r="U315" s="15">
        <v>0.06</v>
      </c>
      <c r="V315" s="15">
        <v>0.06</v>
      </c>
      <c r="W315" s="21">
        <v>0.0</v>
      </c>
      <c r="X315" s="15">
        <v>0.06</v>
      </c>
      <c r="Y315" s="20" t="s">
        <v>1283</v>
      </c>
    </row>
    <row r="316">
      <c r="A316" s="9">
        <v>314.0</v>
      </c>
      <c r="B316" s="10" t="s">
        <v>1284</v>
      </c>
      <c r="C316" s="11" t="s">
        <v>1285</v>
      </c>
      <c r="D316" s="12" t="s">
        <v>31</v>
      </c>
      <c r="E316" s="13" t="s">
        <v>1286</v>
      </c>
      <c r="F316" s="12">
        <v>26.0</v>
      </c>
      <c r="G316" s="12">
        <v>1998.0</v>
      </c>
      <c r="H316" s="14">
        <v>37.0</v>
      </c>
      <c r="I316" s="15">
        <v>31.0</v>
      </c>
      <c r="J316" s="16">
        <v>2658.0</v>
      </c>
      <c r="K316" s="15">
        <v>29.5</v>
      </c>
      <c r="L316" s="17">
        <v>0.07</v>
      </c>
      <c r="M316" s="18">
        <v>0.14</v>
      </c>
      <c r="N316" s="18">
        <v>0.2</v>
      </c>
      <c r="O316" s="18">
        <v>0.07</v>
      </c>
      <c r="P316" s="19">
        <v>0.0</v>
      </c>
      <c r="Q316" s="19">
        <v>0.0</v>
      </c>
      <c r="R316" s="18">
        <v>0.24</v>
      </c>
      <c r="S316" s="19">
        <v>0.0</v>
      </c>
      <c r="T316" s="14">
        <v>0.07</v>
      </c>
      <c r="U316" s="15">
        <v>0.14</v>
      </c>
      <c r="V316" s="15">
        <v>0.2</v>
      </c>
      <c r="W316" s="15">
        <v>0.07</v>
      </c>
      <c r="X316" s="15">
        <v>0.2</v>
      </c>
      <c r="Y316" s="20" t="s">
        <v>1287</v>
      </c>
    </row>
    <row r="317">
      <c r="A317" s="9">
        <v>315.0</v>
      </c>
      <c r="B317" s="10" t="s">
        <v>1288</v>
      </c>
      <c r="C317" s="11" t="s">
        <v>1289</v>
      </c>
      <c r="D317" s="12" t="s">
        <v>107</v>
      </c>
      <c r="E317" s="13" t="s">
        <v>1290</v>
      </c>
      <c r="F317" s="12">
        <v>28.0</v>
      </c>
      <c r="G317" s="12">
        <v>1996.0</v>
      </c>
      <c r="H317" s="14">
        <v>3.0</v>
      </c>
      <c r="I317" s="21">
        <v>0.0</v>
      </c>
      <c r="J317" s="15">
        <v>37.0</v>
      </c>
      <c r="K317" s="15">
        <v>0.4</v>
      </c>
      <c r="L317" s="22">
        <v>0.0</v>
      </c>
      <c r="M317" s="19">
        <v>0.0</v>
      </c>
      <c r="N317" s="19">
        <v>0.0</v>
      </c>
      <c r="O317" s="19">
        <v>0.0</v>
      </c>
      <c r="P317" s="19">
        <v>0.0</v>
      </c>
      <c r="Q317" s="19">
        <v>0.0</v>
      </c>
      <c r="R317" s="19">
        <v>0.0</v>
      </c>
      <c r="S317" s="19">
        <v>0.0</v>
      </c>
      <c r="T317" s="23">
        <v>0.0</v>
      </c>
      <c r="U317" s="21">
        <v>0.0</v>
      </c>
      <c r="V317" s="21">
        <v>0.0</v>
      </c>
      <c r="W317" s="21">
        <v>0.0</v>
      </c>
      <c r="X317" s="21">
        <v>0.0</v>
      </c>
      <c r="Y317" s="20" t="s">
        <v>1291</v>
      </c>
    </row>
    <row r="318">
      <c r="A318" s="9">
        <v>316.0</v>
      </c>
      <c r="B318" s="10" t="s">
        <v>1292</v>
      </c>
      <c r="C318" s="11" t="s">
        <v>1293</v>
      </c>
      <c r="D318" s="12" t="s">
        <v>107</v>
      </c>
      <c r="E318" s="13" t="s">
        <v>1294</v>
      </c>
      <c r="F318" s="12">
        <v>23.0</v>
      </c>
      <c r="G318" s="12">
        <v>2002.0</v>
      </c>
      <c r="H318" s="14">
        <v>26.0</v>
      </c>
      <c r="I318" s="15">
        <v>16.0</v>
      </c>
      <c r="J318" s="16">
        <v>1211.0</v>
      </c>
      <c r="K318" s="15">
        <v>13.5</v>
      </c>
      <c r="L318" s="17">
        <v>0.22</v>
      </c>
      <c r="M318" s="18">
        <v>0.07</v>
      </c>
      <c r="N318" s="18">
        <v>0.3</v>
      </c>
      <c r="O318" s="18">
        <v>0.22</v>
      </c>
      <c r="P318" s="19">
        <v>0.0</v>
      </c>
      <c r="Q318" s="19">
        <v>0.0</v>
      </c>
      <c r="R318" s="19">
        <v>0.0</v>
      </c>
      <c r="S318" s="19">
        <v>0.0</v>
      </c>
      <c r="T318" s="14">
        <v>0.22</v>
      </c>
      <c r="U318" s="15">
        <v>0.07</v>
      </c>
      <c r="V318" s="15">
        <v>0.3</v>
      </c>
      <c r="W318" s="15">
        <v>0.22</v>
      </c>
      <c r="X318" s="15">
        <v>0.3</v>
      </c>
      <c r="Y318" s="20" t="s">
        <v>1295</v>
      </c>
    </row>
    <row r="319">
      <c r="A319" s="9">
        <v>317.0</v>
      </c>
      <c r="B319" s="10" t="s">
        <v>1296</v>
      </c>
      <c r="C319" s="11" t="s">
        <v>1297</v>
      </c>
      <c r="D319" s="12" t="s">
        <v>36</v>
      </c>
      <c r="E319" s="13" t="s">
        <v>1298</v>
      </c>
      <c r="F319" s="12">
        <v>27.0</v>
      </c>
      <c r="G319" s="12">
        <v>1997.0</v>
      </c>
      <c r="H319" s="14">
        <v>32.0</v>
      </c>
      <c r="I319" s="15">
        <v>30.0</v>
      </c>
      <c r="J319" s="16">
        <v>2751.0</v>
      </c>
      <c r="K319" s="15">
        <v>30.6</v>
      </c>
      <c r="L319" s="17">
        <v>0.1</v>
      </c>
      <c r="M319" s="18">
        <v>0.13</v>
      </c>
      <c r="N319" s="18">
        <v>0.23</v>
      </c>
      <c r="O319" s="18">
        <v>0.1</v>
      </c>
      <c r="P319" s="19">
        <v>0.0</v>
      </c>
      <c r="Q319" s="19">
        <v>0.0</v>
      </c>
      <c r="R319" s="18">
        <v>0.13</v>
      </c>
      <c r="S319" s="19">
        <v>0.0</v>
      </c>
      <c r="T319" s="14">
        <v>0.1</v>
      </c>
      <c r="U319" s="15">
        <v>0.13</v>
      </c>
      <c r="V319" s="15">
        <v>0.23</v>
      </c>
      <c r="W319" s="15">
        <v>0.1</v>
      </c>
      <c r="X319" s="15">
        <v>0.23</v>
      </c>
      <c r="Y319" s="20" t="s">
        <v>1299</v>
      </c>
    </row>
    <row r="320">
      <c r="A320" s="9">
        <v>318.0</v>
      </c>
      <c r="B320" s="10" t="s">
        <v>1300</v>
      </c>
      <c r="C320" s="11" t="s">
        <v>1301</v>
      </c>
      <c r="D320" s="12" t="s">
        <v>31</v>
      </c>
      <c r="E320" s="13" t="s">
        <v>1302</v>
      </c>
      <c r="F320" s="12">
        <v>21.0</v>
      </c>
      <c r="G320" s="12">
        <v>2003.0</v>
      </c>
      <c r="H320" s="14">
        <v>22.0</v>
      </c>
      <c r="I320" s="15">
        <v>11.0</v>
      </c>
      <c r="J320" s="15">
        <v>981.0</v>
      </c>
      <c r="K320" s="15">
        <v>10.9</v>
      </c>
      <c r="L320" s="17">
        <v>0.09</v>
      </c>
      <c r="M320" s="19">
        <v>0.0</v>
      </c>
      <c r="N320" s="18">
        <v>0.09</v>
      </c>
      <c r="O320" s="18">
        <v>0.09</v>
      </c>
      <c r="P320" s="19">
        <v>0.0</v>
      </c>
      <c r="Q320" s="19">
        <v>0.0</v>
      </c>
      <c r="R320" s="18">
        <v>0.37</v>
      </c>
      <c r="S320" s="19">
        <v>0.0</v>
      </c>
      <c r="T320" s="14">
        <v>0.09</v>
      </c>
      <c r="U320" s="21">
        <v>0.0</v>
      </c>
      <c r="V320" s="15">
        <v>0.09</v>
      </c>
      <c r="W320" s="15">
        <v>0.09</v>
      </c>
      <c r="X320" s="15">
        <v>0.09</v>
      </c>
      <c r="Y320" s="20" t="s">
        <v>1303</v>
      </c>
    </row>
    <row r="321">
      <c r="A321" s="9">
        <v>319.0</v>
      </c>
      <c r="B321" s="10" t="s">
        <v>1304</v>
      </c>
      <c r="C321" s="11" t="s">
        <v>1305</v>
      </c>
      <c r="D321" s="12" t="s">
        <v>36</v>
      </c>
      <c r="E321" s="13" t="s">
        <v>1306</v>
      </c>
      <c r="F321" s="12">
        <v>32.0</v>
      </c>
      <c r="G321" s="12">
        <v>1993.0</v>
      </c>
      <c r="H321" s="14">
        <v>23.0</v>
      </c>
      <c r="I321" s="15">
        <v>19.0</v>
      </c>
      <c r="J321" s="16">
        <v>1653.0</v>
      </c>
      <c r="K321" s="15">
        <v>18.4</v>
      </c>
      <c r="L321" s="17">
        <v>0.05</v>
      </c>
      <c r="M321" s="18">
        <v>0.11</v>
      </c>
      <c r="N321" s="18">
        <v>0.16</v>
      </c>
      <c r="O321" s="18">
        <v>0.05</v>
      </c>
      <c r="P321" s="19">
        <v>0.0</v>
      </c>
      <c r="Q321" s="19">
        <v>0.0</v>
      </c>
      <c r="R321" s="18">
        <v>0.16</v>
      </c>
      <c r="S321" s="18">
        <v>0.05</v>
      </c>
      <c r="T321" s="14">
        <v>0.05</v>
      </c>
      <c r="U321" s="15">
        <v>0.11</v>
      </c>
      <c r="V321" s="15">
        <v>0.16</v>
      </c>
      <c r="W321" s="15">
        <v>0.05</v>
      </c>
      <c r="X321" s="15">
        <v>0.16</v>
      </c>
      <c r="Y321" s="20" t="s">
        <v>1307</v>
      </c>
    </row>
    <row r="322">
      <c r="A322" s="9">
        <v>320.0</v>
      </c>
      <c r="B322" s="10" t="s">
        <v>1308</v>
      </c>
      <c r="C322" s="11" t="s">
        <v>1309</v>
      </c>
      <c r="D322" s="12" t="s">
        <v>31</v>
      </c>
      <c r="E322" s="13" t="s">
        <v>1310</v>
      </c>
      <c r="F322" s="12">
        <v>20.0</v>
      </c>
      <c r="G322" s="12">
        <v>2005.0</v>
      </c>
      <c r="H322" s="14">
        <v>28.0</v>
      </c>
      <c r="I322" s="15">
        <v>16.0</v>
      </c>
      <c r="J322" s="16">
        <v>1662.0</v>
      </c>
      <c r="K322" s="15">
        <v>18.5</v>
      </c>
      <c r="L322" s="17">
        <v>0.05</v>
      </c>
      <c r="M322" s="18">
        <v>0.11</v>
      </c>
      <c r="N322" s="18">
        <v>0.16</v>
      </c>
      <c r="O322" s="18">
        <v>0.05</v>
      </c>
      <c r="P322" s="19">
        <v>0.0</v>
      </c>
      <c r="Q322" s="19">
        <v>0.0</v>
      </c>
      <c r="R322" s="18">
        <v>0.11</v>
      </c>
      <c r="S322" s="19">
        <v>0.0</v>
      </c>
      <c r="T322" s="14">
        <v>0.05</v>
      </c>
      <c r="U322" s="15">
        <v>0.11</v>
      </c>
      <c r="V322" s="15">
        <v>0.16</v>
      </c>
      <c r="W322" s="15">
        <v>0.05</v>
      </c>
      <c r="X322" s="15">
        <v>0.16</v>
      </c>
      <c r="Y322" s="20" t="s">
        <v>1311</v>
      </c>
    </row>
    <row r="323">
      <c r="A323" s="9">
        <v>321.0</v>
      </c>
      <c r="B323" s="10" t="s">
        <v>1312</v>
      </c>
      <c r="C323" s="11" t="s">
        <v>1313</v>
      </c>
      <c r="D323" s="12" t="s">
        <v>36</v>
      </c>
      <c r="E323" s="13" t="s">
        <v>1314</v>
      </c>
      <c r="F323" s="12">
        <v>25.0</v>
      </c>
      <c r="G323" s="12">
        <v>1999.0</v>
      </c>
      <c r="H323" s="14">
        <v>3.0</v>
      </c>
      <c r="I323" s="21">
        <v>0.0</v>
      </c>
      <c r="J323" s="15">
        <v>18.0</v>
      </c>
      <c r="K323" s="15">
        <v>0.2</v>
      </c>
      <c r="L323" s="22">
        <v>0.0</v>
      </c>
      <c r="M323" s="19">
        <v>0.0</v>
      </c>
      <c r="N323" s="19">
        <v>0.0</v>
      </c>
      <c r="O323" s="19">
        <v>0.0</v>
      </c>
      <c r="P323" s="19">
        <v>0.0</v>
      </c>
      <c r="Q323" s="19">
        <v>0.0</v>
      </c>
      <c r="R323" s="19">
        <v>0.0</v>
      </c>
      <c r="S323" s="19">
        <v>0.0</v>
      </c>
      <c r="T323" s="23">
        <v>0.0</v>
      </c>
      <c r="U323" s="21">
        <v>0.0</v>
      </c>
      <c r="V323" s="21">
        <v>0.0</v>
      </c>
      <c r="W323" s="21">
        <v>0.0</v>
      </c>
      <c r="X323" s="21">
        <v>0.0</v>
      </c>
      <c r="Y323" s="20" t="s">
        <v>1315</v>
      </c>
    </row>
    <row r="324">
      <c r="A324" s="9">
        <v>322.0</v>
      </c>
      <c r="B324" s="10" t="s">
        <v>1316</v>
      </c>
      <c r="C324" s="11" t="s">
        <v>1317</v>
      </c>
      <c r="D324" s="12" t="s">
        <v>107</v>
      </c>
      <c r="E324" s="13" t="s">
        <v>1318</v>
      </c>
      <c r="F324" s="12">
        <v>26.0</v>
      </c>
      <c r="G324" s="12">
        <v>1999.0</v>
      </c>
      <c r="H324" s="14">
        <v>21.0</v>
      </c>
      <c r="I324" s="15">
        <v>5.0</v>
      </c>
      <c r="J324" s="15">
        <v>656.0</v>
      </c>
      <c r="K324" s="15">
        <v>7.3</v>
      </c>
      <c r="L324" s="17">
        <v>0.55</v>
      </c>
      <c r="M324" s="18">
        <v>0.14</v>
      </c>
      <c r="N324" s="18">
        <v>0.68</v>
      </c>
      <c r="O324" s="18">
        <v>0.55</v>
      </c>
      <c r="P324" s="19">
        <v>0.0</v>
      </c>
      <c r="Q324" s="19">
        <v>0.0</v>
      </c>
      <c r="R324" s="19">
        <v>0.0</v>
      </c>
      <c r="S324" s="19">
        <v>0.0</v>
      </c>
      <c r="T324" s="14">
        <v>0.55</v>
      </c>
      <c r="U324" s="15">
        <v>0.14</v>
      </c>
      <c r="V324" s="15">
        <v>0.69</v>
      </c>
      <c r="W324" s="15">
        <v>0.55</v>
      </c>
      <c r="X324" s="15">
        <v>0.69</v>
      </c>
      <c r="Y324" s="20" t="s">
        <v>1319</v>
      </c>
    </row>
    <row r="325">
      <c r="A325" s="9">
        <v>323.0</v>
      </c>
      <c r="B325" s="10" t="s">
        <v>1320</v>
      </c>
      <c r="C325" s="11" t="s">
        <v>1321</v>
      </c>
      <c r="D325" s="12" t="s">
        <v>98</v>
      </c>
      <c r="E325" s="13" t="s">
        <v>1322</v>
      </c>
      <c r="F325" s="12">
        <v>24.0</v>
      </c>
      <c r="G325" s="12">
        <v>2000.0</v>
      </c>
      <c r="H325" s="14">
        <v>10.0</v>
      </c>
      <c r="I325" s="15">
        <v>10.0</v>
      </c>
      <c r="J325" s="15">
        <v>867.0</v>
      </c>
      <c r="K325" s="15">
        <v>9.6</v>
      </c>
      <c r="L325" s="22">
        <v>0.0</v>
      </c>
      <c r="M325" s="19">
        <v>0.0</v>
      </c>
      <c r="N325" s="19">
        <v>0.0</v>
      </c>
      <c r="O325" s="19">
        <v>0.0</v>
      </c>
      <c r="P325" s="19">
        <v>0.0</v>
      </c>
      <c r="Q325" s="19">
        <v>0.0</v>
      </c>
      <c r="R325" s="19">
        <v>0.0</v>
      </c>
      <c r="S325" s="19">
        <v>0.0</v>
      </c>
      <c r="T325" s="23">
        <v>0.0</v>
      </c>
      <c r="U325" s="21">
        <v>0.0</v>
      </c>
      <c r="V325" s="21">
        <v>0.0</v>
      </c>
      <c r="W325" s="21">
        <v>0.0</v>
      </c>
      <c r="X325" s="21">
        <v>0.0</v>
      </c>
      <c r="Y325" s="20" t="s">
        <v>1323</v>
      </c>
    </row>
    <row r="326">
      <c r="A326" s="9">
        <v>324.0</v>
      </c>
      <c r="B326" s="10" t="s">
        <v>1324</v>
      </c>
      <c r="C326" s="11" t="s">
        <v>1325</v>
      </c>
      <c r="D326" s="12" t="s">
        <v>36</v>
      </c>
      <c r="E326" s="13" t="s">
        <v>1326</v>
      </c>
      <c r="F326" s="12">
        <v>31.0</v>
      </c>
      <c r="G326" s="12">
        <v>1994.0</v>
      </c>
      <c r="H326" s="14">
        <v>25.0</v>
      </c>
      <c r="I326" s="15">
        <v>23.0</v>
      </c>
      <c r="J326" s="16">
        <v>1966.0</v>
      </c>
      <c r="K326" s="15">
        <v>21.8</v>
      </c>
      <c r="L326" s="22">
        <v>0.0</v>
      </c>
      <c r="M326" s="18">
        <v>0.05</v>
      </c>
      <c r="N326" s="18">
        <v>0.05</v>
      </c>
      <c r="O326" s="19">
        <v>0.0</v>
      </c>
      <c r="P326" s="19">
        <v>0.0</v>
      </c>
      <c r="Q326" s="19">
        <v>0.0</v>
      </c>
      <c r="R326" s="18">
        <v>0.32</v>
      </c>
      <c r="S326" s="18">
        <v>0.05</v>
      </c>
      <c r="T326" s="23">
        <v>0.0</v>
      </c>
      <c r="U326" s="15">
        <v>0.05</v>
      </c>
      <c r="V326" s="15">
        <v>0.05</v>
      </c>
      <c r="W326" s="21">
        <v>0.0</v>
      </c>
      <c r="X326" s="15">
        <v>0.05</v>
      </c>
      <c r="Y326" s="20" t="s">
        <v>1327</v>
      </c>
    </row>
    <row r="327">
      <c r="A327" s="9">
        <v>325.0</v>
      </c>
      <c r="B327" s="10" t="s">
        <v>1328</v>
      </c>
      <c r="C327" s="11" t="s">
        <v>1329</v>
      </c>
      <c r="D327" s="12" t="s">
        <v>31</v>
      </c>
      <c r="E327" s="13" t="s">
        <v>1330</v>
      </c>
      <c r="F327" s="12">
        <v>17.0</v>
      </c>
      <c r="G327" s="12">
        <v>2007.0</v>
      </c>
      <c r="H327" s="14">
        <v>27.0</v>
      </c>
      <c r="I327" s="15">
        <v>19.0</v>
      </c>
      <c r="J327" s="16">
        <v>1795.0</v>
      </c>
      <c r="K327" s="15">
        <v>19.9</v>
      </c>
      <c r="L327" s="17">
        <v>0.15</v>
      </c>
      <c r="M327" s="18">
        <v>0.05</v>
      </c>
      <c r="N327" s="18">
        <v>0.2</v>
      </c>
      <c r="O327" s="18">
        <v>0.15</v>
      </c>
      <c r="P327" s="19">
        <v>0.0</v>
      </c>
      <c r="Q327" s="19">
        <v>0.0</v>
      </c>
      <c r="R327" s="19">
        <v>0.0</v>
      </c>
      <c r="S327" s="19">
        <v>0.0</v>
      </c>
      <c r="T327" s="14">
        <v>0.15</v>
      </c>
      <c r="U327" s="15">
        <v>0.05</v>
      </c>
      <c r="V327" s="15">
        <v>0.2</v>
      </c>
      <c r="W327" s="15">
        <v>0.15</v>
      </c>
      <c r="X327" s="15">
        <v>0.2</v>
      </c>
      <c r="Y327" s="20" t="s">
        <v>1331</v>
      </c>
    </row>
    <row r="328">
      <c r="A328" s="9">
        <v>326.0</v>
      </c>
      <c r="B328" s="10" t="s">
        <v>1332</v>
      </c>
      <c r="C328" s="11" t="s">
        <v>1333</v>
      </c>
      <c r="D328" s="12" t="s">
        <v>31</v>
      </c>
      <c r="E328" s="13" t="s">
        <v>1334</v>
      </c>
      <c r="F328" s="12">
        <v>17.0</v>
      </c>
      <c r="G328" s="12">
        <v>2008.0</v>
      </c>
      <c r="H328" s="14">
        <v>1.0</v>
      </c>
      <c r="I328" s="21">
        <v>0.0</v>
      </c>
      <c r="J328" s="15">
        <v>16.0</v>
      </c>
      <c r="K328" s="15">
        <v>0.2</v>
      </c>
      <c r="L328" s="22">
        <v>0.0</v>
      </c>
      <c r="M328" s="19">
        <v>0.0</v>
      </c>
      <c r="N328" s="19">
        <v>0.0</v>
      </c>
      <c r="O328" s="19">
        <v>0.0</v>
      </c>
      <c r="P328" s="19">
        <v>0.0</v>
      </c>
      <c r="Q328" s="19">
        <v>0.0</v>
      </c>
      <c r="R328" s="19">
        <v>0.0</v>
      </c>
      <c r="S328" s="19">
        <v>0.0</v>
      </c>
      <c r="T328" s="23">
        <v>0.0</v>
      </c>
      <c r="U328" s="21">
        <v>0.0</v>
      </c>
      <c r="V328" s="21">
        <v>0.0</v>
      </c>
      <c r="W328" s="21">
        <v>0.0</v>
      </c>
      <c r="X328" s="21">
        <v>0.0</v>
      </c>
      <c r="Y328" s="20" t="s">
        <v>1335</v>
      </c>
    </row>
    <row r="329">
      <c r="A329" s="9">
        <v>327.0</v>
      </c>
      <c r="B329" s="10" t="s">
        <v>1336</v>
      </c>
      <c r="C329" s="11" t="s">
        <v>1337</v>
      </c>
      <c r="D329" s="12" t="s">
        <v>31</v>
      </c>
      <c r="E329" s="13" t="s">
        <v>1338</v>
      </c>
      <c r="F329" s="12">
        <v>31.0</v>
      </c>
      <c r="G329" s="12">
        <v>1994.0</v>
      </c>
      <c r="H329" s="14">
        <v>4.0</v>
      </c>
      <c r="I329" s="21">
        <v>0.0</v>
      </c>
      <c r="J329" s="15">
        <v>41.0</v>
      </c>
      <c r="K329" s="15">
        <v>0.5</v>
      </c>
      <c r="L329" s="22">
        <v>0.0</v>
      </c>
      <c r="M329" s="19">
        <v>0.0</v>
      </c>
      <c r="N329" s="19">
        <v>0.0</v>
      </c>
      <c r="O329" s="19">
        <v>0.0</v>
      </c>
      <c r="P329" s="19">
        <v>0.0</v>
      </c>
      <c r="Q329" s="19">
        <v>0.0</v>
      </c>
      <c r="R329" s="19">
        <v>0.0</v>
      </c>
      <c r="S329" s="19">
        <v>0.0</v>
      </c>
      <c r="T329" s="23">
        <v>0.0</v>
      </c>
      <c r="U329" s="21">
        <v>0.0</v>
      </c>
      <c r="V329" s="21">
        <v>0.0</v>
      </c>
      <c r="W329" s="21">
        <v>0.0</v>
      </c>
      <c r="X329" s="21">
        <v>0.0</v>
      </c>
      <c r="Y329" s="20" t="s">
        <v>1339</v>
      </c>
    </row>
    <row r="330">
      <c r="A330" s="9">
        <v>328.0</v>
      </c>
      <c r="B330" s="10" t="s">
        <v>1340</v>
      </c>
      <c r="C330" s="11" t="s">
        <v>1341</v>
      </c>
      <c r="D330" s="12" t="s">
        <v>107</v>
      </c>
      <c r="E330" s="13" t="s">
        <v>1342</v>
      </c>
      <c r="F330" s="12">
        <v>26.0</v>
      </c>
      <c r="G330" s="12">
        <v>1999.0</v>
      </c>
      <c r="H330" s="14">
        <v>21.0</v>
      </c>
      <c r="I330" s="15">
        <v>8.0</v>
      </c>
      <c r="J330" s="15">
        <v>700.0</v>
      </c>
      <c r="K330" s="15">
        <v>7.8</v>
      </c>
      <c r="L330" s="17">
        <v>0.38</v>
      </c>
      <c r="M330" s="18">
        <v>0.38</v>
      </c>
      <c r="N330" s="18">
        <v>0.77</v>
      </c>
      <c r="O330" s="18">
        <v>0.38</v>
      </c>
      <c r="P330" s="19">
        <v>0.0</v>
      </c>
      <c r="Q330" s="19">
        <v>0.0</v>
      </c>
      <c r="R330" s="18">
        <v>0.38</v>
      </c>
      <c r="S330" s="19">
        <v>0.0</v>
      </c>
      <c r="T330" s="14">
        <v>0.39</v>
      </c>
      <c r="U330" s="15">
        <v>0.39</v>
      </c>
      <c r="V330" s="15">
        <v>0.77</v>
      </c>
      <c r="W330" s="15">
        <v>0.39</v>
      </c>
      <c r="X330" s="15">
        <v>0.77</v>
      </c>
      <c r="Y330" s="20" t="s">
        <v>1343</v>
      </c>
    </row>
    <row r="331">
      <c r="A331" s="9">
        <v>329.0</v>
      </c>
      <c r="B331" s="10" t="s">
        <v>1344</v>
      </c>
      <c r="C331" s="11" t="s">
        <v>1345</v>
      </c>
      <c r="D331" s="12" t="s">
        <v>41</v>
      </c>
      <c r="E331" s="13" t="s">
        <v>1346</v>
      </c>
      <c r="F331" s="12">
        <v>20.0</v>
      </c>
      <c r="G331" s="12">
        <v>2004.0</v>
      </c>
      <c r="H331" s="14">
        <v>2.0</v>
      </c>
      <c r="I331" s="21">
        <v>0.0</v>
      </c>
      <c r="J331" s="15">
        <v>60.0</v>
      </c>
      <c r="K331" s="15">
        <v>0.7</v>
      </c>
      <c r="L331" s="22">
        <v>0.0</v>
      </c>
      <c r="M331" s="19">
        <v>0.0</v>
      </c>
      <c r="N331" s="19">
        <v>0.0</v>
      </c>
      <c r="O331" s="19">
        <v>0.0</v>
      </c>
      <c r="P331" s="19">
        <v>0.0</v>
      </c>
      <c r="Q331" s="19">
        <v>0.0</v>
      </c>
      <c r="R331" s="19">
        <v>0.0</v>
      </c>
      <c r="S331" s="19">
        <v>0.0</v>
      </c>
      <c r="T331" s="23">
        <v>0.0</v>
      </c>
      <c r="U331" s="21">
        <v>0.0</v>
      </c>
      <c r="V331" s="21">
        <v>0.0</v>
      </c>
      <c r="W331" s="21">
        <v>0.0</v>
      </c>
      <c r="X331" s="21">
        <v>0.0</v>
      </c>
      <c r="Y331" s="20" t="s">
        <v>1347</v>
      </c>
    </row>
    <row r="332">
      <c r="A332" s="9">
        <v>330.0</v>
      </c>
      <c r="B332" s="10" t="s">
        <v>1348</v>
      </c>
      <c r="C332" s="11" t="s">
        <v>1349</v>
      </c>
      <c r="D332" s="12" t="s">
        <v>107</v>
      </c>
      <c r="E332" s="13" t="s">
        <v>1350</v>
      </c>
      <c r="F332" s="12">
        <v>24.0</v>
      </c>
      <c r="G332" s="12">
        <v>2001.0</v>
      </c>
      <c r="H332" s="14">
        <v>30.0</v>
      </c>
      <c r="I332" s="15">
        <v>11.0</v>
      </c>
      <c r="J332" s="16">
        <v>1081.0</v>
      </c>
      <c r="K332" s="15">
        <v>12.0</v>
      </c>
      <c r="L332" s="17">
        <v>0.08</v>
      </c>
      <c r="M332" s="18">
        <v>0.33</v>
      </c>
      <c r="N332" s="18">
        <v>0.42</v>
      </c>
      <c r="O332" s="18">
        <v>0.08</v>
      </c>
      <c r="P332" s="19">
        <v>0.0</v>
      </c>
      <c r="Q332" s="19">
        <v>0.0</v>
      </c>
      <c r="R332" s="18">
        <v>0.25</v>
      </c>
      <c r="S332" s="19">
        <v>0.0</v>
      </c>
      <c r="T332" s="14">
        <v>0.08</v>
      </c>
      <c r="U332" s="15">
        <v>0.33</v>
      </c>
      <c r="V332" s="15">
        <v>0.42</v>
      </c>
      <c r="W332" s="15">
        <v>0.08</v>
      </c>
      <c r="X332" s="15">
        <v>0.42</v>
      </c>
      <c r="Y332" s="20" t="s">
        <v>1351</v>
      </c>
    </row>
    <row r="333">
      <c r="A333" s="9">
        <v>331.0</v>
      </c>
      <c r="B333" s="10" t="s">
        <v>1352</v>
      </c>
      <c r="C333" s="11" t="s">
        <v>1353</v>
      </c>
      <c r="D333" s="12" t="s">
        <v>98</v>
      </c>
      <c r="E333" s="13" t="s">
        <v>1354</v>
      </c>
      <c r="F333" s="12">
        <v>32.0</v>
      </c>
      <c r="G333" s="12">
        <v>1992.0</v>
      </c>
      <c r="H333" s="14">
        <v>32.0</v>
      </c>
      <c r="I333" s="15">
        <v>32.0</v>
      </c>
      <c r="J333" s="16">
        <v>2835.0</v>
      </c>
      <c r="K333" s="15">
        <v>31.5</v>
      </c>
      <c r="L333" s="22">
        <v>0.0</v>
      </c>
      <c r="M333" s="18">
        <v>0.03</v>
      </c>
      <c r="N333" s="18">
        <v>0.03</v>
      </c>
      <c r="O333" s="19">
        <v>0.0</v>
      </c>
      <c r="P333" s="19">
        <v>0.0</v>
      </c>
      <c r="Q333" s="19">
        <v>0.0</v>
      </c>
      <c r="R333" s="18">
        <v>0.06</v>
      </c>
      <c r="S333" s="19">
        <v>0.0</v>
      </c>
      <c r="T333" s="23">
        <v>0.0</v>
      </c>
      <c r="U333" s="15">
        <v>0.03</v>
      </c>
      <c r="V333" s="15">
        <v>0.03</v>
      </c>
      <c r="W333" s="21">
        <v>0.0</v>
      </c>
      <c r="X333" s="15">
        <v>0.03</v>
      </c>
      <c r="Y333" s="20" t="s">
        <v>1355</v>
      </c>
    </row>
    <row r="334">
      <c r="A334" s="9">
        <v>332.0</v>
      </c>
      <c r="B334" s="10" t="s">
        <v>1356</v>
      </c>
      <c r="C334" s="11" t="s">
        <v>1357</v>
      </c>
      <c r="D334" s="12" t="s">
        <v>36</v>
      </c>
      <c r="E334" s="13" t="s">
        <v>1358</v>
      </c>
      <c r="F334" s="12">
        <v>27.0</v>
      </c>
      <c r="G334" s="12">
        <v>1998.0</v>
      </c>
      <c r="H334" s="14">
        <v>18.0</v>
      </c>
      <c r="I334" s="15">
        <v>13.0</v>
      </c>
      <c r="J334" s="16">
        <v>1233.0</v>
      </c>
      <c r="K334" s="15">
        <v>13.7</v>
      </c>
      <c r="L334" s="22">
        <v>0.0</v>
      </c>
      <c r="M334" s="19">
        <v>0.0</v>
      </c>
      <c r="N334" s="19">
        <v>0.0</v>
      </c>
      <c r="O334" s="19">
        <v>0.0</v>
      </c>
      <c r="P334" s="19">
        <v>0.0</v>
      </c>
      <c r="Q334" s="19">
        <v>0.0</v>
      </c>
      <c r="R334" s="19">
        <v>0.0</v>
      </c>
      <c r="S334" s="18">
        <v>0.07</v>
      </c>
      <c r="T334" s="23">
        <v>0.0</v>
      </c>
      <c r="U334" s="21">
        <v>0.0</v>
      </c>
      <c r="V334" s="21">
        <v>0.0</v>
      </c>
      <c r="W334" s="21">
        <v>0.0</v>
      </c>
      <c r="X334" s="21">
        <v>0.0</v>
      </c>
      <c r="Y334" s="20" t="s">
        <v>1359</v>
      </c>
    </row>
    <row r="335">
      <c r="A335" s="9">
        <v>333.0</v>
      </c>
      <c r="B335" s="10" t="s">
        <v>1360</v>
      </c>
      <c r="C335" s="11" t="s">
        <v>1361</v>
      </c>
      <c r="D335" s="12" t="s">
        <v>36</v>
      </c>
      <c r="E335" s="13" t="s">
        <v>1362</v>
      </c>
      <c r="F335" s="12">
        <v>31.0</v>
      </c>
      <c r="G335" s="12">
        <v>1993.0</v>
      </c>
      <c r="H335" s="14">
        <v>3.0</v>
      </c>
      <c r="I335" s="15">
        <v>2.0</v>
      </c>
      <c r="J335" s="15">
        <v>126.0</v>
      </c>
      <c r="K335" s="15">
        <v>1.4</v>
      </c>
      <c r="L335" s="22">
        <v>0.0</v>
      </c>
      <c r="M335" s="19">
        <v>0.0</v>
      </c>
      <c r="N335" s="19">
        <v>0.0</v>
      </c>
      <c r="O335" s="19">
        <v>0.0</v>
      </c>
      <c r="P335" s="19">
        <v>0.0</v>
      </c>
      <c r="Q335" s="19">
        <v>0.0</v>
      </c>
      <c r="R335" s="18">
        <v>0.71</v>
      </c>
      <c r="S335" s="19">
        <v>0.0</v>
      </c>
      <c r="T335" s="23">
        <v>0.0</v>
      </c>
      <c r="U335" s="21">
        <v>0.0</v>
      </c>
      <c r="V335" s="21">
        <v>0.0</v>
      </c>
      <c r="W335" s="21">
        <v>0.0</v>
      </c>
      <c r="X335" s="21">
        <v>0.0</v>
      </c>
      <c r="Y335" s="20" t="s">
        <v>1363</v>
      </c>
    </row>
    <row r="336">
      <c r="A336" s="9">
        <v>334.0</v>
      </c>
      <c r="B336" s="10" t="s">
        <v>1364</v>
      </c>
      <c r="C336" s="11" t="s">
        <v>1365</v>
      </c>
      <c r="D336" s="12" t="s">
        <v>31</v>
      </c>
      <c r="E336" s="13" t="s">
        <v>1366</v>
      </c>
      <c r="F336" s="12">
        <v>22.0</v>
      </c>
      <c r="G336" s="12">
        <v>2002.0</v>
      </c>
      <c r="H336" s="14">
        <v>26.0</v>
      </c>
      <c r="I336" s="15">
        <v>13.0</v>
      </c>
      <c r="J336" s="16">
        <v>1397.0</v>
      </c>
      <c r="K336" s="15">
        <v>15.5</v>
      </c>
      <c r="L336" s="17">
        <v>0.13</v>
      </c>
      <c r="M336" s="18">
        <v>0.26</v>
      </c>
      <c r="N336" s="18">
        <v>0.39</v>
      </c>
      <c r="O336" s="18">
        <v>0.13</v>
      </c>
      <c r="P336" s="19">
        <v>0.0</v>
      </c>
      <c r="Q336" s="19">
        <v>0.0</v>
      </c>
      <c r="R336" s="18">
        <v>0.19</v>
      </c>
      <c r="S336" s="19">
        <v>0.0</v>
      </c>
      <c r="T336" s="14">
        <v>0.13</v>
      </c>
      <c r="U336" s="15">
        <v>0.26</v>
      </c>
      <c r="V336" s="15">
        <v>0.39</v>
      </c>
      <c r="W336" s="15">
        <v>0.13</v>
      </c>
      <c r="X336" s="15">
        <v>0.39</v>
      </c>
      <c r="Y336" s="20" t="s">
        <v>1367</v>
      </c>
    </row>
    <row r="337">
      <c r="A337" s="9">
        <v>335.0</v>
      </c>
      <c r="B337" s="10" t="s">
        <v>1368</v>
      </c>
      <c r="C337" s="11" t="s">
        <v>1369</v>
      </c>
      <c r="D337" s="12" t="s">
        <v>41</v>
      </c>
      <c r="E337" s="13" t="s">
        <v>1370</v>
      </c>
      <c r="F337" s="12">
        <v>28.0</v>
      </c>
      <c r="G337" s="12">
        <v>1997.0</v>
      </c>
      <c r="H337" s="14">
        <v>32.0</v>
      </c>
      <c r="I337" s="15">
        <v>25.0</v>
      </c>
      <c r="J337" s="16">
        <v>2218.0</v>
      </c>
      <c r="K337" s="15">
        <v>24.6</v>
      </c>
      <c r="L337" s="17">
        <v>0.49</v>
      </c>
      <c r="M337" s="19">
        <v>0.0</v>
      </c>
      <c r="N337" s="18">
        <v>0.49</v>
      </c>
      <c r="O337" s="18">
        <v>0.33</v>
      </c>
      <c r="P337" s="18">
        <v>0.16</v>
      </c>
      <c r="Q337" s="18">
        <v>0.16</v>
      </c>
      <c r="R337" s="18">
        <v>0.08</v>
      </c>
      <c r="S337" s="19">
        <v>0.0</v>
      </c>
      <c r="T337" s="14">
        <v>0.49</v>
      </c>
      <c r="U337" s="21">
        <v>0.0</v>
      </c>
      <c r="V337" s="15">
        <v>0.49</v>
      </c>
      <c r="W337" s="15">
        <v>0.32</v>
      </c>
      <c r="X337" s="15">
        <v>0.32</v>
      </c>
      <c r="Y337" s="20" t="s">
        <v>1371</v>
      </c>
    </row>
    <row r="338">
      <c r="A338" s="9">
        <v>336.0</v>
      </c>
      <c r="B338" s="10" t="s">
        <v>1372</v>
      </c>
      <c r="C338" s="11" t="s">
        <v>1373</v>
      </c>
      <c r="D338" s="12" t="s">
        <v>36</v>
      </c>
      <c r="E338" s="13" t="s">
        <v>1374</v>
      </c>
      <c r="F338" s="12">
        <v>27.0</v>
      </c>
      <c r="G338" s="12">
        <v>1997.0</v>
      </c>
      <c r="H338" s="14">
        <v>31.0</v>
      </c>
      <c r="I338" s="15">
        <v>27.0</v>
      </c>
      <c r="J338" s="16">
        <v>2534.0</v>
      </c>
      <c r="K338" s="15">
        <v>28.2</v>
      </c>
      <c r="L338" s="17">
        <v>0.11</v>
      </c>
      <c r="M338" s="19">
        <v>0.0</v>
      </c>
      <c r="N338" s="18">
        <v>0.11</v>
      </c>
      <c r="O338" s="18">
        <v>0.11</v>
      </c>
      <c r="P338" s="19">
        <v>0.0</v>
      </c>
      <c r="Q338" s="19">
        <v>0.0</v>
      </c>
      <c r="R338" s="18">
        <v>0.07</v>
      </c>
      <c r="S338" s="19">
        <v>0.0</v>
      </c>
      <c r="T338" s="14">
        <v>0.11</v>
      </c>
      <c r="U338" s="21">
        <v>0.0</v>
      </c>
      <c r="V338" s="15">
        <v>0.11</v>
      </c>
      <c r="W338" s="15">
        <v>0.11</v>
      </c>
      <c r="X338" s="15">
        <v>0.11</v>
      </c>
      <c r="Y338" s="20" t="s">
        <v>1375</v>
      </c>
    </row>
    <row r="339">
      <c r="A339" s="9">
        <v>337.0</v>
      </c>
      <c r="B339" s="10" t="s">
        <v>1376</v>
      </c>
      <c r="C339" s="11" t="s">
        <v>1377</v>
      </c>
      <c r="D339" s="12" t="s">
        <v>107</v>
      </c>
      <c r="E339" s="13" t="s">
        <v>1378</v>
      </c>
      <c r="F339" s="12">
        <v>20.0</v>
      </c>
      <c r="G339" s="12">
        <v>2005.0</v>
      </c>
      <c r="H339" s="14">
        <v>20.0</v>
      </c>
      <c r="I339" s="15">
        <v>8.0</v>
      </c>
      <c r="J339" s="15">
        <v>759.0</v>
      </c>
      <c r="K339" s="15">
        <v>8.4</v>
      </c>
      <c r="L339" s="17">
        <v>0.24</v>
      </c>
      <c r="M339" s="19">
        <v>0.0</v>
      </c>
      <c r="N339" s="18">
        <v>0.24</v>
      </c>
      <c r="O339" s="18">
        <v>0.24</v>
      </c>
      <c r="P339" s="19">
        <v>0.0</v>
      </c>
      <c r="Q339" s="19">
        <v>0.0</v>
      </c>
      <c r="R339" s="19">
        <v>0.0</v>
      </c>
      <c r="S339" s="19">
        <v>0.0</v>
      </c>
      <c r="T339" s="14">
        <v>0.24</v>
      </c>
      <c r="U339" s="21">
        <v>0.0</v>
      </c>
      <c r="V339" s="15">
        <v>0.24</v>
      </c>
      <c r="W339" s="15">
        <v>0.24</v>
      </c>
      <c r="X339" s="15">
        <v>0.24</v>
      </c>
      <c r="Y339" s="20" t="s">
        <v>1379</v>
      </c>
    </row>
    <row r="340">
      <c r="A340" s="9">
        <v>338.0</v>
      </c>
      <c r="B340" s="10" t="s">
        <v>1380</v>
      </c>
      <c r="C340" s="11" t="s">
        <v>1381</v>
      </c>
      <c r="D340" s="12" t="s">
        <v>36</v>
      </c>
      <c r="E340" s="13" t="s">
        <v>1382</v>
      </c>
      <c r="F340" s="12">
        <v>18.0</v>
      </c>
      <c r="G340" s="12">
        <v>2007.0</v>
      </c>
      <c r="H340" s="14">
        <v>6.0</v>
      </c>
      <c r="I340" s="21">
        <v>0.0</v>
      </c>
      <c r="J340" s="15">
        <v>117.0</v>
      </c>
      <c r="K340" s="15">
        <v>1.3</v>
      </c>
      <c r="L340" s="22">
        <v>0.0</v>
      </c>
      <c r="M340" s="19">
        <v>0.0</v>
      </c>
      <c r="N340" s="19">
        <v>0.0</v>
      </c>
      <c r="O340" s="19">
        <v>0.0</v>
      </c>
      <c r="P340" s="19">
        <v>0.0</v>
      </c>
      <c r="Q340" s="19">
        <v>0.0</v>
      </c>
      <c r="R340" s="19">
        <v>0.0</v>
      </c>
      <c r="S340" s="19">
        <v>0.0</v>
      </c>
      <c r="T340" s="23">
        <v>0.0</v>
      </c>
      <c r="U340" s="21">
        <v>0.0</v>
      </c>
      <c r="V340" s="21">
        <v>0.0</v>
      </c>
      <c r="W340" s="21">
        <v>0.0</v>
      </c>
      <c r="X340" s="21">
        <v>0.0</v>
      </c>
      <c r="Y340" s="20" t="s">
        <v>1383</v>
      </c>
    </row>
    <row r="341">
      <c r="A341" s="9">
        <v>339.0</v>
      </c>
      <c r="B341" s="10" t="s">
        <v>1384</v>
      </c>
      <c r="C341" s="11" t="s">
        <v>1385</v>
      </c>
      <c r="D341" s="12" t="s">
        <v>345</v>
      </c>
      <c r="E341" s="13" t="s">
        <v>1386</v>
      </c>
      <c r="F341" s="12">
        <v>27.0</v>
      </c>
      <c r="G341" s="12">
        <v>1997.0</v>
      </c>
      <c r="H341" s="14">
        <v>20.0</v>
      </c>
      <c r="I341" s="15">
        <v>11.0</v>
      </c>
      <c r="J341" s="15">
        <v>985.0</v>
      </c>
      <c r="K341" s="15">
        <v>10.9</v>
      </c>
      <c r="L341" s="22">
        <v>0.0</v>
      </c>
      <c r="M341" s="19">
        <v>0.0</v>
      </c>
      <c r="N341" s="19">
        <v>0.0</v>
      </c>
      <c r="O341" s="19">
        <v>0.0</v>
      </c>
      <c r="P341" s="19">
        <v>0.0</v>
      </c>
      <c r="Q341" s="19">
        <v>0.0</v>
      </c>
      <c r="R341" s="18">
        <v>0.28</v>
      </c>
      <c r="S341" s="19">
        <v>0.0</v>
      </c>
      <c r="T341" s="23">
        <v>0.0</v>
      </c>
      <c r="U341" s="21">
        <v>0.0</v>
      </c>
      <c r="V341" s="21">
        <v>0.0</v>
      </c>
      <c r="W341" s="21">
        <v>0.0</v>
      </c>
      <c r="X341" s="21">
        <v>0.0</v>
      </c>
      <c r="Y341" s="20" t="s">
        <v>1387</v>
      </c>
    </row>
    <row r="342">
      <c r="A342" s="9">
        <v>340.0</v>
      </c>
      <c r="B342" s="10" t="s">
        <v>1388</v>
      </c>
      <c r="C342" s="11" t="s">
        <v>1389</v>
      </c>
      <c r="D342" s="12" t="s">
        <v>26</v>
      </c>
      <c r="E342" s="13" t="s">
        <v>1390</v>
      </c>
      <c r="F342" s="12">
        <v>25.0</v>
      </c>
      <c r="G342" s="12">
        <v>1999.0</v>
      </c>
      <c r="H342" s="14">
        <v>33.0</v>
      </c>
      <c r="I342" s="15">
        <v>31.0</v>
      </c>
      <c r="J342" s="16">
        <v>2609.0</v>
      </c>
      <c r="K342" s="15">
        <v>29.0</v>
      </c>
      <c r="L342" s="17">
        <v>0.38</v>
      </c>
      <c r="M342" s="18">
        <v>0.1</v>
      </c>
      <c r="N342" s="18">
        <v>0.48</v>
      </c>
      <c r="O342" s="18">
        <v>0.38</v>
      </c>
      <c r="P342" s="19">
        <v>0.0</v>
      </c>
      <c r="Q342" s="19">
        <v>0.0</v>
      </c>
      <c r="R342" s="18">
        <v>0.14</v>
      </c>
      <c r="S342" s="19">
        <v>0.0</v>
      </c>
      <c r="T342" s="14">
        <v>0.38</v>
      </c>
      <c r="U342" s="15">
        <v>0.1</v>
      </c>
      <c r="V342" s="15">
        <v>0.48</v>
      </c>
      <c r="W342" s="15">
        <v>0.38</v>
      </c>
      <c r="X342" s="15">
        <v>0.48</v>
      </c>
      <c r="Y342" s="20" t="s">
        <v>1391</v>
      </c>
    </row>
    <row r="343">
      <c r="A343" s="9">
        <v>341.0</v>
      </c>
      <c r="B343" s="10" t="s">
        <v>1392</v>
      </c>
      <c r="C343" s="11" t="s">
        <v>1393</v>
      </c>
      <c r="D343" s="12" t="s">
        <v>31</v>
      </c>
      <c r="E343" s="13" t="s">
        <v>1394</v>
      </c>
      <c r="F343" s="12">
        <v>22.0</v>
      </c>
      <c r="G343" s="12">
        <v>2002.0</v>
      </c>
      <c r="H343" s="14">
        <v>14.0</v>
      </c>
      <c r="I343" s="15">
        <v>2.0</v>
      </c>
      <c r="J343" s="15">
        <v>298.0</v>
      </c>
      <c r="K343" s="15">
        <v>3.3</v>
      </c>
      <c r="L343" s="22">
        <v>0.0</v>
      </c>
      <c r="M343" s="18">
        <v>0.3</v>
      </c>
      <c r="N343" s="18">
        <v>0.3</v>
      </c>
      <c r="O343" s="19">
        <v>0.0</v>
      </c>
      <c r="P343" s="19">
        <v>0.0</v>
      </c>
      <c r="Q343" s="19">
        <v>0.0</v>
      </c>
      <c r="R343" s="18">
        <v>0.3</v>
      </c>
      <c r="S343" s="19">
        <v>0.0</v>
      </c>
      <c r="T343" s="23">
        <v>0.0</v>
      </c>
      <c r="U343" s="15">
        <v>0.3</v>
      </c>
      <c r="V343" s="15">
        <v>0.3</v>
      </c>
      <c r="W343" s="21">
        <v>0.0</v>
      </c>
      <c r="X343" s="15">
        <v>0.3</v>
      </c>
      <c r="Y343" s="20" t="s">
        <v>1395</v>
      </c>
    </row>
    <row r="344">
      <c r="A344" s="9">
        <v>342.0</v>
      </c>
      <c r="B344" s="10" t="s">
        <v>1396</v>
      </c>
      <c r="C344" s="11" t="s">
        <v>1397</v>
      </c>
      <c r="D344" s="12" t="s">
        <v>31</v>
      </c>
      <c r="E344" s="13" t="s">
        <v>1398</v>
      </c>
      <c r="F344" s="12">
        <v>30.0</v>
      </c>
      <c r="G344" s="12">
        <v>1994.0</v>
      </c>
      <c r="H344" s="14">
        <v>30.0</v>
      </c>
      <c r="I344" s="15">
        <v>28.0</v>
      </c>
      <c r="J344" s="16">
        <v>2137.0</v>
      </c>
      <c r="K344" s="15">
        <v>23.7</v>
      </c>
      <c r="L344" s="17">
        <v>0.21</v>
      </c>
      <c r="M344" s="18">
        <v>0.17</v>
      </c>
      <c r="N344" s="18">
        <v>0.38</v>
      </c>
      <c r="O344" s="18">
        <v>0.21</v>
      </c>
      <c r="P344" s="19">
        <v>0.0</v>
      </c>
      <c r="Q344" s="19">
        <v>0.0</v>
      </c>
      <c r="R344" s="18">
        <v>0.21</v>
      </c>
      <c r="S344" s="19">
        <v>0.0</v>
      </c>
      <c r="T344" s="14">
        <v>0.21</v>
      </c>
      <c r="U344" s="15">
        <v>0.17</v>
      </c>
      <c r="V344" s="15">
        <v>0.38</v>
      </c>
      <c r="W344" s="15">
        <v>0.21</v>
      </c>
      <c r="X344" s="15">
        <v>0.38</v>
      </c>
      <c r="Y344" s="20" t="s">
        <v>1399</v>
      </c>
    </row>
    <row r="345">
      <c r="A345" s="9">
        <v>343.0</v>
      </c>
      <c r="B345" s="10" t="s">
        <v>1400</v>
      </c>
      <c r="C345" s="11" t="s">
        <v>1401</v>
      </c>
      <c r="D345" s="12" t="s">
        <v>31</v>
      </c>
      <c r="E345" s="13" t="s">
        <v>1402</v>
      </c>
      <c r="F345" s="12">
        <v>25.0</v>
      </c>
      <c r="G345" s="12">
        <v>1999.0</v>
      </c>
      <c r="H345" s="14">
        <v>22.0</v>
      </c>
      <c r="I345" s="15">
        <v>14.0</v>
      </c>
      <c r="J345" s="16">
        <v>1168.0</v>
      </c>
      <c r="K345" s="15">
        <v>13.0</v>
      </c>
      <c r="L345" s="22">
        <v>0.0</v>
      </c>
      <c r="M345" s="18">
        <v>0.08</v>
      </c>
      <c r="N345" s="18">
        <v>0.08</v>
      </c>
      <c r="O345" s="19">
        <v>0.0</v>
      </c>
      <c r="P345" s="19">
        <v>0.0</v>
      </c>
      <c r="Q345" s="19">
        <v>0.0</v>
      </c>
      <c r="R345" s="18">
        <v>0.08</v>
      </c>
      <c r="S345" s="19">
        <v>0.0</v>
      </c>
      <c r="T345" s="23">
        <v>0.0</v>
      </c>
      <c r="U345" s="15">
        <v>0.08</v>
      </c>
      <c r="V345" s="15">
        <v>0.08</v>
      </c>
      <c r="W345" s="21">
        <v>0.0</v>
      </c>
      <c r="X345" s="15">
        <v>0.08</v>
      </c>
      <c r="Y345" s="20" t="s">
        <v>1403</v>
      </c>
    </row>
    <row r="346">
      <c r="A346" s="9">
        <v>344.0</v>
      </c>
      <c r="B346" s="10" t="s">
        <v>1404</v>
      </c>
      <c r="C346" s="11" t="s">
        <v>1405</v>
      </c>
      <c r="D346" s="12" t="s">
        <v>31</v>
      </c>
      <c r="E346" s="13" t="s">
        <v>1406</v>
      </c>
      <c r="F346" s="12">
        <v>22.0</v>
      </c>
      <c r="G346" s="12">
        <v>2003.0</v>
      </c>
      <c r="H346" s="14">
        <v>27.0</v>
      </c>
      <c r="I346" s="15">
        <v>15.0</v>
      </c>
      <c r="J346" s="16">
        <v>1229.0</v>
      </c>
      <c r="K346" s="15">
        <v>13.7</v>
      </c>
      <c r="L346" s="17">
        <v>0.07</v>
      </c>
      <c r="M346" s="18">
        <v>0.29</v>
      </c>
      <c r="N346" s="18">
        <v>0.36</v>
      </c>
      <c r="O346" s="18">
        <v>0.07</v>
      </c>
      <c r="P346" s="19">
        <v>0.0</v>
      </c>
      <c r="Q346" s="19">
        <v>0.0</v>
      </c>
      <c r="R346" s="18">
        <v>0.73</v>
      </c>
      <c r="S346" s="19">
        <v>0.0</v>
      </c>
      <c r="T346" s="14">
        <v>0.07</v>
      </c>
      <c r="U346" s="15">
        <v>0.29</v>
      </c>
      <c r="V346" s="15">
        <v>0.37</v>
      </c>
      <c r="W346" s="15">
        <v>0.07</v>
      </c>
      <c r="X346" s="15">
        <v>0.37</v>
      </c>
      <c r="Y346" s="20" t="s">
        <v>1407</v>
      </c>
    </row>
    <row r="347">
      <c r="A347" s="9">
        <v>345.0</v>
      </c>
      <c r="B347" s="10" t="s">
        <v>1408</v>
      </c>
      <c r="C347" s="11" t="s">
        <v>1409</v>
      </c>
      <c r="D347" s="12" t="s">
        <v>26</v>
      </c>
      <c r="E347" s="13" t="s">
        <v>1410</v>
      </c>
      <c r="F347" s="12">
        <v>29.0</v>
      </c>
      <c r="G347" s="12">
        <v>1996.0</v>
      </c>
      <c r="H347" s="14">
        <v>22.0</v>
      </c>
      <c r="I347" s="15">
        <v>10.0</v>
      </c>
      <c r="J347" s="16">
        <v>1036.0</v>
      </c>
      <c r="K347" s="15">
        <v>11.5</v>
      </c>
      <c r="L347" s="17">
        <v>0.35</v>
      </c>
      <c r="M347" s="18">
        <v>0.26</v>
      </c>
      <c r="N347" s="18">
        <v>0.61</v>
      </c>
      <c r="O347" s="18">
        <v>0.35</v>
      </c>
      <c r="P347" s="19">
        <v>0.0</v>
      </c>
      <c r="Q347" s="19">
        <v>0.0</v>
      </c>
      <c r="R347" s="18">
        <v>0.09</v>
      </c>
      <c r="S347" s="19">
        <v>0.0</v>
      </c>
      <c r="T347" s="14">
        <v>0.35</v>
      </c>
      <c r="U347" s="15">
        <v>0.26</v>
      </c>
      <c r="V347" s="15">
        <v>0.61</v>
      </c>
      <c r="W347" s="15">
        <v>0.35</v>
      </c>
      <c r="X347" s="15">
        <v>0.61</v>
      </c>
      <c r="Y347" s="20" t="s">
        <v>1411</v>
      </c>
    </row>
    <row r="348">
      <c r="A348" s="9">
        <v>346.0</v>
      </c>
      <c r="B348" s="10" t="s">
        <v>1412</v>
      </c>
      <c r="C348" s="11" t="s">
        <v>1413</v>
      </c>
      <c r="D348" s="12" t="s">
        <v>41</v>
      </c>
      <c r="E348" s="13" t="s">
        <v>1414</v>
      </c>
      <c r="F348" s="12">
        <v>17.0</v>
      </c>
      <c r="G348" s="12">
        <v>2007.0</v>
      </c>
      <c r="H348" s="14">
        <v>1.0</v>
      </c>
      <c r="I348" s="21">
        <v>0.0</v>
      </c>
      <c r="J348" s="15">
        <v>2.0</v>
      </c>
      <c r="K348" s="21">
        <v>0.0</v>
      </c>
      <c r="L348" s="23">
        <v>0.0</v>
      </c>
      <c r="M348" s="21">
        <v>0.0</v>
      </c>
      <c r="N348" s="21">
        <v>0.0</v>
      </c>
      <c r="O348" s="21">
        <v>0.0</v>
      </c>
      <c r="P348" s="21">
        <v>0.0</v>
      </c>
      <c r="Q348" s="21">
        <v>0.0</v>
      </c>
      <c r="R348" s="21">
        <v>0.0</v>
      </c>
      <c r="S348" s="21">
        <v>0.0</v>
      </c>
      <c r="T348" s="23">
        <v>0.0</v>
      </c>
      <c r="U348" s="21">
        <v>0.0</v>
      </c>
      <c r="V348" s="21">
        <v>0.0</v>
      </c>
      <c r="W348" s="21">
        <v>0.0</v>
      </c>
      <c r="X348" s="21">
        <v>0.0</v>
      </c>
      <c r="Y348" s="20" t="s">
        <v>1415</v>
      </c>
    </row>
    <row r="349">
      <c r="A349" s="9">
        <v>347.0</v>
      </c>
      <c r="B349" s="10" t="s">
        <v>1416</v>
      </c>
      <c r="C349" s="11" t="s">
        <v>1417</v>
      </c>
      <c r="D349" s="12" t="s">
        <v>31</v>
      </c>
      <c r="E349" s="13" t="s">
        <v>1418</v>
      </c>
      <c r="F349" s="12">
        <v>20.0</v>
      </c>
      <c r="G349" s="12">
        <v>2005.0</v>
      </c>
      <c r="H349" s="14">
        <v>1.0</v>
      </c>
      <c r="I349" s="15">
        <v>1.0</v>
      </c>
      <c r="J349" s="15">
        <v>45.0</v>
      </c>
      <c r="K349" s="15">
        <v>0.5</v>
      </c>
      <c r="L349" s="22">
        <v>0.0</v>
      </c>
      <c r="M349" s="19">
        <v>0.0</v>
      </c>
      <c r="N349" s="19">
        <v>0.0</v>
      </c>
      <c r="O349" s="19">
        <v>0.0</v>
      </c>
      <c r="P349" s="19">
        <v>0.0</v>
      </c>
      <c r="Q349" s="19">
        <v>0.0</v>
      </c>
      <c r="R349" s="19">
        <v>0.0</v>
      </c>
      <c r="S349" s="19">
        <v>0.0</v>
      </c>
      <c r="T349" s="23">
        <v>0.0</v>
      </c>
      <c r="U349" s="21">
        <v>0.0</v>
      </c>
      <c r="V349" s="21">
        <v>0.0</v>
      </c>
      <c r="W349" s="21">
        <v>0.0</v>
      </c>
      <c r="X349" s="21">
        <v>0.0</v>
      </c>
      <c r="Y349" s="20" t="s">
        <v>1419</v>
      </c>
    </row>
    <row r="350">
      <c r="A350" s="9">
        <v>348.0</v>
      </c>
      <c r="B350" s="10" t="s">
        <v>1420</v>
      </c>
      <c r="C350" s="11" t="s">
        <v>1421</v>
      </c>
      <c r="D350" s="12" t="s">
        <v>36</v>
      </c>
      <c r="E350" s="13" t="s">
        <v>1422</v>
      </c>
      <c r="F350" s="12">
        <v>27.0</v>
      </c>
      <c r="G350" s="12">
        <v>1997.0</v>
      </c>
      <c r="H350" s="14">
        <v>38.0</v>
      </c>
      <c r="I350" s="15">
        <v>37.0</v>
      </c>
      <c r="J350" s="16">
        <v>3375.0</v>
      </c>
      <c r="K350" s="15">
        <v>37.5</v>
      </c>
      <c r="L350" s="22">
        <v>0.0</v>
      </c>
      <c r="M350" s="19">
        <v>0.0</v>
      </c>
      <c r="N350" s="19">
        <v>0.0</v>
      </c>
      <c r="O350" s="19">
        <v>0.0</v>
      </c>
      <c r="P350" s="19">
        <v>0.0</v>
      </c>
      <c r="Q350" s="19">
        <v>0.0</v>
      </c>
      <c r="R350" s="18">
        <v>0.16</v>
      </c>
      <c r="S350" s="19">
        <v>0.0</v>
      </c>
      <c r="T350" s="23">
        <v>0.0</v>
      </c>
      <c r="U350" s="21">
        <v>0.0</v>
      </c>
      <c r="V350" s="21">
        <v>0.0</v>
      </c>
      <c r="W350" s="21">
        <v>0.0</v>
      </c>
      <c r="X350" s="21">
        <v>0.0</v>
      </c>
      <c r="Y350" s="20" t="s">
        <v>1423</v>
      </c>
    </row>
    <row r="351">
      <c r="A351" s="9">
        <v>349.0</v>
      </c>
      <c r="B351" s="10" t="s">
        <v>1424</v>
      </c>
      <c r="C351" s="11" t="s">
        <v>1425</v>
      </c>
      <c r="D351" s="12" t="s">
        <v>264</v>
      </c>
      <c r="E351" s="13" t="s">
        <v>1426</v>
      </c>
      <c r="F351" s="12">
        <v>19.0</v>
      </c>
      <c r="G351" s="12">
        <v>2006.0</v>
      </c>
      <c r="H351" s="14">
        <v>23.0</v>
      </c>
      <c r="I351" s="15">
        <v>15.0</v>
      </c>
      <c r="J351" s="16">
        <v>1496.0</v>
      </c>
      <c r="K351" s="15">
        <v>16.6</v>
      </c>
      <c r="L351" s="17">
        <v>0.06</v>
      </c>
      <c r="M351" s="18">
        <v>0.24</v>
      </c>
      <c r="N351" s="18">
        <v>0.3</v>
      </c>
      <c r="O351" s="18">
        <v>0.06</v>
      </c>
      <c r="P351" s="19">
        <v>0.0</v>
      </c>
      <c r="Q351" s="19">
        <v>0.0</v>
      </c>
      <c r="R351" s="19">
        <v>0.0</v>
      </c>
      <c r="S351" s="19">
        <v>0.0</v>
      </c>
      <c r="T351" s="14">
        <v>0.06</v>
      </c>
      <c r="U351" s="15">
        <v>0.24</v>
      </c>
      <c r="V351" s="15">
        <v>0.3</v>
      </c>
      <c r="W351" s="15">
        <v>0.06</v>
      </c>
      <c r="X351" s="15">
        <v>0.3</v>
      </c>
      <c r="Y351" s="20" t="s">
        <v>1427</v>
      </c>
    </row>
    <row r="352">
      <c r="A352" s="9">
        <v>350.0</v>
      </c>
      <c r="B352" s="10" t="s">
        <v>1428</v>
      </c>
      <c r="C352" s="11" t="s">
        <v>1429</v>
      </c>
      <c r="D352" s="12" t="s">
        <v>31</v>
      </c>
      <c r="E352" s="13" t="s">
        <v>1430</v>
      </c>
      <c r="F352" s="12">
        <v>39.0</v>
      </c>
      <c r="G352" s="12">
        <v>1986.0</v>
      </c>
      <c r="H352" s="14">
        <v>20.0</v>
      </c>
      <c r="I352" s="15">
        <v>7.0</v>
      </c>
      <c r="J352" s="15">
        <v>784.0</v>
      </c>
      <c r="K352" s="15">
        <v>8.7</v>
      </c>
      <c r="L352" s="17">
        <v>0.11</v>
      </c>
      <c r="M352" s="18">
        <v>0.11</v>
      </c>
      <c r="N352" s="18">
        <v>0.23</v>
      </c>
      <c r="O352" s="19">
        <v>0.0</v>
      </c>
      <c r="P352" s="18">
        <v>0.11</v>
      </c>
      <c r="Q352" s="18">
        <v>0.11</v>
      </c>
      <c r="R352" s="18">
        <v>0.23</v>
      </c>
      <c r="S352" s="19">
        <v>0.0</v>
      </c>
      <c r="T352" s="14">
        <v>0.11</v>
      </c>
      <c r="U352" s="15">
        <v>0.11</v>
      </c>
      <c r="V352" s="15">
        <v>0.23</v>
      </c>
      <c r="W352" s="21">
        <v>0.0</v>
      </c>
      <c r="X352" s="15">
        <v>0.11</v>
      </c>
      <c r="Y352" s="20" t="s">
        <v>1431</v>
      </c>
    </row>
    <row r="353">
      <c r="A353" s="9">
        <v>351.0</v>
      </c>
      <c r="B353" s="10" t="s">
        <v>1432</v>
      </c>
      <c r="C353" s="11" t="s">
        <v>1433</v>
      </c>
      <c r="D353" s="12" t="s">
        <v>36</v>
      </c>
      <c r="E353" s="13" t="s">
        <v>1434</v>
      </c>
      <c r="F353" s="12">
        <v>18.0</v>
      </c>
      <c r="G353" s="12">
        <v>2007.0</v>
      </c>
      <c r="H353" s="14">
        <v>7.0</v>
      </c>
      <c r="I353" s="15">
        <v>4.0</v>
      </c>
      <c r="J353" s="15">
        <v>368.0</v>
      </c>
      <c r="K353" s="15">
        <v>4.1</v>
      </c>
      <c r="L353" s="22">
        <v>0.0</v>
      </c>
      <c r="M353" s="19">
        <v>0.0</v>
      </c>
      <c r="N353" s="19">
        <v>0.0</v>
      </c>
      <c r="O353" s="19">
        <v>0.0</v>
      </c>
      <c r="P353" s="19">
        <v>0.0</v>
      </c>
      <c r="Q353" s="19">
        <v>0.0</v>
      </c>
      <c r="R353" s="19">
        <v>0.0</v>
      </c>
      <c r="S353" s="19">
        <v>0.0</v>
      </c>
      <c r="T353" s="23">
        <v>0.0</v>
      </c>
      <c r="U353" s="21">
        <v>0.0</v>
      </c>
      <c r="V353" s="21">
        <v>0.0</v>
      </c>
      <c r="W353" s="21">
        <v>0.0</v>
      </c>
      <c r="X353" s="21">
        <v>0.0</v>
      </c>
      <c r="Y353" s="20" t="s">
        <v>1435</v>
      </c>
    </row>
    <row r="354">
      <c r="A354" s="9">
        <v>352.0</v>
      </c>
      <c r="B354" s="10" t="s">
        <v>1436</v>
      </c>
      <c r="C354" s="11" t="s">
        <v>1437</v>
      </c>
      <c r="D354" s="12" t="s">
        <v>36</v>
      </c>
      <c r="E354" s="13" t="s">
        <v>1438</v>
      </c>
      <c r="F354" s="12">
        <v>32.0</v>
      </c>
      <c r="G354" s="12">
        <v>1993.0</v>
      </c>
      <c r="H354" s="14">
        <v>17.0</v>
      </c>
      <c r="I354" s="15">
        <v>15.0</v>
      </c>
      <c r="J354" s="16">
        <v>1324.0</v>
      </c>
      <c r="K354" s="15">
        <v>14.7</v>
      </c>
      <c r="L354" s="22">
        <v>0.0</v>
      </c>
      <c r="M354" s="19">
        <v>0.0</v>
      </c>
      <c r="N354" s="19">
        <v>0.0</v>
      </c>
      <c r="O354" s="19">
        <v>0.0</v>
      </c>
      <c r="P354" s="19">
        <v>0.0</v>
      </c>
      <c r="Q354" s="19">
        <v>0.0</v>
      </c>
      <c r="R354" s="18">
        <v>0.07</v>
      </c>
      <c r="S354" s="19">
        <v>0.0</v>
      </c>
      <c r="T354" s="23">
        <v>0.0</v>
      </c>
      <c r="U354" s="21">
        <v>0.0</v>
      </c>
      <c r="V354" s="21">
        <v>0.0</v>
      </c>
      <c r="W354" s="21">
        <v>0.0</v>
      </c>
      <c r="X354" s="21">
        <v>0.0</v>
      </c>
      <c r="Y354" s="20" t="s">
        <v>1439</v>
      </c>
    </row>
    <row r="355">
      <c r="A355" s="9">
        <v>353.0</v>
      </c>
      <c r="B355" s="10" t="s">
        <v>1440</v>
      </c>
      <c r="C355" s="11" t="s">
        <v>1441</v>
      </c>
      <c r="D355" s="12" t="s">
        <v>31</v>
      </c>
      <c r="E355" s="13" t="s">
        <v>1442</v>
      </c>
      <c r="F355" s="12">
        <v>21.0</v>
      </c>
      <c r="G355" s="12">
        <v>2004.0</v>
      </c>
      <c r="H355" s="14">
        <v>34.0</v>
      </c>
      <c r="I355" s="15">
        <v>26.0</v>
      </c>
      <c r="J355" s="16">
        <v>2391.0</v>
      </c>
      <c r="K355" s="15">
        <v>26.6</v>
      </c>
      <c r="L355" s="17">
        <v>0.11</v>
      </c>
      <c r="M355" s="18">
        <v>0.15</v>
      </c>
      <c r="N355" s="18">
        <v>0.26</v>
      </c>
      <c r="O355" s="18">
        <v>0.11</v>
      </c>
      <c r="P355" s="19">
        <v>0.0</v>
      </c>
      <c r="Q355" s="19">
        <v>0.0</v>
      </c>
      <c r="R355" s="18">
        <v>0.11</v>
      </c>
      <c r="S355" s="19">
        <v>0.0</v>
      </c>
      <c r="T355" s="14">
        <v>0.11</v>
      </c>
      <c r="U355" s="15">
        <v>0.15</v>
      </c>
      <c r="V355" s="15">
        <v>0.26</v>
      </c>
      <c r="W355" s="15">
        <v>0.11</v>
      </c>
      <c r="X355" s="15">
        <v>0.26</v>
      </c>
      <c r="Y355" s="20" t="s">
        <v>1443</v>
      </c>
    </row>
    <row r="356">
      <c r="A356" s="9">
        <v>354.0</v>
      </c>
      <c r="B356" s="10" t="s">
        <v>1444</v>
      </c>
      <c r="C356" s="11" t="s">
        <v>1445</v>
      </c>
      <c r="D356" s="12" t="s">
        <v>31</v>
      </c>
      <c r="E356" s="13" t="s">
        <v>1446</v>
      </c>
      <c r="F356" s="12">
        <v>25.0</v>
      </c>
      <c r="G356" s="12">
        <v>1999.0</v>
      </c>
      <c r="H356" s="14">
        <v>38.0</v>
      </c>
      <c r="I356" s="15">
        <v>36.0</v>
      </c>
      <c r="J356" s="16">
        <v>3251.0</v>
      </c>
      <c r="K356" s="15">
        <v>36.1</v>
      </c>
      <c r="L356" s="17">
        <v>0.03</v>
      </c>
      <c r="M356" s="18">
        <v>0.06</v>
      </c>
      <c r="N356" s="18">
        <v>0.08</v>
      </c>
      <c r="O356" s="18">
        <v>0.03</v>
      </c>
      <c r="P356" s="19">
        <v>0.0</v>
      </c>
      <c r="Q356" s="19">
        <v>0.0</v>
      </c>
      <c r="R356" s="18">
        <v>0.17</v>
      </c>
      <c r="S356" s="19">
        <v>0.0</v>
      </c>
      <c r="T356" s="14">
        <v>0.03</v>
      </c>
      <c r="U356" s="15">
        <v>0.06</v>
      </c>
      <c r="V356" s="15">
        <v>0.08</v>
      </c>
      <c r="W356" s="15">
        <v>0.03</v>
      </c>
      <c r="X356" s="15">
        <v>0.08</v>
      </c>
      <c r="Y356" s="20" t="s">
        <v>1447</v>
      </c>
    </row>
    <row r="357">
      <c r="A357" s="9">
        <v>355.0</v>
      </c>
      <c r="B357" s="10" t="s">
        <v>1448</v>
      </c>
      <c r="C357" s="11" t="s">
        <v>1449</v>
      </c>
      <c r="D357" s="12" t="s">
        <v>26</v>
      </c>
      <c r="E357" s="13" t="s">
        <v>1450</v>
      </c>
      <c r="F357" s="12">
        <v>28.0</v>
      </c>
      <c r="G357" s="12">
        <v>1997.0</v>
      </c>
      <c r="H357" s="14">
        <v>25.0</v>
      </c>
      <c r="I357" s="15">
        <v>19.0</v>
      </c>
      <c r="J357" s="16">
        <v>1721.0</v>
      </c>
      <c r="K357" s="15">
        <v>19.1</v>
      </c>
      <c r="L357" s="17">
        <v>0.16</v>
      </c>
      <c r="M357" s="18">
        <v>0.05</v>
      </c>
      <c r="N357" s="18">
        <v>0.21</v>
      </c>
      <c r="O357" s="18">
        <v>0.16</v>
      </c>
      <c r="P357" s="19">
        <v>0.0</v>
      </c>
      <c r="Q357" s="19">
        <v>0.0</v>
      </c>
      <c r="R357" s="18">
        <v>0.26</v>
      </c>
      <c r="S357" s="19">
        <v>0.0</v>
      </c>
      <c r="T357" s="14">
        <v>0.16</v>
      </c>
      <c r="U357" s="15">
        <v>0.05</v>
      </c>
      <c r="V357" s="15">
        <v>0.21</v>
      </c>
      <c r="W357" s="15">
        <v>0.16</v>
      </c>
      <c r="X357" s="15">
        <v>0.21</v>
      </c>
      <c r="Y357" s="20" t="s">
        <v>1451</v>
      </c>
    </row>
    <row r="358">
      <c r="A358" s="9">
        <v>356.0</v>
      </c>
      <c r="B358" s="10" t="s">
        <v>1452</v>
      </c>
      <c r="C358" s="11" t="s">
        <v>1453</v>
      </c>
      <c r="D358" s="12" t="s">
        <v>36</v>
      </c>
      <c r="E358" s="13" t="s">
        <v>1454</v>
      </c>
      <c r="F358" s="12">
        <v>24.0</v>
      </c>
      <c r="G358" s="12">
        <v>2001.0</v>
      </c>
      <c r="H358" s="14">
        <v>21.0</v>
      </c>
      <c r="I358" s="15">
        <v>14.0</v>
      </c>
      <c r="J358" s="16">
        <v>1345.0</v>
      </c>
      <c r="K358" s="15">
        <v>14.9</v>
      </c>
      <c r="L358" s="17">
        <v>0.07</v>
      </c>
      <c r="M358" s="19">
        <v>0.0</v>
      </c>
      <c r="N358" s="18">
        <v>0.07</v>
      </c>
      <c r="O358" s="18">
        <v>0.07</v>
      </c>
      <c r="P358" s="19">
        <v>0.0</v>
      </c>
      <c r="Q358" s="19">
        <v>0.0</v>
      </c>
      <c r="R358" s="18">
        <v>0.34</v>
      </c>
      <c r="S358" s="19">
        <v>0.0</v>
      </c>
      <c r="T358" s="14">
        <v>0.07</v>
      </c>
      <c r="U358" s="21">
        <v>0.0</v>
      </c>
      <c r="V358" s="15">
        <v>0.07</v>
      </c>
      <c r="W358" s="15">
        <v>0.07</v>
      </c>
      <c r="X358" s="15">
        <v>0.07</v>
      </c>
      <c r="Y358" s="20" t="s">
        <v>1455</v>
      </c>
    </row>
    <row r="359">
      <c r="A359" s="9">
        <v>357.0</v>
      </c>
      <c r="B359" s="10" t="s">
        <v>1456</v>
      </c>
      <c r="C359" s="11" t="s">
        <v>1457</v>
      </c>
      <c r="D359" s="12" t="s">
        <v>36</v>
      </c>
      <c r="E359" s="13" t="s">
        <v>1458</v>
      </c>
      <c r="F359" s="12">
        <v>21.0</v>
      </c>
      <c r="G359" s="12">
        <v>2004.0</v>
      </c>
      <c r="H359" s="14">
        <v>20.0</v>
      </c>
      <c r="I359" s="15">
        <v>9.0</v>
      </c>
      <c r="J359" s="15">
        <v>994.0</v>
      </c>
      <c r="K359" s="15">
        <v>11.0</v>
      </c>
      <c r="L359" s="22">
        <v>0.0</v>
      </c>
      <c r="M359" s="19">
        <v>0.0</v>
      </c>
      <c r="N359" s="19">
        <v>0.0</v>
      </c>
      <c r="O359" s="19">
        <v>0.0</v>
      </c>
      <c r="P359" s="19">
        <v>0.0</v>
      </c>
      <c r="Q359" s="19">
        <v>0.0</v>
      </c>
      <c r="R359" s="18">
        <v>0.36</v>
      </c>
      <c r="S359" s="19">
        <v>0.0</v>
      </c>
      <c r="T359" s="23">
        <v>0.0</v>
      </c>
      <c r="U359" s="21">
        <v>0.0</v>
      </c>
      <c r="V359" s="21">
        <v>0.0</v>
      </c>
      <c r="W359" s="21">
        <v>0.0</v>
      </c>
      <c r="X359" s="21">
        <v>0.0</v>
      </c>
      <c r="Y359" s="20" t="s">
        <v>1459</v>
      </c>
    </row>
    <row r="360">
      <c r="A360" s="9">
        <v>358.0</v>
      </c>
      <c r="B360" s="10" t="s">
        <v>1460</v>
      </c>
      <c r="C360" s="11" t="s">
        <v>1461</v>
      </c>
      <c r="D360" s="12" t="s">
        <v>36</v>
      </c>
      <c r="E360" s="13" t="s">
        <v>1462</v>
      </c>
      <c r="F360" s="12">
        <v>24.0</v>
      </c>
      <c r="G360" s="12">
        <v>2001.0</v>
      </c>
      <c r="H360" s="14">
        <v>27.0</v>
      </c>
      <c r="I360" s="15">
        <v>24.0</v>
      </c>
      <c r="J360" s="16">
        <v>2136.0</v>
      </c>
      <c r="K360" s="15">
        <v>23.7</v>
      </c>
      <c r="L360" s="22">
        <v>0.0</v>
      </c>
      <c r="M360" s="19">
        <v>0.0</v>
      </c>
      <c r="N360" s="19">
        <v>0.0</v>
      </c>
      <c r="O360" s="19">
        <v>0.0</v>
      </c>
      <c r="P360" s="19">
        <v>0.0</v>
      </c>
      <c r="Q360" s="19">
        <v>0.0</v>
      </c>
      <c r="R360" s="18">
        <v>0.51</v>
      </c>
      <c r="S360" s="19">
        <v>0.0</v>
      </c>
      <c r="T360" s="23">
        <v>0.0</v>
      </c>
      <c r="U360" s="21">
        <v>0.0</v>
      </c>
      <c r="V360" s="21">
        <v>0.0</v>
      </c>
      <c r="W360" s="21">
        <v>0.0</v>
      </c>
      <c r="X360" s="21">
        <v>0.0</v>
      </c>
      <c r="Y360" s="20" t="s">
        <v>1463</v>
      </c>
    </row>
    <row r="361">
      <c r="A361" s="9">
        <v>359.0</v>
      </c>
      <c r="B361" s="10" t="s">
        <v>1464</v>
      </c>
      <c r="C361" s="11" t="s">
        <v>1465</v>
      </c>
      <c r="D361" s="12" t="s">
        <v>31</v>
      </c>
      <c r="E361" s="13" t="s">
        <v>1466</v>
      </c>
      <c r="F361" s="12">
        <v>26.0</v>
      </c>
      <c r="G361" s="12">
        <v>1999.0</v>
      </c>
      <c r="H361" s="14">
        <v>23.0</v>
      </c>
      <c r="I361" s="15">
        <v>12.0</v>
      </c>
      <c r="J361" s="16">
        <v>1017.0</v>
      </c>
      <c r="K361" s="15">
        <v>11.3</v>
      </c>
      <c r="L361" s="17">
        <v>0.27</v>
      </c>
      <c r="M361" s="19">
        <v>0.0</v>
      </c>
      <c r="N361" s="18">
        <v>0.27</v>
      </c>
      <c r="O361" s="18">
        <v>0.27</v>
      </c>
      <c r="P361" s="19">
        <v>0.0</v>
      </c>
      <c r="Q361" s="19">
        <v>0.0</v>
      </c>
      <c r="R361" s="18">
        <v>0.18</v>
      </c>
      <c r="S361" s="19">
        <v>0.0</v>
      </c>
      <c r="T361" s="14">
        <v>0.27</v>
      </c>
      <c r="U361" s="21">
        <v>0.0</v>
      </c>
      <c r="V361" s="15">
        <v>0.27</v>
      </c>
      <c r="W361" s="15">
        <v>0.27</v>
      </c>
      <c r="X361" s="15">
        <v>0.27</v>
      </c>
      <c r="Y361" s="20" t="s">
        <v>1467</v>
      </c>
    </row>
    <row r="362">
      <c r="A362" s="9">
        <v>360.0</v>
      </c>
      <c r="B362" s="10" t="s">
        <v>1468</v>
      </c>
      <c r="C362" s="11" t="s">
        <v>1469</v>
      </c>
      <c r="D362" s="12" t="s">
        <v>31</v>
      </c>
      <c r="E362" s="13" t="s">
        <v>1470</v>
      </c>
      <c r="F362" s="12">
        <v>17.0</v>
      </c>
      <c r="G362" s="12">
        <v>2007.0</v>
      </c>
      <c r="H362" s="14">
        <v>2.0</v>
      </c>
      <c r="I362" s="21">
        <v>0.0</v>
      </c>
      <c r="J362" s="15">
        <v>27.0</v>
      </c>
      <c r="K362" s="15">
        <v>0.3</v>
      </c>
      <c r="L362" s="22">
        <v>0.0</v>
      </c>
      <c r="M362" s="19">
        <v>0.0</v>
      </c>
      <c r="N362" s="19">
        <v>0.0</v>
      </c>
      <c r="O362" s="19">
        <v>0.0</v>
      </c>
      <c r="P362" s="19">
        <v>0.0</v>
      </c>
      <c r="Q362" s="19">
        <v>0.0</v>
      </c>
      <c r="R362" s="19">
        <v>0.0</v>
      </c>
      <c r="S362" s="19">
        <v>0.0</v>
      </c>
      <c r="T362" s="23">
        <v>0.0</v>
      </c>
      <c r="U362" s="21">
        <v>0.0</v>
      </c>
      <c r="V362" s="21">
        <v>0.0</v>
      </c>
      <c r="W362" s="21">
        <v>0.0</v>
      </c>
      <c r="X362" s="21">
        <v>0.0</v>
      </c>
      <c r="Y362" s="20" t="s">
        <v>1471</v>
      </c>
    </row>
    <row r="363">
      <c r="A363" s="9">
        <v>361.0</v>
      </c>
      <c r="B363" s="10" t="s">
        <v>1472</v>
      </c>
      <c r="C363" s="11" t="s">
        <v>1473</v>
      </c>
      <c r="D363" s="12" t="s">
        <v>36</v>
      </c>
      <c r="E363" s="13" t="s">
        <v>1474</v>
      </c>
      <c r="F363" s="12">
        <v>27.0</v>
      </c>
      <c r="G363" s="12">
        <v>1997.0</v>
      </c>
      <c r="H363" s="14">
        <v>32.0</v>
      </c>
      <c r="I363" s="15">
        <v>32.0</v>
      </c>
      <c r="J363" s="16">
        <v>2784.0</v>
      </c>
      <c r="K363" s="15">
        <v>30.9</v>
      </c>
      <c r="L363" s="17">
        <v>0.1</v>
      </c>
      <c r="M363" s="18">
        <v>0.1</v>
      </c>
      <c r="N363" s="18">
        <v>0.19</v>
      </c>
      <c r="O363" s="18">
        <v>0.1</v>
      </c>
      <c r="P363" s="19">
        <v>0.0</v>
      </c>
      <c r="Q363" s="19">
        <v>0.0</v>
      </c>
      <c r="R363" s="18">
        <v>0.16</v>
      </c>
      <c r="S363" s="19">
        <v>0.0</v>
      </c>
      <c r="T363" s="14">
        <v>0.1</v>
      </c>
      <c r="U363" s="15">
        <v>0.1</v>
      </c>
      <c r="V363" s="15">
        <v>0.19</v>
      </c>
      <c r="W363" s="15">
        <v>0.1</v>
      </c>
      <c r="X363" s="15">
        <v>0.19</v>
      </c>
      <c r="Y363" s="20" t="s">
        <v>1475</v>
      </c>
    </row>
    <row r="364">
      <c r="A364" s="9">
        <v>362.0</v>
      </c>
      <c r="B364" s="10" t="s">
        <v>1476</v>
      </c>
      <c r="C364" s="11" t="s">
        <v>1477</v>
      </c>
      <c r="D364" s="12" t="s">
        <v>31</v>
      </c>
      <c r="E364" s="13" t="s">
        <v>1478</v>
      </c>
      <c r="F364" s="12">
        <v>22.0</v>
      </c>
      <c r="G364" s="12">
        <v>2003.0</v>
      </c>
      <c r="H364" s="14">
        <v>14.0</v>
      </c>
      <c r="I364" s="15">
        <v>2.0</v>
      </c>
      <c r="J364" s="15">
        <v>411.0</v>
      </c>
      <c r="K364" s="15">
        <v>4.6</v>
      </c>
      <c r="L364" s="22">
        <v>0.0</v>
      </c>
      <c r="M364" s="19">
        <v>0.0</v>
      </c>
      <c r="N364" s="19">
        <v>0.0</v>
      </c>
      <c r="O364" s="19">
        <v>0.0</v>
      </c>
      <c r="P364" s="19">
        <v>0.0</v>
      </c>
      <c r="Q364" s="19">
        <v>0.0</v>
      </c>
      <c r="R364" s="18">
        <v>0.22</v>
      </c>
      <c r="S364" s="19">
        <v>0.0</v>
      </c>
      <c r="T364" s="23">
        <v>0.0</v>
      </c>
      <c r="U364" s="21">
        <v>0.0</v>
      </c>
      <c r="V364" s="21">
        <v>0.0</v>
      </c>
      <c r="W364" s="21">
        <v>0.0</v>
      </c>
      <c r="X364" s="21">
        <v>0.0</v>
      </c>
      <c r="Y364" s="20" t="s">
        <v>1479</v>
      </c>
    </row>
    <row r="365">
      <c r="A365" s="9">
        <v>363.0</v>
      </c>
      <c r="B365" s="10" t="s">
        <v>1480</v>
      </c>
      <c r="C365" s="11" t="s">
        <v>1481</v>
      </c>
      <c r="D365" s="12" t="s">
        <v>26</v>
      </c>
      <c r="E365" s="13" t="s">
        <v>1482</v>
      </c>
      <c r="F365" s="12">
        <v>29.0</v>
      </c>
      <c r="G365" s="12">
        <v>1996.0</v>
      </c>
      <c r="H365" s="14">
        <v>13.0</v>
      </c>
      <c r="I365" s="15">
        <v>9.0</v>
      </c>
      <c r="J365" s="15">
        <v>875.0</v>
      </c>
      <c r="K365" s="15">
        <v>9.7</v>
      </c>
      <c r="L365" s="17">
        <v>0.1</v>
      </c>
      <c r="M365" s="18">
        <v>0.1</v>
      </c>
      <c r="N365" s="18">
        <v>0.21</v>
      </c>
      <c r="O365" s="18">
        <v>0.1</v>
      </c>
      <c r="P365" s="19">
        <v>0.0</v>
      </c>
      <c r="Q365" s="19">
        <v>0.0</v>
      </c>
      <c r="R365" s="18">
        <v>0.21</v>
      </c>
      <c r="S365" s="19">
        <v>0.0</v>
      </c>
      <c r="T365" s="14">
        <v>0.1</v>
      </c>
      <c r="U365" s="15">
        <v>0.1</v>
      </c>
      <c r="V365" s="15">
        <v>0.21</v>
      </c>
      <c r="W365" s="15">
        <v>0.1</v>
      </c>
      <c r="X365" s="15">
        <v>0.21</v>
      </c>
      <c r="Y365" s="20" t="s">
        <v>1483</v>
      </c>
    </row>
    <row r="366">
      <c r="A366" s="9">
        <v>364.0</v>
      </c>
      <c r="B366" s="10" t="s">
        <v>1484</v>
      </c>
      <c r="C366" s="11" t="s">
        <v>1485</v>
      </c>
      <c r="D366" s="12" t="s">
        <v>41</v>
      </c>
      <c r="E366" s="13" t="s">
        <v>1486</v>
      </c>
      <c r="F366" s="12">
        <v>24.0</v>
      </c>
      <c r="G366" s="12">
        <v>2001.0</v>
      </c>
      <c r="H366" s="14">
        <v>21.0</v>
      </c>
      <c r="I366" s="15">
        <v>10.0</v>
      </c>
      <c r="J366" s="16">
        <v>1000.0</v>
      </c>
      <c r="K366" s="15">
        <v>11.1</v>
      </c>
      <c r="L366" s="17">
        <v>0.09</v>
      </c>
      <c r="M366" s="18">
        <v>0.09</v>
      </c>
      <c r="N366" s="18">
        <v>0.18</v>
      </c>
      <c r="O366" s="18">
        <v>0.09</v>
      </c>
      <c r="P366" s="19">
        <v>0.0</v>
      </c>
      <c r="Q366" s="19">
        <v>0.0</v>
      </c>
      <c r="R366" s="18">
        <v>0.18</v>
      </c>
      <c r="S366" s="19">
        <v>0.0</v>
      </c>
      <c r="T366" s="14">
        <v>0.09</v>
      </c>
      <c r="U366" s="15">
        <v>0.09</v>
      </c>
      <c r="V366" s="15">
        <v>0.18</v>
      </c>
      <c r="W366" s="15">
        <v>0.09</v>
      </c>
      <c r="X366" s="15">
        <v>0.18</v>
      </c>
      <c r="Y366" s="20" t="s">
        <v>1487</v>
      </c>
    </row>
    <row r="367">
      <c r="A367" s="9">
        <v>365.0</v>
      </c>
      <c r="B367" s="10" t="s">
        <v>1488</v>
      </c>
      <c r="C367" s="11" t="s">
        <v>1489</v>
      </c>
      <c r="D367" s="12" t="s">
        <v>31</v>
      </c>
      <c r="E367" s="13" t="s">
        <v>1490</v>
      </c>
      <c r="F367" s="12">
        <v>29.0</v>
      </c>
      <c r="G367" s="12">
        <v>1996.0</v>
      </c>
      <c r="H367" s="14">
        <v>29.0</v>
      </c>
      <c r="I367" s="15">
        <v>29.0</v>
      </c>
      <c r="J367" s="16">
        <v>2399.0</v>
      </c>
      <c r="K367" s="15">
        <v>26.7</v>
      </c>
      <c r="L367" s="17">
        <v>0.15</v>
      </c>
      <c r="M367" s="18">
        <v>0.11</v>
      </c>
      <c r="N367" s="18">
        <v>0.26</v>
      </c>
      <c r="O367" s="18">
        <v>0.15</v>
      </c>
      <c r="P367" s="19">
        <v>0.0</v>
      </c>
      <c r="Q367" s="19">
        <v>0.0</v>
      </c>
      <c r="R367" s="18">
        <v>0.26</v>
      </c>
      <c r="S367" s="19">
        <v>0.0</v>
      </c>
      <c r="T367" s="14">
        <v>0.15</v>
      </c>
      <c r="U367" s="15">
        <v>0.11</v>
      </c>
      <c r="V367" s="15">
        <v>0.26</v>
      </c>
      <c r="W367" s="15">
        <v>0.15</v>
      </c>
      <c r="X367" s="15">
        <v>0.26</v>
      </c>
      <c r="Y367" s="20" t="s">
        <v>1491</v>
      </c>
    </row>
    <row r="368">
      <c r="A368" s="9">
        <v>366.0</v>
      </c>
      <c r="B368" s="10" t="s">
        <v>1492</v>
      </c>
      <c r="C368" s="11" t="s">
        <v>1493</v>
      </c>
      <c r="D368" s="12" t="s">
        <v>36</v>
      </c>
      <c r="E368" s="13" t="s">
        <v>1494</v>
      </c>
      <c r="F368" s="12">
        <v>23.0</v>
      </c>
      <c r="G368" s="12">
        <v>2002.0</v>
      </c>
      <c r="H368" s="14">
        <v>25.0</v>
      </c>
      <c r="I368" s="15">
        <v>25.0</v>
      </c>
      <c r="J368" s="16">
        <v>2130.0</v>
      </c>
      <c r="K368" s="15">
        <v>23.7</v>
      </c>
      <c r="L368" s="17">
        <v>0.04</v>
      </c>
      <c r="M368" s="19">
        <v>0.0</v>
      </c>
      <c r="N368" s="18">
        <v>0.04</v>
      </c>
      <c r="O368" s="18">
        <v>0.04</v>
      </c>
      <c r="P368" s="19">
        <v>0.0</v>
      </c>
      <c r="Q368" s="19">
        <v>0.0</v>
      </c>
      <c r="R368" s="18">
        <v>0.21</v>
      </c>
      <c r="S368" s="19">
        <v>0.0</v>
      </c>
      <c r="T368" s="14">
        <v>0.04</v>
      </c>
      <c r="U368" s="21">
        <v>0.0</v>
      </c>
      <c r="V368" s="15">
        <v>0.04</v>
      </c>
      <c r="W368" s="15">
        <v>0.04</v>
      </c>
      <c r="X368" s="15">
        <v>0.04</v>
      </c>
      <c r="Y368" s="20" t="s">
        <v>1495</v>
      </c>
    </row>
    <row r="369">
      <c r="A369" s="9">
        <v>367.0</v>
      </c>
      <c r="B369" s="10" t="s">
        <v>1496</v>
      </c>
      <c r="C369" s="11" t="s">
        <v>1497</v>
      </c>
      <c r="D369" s="12" t="s">
        <v>36</v>
      </c>
      <c r="E369" s="13" t="s">
        <v>1498</v>
      </c>
      <c r="F369" s="12">
        <v>21.0</v>
      </c>
      <c r="G369" s="12">
        <v>2004.0</v>
      </c>
      <c r="H369" s="14">
        <v>2.0</v>
      </c>
      <c r="I369" s="21">
        <v>0.0</v>
      </c>
      <c r="J369" s="15">
        <v>9.0</v>
      </c>
      <c r="K369" s="15">
        <v>0.1</v>
      </c>
      <c r="L369" s="22">
        <v>0.0</v>
      </c>
      <c r="M369" s="19">
        <v>0.0</v>
      </c>
      <c r="N369" s="19">
        <v>0.0</v>
      </c>
      <c r="O369" s="19">
        <v>0.0</v>
      </c>
      <c r="P369" s="19">
        <v>0.0</v>
      </c>
      <c r="Q369" s="19">
        <v>0.0</v>
      </c>
      <c r="R369" s="19">
        <v>0.0</v>
      </c>
      <c r="S369" s="19">
        <v>0.0</v>
      </c>
      <c r="T369" s="23">
        <v>0.0</v>
      </c>
      <c r="U369" s="21">
        <v>0.0</v>
      </c>
      <c r="V369" s="21">
        <v>0.0</v>
      </c>
      <c r="W369" s="21">
        <v>0.0</v>
      </c>
      <c r="X369" s="21">
        <v>0.0</v>
      </c>
      <c r="Y369" s="20" t="s">
        <v>1499</v>
      </c>
    </row>
    <row r="370">
      <c r="A370" s="9">
        <v>368.0</v>
      </c>
      <c r="B370" s="10" t="s">
        <v>1500</v>
      </c>
      <c r="C370" s="11" t="s">
        <v>1501</v>
      </c>
      <c r="D370" s="12" t="s">
        <v>107</v>
      </c>
      <c r="E370" s="13" t="s">
        <v>1502</v>
      </c>
      <c r="F370" s="12">
        <v>30.0</v>
      </c>
      <c r="G370" s="12">
        <v>1995.0</v>
      </c>
      <c r="H370" s="14">
        <v>33.0</v>
      </c>
      <c r="I370" s="15">
        <v>19.0</v>
      </c>
      <c r="J370" s="16">
        <v>1617.0</v>
      </c>
      <c r="K370" s="15">
        <v>18.0</v>
      </c>
      <c r="L370" s="17">
        <v>0.17</v>
      </c>
      <c r="M370" s="18">
        <v>0.11</v>
      </c>
      <c r="N370" s="18">
        <v>0.28</v>
      </c>
      <c r="O370" s="18">
        <v>0.17</v>
      </c>
      <c r="P370" s="19">
        <v>0.0</v>
      </c>
      <c r="Q370" s="19">
        <v>0.0</v>
      </c>
      <c r="R370" s="18">
        <v>0.11</v>
      </c>
      <c r="S370" s="19">
        <v>0.0</v>
      </c>
      <c r="T370" s="14">
        <v>0.17</v>
      </c>
      <c r="U370" s="15">
        <v>0.11</v>
      </c>
      <c r="V370" s="15">
        <v>0.28</v>
      </c>
      <c r="W370" s="15">
        <v>0.17</v>
      </c>
      <c r="X370" s="15">
        <v>0.28</v>
      </c>
      <c r="Y370" s="20" t="s">
        <v>1503</v>
      </c>
    </row>
    <row r="371">
      <c r="A371" s="9">
        <v>369.0</v>
      </c>
      <c r="B371" s="10" t="s">
        <v>1504</v>
      </c>
      <c r="C371" s="11" t="s">
        <v>1505</v>
      </c>
      <c r="D371" s="12" t="s">
        <v>36</v>
      </c>
      <c r="E371" s="13" t="s">
        <v>1506</v>
      </c>
      <c r="F371" s="12">
        <v>26.0</v>
      </c>
      <c r="G371" s="12">
        <v>1999.0</v>
      </c>
      <c r="H371" s="14">
        <v>33.0</v>
      </c>
      <c r="I371" s="15">
        <v>33.0</v>
      </c>
      <c r="J371" s="16">
        <v>2958.0</v>
      </c>
      <c r="K371" s="15">
        <v>32.9</v>
      </c>
      <c r="L371" s="22">
        <v>0.0</v>
      </c>
      <c r="M371" s="18">
        <v>0.03</v>
      </c>
      <c r="N371" s="18">
        <v>0.03</v>
      </c>
      <c r="O371" s="19">
        <v>0.0</v>
      </c>
      <c r="P371" s="19">
        <v>0.0</v>
      </c>
      <c r="Q371" s="19">
        <v>0.0</v>
      </c>
      <c r="R371" s="18">
        <v>0.18</v>
      </c>
      <c r="S371" s="19">
        <v>0.0</v>
      </c>
      <c r="T371" s="23">
        <v>0.0</v>
      </c>
      <c r="U371" s="15">
        <v>0.03</v>
      </c>
      <c r="V371" s="15">
        <v>0.03</v>
      </c>
      <c r="W371" s="21">
        <v>0.0</v>
      </c>
      <c r="X371" s="15">
        <v>0.03</v>
      </c>
      <c r="Y371" s="20" t="s">
        <v>1507</v>
      </c>
    </row>
    <row r="372">
      <c r="A372" s="9">
        <v>370.0</v>
      </c>
      <c r="B372" s="10" t="s">
        <v>1508</v>
      </c>
      <c r="C372" s="11" t="s">
        <v>1509</v>
      </c>
      <c r="D372" s="12" t="s">
        <v>264</v>
      </c>
      <c r="E372" s="13" t="s">
        <v>1510</v>
      </c>
      <c r="F372" s="12">
        <v>23.0</v>
      </c>
      <c r="G372" s="12">
        <v>2002.0</v>
      </c>
      <c r="H372" s="14">
        <v>22.0</v>
      </c>
      <c r="I372" s="15">
        <v>11.0</v>
      </c>
      <c r="J372" s="16">
        <v>1049.0</v>
      </c>
      <c r="K372" s="15">
        <v>11.7</v>
      </c>
      <c r="L372" s="22">
        <v>0.0</v>
      </c>
      <c r="M372" s="18">
        <v>0.17</v>
      </c>
      <c r="N372" s="18">
        <v>0.17</v>
      </c>
      <c r="O372" s="19">
        <v>0.0</v>
      </c>
      <c r="P372" s="19">
        <v>0.0</v>
      </c>
      <c r="Q372" s="19">
        <v>0.0</v>
      </c>
      <c r="R372" s="18">
        <v>0.09</v>
      </c>
      <c r="S372" s="19">
        <v>0.0</v>
      </c>
      <c r="T372" s="23">
        <v>0.0</v>
      </c>
      <c r="U372" s="15">
        <v>0.17</v>
      </c>
      <c r="V372" s="15">
        <v>0.17</v>
      </c>
      <c r="W372" s="21">
        <v>0.0</v>
      </c>
      <c r="X372" s="15">
        <v>0.17</v>
      </c>
      <c r="Y372" s="20" t="s">
        <v>1511</v>
      </c>
    </row>
    <row r="373">
      <c r="A373" s="9">
        <v>371.0</v>
      </c>
      <c r="B373" s="10" t="s">
        <v>1512</v>
      </c>
      <c r="C373" s="11" t="s">
        <v>1513</v>
      </c>
      <c r="D373" s="12" t="s">
        <v>31</v>
      </c>
      <c r="E373" s="13" t="s">
        <v>1514</v>
      </c>
      <c r="F373" s="12">
        <v>25.0</v>
      </c>
      <c r="G373" s="12">
        <v>2000.0</v>
      </c>
      <c r="H373" s="14">
        <v>32.0</v>
      </c>
      <c r="I373" s="15">
        <v>32.0</v>
      </c>
      <c r="J373" s="16">
        <v>2778.0</v>
      </c>
      <c r="K373" s="15">
        <v>30.9</v>
      </c>
      <c r="L373" s="17">
        <v>0.19</v>
      </c>
      <c r="M373" s="18">
        <v>0.1</v>
      </c>
      <c r="N373" s="18">
        <v>0.29</v>
      </c>
      <c r="O373" s="18">
        <v>0.13</v>
      </c>
      <c r="P373" s="18">
        <v>0.06</v>
      </c>
      <c r="Q373" s="18">
        <v>0.06</v>
      </c>
      <c r="R373" s="18">
        <v>0.06</v>
      </c>
      <c r="S373" s="19">
        <v>0.0</v>
      </c>
      <c r="T373" s="14">
        <v>0.19</v>
      </c>
      <c r="U373" s="15">
        <v>0.1</v>
      </c>
      <c r="V373" s="15">
        <v>0.29</v>
      </c>
      <c r="W373" s="15">
        <v>0.13</v>
      </c>
      <c r="X373" s="15">
        <v>0.23</v>
      </c>
      <c r="Y373" s="20" t="s">
        <v>1515</v>
      </c>
    </row>
    <row r="374">
      <c r="A374" s="9">
        <v>372.0</v>
      </c>
      <c r="B374" s="10" t="s">
        <v>1516</v>
      </c>
      <c r="C374" s="11" t="s">
        <v>1517</v>
      </c>
      <c r="D374" s="12" t="s">
        <v>31</v>
      </c>
      <c r="E374" s="13" t="s">
        <v>1518</v>
      </c>
      <c r="F374" s="12">
        <v>24.0</v>
      </c>
      <c r="G374" s="12">
        <v>2000.0</v>
      </c>
      <c r="H374" s="14">
        <v>24.0</v>
      </c>
      <c r="I374" s="15">
        <v>14.0</v>
      </c>
      <c r="J374" s="16">
        <v>1173.0</v>
      </c>
      <c r="K374" s="15">
        <v>13.0</v>
      </c>
      <c r="L374" s="17">
        <v>0.08</v>
      </c>
      <c r="M374" s="18">
        <v>0.08</v>
      </c>
      <c r="N374" s="18">
        <v>0.15</v>
      </c>
      <c r="O374" s="18">
        <v>0.08</v>
      </c>
      <c r="P374" s="19">
        <v>0.0</v>
      </c>
      <c r="Q374" s="19">
        <v>0.0</v>
      </c>
      <c r="R374" s="18">
        <v>0.08</v>
      </c>
      <c r="S374" s="19">
        <v>0.0</v>
      </c>
      <c r="T374" s="14">
        <v>0.08</v>
      </c>
      <c r="U374" s="15">
        <v>0.08</v>
      </c>
      <c r="V374" s="15">
        <v>0.15</v>
      </c>
      <c r="W374" s="15">
        <v>0.08</v>
      </c>
      <c r="X374" s="15">
        <v>0.15</v>
      </c>
      <c r="Y374" s="20" t="s">
        <v>1519</v>
      </c>
    </row>
    <row r="375">
      <c r="A375" s="9">
        <v>373.0</v>
      </c>
      <c r="B375" s="10" t="s">
        <v>1520</v>
      </c>
      <c r="C375" s="11" t="s">
        <v>1521</v>
      </c>
      <c r="D375" s="12" t="s">
        <v>41</v>
      </c>
      <c r="E375" s="13" t="s">
        <v>1522</v>
      </c>
      <c r="F375" s="12">
        <v>18.0</v>
      </c>
      <c r="G375" s="12">
        <v>2007.0</v>
      </c>
      <c r="H375" s="14">
        <v>1.0</v>
      </c>
      <c r="I375" s="21">
        <v>0.0</v>
      </c>
      <c r="J375" s="15">
        <v>14.0</v>
      </c>
      <c r="K375" s="15">
        <v>0.2</v>
      </c>
      <c r="L375" s="22">
        <v>0.0</v>
      </c>
      <c r="M375" s="19">
        <v>0.0</v>
      </c>
      <c r="N375" s="19">
        <v>0.0</v>
      </c>
      <c r="O375" s="19">
        <v>0.0</v>
      </c>
      <c r="P375" s="19">
        <v>0.0</v>
      </c>
      <c r="Q375" s="19">
        <v>0.0</v>
      </c>
      <c r="R375" s="19">
        <v>0.0</v>
      </c>
      <c r="S375" s="19">
        <v>0.0</v>
      </c>
      <c r="T375" s="23">
        <v>0.0</v>
      </c>
      <c r="U375" s="21">
        <v>0.0</v>
      </c>
      <c r="V375" s="21">
        <v>0.0</v>
      </c>
      <c r="W375" s="21">
        <v>0.0</v>
      </c>
      <c r="X375" s="21">
        <v>0.0</v>
      </c>
      <c r="Y375" s="20" t="s">
        <v>1523</v>
      </c>
    </row>
    <row r="376">
      <c r="A376" s="9">
        <v>374.0</v>
      </c>
      <c r="B376" s="10" t="s">
        <v>1524</v>
      </c>
      <c r="C376" s="11" t="s">
        <v>1525</v>
      </c>
      <c r="D376" s="12" t="s">
        <v>31</v>
      </c>
      <c r="E376" s="13" t="s">
        <v>1526</v>
      </c>
      <c r="F376" s="12">
        <v>23.0</v>
      </c>
      <c r="G376" s="12">
        <v>2001.0</v>
      </c>
      <c r="H376" s="14">
        <v>3.0</v>
      </c>
      <c r="I376" s="21">
        <v>0.0</v>
      </c>
      <c r="J376" s="15">
        <v>14.0</v>
      </c>
      <c r="K376" s="15">
        <v>0.2</v>
      </c>
      <c r="L376" s="22">
        <v>0.0</v>
      </c>
      <c r="M376" s="19">
        <v>0.0</v>
      </c>
      <c r="N376" s="19">
        <v>0.0</v>
      </c>
      <c r="O376" s="19">
        <v>0.0</v>
      </c>
      <c r="P376" s="19">
        <v>0.0</v>
      </c>
      <c r="Q376" s="19">
        <v>0.0</v>
      </c>
      <c r="R376" s="19">
        <v>0.0</v>
      </c>
      <c r="S376" s="19">
        <v>0.0</v>
      </c>
      <c r="T376" s="23">
        <v>0.0</v>
      </c>
      <c r="U376" s="21">
        <v>0.0</v>
      </c>
      <c r="V376" s="21">
        <v>0.0</v>
      </c>
      <c r="W376" s="21">
        <v>0.0</v>
      </c>
      <c r="X376" s="21">
        <v>0.0</v>
      </c>
      <c r="Y376" s="20" t="s">
        <v>1527</v>
      </c>
    </row>
    <row r="377">
      <c r="A377" s="9">
        <v>375.0</v>
      </c>
      <c r="B377" s="10" t="s">
        <v>1528</v>
      </c>
      <c r="C377" s="11" t="s">
        <v>1529</v>
      </c>
      <c r="D377" s="12" t="s">
        <v>107</v>
      </c>
      <c r="E377" s="13" t="s">
        <v>1530</v>
      </c>
      <c r="F377" s="12">
        <v>25.0</v>
      </c>
      <c r="G377" s="12">
        <v>1999.0</v>
      </c>
      <c r="H377" s="14">
        <v>10.0</v>
      </c>
      <c r="I377" s="21">
        <v>0.0</v>
      </c>
      <c r="J377" s="15">
        <v>126.0</v>
      </c>
      <c r="K377" s="15">
        <v>1.4</v>
      </c>
      <c r="L377" s="22">
        <v>0.0</v>
      </c>
      <c r="M377" s="18">
        <v>0.71</v>
      </c>
      <c r="N377" s="18">
        <v>0.71</v>
      </c>
      <c r="O377" s="19">
        <v>0.0</v>
      </c>
      <c r="P377" s="19">
        <v>0.0</v>
      </c>
      <c r="Q377" s="19">
        <v>0.0</v>
      </c>
      <c r="R377" s="19">
        <v>0.0</v>
      </c>
      <c r="S377" s="19">
        <v>0.0</v>
      </c>
      <c r="T377" s="23">
        <v>0.0</v>
      </c>
      <c r="U377" s="15">
        <v>0.71</v>
      </c>
      <c r="V377" s="15">
        <v>0.71</v>
      </c>
      <c r="W377" s="21">
        <v>0.0</v>
      </c>
      <c r="X377" s="15">
        <v>0.71</v>
      </c>
      <c r="Y377" s="20" t="s">
        <v>1531</v>
      </c>
    </row>
    <row r="378">
      <c r="A378" s="9">
        <v>376.0</v>
      </c>
      <c r="B378" s="10" t="s">
        <v>1532</v>
      </c>
      <c r="C378" s="11" t="s">
        <v>1533</v>
      </c>
      <c r="D378" s="12" t="s">
        <v>26</v>
      </c>
      <c r="E378" s="13" t="s">
        <v>1534</v>
      </c>
      <c r="F378" s="12">
        <v>25.0</v>
      </c>
      <c r="G378" s="12">
        <v>2000.0</v>
      </c>
      <c r="H378" s="14">
        <v>34.0</v>
      </c>
      <c r="I378" s="15">
        <v>30.0</v>
      </c>
      <c r="J378" s="16">
        <v>2631.0</v>
      </c>
      <c r="K378" s="15">
        <v>29.2</v>
      </c>
      <c r="L378" s="17">
        <v>0.17</v>
      </c>
      <c r="M378" s="18">
        <v>0.21</v>
      </c>
      <c r="N378" s="18">
        <v>0.38</v>
      </c>
      <c r="O378" s="18">
        <v>0.17</v>
      </c>
      <c r="P378" s="19">
        <v>0.0</v>
      </c>
      <c r="Q378" s="19">
        <v>0.0</v>
      </c>
      <c r="R378" s="18">
        <v>0.14</v>
      </c>
      <c r="S378" s="18">
        <v>0.03</v>
      </c>
      <c r="T378" s="14">
        <v>0.17</v>
      </c>
      <c r="U378" s="15">
        <v>0.21</v>
      </c>
      <c r="V378" s="15">
        <v>0.38</v>
      </c>
      <c r="W378" s="15">
        <v>0.17</v>
      </c>
      <c r="X378" s="15">
        <v>0.38</v>
      </c>
      <c r="Y378" s="20" t="s">
        <v>1535</v>
      </c>
    </row>
    <row r="379">
      <c r="A379" s="9">
        <v>377.0</v>
      </c>
      <c r="B379" s="10" t="s">
        <v>1536</v>
      </c>
      <c r="C379" s="11" t="s">
        <v>1537</v>
      </c>
      <c r="D379" s="12" t="s">
        <v>345</v>
      </c>
      <c r="E379" s="13" t="s">
        <v>1538</v>
      </c>
      <c r="F379" s="12">
        <v>22.0</v>
      </c>
      <c r="G379" s="12">
        <v>2003.0</v>
      </c>
      <c r="H379" s="14">
        <v>7.0</v>
      </c>
      <c r="I379" s="15">
        <v>3.0</v>
      </c>
      <c r="J379" s="15">
        <v>357.0</v>
      </c>
      <c r="K379" s="15">
        <v>4.0</v>
      </c>
      <c r="L379" s="22">
        <v>0.0</v>
      </c>
      <c r="M379" s="19">
        <v>0.0</v>
      </c>
      <c r="N379" s="19">
        <v>0.0</v>
      </c>
      <c r="O379" s="19">
        <v>0.0</v>
      </c>
      <c r="P379" s="19">
        <v>0.0</v>
      </c>
      <c r="Q379" s="19">
        <v>0.0</v>
      </c>
      <c r="R379" s="19">
        <v>0.0</v>
      </c>
      <c r="S379" s="19">
        <v>0.0</v>
      </c>
      <c r="T379" s="23">
        <v>0.0</v>
      </c>
      <c r="U379" s="21">
        <v>0.0</v>
      </c>
      <c r="V379" s="21">
        <v>0.0</v>
      </c>
      <c r="W379" s="21">
        <v>0.0</v>
      </c>
      <c r="X379" s="21">
        <v>0.0</v>
      </c>
      <c r="Y379" s="20" t="s">
        <v>1539</v>
      </c>
    </row>
    <row r="380">
      <c r="A380" s="9">
        <v>378.0</v>
      </c>
      <c r="B380" s="10" t="s">
        <v>1540</v>
      </c>
      <c r="C380" s="11" t="s">
        <v>1541</v>
      </c>
      <c r="D380" s="12" t="s">
        <v>31</v>
      </c>
      <c r="E380" s="13" t="s">
        <v>1542</v>
      </c>
      <c r="F380" s="12">
        <v>16.0</v>
      </c>
      <c r="G380" s="12">
        <v>2008.0</v>
      </c>
      <c r="H380" s="14">
        <v>19.0</v>
      </c>
      <c r="I380" s="15">
        <v>5.0</v>
      </c>
      <c r="J380" s="15">
        <v>560.0</v>
      </c>
      <c r="K380" s="15">
        <v>6.2</v>
      </c>
      <c r="L380" s="17">
        <v>0.32</v>
      </c>
      <c r="M380" s="18">
        <v>0.16</v>
      </c>
      <c r="N380" s="18">
        <v>0.48</v>
      </c>
      <c r="O380" s="18">
        <v>0.32</v>
      </c>
      <c r="P380" s="19">
        <v>0.0</v>
      </c>
      <c r="Q380" s="19">
        <v>0.0</v>
      </c>
      <c r="R380" s="19">
        <v>0.0</v>
      </c>
      <c r="S380" s="19">
        <v>0.0</v>
      </c>
      <c r="T380" s="14">
        <v>0.32</v>
      </c>
      <c r="U380" s="15">
        <v>0.16</v>
      </c>
      <c r="V380" s="15">
        <v>0.48</v>
      </c>
      <c r="W380" s="15">
        <v>0.32</v>
      </c>
      <c r="X380" s="15">
        <v>0.48</v>
      </c>
      <c r="Y380" s="20" t="s">
        <v>1543</v>
      </c>
    </row>
    <row r="381">
      <c r="A381" s="9">
        <v>379.0</v>
      </c>
      <c r="B381" s="10" t="s">
        <v>1544</v>
      </c>
      <c r="C381" s="11" t="s">
        <v>1545</v>
      </c>
      <c r="D381" s="12" t="s">
        <v>31</v>
      </c>
      <c r="E381" s="13" t="s">
        <v>1546</v>
      </c>
      <c r="F381" s="12">
        <v>26.0</v>
      </c>
      <c r="G381" s="12">
        <v>1999.0</v>
      </c>
      <c r="H381" s="14">
        <v>12.0</v>
      </c>
      <c r="I381" s="15">
        <v>2.0</v>
      </c>
      <c r="J381" s="15">
        <v>424.0</v>
      </c>
      <c r="K381" s="15">
        <v>4.7</v>
      </c>
      <c r="L381" s="17">
        <v>0.43</v>
      </c>
      <c r="M381" s="19">
        <v>0.0</v>
      </c>
      <c r="N381" s="18">
        <v>0.43</v>
      </c>
      <c r="O381" s="18">
        <v>0.43</v>
      </c>
      <c r="P381" s="19">
        <v>0.0</v>
      </c>
      <c r="Q381" s="19">
        <v>0.0</v>
      </c>
      <c r="R381" s="18">
        <v>0.43</v>
      </c>
      <c r="S381" s="19">
        <v>0.0</v>
      </c>
      <c r="T381" s="14">
        <v>0.42</v>
      </c>
      <c r="U381" s="21">
        <v>0.0</v>
      </c>
      <c r="V381" s="15">
        <v>0.42</v>
      </c>
      <c r="W381" s="15">
        <v>0.42</v>
      </c>
      <c r="X381" s="15">
        <v>0.42</v>
      </c>
      <c r="Y381" s="20" t="s">
        <v>1547</v>
      </c>
    </row>
    <row r="382">
      <c r="A382" s="9">
        <v>380.0</v>
      </c>
      <c r="B382" s="10" t="s">
        <v>1548</v>
      </c>
      <c r="C382" s="11" t="s">
        <v>1549</v>
      </c>
      <c r="D382" s="12" t="s">
        <v>41</v>
      </c>
      <c r="E382" s="13" t="s">
        <v>1550</v>
      </c>
      <c r="F382" s="12">
        <v>26.0</v>
      </c>
      <c r="G382" s="12">
        <v>1998.0</v>
      </c>
      <c r="H382" s="14">
        <v>31.0</v>
      </c>
      <c r="I382" s="15">
        <v>10.0</v>
      </c>
      <c r="J382" s="16">
        <v>1083.0</v>
      </c>
      <c r="K382" s="15">
        <v>12.0</v>
      </c>
      <c r="L382" s="17">
        <v>0.5</v>
      </c>
      <c r="M382" s="18">
        <v>0.08</v>
      </c>
      <c r="N382" s="18">
        <v>0.58</v>
      </c>
      <c r="O382" s="18">
        <v>0.33</v>
      </c>
      <c r="P382" s="18">
        <v>0.17</v>
      </c>
      <c r="Q382" s="18">
        <v>0.25</v>
      </c>
      <c r="R382" s="19">
        <v>0.0</v>
      </c>
      <c r="S382" s="19">
        <v>0.0</v>
      </c>
      <c r="T382" s="14">
        <v>0.5</v>
      </c>
      <c r="U382" s="15">
        <v>0.08</v>
      </c>
      <c r="V382" s="15">
        <v>0.58</v>
      </c>
      <c r="W382" s="15">
        <v>0.33</v>
      </c>
      <c r="X382" s="15">
        <v>0.42</v>
      </c>
      <c r="Y382" s="20" t="s">
        <v>1551</v>
      </c>
    </row>
    <row r="383">
      <c r="A383" s="9">
        <v>381.0</v>
      </c>
      <c r="B383" s="10" t="s">
        <v>1552</v>
      </c>
      <c r="C383" s="11" t="s">
        <v>1553</v>
      </c>
      <c r="D383" s="12" t="s">
        <v>36</v>
      </c>
      <c r="E383" s="13" t="s">
        <v>1554</v>
      </c>
      <c r="F383" s="12">
        <v>26.0</v>
      </c>
      <c r="G383" s="12">
        <v>1998.0</v>
      </c>
      <c r="H383" s="14">
        <v>34.0</v>
      </c>
      <c r="I383" s="15">
        <v>32.0</v>
      </c>
      <c r="J383" s="16">
        <v>2862.0</v>
      </c>
      <c r="K383" s="15">
        <v>31.8</v>
      </c>
      <c r="L383" s="17">
        <v>0.03</v>
      </c>
      <c r="M383" s="18">
        <v>0.16</v>
      </c>
      <c r="N383" s="18">
        <v>0.19</v>
      </c>
      <c r="O383" s="18">
        <v>0.03</v>
      </c>
      <c r="P383" s="19">
        <v>0.0</v>
      </c>
      <c r="Q383" s="19">
        <v>0.0</v>
      </c>
      <c r="R383" s="18">
        <v>0.16</v>
      </c>
      <c r="S383" s="19">
        <v>0.0</v>
      </c>
      <c r="T383" s="14">
        <v>0.03</v>
      </c>
      <c r="U383" s="15">
        <v>0.16</v>
      </c>
      <c r="V383" s="15">
        <v>0.19</v>
      </c>
      <c r="W383" s="15">
        <v>0.03</v>
      </c>
      <c r="X383" s="15">
        <v>0.19</v>
      </c>
      <c r="Y383" s="20" t="s">
        <v>1555</v>
      </c>
    </row>
    <row r="384">
      <c r="A384" s="9">
        <v>382.0</v>
      </c>
      <c r="B384" s="10" t="s">
        <v>1556</v>
      </c>
      <c r="C384" s="11" t="s">
        <v>1557</v>
      </c>
      <c r="D384" s="12" t="s">
        <v>31</v>
      </c>
      <c r="E384" s="13" t="s">
        <v>1558</v>
      </c>
      <c r="F384" s="12">
        <v>18.0</v>
      </c>
      <c r="G384" s="12">
        <v>2007.0</v>
      </c>
      <c r="H384" s="14">
        <v>6.0</v>
      </c>
      <c r="I384" s="21">
        <v>0.0</v>
      </c>
      <c r="J384" s="15">
        <v>171.0</v>
      </c>
      <c r="K384" s="15">
        <v>1.9</v>
      </c>
      <c r="L384" s="22">
        <v>0.0</v>
      </c>
      <c r="M384" s="19">
        <v>0.0</v>
      </c>
      <c r="N384" s="19">
        <v>0.0</v>
      </c>
      <c r="O384" s="19">
        <v>0.0</v>
      </c>
      <c r="P384" s="19">
        <v>0.0</v>
      </c>
      <c r="Q384" s="19">
        <v>0.0</v>
      </c>
      <c r="R384" s="19">
        <v>0.0</v>
      </c>
      <c r="S384" s="19">
        <v>0.0</v>
      </c>
      <c r="T384" s="23">
        <v>0.0</v>
      </c>
      <c r="U384" s="21">
        <v>0.0</v>
      </c>
      <c r="V384" s="21">
        <v>0.0</v>
      </c>
      <c r="W384" s="21">
        <v>0.0</v>
      </c>
      <c r="X384" s="21">
        <v>0.0</v>
      </c>
      <c r="Y384" s="20" t="s">
        <v>1559</v>
      </c>
    </row>
    <row r="385">
      <c r="A385" s="9">
        <v>383.0</v>
      </c>
      <c r="B385" s="10" t="s">
        <v>1560</v>
      </c>
      <c r="C385" s="11" t="s">
        <v>1561</v>
      </c>
      <c r="D385" s="12" t="s">
        <v>31</v>
      </c>
      <c r="E385" s="13" t="s">
        <v>1562</v>
      </c>
      <c r="F385" s="12">
        <v>18.0</v>
      </c>
      <c r="G385" s="12">
        <v>2007.0</v>
      </c>
      <c r="H385" s="14">
        <v>6.0</v>
      </c>
      <c r="I385" s="21">
        <v>0.0</v>
      </c>
      <c r="J385" s="15">
        <v>24.0</v>
      </c>
      <c r="K385" s="15">
        <v>0.3</v>
      </c>
      <c r="L385" s="22">
        <v>0.0</v>
      </c>
      <c r="M385" s="19">
        <v>0.0</v>
      </c>
      <c r="N385" s="19">
        <v>0.0</v>
      </c>
      <c r="O385" s="19">
        <v>0.0</v>
      </c>
      <c r="P385" s="19">
        <v>0.0</v>
      </c>
      <c r="Q385" s="19">
        <v>0.0</v>
      </c>
      <c r="R385" s="19">
        <v>0.0</v>
      </c>
      <c r="S385" s="19">
        <v>0.0</v>
      </c>
      <c r="T385" s="23">
        <v>0.0</v>
      </c>
      <c r="U385" s="21">
        <v>0.0</v>
      </c>
      <c r="V385" s="21">
        <v>0.0</v>
      </c>
      <c r="W385" s="21">
        <v>0.0</v>
      </c>
      <c r="X385" s="21">
        <v>0.0</v>
      </c>
      <c r="Y385" s="20" t="s">
        <v>1563</v>
      </c>
    </row>
    <row r="386">
      <c r="A386" s="9">
        <v>384.0</v>
      </c>
      <c r="B386" s="10" t="s">
        <v>1564</v>
      </c>
      <c r="C386" s="11" t="s">
        <v>1565</v>
      </c>
      <c r="D386" s="12" t="s">
        <v>31</v>
      </c>
      <c r="E386" s="13" t="s">
        <v>1566</v>
      </c>
      <c r="F386" s="12">
        <v>31.0</v>
      </c>
      <c r="G386" s="12">
        <v>1994.0</v>
      </c>
      <c r="H386" s="14">
        <v>7.0</v>
      </c>
      <c r="I386" s="15">
        <v>1.0</v>
      </c>
      <c r="J386" s="15">
        <v>106.0</v>
      </c>
      <c r="K386" s="15">
        <v>1.2</v>
      </c>
      <c r="L386" s="22">
        <v>0.0</v>
      </c>
      <c r="M386" s="19">
        <v>0.0</v>
      </c>
      <c r="N386" s="19">
        <v>0.0</v>
      </c>
      <c r="O386" s="19">
        <v>0.0</v>
      </c>
      <c r="P386" s="19">
        <v>0.0</v>
      </c>
      <c r="Q386" s="19">
        <v>0.0</v>
      </c>
      <c r="R386" s="19">
        <v>0.0</v>
      </c>
      <c r="S386" s="19">
        <v>0.0</v>
      </c>
      <c r="T386" s="23">
        <v>0.0</v>
      </c>
      <c r="U386" s="21">
        <v>0.0</v>
      </c>
      <c r="V386" s="21">
        <v>0.0</v>
      </c>
      <c r="W386" s="21">
        <v>0.0</v>
      </c>
      <c r="X386" s="21">
        <v>0.0</v>
      </c>
      <c r="Y386" s="20" t="s">
        <v>1567</v>
      </c>
    </row>
    <row r="387">
      <c r="A387" s="9">
        <v>385.0</v>
      </c>
      <c r="B387" s="10" t="s">
        <v>1568</v>
      </c>
      <c r="C387" s="11" t="s">
        <v>1569</v>
      </c>
      <c r="D387" s="12" t="s">
        <v>36</v>
      </c>
      <c r="E387" s="13" t="s">
        <v>1570</v>
      </c>
      <c r="F387" s="12">
        <v>24.0</v>
      </c>
      <c r="G387" s="12">
        <v>2001.0</v>
      </c>
      <c r="H387" s="14">
        <v>37.0</v>
      </c>
      <c r="I387" s="15">
        <v>35.0</v>
      </c>
      <c r="J387" s="16">
        <v>3120.0</v>
      </c>
      <c r="K387" s="15">
        <v>34.7</v>
      </c>
      <c r="L387" s="17">
        <v>0.03</v>
      </c>
      <c r="M387" s="18">
        <v>0.03</v>
      </c>
      <c r="N387" s="18">
        <v>0.06</v>
      </c>
      <c r="O387" s="18">
        <v>0.03</v>
      </c>
      <c r="P387" s="19">
        <v>0.0</v>
      </c>
      <c r="Q387" s="19">
        <v>0.0</v>
      </c>
      <c r="R387" s="18">
        <v>0.17</v>
      </c>
      <c r="S387" s="18">
        <v>0.03</v>
      </c>
      <c r="T387" s="14">
        <v>0.03</v>
      </c>
      <c r="U387" s="15">
        <v>0.03</v>
      </c>
      <c r="V387" s="15">
        <v>0.06</v>
      </c>
      <c r="W387" s="15">
        <v>0.03</v>
      </c>
      <c r="X387" s="15">
        <v>0.06</v>
      </c>
      <c r="Y387" s="20" t="s">
        <v>1571</v>
      </c>
    </row>
    <row r="388">
      <c r="A388" s="9">
        <v>386.0</v>
      </c>
      <c r="B388" s="10" t="s">
        <v>1572</v>
      </c>
      <c r="C388" s="11" t="s">
        <v>1573</v>
      </c>
      <c r="D388" s="12" t="s">
        <v>36</v>
      </c>
      <c r="E388" s="13" t="s">
        <v>1574</v>
      </c>
      <c r="F388" s="12">
        <v>30.0</v>
      </c>
      <c r="G388" s="12">
        <v>1994.0</v>
      </c>
      <c r="H388" s="14">
        <v>12.0</v>
      </c>
      <c r="I388" s="15">
        <v>5.0</v>
      </c>
      <c r="J388" s="15">
        <v>569.0</v>
      </c>
      <c r="K388" s="15">
        <v>6.3</v>
      </c>
      <c r="L388" s="22">
        <v>0.0</v>
      </c>
      <c r="M388" s="18">
        <v>0.16</v>
      </c>
      <c r="N388" s="18">
        <v>0.16</v>
      </c>
      <c r="O388" s="19">
        <v>0.0</v>
      </c>
      <c r="P388" s="19">
        <v>0.0</v>
      </c>
      <c r="Q388" s="19">
        <v>0.0</v>
      </c>
      <c r="R388" s="18">
        <v>0.16</v>
      </c>
      <c r="S388" s="18">
        <v>0.16</v>
      </c>
      <c r="T388" s="23">
        <v>0.0</v>
      </c>
      <c r="U388" s="15">
        <v>0.16</v>
      </c>
      <c r="V388" s="15">
        <v>0.16</v>
      </c>
      <c r="W388" s="21">
        <v>0.0</v>
      </c>
      <c r="X388" s="15">
        <v>0.16</v>
      </c>
      <c r="Y388" s="20" t="s">
        <v>1575</v>
      </c>
    </row>
    <row r="389">
      <c r="A389" s="9">
        <v>387.0</v>
      </c>
      <c r="B389" s="10" t="s">
        <v>1576</v>
      </c>
      <c r="C389" s="11" t="s">
        <v>1577</v>
      </c>
      <c r="D389" s="12" t="s">
        <v>31</v>
      </c>
      <c r="E389" s="13" t="s">
        <v>1578</v>
      </c>
      <c r="F389" s="12">
        <v>24.0</v>
      </c>
      <c r="G389" s="12">
        <v>2000.0</v>
      </c>
      <c r="H389" s="14">
        <v>6.0</v>
      </c>
      <c r="I389" s="15">
        <v>2.0</v>
      </c>
      <c r="J389" s="15">
        <v>204.0</v>
      </c>
      <c r="K389" s="15">
        <v>2.3</v>
      </c>
      <c r="L389" s="17">
        <v>0.43</v>
      </c>
      <c r="M389" s="19">
        <v>0.0</v>
      </c>
      <c r="N389" s="18">
        <v>0.43</v>
      </c>
      <c r="O389" s="19">
        <v>0.0</v>
      </c>
      <c r="P389" s="18">
        <v>0.43</v>
      </c>
      <c r="Q389" s="18">
        <v>0.43</v>
      </c>
      <c r="R389" s="19">
        <v>0.0</v>
      </c>
      <c r="S389" s="19">
        <v>0.0</v>
      </c>
      <c r="T389" s="14">
        <v>0.44</v>
      </c>
      <c r="U389" s="21">
        <v>0.0</v>
      </c>
      <c r="V389" s="15">
        <v>0.44</v>
      </c>
      <c r="W389" s="21">
        <v>0.0</v>
      </c>
      <c r="X389" s="21">
        <v>0.0</v>
      </c>
      <c r="Y389" s="20" t="s">
        <v>1579</v>
      </c>
    </row>
    <row r="390">
      <c r="A390" s="9">
        <v>388.0</v>
      </c>
      <c r="B390" s="10" t="s">
        <v>1580</v>
      </c>
      <c r="C390" s="11" t="s">
        <v>1581</v>
      </c>
      <c r="D390" s="12" t="s">
        <v>26</v>
      </c>
      <c r="E390" s="13" t="s">
        <v>1582</v>
      </c>
      <c r="F390" s="12">
        <v>20.0</v>
      </c>
      <c r="G390" s="12">
        <v>2004.0</v>
      </c>
      <c r="H390" s="14">
        <v>24.0</v>
      </c>
      <c r="I390" s="15">
        <v>10.0</v>
      </c>
      <c r="J390" s="15">
        <v>985.0</v>
      </c>
      <c r="K390" s="15">
        <v>10.9</v>
      </c>
      <c r="L390" s="22">
        <v>0.0</v>
      </c>
      <c r="M390" s="18">
        <v>0.18</v>
      </c>
      <c r="N390" s="18">
        <v>0.18</v>
      </c>
      <c r="O390" s="19">
        <v>0.0</v>
      </c>
      <c r="P390" s="19">
        <v>0.0</v>
      </c>
      <c r="Q390" s="19">
        <v>0.0</v>
      </c>
      <c r="R390" s="19">
        <v>0.0</v>
      </c>
      <c r="S390" s="19">
        <v>0.0</v>
      </c>
      <c r="T390" s="23">
        <v>0.0</v>
      </c>
      <c r="U390" s="15">
        <v>0.18</v>
      </c>
      <c r="V390" s="15">
        <v>0.18</v>
      </c>
      <c r="W390" s="21">
        <v>0.0</v>
      </c>
      <c r="X390" s="15">
        <v>0.18</v>
      </c>
      <c r="Y390" s="20" t="s">
        <v>1583</v>
      </c>
    </row>
    <row r="391">
      <c r="A391" s="9">
        <v>389.0</v>
      </c>
      <c r="B391" s="10" t="s">
        <v>1584</v>
      </c>
      <c r="C391" s="11" t="s">
        <v>1585</v>
      </c>
      <c r="D391" s="12" t="s">
        <v>107</v>
      </c>
      <c r="E391" s="13" t="s">
        <v>1586</v>
      </c>
      <c r="F391" s="12">
        <v>25.0</v>
      </c>
      <c r="G391" s="12">
        <v>2000.0</v>
      </c>
      <c r="H391" s="14">
        <v>28.0</v>
      </c>
      <c r="I391" s="15">
        <v>19.0</v>
      </c>
      <c r="J391" s="16">
        <v>1561.0</v>
      </c>
      <c r="K391" s="15">
        <v>17.3</v>
      </c>
      <c r="L391" s="17">
        <v>0.46</v>
      </c>
      <c r="M391" s="18">
        <v>0.06</v>
      </c>
      <c r="N391" s="18">
        <v>0.52</v>
      </c>
      <c r="O391" s="18">
        <v>0.46</v>
      </c>
      <c r="P391" s="19">
        <v>0.0</v>
      </c>
      <c r="Q391" s="19">
        <v>0.0</v>
      </c>
      <c r="R391" s="18">
        <v>0.17</v>
      </c>
      <c r="S391" s="19">
        <v>0.0</v>
      </c>
      <c r="T391" s="14">
        <v>0.46</v>
      </c>
      <c r="U391" s="15">
        <v>0.06</v>
      </c>
      <c r="V391" s="15">
        <v>0.52</v>
      </c>
      <c r="W391" s="15">
        <v>0.46</v>
      </c>
      <c r="X391" s="15">
        <v>0.52</v>
      </c>
      <c r="Y391" s="20" t="s">
        <v>1587</v>
      </c>
    </row>
    <row r="392">
      <c r="A392" s="9">
        <v>390.0</v>
      </c>
      <c r="B392" s="10" t="s">
        <v>1588</v>
      </c>
      <c r="C392" s="11" t="s">
        <v>1589</v>
      </c>
      <c r="D392" s="12" t="s">
        <v>31</v>
      </c>
      <c r="E392" s="13" t="s">
        <v>1590</v>
      </c>
      <c r="F392" s="12">
        <v>18.0</v>
      </c>
      <c r="G392" s="12">
        <v>2007.0</v>
      </c>
      <c r="H392" s="14">
        <v>1.0</v>
      </c>
      <c r="I392" s="21">
        <v>0.0</v>
      </c>
      <c r="J392" s="15">
        <v>15.0</v>
      </c>
      <c r="K392" s="15">
        <v>0.2</v>
      </c>
      <c r="L392" s="22">
        <v>0.0</v>
      </c>
      <c r="M392" s="19">
        <v>0.0</v>
      </c>
      <c r="N392" s="19">
        <v>0.0</v>
      </c>
      <c r="O392" s="19">
        <v>0.0</v>
      </c>
      <c r="P392" s="19">
        <v>0.0</v>
      </c>
      <c r="Q392" s="19">
        <v>0.0</v>
      </c>
      <c r="R392" s="19">
        <v>0.0</v>
      </c>
      <c r="S392" s="19">
        <v>0.0</v>
      </c>
      <c r="T392" s="23">
        <v>0.0</v>
      </c>
      <c r="U392" s="21">
        <v>0.0</v>
      </c>
      <c r="V392" s="21">
        <v>0.0</v>
      </c>
      <c r="W392" s="21">
        <v>0.0</v>
      </c>
      <c r="X392" s="21">
        <v>0.0</v>
      </c>
      <c r="Y392" s="20" t="s">
        <v>1591</v>
      </c>
    </row>
    <row r="393">
      <c r="A393" s="9">
        <v>391.0</v>
      </c>
      <c r="B393" s="10" t="s">
        <v>1592</v>
      </c>
      <c r="C393" s="11" t="s">
        <v>1593</v>
      </c>
      <c r="D393" s="12" t="s">
        <v>31</v>
      </c>
      <c r="E393" s="13" t="s">
        <v>1594</v>
      </c>
      <c r="F393" s="12">
        <v>23.0</v>
      </c>
      <c r="G393" s="12">
        <v>2001.0</v>
      </c>
      <c r="H393" s="14">
        <v>25.0</v>
      </c>
      <c r="I393" s="15">
        <v>21.0</v>
      </c>
      <c r="J393" s="16">
        <v>1758.0</v>
      </c>
      <c r="K393" s="15">
        <v>19.5</v>
      </c>
      <c r="L393" s="17">
        <v>0.1</v>
      </c>
      <c r="M393" s="19">
        <v>0.0</v>
      </c>
      <c r="N393" s="18">
        <v>0.1</v>
      </c>
      <c r="O393" s="18">
        <v>0.1</v>
      </c>
      <c r="P393" s="19">
        <v>0.0</v>
      </c>
      <c r="Q393" s="19">
        <v>0.0</v>
      </c>
      <c r="R393" s="18">
        <v>0.15</v>
      </c>
      <c r="S393" s="19">
        <v>0.0</v>
      </c>
      <c r="T393" s="14">
        <v>0.1</v>
      </c>
      <c r="U393" s="21">
        <v>0.0</v>
      </c>
      <c r="V393" s="15">
        <v>0.1</v>
      </c>
      <c r="W393" s="15">
        <v>0.1</v>
      </c>
      <c r="X393" s="15">
        <v>0.1</v>
      </c>
      <c r="Y393" s="20" t="s">
        <v>1595</v>
      </c>
    </row>
    <row r="394">
      <c r="A394" s="9">
        <v>392.0</v>
      </c>
      <c r="B394" s="10" t="s">
        <v>1596</v>
      </c>
      <c r="C394" s="11" t="s">
        <v>1597</v>
      </c>
      <c r="D394" s="12" t="s">
        <v>31</v>
      </c>
      <c r="E394" s="13" t="s">
        <v>1598</v>
      </c>
      <c r="F394" s="12">
        <v>27.0</v>
      </c>
      <c r="G394" s="12">
        <v>1998.0</v>
      </c>
      <c r="H394" s="14">
        <v>6.0</v>
      </c>
      <c r="I394" s="21">
        <v>0.0</v>
      </c>
      <c r="J394" s="15">
        <v>92.0</v>
      </c>
      <c r="K394" s="15">
        <v>1.0</v>
      </c>
      <c r="L394" s="22">
        <v>0.0</v>
      </c>
      <c r="M394" s="18">
        <v>1.0</v>
      </c>
      <c r="N394" s="18">
        <v>1.0</v>
      </c>
      <c r="O394" s="19">
        <v>0.0</v>
      </c>
      <c r="P394" s="19">
        <v>0.0</v>
      </c>
      <c r="Q394" s="19">
        <v>0.0</v>
      </c>
      <c r="R394" s="19">
        <v>0.0</v>
      </c>
      <c r="S394" s="19">
        <v>0.0</v>
      </c>
      <c r="T394" s="23">
        <v>0.0</v>
      </c>
      <c r="U394" s="15">
        <v>0.98</v>
      </c>
      <c r="V394" s="15">
        <v>0.98</v>
      </c>
      <c r="W394" s="21">
        <v>0.0</v>
      </c>
      <c r="X394" s="15">
        <v>0.98</v>
      </c>
      <c r="Y394" s="20" t="s">
        <v>1599</v>
      </c>
    </row>
    <row r="395">
      <c r="A395" s="9">
        <v>393.0</v>
      </c>
      <c r="B395" s="10" t="s">
        <v>1600</v>
      </c>
      <c r="C395" s="11" t="s">
        <v>1601</v>
      </c>
      <c r="D395" s="12" t="s">
        <v>31</v>
      </c>
      <c r="E395" s="13" t="s">
        <v>1602</v>
      </c>
      <c r="F395" s="12">
        <v>18.0</v>
      </c>
      <c r="G395" s="12">
        <v>2007.0</v>
      </c>
      <c r="H395" s="14">
        <v>1.0</v>
      </c>
      <c r="I395" s="21">
        <v>0.0</v>
      </c>
      <c r="J395" s="15">
        <v>1.0</v>
      </c>
      <c r="K395" s="21">
        <v>0.0</v>
      </c>
      <c r="L395" s="23">
        <v>0.0</v>
      </c>
      <c r="M395" s="21">
        <v>0.0</v>
      </c>
      <c r="N395" s="21">
        <v>0.0</v>
      </c>
      <c r="O395" s="21">
        <v>0.0</v>
      </c>
      <c r="P395" s="21">
        <v>0.0</v>
      </c>
      <c r="Q395" s="21">
        <v>0.0</v>
      </c>
      <c r="R395" s="21">
        <v>0.0</v>
      </c>
      <c r="S395" s="21">
        <v>0.0</v>
      </c>
      <c r="T395" s="23">
        <v>0.0</v>
      </c>
      <c r="U395" s="21">
        <v>0.0</v>
      </c>
      <c r="V395" s="21">
        <v>0.0</v>
      </c>
      <c r="W395" s="21">
        <v>0.0</v>
      </c>
      <c r="X395" s="21">
        <v>0.0</v>
      </c>
      <c r="Y395" s="20" t="s">
        <v>1603</v>
      </c>
    </row>
    <row r="396">
      <c r="A396" s="9">
        <v>394.0</v>
      </c>
      <c r="B396" s="10" t="s">
        <v>1604</v>
      </c>
      <c r="C396" s="11" t="s">
        <v>1605</v>
      </c>
      <c r="D396" s="12" t="s">
        <v>98</v>
      </c>
      <c r="E396" s="13" t="s">
        <v>1606</v>
      </c>
      <c r="F396" s="12">
        <v>32.0</v>
      </c>
      <c r="G396" s="12">
        <v>1992.0</v>
      </c>
      <c r="H396" s="14">
        <v>3.0</v>
      </c>
      <c r="I396" s="15">
        <v>3.0</v>
      </c>
      <c r="J396" s="15">
        <v>270.0</v>
      </c>
      <c r="K396" s="15">
        <v>3.0</v>
      </c>
      <c r="L396" s="22">
        <v>0.0</v>
      </c>
      <c r="M396" s="19">
        <v>0.0</v>
      </c>
      <c r="N396" s="19">
        <v>0.0</v>
      </c>
      <c r="O396" s="19">
        <v>0.0</v>
      </c>
      <c r="P396" s="19">
        <v>0.0</v>
      </c>
      <c r="Q396" s="19">
        <v>0.0</v>
      </c>
      <c r="R396" s="19">
        <v>0.0</v>
      </c>
      <c r="S396" s="19">
        <v>0.0</v>
      </c>
      <c r="T396" s="23">
        <v>0.0</v>
      </c>
      <c r="U396" s="21">
        <v>0.0</v>
      </c>
      <c r="V396" s="21">
        <v>0.0</v>
      </c>
      <c r="W396" s="21">
        <v>0.0</v>
      </c>
      <c r="X396" s="21">
        <v>0.0</v>
      </c>
      <c r="Y396" s="20" t="s">
        <v>1607</v>
      </c>
    </row>
    <row r="397">
      <c r="A397" s="9">
        <v>395.0</v>
      </c>
      <c r="B397" s="10" t="s">
        <v>1608</v>
      </c>
      <c r="C397" s="11" t="s">
        <v>1609</v>
      </c>
      <c r="D397" s="12" t="s">
        <v>41</v>
      </c>
      <c r="E397" s="13" t="s">
        <v>1610</v>
      </c>
      <c r="F397" s="12">
        <v>21.0</v>
      </c>
      <c r="G397" s="12">
        <v>2003.0</v>
      </c>
      <c r="H397" s="14">
        <v>24.0</v>
      </c>
      <c r="I397" s="15">
        <v>8.0</v>
      </c>
      <c r="J397" s="15">
        <v>819.0</v>
      </c>
      <c r="K397" s="15">
        <v>9.1</v>
      </c>
      <c r="L397" s="17">
        <v>0.77</v>
      </c>
      <c r="M397" s="19">
        <v>0.0</v>
      </c>
      <c r="N397" s="18">
        <v>0.77</v>
      </c>
      <c r="O397" s="18">
        <v>0.77</v>
      </c>
      <c r="P397" s="19">
        <v>0.0</v>
      </c>
      <c r="Q397" s="19">
        <v>0.0</v>
      </c>
      <c r="R397" s="19">
        <v>0.0</v>
      </c>
      <c r="S397" s="19">
        <v>0.0</v>
      </c>
      <c r="T397" s="14">
        <v>0.77</v>
      </c>
      <c r="U397" s="21">
        <v>0.0</v>
      </c>
      <c r="V397" s="15">
        <v>0.77</v>
      </c>
      <c r="W397" s="15">
        <v>0.77</v>
      </c>
      <c r="X397" s="15">
        <v>0.77</v>
      </c>
      <c r="Y397" s="20" t="s">
        <v>1611</v>
      </c>
    </row>
    <row r="398">
      <c r="A398" s="9">
        <v>396.0</v>
      </c>
      <c r="B398" s="10" t="s">
        <v>1612</v>
      </c>
      <c r="C398" s="11" t="s">
        <v>1613</v>
      </c>
      <c r="D398" s="12" t="s">
        <v>31</v>
      </c>
      <c r="E398" s="13" t="s">
        <v>1614</v>
      </c>
      <c r="F398" s="12">
        <v>23.0</v>
      </c>
      <c r="G398" s="12">
        <v>2002.0</v>
      </c>
      <c r="H398" s="14">
        <v>32.0</v>
      </c>
      <c r="I398" s="15">
        <v>25.0</v>
      </c>
      <c r="J398" s="16">
        <v>2276.0</v>
      </c>
      <c r="K398" s="15">
        <v>25.3</v>
      </c>
      <c r="L398" s="17">
        <v>0.28</v>
      </c>
      <c r="M398" s="18">
        <v>0.12</v>
      </c>
      <c r="N398" s="18">
        <v>0.4</v>
      </c>
      <c r="O398" s="18">
        <v>0.28</v>
      </c>
      <c r="P398" s="19">
        <v>0.0</v>
      </c>
      <c r="Q398" s="19">
        <v>0.0</v>
      </c>
      <c r="R398" s="18">
        <v>0.2</v>
      </c>
      <c r="S398" s="19">
        <v>0.0</v>
      </c>
      <c r="T398" s="14">
        <v>0.28</v>
      </c>
      <c r="U398" s="15">
        <v>0.12</v>
      </c>
      <c r="V398" s="15">
        <v>0.4</v>
      </c>
      <c r="W398" s="15">
        <v>0.28</v>
      </c>
      <c r="X398" s="15">
        <v>0.4</v>
      </c>
      <c r="Y398" s="20" t="s">
        <v>1615</v>
      </c>
    </row>
    <row r="399">
      <c r="A399" s="9">
        <v>397.0</v>
      </c>
      <c r="B399" s="10" t="s">
        <v>1616</v>
      </c>
      <c r="C399" s="11" t="s">
        <v>1617</v>
      </c>
      <c r="D399" s="12" t="s">
        <v>345</v>
      </c>
      <c r="E399" s="13" t="s">
        <v>1618</v>
      </c>
      <c r="F399" s="12">
        <v>20.0</v>
      </c>
      <c r="G399" s="12">
        <v>2005.0</v>
      </c>
      <c r="H399" s="14">
        <v>34.0</v>
      </c>
      <c r="I399" s="15">
        <v>29.0</v>
      </c>
      <c r="J399" s="16">
        <v>2646.0</v>
      </c>
      <c r="K399" s="15">
        <v>29.4</v>
      </c>
      <c r="L399" s="17">
        <v>0.17</v>
      </c>
      <c r="M399" s="18">
        <v>0.1</v>
      </c>
      <c r="N399" s="18">
        <v>0.27</v>
      </c>
      <c r="O399" s="18">
        <v>0.17</v>
      </c>
      <c r="P399" s="19">
        <v>0.0</v>
      </c>
      <c r="Q399" s="19">
        <v>0.0</v>
      </c>
      <c r="R399" s="18">
        <v>0.17</v>
      </c>
      <c r="S399" s="19">
        <v>0.0</v>
      </c>
      <c r="T399" s="14">
        <v>0.17</v>
      </c>
      <c r="U399" s="15">
        <v>0.1</v>
      </c>
      <c r="V399" s="15">
        <v>0.27</v>
      </c>
      <c r="W399" s="15">
        <v>0.17</v>
      </c>
      <c r="X399" s="15">
        <v>0.27</v>
      </c>
      <c r="Y399" s="20" t="s">
        <v>1619</v>
      </c>
    </row>
    <row r="400">
      <c r="A400" s="9">
        <v>398.0</v>
      </c>
      <c r="B400" s="10" t="s">
        <v>1620</v>
      </c>
      <c r="C400" s="11" t="s">
        <v>1621</v>
      </c>
      <c r="D400" s="12" t="s">
        <v>26</v>
      </c>
      <c r="E400" s="13" t="s">
        <v>1622</v>
      </c>
      <c r="F400" s="12">
        <v>21.0</v>
      </c>
      <c r="G400" s="12">
        <v>2004.0</v>
      </c>
      <c r="H400" s="14">
        <v>14.0</v>
      </c>
      <c r="I400" s="15">
        <v>10.0</v>
      </c>
      <c r="J400" s="15">
        <v>823.0</v>
      </c>
      <c r="K400" s="15">
        <v>9.1</v>
      </c>
      <c r="L400" s="22">
        <v>0.0</v>
      </c>
      <c r="M400" s="18">
        <v>0.11</v>
      </c>
      <c r="N400" s="18">
        <v>0.11</v>
      </c>
      <c r="O400" s="19">
        <v>0.0</v>
      </c>
      <c r="P400" s="19">
        <v>0.0</v>
      </c>
      <c r="Q400" s="19">
        <v>0.0</v>
      </c>
      <c r="R400" s="19">
        <v>0.0</v>
      </c>
      <c r="S400" s="19">
        <v>0.0</v>
      </c>
      <c r="T400" s="23">
        <v>0.0</v>
      </c>
      <c r="U400" s="15">
        <v>0.11</v>
      </c>
      <c r="V400" s="15">
        <v>0.11</v>
      </c>
      <c r="W400" s="21">
        <v>0.0</v>
      </c>
      <c r="X400" s="15">
        <v>0.11</v>
      </c>
      <c r="Y400" s="20" t="s">
        <v>1623</v>
      </c>
    </row>
    <row r="401">
      <c r="A401" s="9">
        <v>399.0</v>
      </c>
      <c r="B401" s="10" t="s">
        <v>1624</v>
      </c>
      <c r="C401" s="11" t="s">
        <v>1625</v>
      </c>
      <c r="D401" s="12" t="s">
        <v>31</v>
      </c>
      <c r="E401" s="13" t="s">
        <v>1626</v>
      </c>
      <c r="F401" s="12">
        <v>30.0</v>
      </c>
      <c r="G401" s="12">
        <v>1995.0</v>
      </c>
      <c r="H401" s="14">
        <v>33.0</v>
      </c>
      <c r="I401" s="15">
        <v>23.0</v>
      </c>
      <c r="J401" s="16">
        <v>2199.0</v>
      </c>
      <c r="K401" s="15">
        <v>24.4</v>
      </c>
      <c r="L401" s="17">
        <v>0.2</v>
      </c>
      <c r="M401" s="18">
        <v>0.08</v>
      </c>
      <c r="N401" s="18">
        <v>0.29</v>
      </c>
      <c r="O401" s="18">
        <v>0.2</v>
      </c>
      <c r="P401" s="19">
        <v>0.0</v>
      </c>
      <c r="Q401" s="19">
        <v>0.0</v>
      </c>
      <c r="R401" s="18">
        <v>0.33</v>
      </c>
      <c r="S401" s="19">
        <v>0.0</v>
      </c>
      <c r="T401" s="14">
        <v>0.2</v>
      </c>
      <c r="U401" s="15">
        <v>0.08</v>
      </c>
      <c r="V401" s="15">
        <v>0.29</v>
      </c>
      <c r="W401" s="15">
        <v>0.2</v>
      </c>
      <c r="X401" s="15">
        <v>0.29</v>
      </c>
      <c r="Y401" s="20" t="s">
        <v>1627</v>
      </c>
    </row>
    <row r="402">
      <c r="A402" s="9">
        <v>400.0</v>
      </c>
      <c r="B402" s="10" t="s">
        <v>1628</v>
      </c>
      <c r="C402" s="11" t="s">
        <v>1629</v>
      </c>
      <c r="D402" s="12" t="s">
        <v>31</v>
      </c>
      <c r="E402" s="13" t="s">
        <v>1630</v>
      </c>
      <c r="F402" s="12">
        <v>23.0</v>
      </c>
      <c r="G402" s="12">
        <v>2002.0</v>
      </c>
      <c r="H402" s="14">
        <v>26.0</v>
      </c>
      <c r="I402" s="15">
        <v>24.0</v>
      </c>
      <c r="J402" s="16">
        <v>1955.0</v>
      </c>
      <c r="K402" s="15">
        <v>21.7</v>
      </c>
      <c r="L402" s="17">
        <v>0.46</v>
      </c>
      <c r="M402" s="18">
        <v>0.05</v>
      </c>
      <c r="N402" s="18">
        <v>0.51</v>
      </c>
      <c r="O402" s="18">
        <v>0.23</v>
      </c>
      <c r="P402" s="18">
        <v>0.23</v>
      </c>
      <c r="Q402" s="18">
        <v>0.28</v>
      </c>
      <c r="R402" s="18">
        <v>0.23</v>
      </c>
      <c r="S402" s="19">
        <v>0.0</v>
      </c>
      <c r="T402" s="14">
        <v>0.46</v>
      </c>
      <c r="U402" s="15">
        <v>0.05</v>
      </c>
      <c r="V402" s="15">
        <v>0.51</v>
      </c>
      <c r="W402" s="15">
        <v>0.23</v>
      </c>
      <c r="X402" s="15">
        <v>0.28</v>
      </c>
      <c r="Y402" s="20" t="s">
        <v>1631</v>
      </c>
    </row>
    <row r="403">
      <c r="A403" s="9">
        <v>401.0</v>
      </c>
      <c r="B403" s="10" t="s">
        <v>1632</v>
      </c>
      <c r="C403" s="11" t="s">
        <v>1633</v>
      </c>
      <c r="D403" s="12" t="s">
        <v>26</v>
      </c>
      <c r="E403" s="13" t="s">
        <v>1634</v>
      </c>
      <c r="F403" s="12">
        <v>27.0</v>
      </c>
      <c r="G403" s="12">
        <v>1997.0</v>
      </c>
      <c r="H403" s="14">
        <v>18.0</v>
      </c>
      <c r="I403" s="15">
        <v>18.0</v>
      </c>
      <c r="J403" s="16">
        <v>1511.0</v>
      </c>
      <c r="K403" s="15">
        <v>16.8</v>
      </c>
      <c r="L403" s="17">
        <v>0.24</v>
      </c>
      <c r="M403" s="18">
        <v>0.06</v>
      </c>
      <c r="N403" s="18">
        <v>0.3</v>
      </c>
      <c r="O403" s="18">
        <v>0.12</v>
      </c>
      <c r="P403" s="18">
        <v>0.12</v>
      </c>
      <c r="Q403" s="18">
        <v>0.12</v>
      </c>
      <c r="R403" s="18">
        <v>0.42</v>
      </c>
      <c r="S403" s="18">
        <v>0.06</v>
      </c>
      <c r="T403" s="14">
        <v>0.24</v>
      </c>
      <c r="U403" s="15">
        <v>0.06</v>
      </c>
      <c r="V403" s="15">
        <v>0.3</v>
      </c>
      <c r="W403" s="15">
        <v>0.12</v>
      </c>
      <c r="X403" s="15">
        <v>0.18</v>
      </c>
      <c r="Y403" s="20" t="s">
        <v>1635</v>
      </c>
    </row>
    <row r="404">
      <c r="A404" s="9">
        <v>402.0</v>
      </c>
      <c r="B404" s="10" t="s">
        <v>1636</v>
      </c>
      <c r="C404" s="11" t="s">
        <v>1637</v>
      </c>
      <c r="D404" s="12" t="s">
        <v>36</v>
      </c>
      <c r="E404" s="13" t="s">
        <v>1638</v>
      </c>
      <c r="F404" s="12">
        <v>23.0</v>
      </c>
      <c r="G404" s="12">
        <v>2001.0</v>
      </c>
      <c r="H404" s="14">
        <v>7.0</v>
      </c>
      <c r="I404" s="15">
        <v>3.0</v>
      </c>
      <c r="J404" s="15">
        <v>241.0</v>
      </c>
      <c r="K404" s="15">
        <v>2.7</v>
      </c>
      <c r="L404" s="22">
        <v>0.0</v>
      </c>
      <c r="M404" s="19">
        <v>0.0</v>
      </c>
      <c r="N404" s="19">
        <v>0.0</v>
      </c>
      <c r="O404" s="19">
        <v>0.0</v>
      </c>
      <c r="P404" s="19">
        <v>0.0</v>
      </c>
      <c r="Q404" s="19">
        <v>0.0</v>
      </c>
      <c r="R404" s="19">
        <v>0.0</v>
      </c>
      <c r="S404" s="19">
        <v>0.0</v>
      </c>
      <c r="T404" s="23">
        <v>0.0</v>
      </c>
      <c r="U404" s="21">
        <v>0.0</v>
      </c>
      <c r="V404" s="21">
        <v>0.0</v>
      </c>
      <c r="W404" s="21">
        <v>0.0</v>
      </c>
      <c r="X404" s="21">
        <v>0.0</v>
      </c>
      <c r="Y404" s="20" t="s">
        <v>1639</v>
      </c>
    </row>
    <row r="405">
      <c r="A405" s="9">
        <v>403.0</v>
      </c>
      <c r="B405" s="10" t="s">
        <v>1640</v>
      </c>
      <c r="C405" s="11" t="s">
        <v>1641</v>
      </c>
      <c r="D405" s="12" t="s">
        <v>31</v>
      </c>
      <c r="E405" s="13" t="s">
        <v>1642</v>
      </c>
      <c r="F405" s="12">
        <v>22.0</v>
      </c>
      <c r="G405" s="12">
        <v>2002.0</v>
      </c>
      <c r="H405" s="14">
        <v>1.0</v>
      </c>
      <c r="I405" s="21">
        <v>0.0</v>
      </c>
      <c r="J405" s="15">
        <v>1.0</v>
      </c>
      <c r="K405" s="21">
        <v>0.0</v>
      </c>
      <c r="L405" s="23">
        <v>0.0</v>
      </c>
      <c r="M405" s="21">
        <v>0.0</v>
      </c>
      <c r="N405" s="21">
        <v>0.0</v>
      </c>
      <c r="O405" s="21">
        <v>0.0</v>
      </c>
      <c r="P405" s="21">
        <v>0.0</v>
      </c>
      <c r="Q405" s="21">
        <v>0.0</v>
      </c>
      <c r="R405" s="21">
        <v>0.0</v>
      </c>
      <c r="S405" s="21">
        <v>0.0</v>
      </c>
      <c r="T405" s="23">
        <v>0.0</v>
      </c>
      <c r="U405" s="21">
        <v>0.0</v>
      </c>
      <c r="V405" s="21">
        <v>0.0</v>
      </c>
      <c r="W405" s="21">
        <v>0.0</v>
      </c>
      <c r="X405" s="21">
        <v>0.0</v>
      </c>
      <c r="Y405" s="20" t="s">
        <v>1643</v>
      </c>
    </row>
    <row r="406">
      <c r="A406" s="9">
        <v>404.0</v>
      </c>
      <c r="B406" s="10" t="s">
        <v>1644</v>
      </c>
      <c r="C406" s="11" t="s">
        <v>1645</v>
      </c>
      <c r="D406" s="12" t="s">
        <v>98</v>
      </c>
      <c r="E406" s="13" t="s">
        <v>1646</v>
      </c>
      <c r="F406" s="12">
        <v>27.0</v>
      </c>
      <c r="G406" s="12">
        <v>1997.0</v>
      </c>
      <c r="H406" s="14">
        <v>16.0</v>
      </c>
      <c r="I406" s="15">
        <v>16.0</v>
      </c>
      <c r="J406" s="16">
        <v>1440.0</v>
      </c>
      <c r="K406" s="15">
        <v>16.0</v>
      </c>
      <c r="L406" s="22">
        <v>0.0</v>
      </c>
      <c r="M406" s="19">
        <v>0.0</v>
      </c>
      <c r="N406" s="19">
        <v>0.0</v>
      </c>
      <c r="O406" s="19">
        <v>0.0</v>
      </c>
      <c r="P406" s="19">
        <v>0.0</v>
      </c>
      <c r="Q406" s="19">
        <v>0.0</v>
      </c>
      <c r="R406" s="18">
        <v>0.13</v>
      </c>
      <c r="S406" s="19">
        <v>0.0</v>
      </c>
      <c r="T406" s="23">
        <v>0.0</v>
      </c>
      <c r="U406" s="21">
        <v>0.0</v>
      </c>
      <c r="V406" s="21">
        <v>0.0</v>
      </c>
      <c r="W406" s="21">
        <v>0.0</v>
      </c>
      <c r="X406" s="21">
        <v>0.0</v>
      </c>
      <c r="Y406" s="20" t="s">
        <v>1647</v>
      </c>
    </row>
    <row r="407">
      <c r="A407" s="9">
        <v>405.0</v>
      </c>
      <c r="B407" s="10" t="s">
        <v>1648</v>
      </c>
      <c r="C407" s="11" t="s">
        <v>1649</v>
      </c>
      <c r="D407" s="12" t="s">
        <v>98</v>
      </c>
      <c r="E407" s="13" t="s">
        <v>1650</v>
      </c>
      <c r="F407" s="12">
        <v>25.0</v>
      </c>
      <c r="G407" s="12">
        <v>1999.0</v>
      </c>
      <c r="H407" s="14">
        <v>38.0</v>
      </c>
      <c r="I407" s="15">
        <v>38.0</v>
      </c>
      <c r="J407" s="16">
        <v>3420.0</v>
      </c>
      <c r="K407" s="15">
        <v>38.0</v>
      </c>
      <c r="L407" s="22">
        <v>0.0</v>
      </c>
      <c r="M407" s="19">
        <v>0.0</v>
      </c>
      <c r="N407" s="19">
        <v>0.0</v>
      </c>
      <c r="O407" s="19">
        <v>0.0</v>
      </c>
      <c r="P407" s="19">
        <v>0.0</v>
      </c>
      <c r="Q407" s="19">
        <v>0.0</v>
      </c>
      <c r="R407" s="18">
        <v>0.08</v>
      </c>
      <c r="S407" s="19">
        <v>0.0</v>
      </c>
      <c r="T407" s="23">
        <v>0.0</v>
      </c>
      <c r="U407" s="21">
        <v>0.0</v>
      </c>
      <c r="V407" s="21">
        <v>0.0</v>
      </c>
      <c r="W407" s="21">
        <v>0.0</v>
      </c>
      <c r="X407" s="21">
        <v>0.0</v>
      </c>
      <c r="Y407" s="20" t="s">
        <v>1651</v>
      </c>
    </row>
    <row r="408">
      <c r="A408" s="9">
        <v>406.0</v>
      </c>
      <c r="B408" s="10" t="s">
        <v>1652</v>
      </c>
      <c r="C408" s="11" t="s">
        <v>1653</v>
      </c>
      <c r="D408" s="12" t="s">
        <v>98</v>
      </c>
      <c r="E408" s="13" t="s">
        <v>1654</v>
      </c>
      <c r="F408" s="12">
        <v>31.0</v>
      </c>
      <c r="G408" s="12">
        <v>1994.0</v>
      </c>
      <c r="H408" s="14">
        <v>38.0</v>
      </c>
      <c r="I408" s="15">
        <v>38.0</v>
      </c>
      <c r="J408" s="16">
        <v>3420.0</v>
      </c>
      <c r="K408" s="15">
        <v>38.0</v>
      </c>
      <c r="L408" s="22">
        <v>0.0</v>
      </c>
      <c r="M408" s="19">
        <v>0.0</v>
      </c>
      <c r="N408" s="19">
        <v>0.0</v>
      </c>
      <c r="O408" s="19">
        <v>0.0</v>
      </c>
      <c r="P408" s="19">
        <v>0.0</v>
      </c>
      <c r="Q408" s="19">
        <v>0.0</v>
      </c>
      <c r="R408" s="18">
        <v>0.11</v>
      </c>
      <c r="S408" s="19">
        <v>0.0</v>
      </c>
      <c r="T408" s="23">
        <v>0.0</v>
      </c>
      <c r="U408" s="21">
        <v>0.0</v>
      </c>
      <c r="V408" s="21">
        <v>0.0</v>
      </c>
      <c r="W408" s="21">
        <v>0.0</v>
      </c>
      <c r="X408" s="21">
        <v>0.0</v>
      </c>
      <c r="Y408" s="20" t="s">
        <v>1655</v>
      </c>
    </row>
    <row r="409">
      <c r="A409" s="9">
        <v>407.0</v>
      </c>
      <c r="B409" s="10" t="s">
        <v>1656</v>
      </c>
      <c r="C409" s="11" t="s">
        <v>1657</v>
      </c>
      <c r="D409" s="12" t="s">
        <v>36</v>
      </c>
      <c r="E409" s="13" t="s">
        <v>1658</v>
      </c>
      <c r="F409" s="12">
        <v>32.0</v>
      </c>
      <c r="G409" s="12">
        <v>1993.0</v>
      </c>
      <c r="H409" s="14">
        <v>4.0</v>
      </c>
      <c r="I409" s="15">
        <v>4.0</v>
      </c>
      <c r="J409" s="15">
        <v>318.0</v>
      </c>
      <c r="K409" s="15">
        <v>3.5</v>
      </c>
      <c r="L409" s="22">
        <v>0.0</v>
      </c>
      <c r="M409" s="19">
        <v>0.0</v>
      </c>
      <c r="N409" s="19">
        <v>0.0</v>
      </c>
      <c r="O409" s="19">
        <v>0.0</v>
      </c>
      <c r="P409" s="19">
        <v>0.0</v>
      </c>
      <c r="Q409" s="19">
        <v>0.0</v>
      </c>
      <c r="R409" s="18">
        <v>0.29</v>
      </c>
      <c r="S409" s="19">
        <v>0.0</v>
      </c>
      <c r="T409" s="23">
        <v>0.0</v>
      </c>
      <c r="U409" s="21">
        <v>0.0</v>
      </c>
      <c r="V409" s="21">
        <v>0.0</v>
      </c>
      <c r="W409" s="21">
        <v>0.0</v>
      </c>
      <c r="X409" s="21">
        <v>0.0</v>
      </c>
      <c r="Y409" s="20" t="s">
        <v>1659</v>
      </c>
    </row>
    <row r="410">
      <c r="A410" s="9">
        <v>408.0</v>
      </c>
      <c r="B410" s="10" t="s">
        <v>1660</v>
      </c>
      <c r="C410" s="11" t="s">
        <v>1661</v>
      </c>
      <c r="D410" s="12" t="s">
        <v>26</v>
      </c>
      <c r="E410" s="13" t="s">
        <v>1662</v>
      </c>
      <c r="F410" s="12">
        <v>22.0</v>
      </c>
      <c r="G410" s="12">
        <v>2002.0</v>
      </c>
      <c r="H410" s="14">
        <v>34.0</v>
      </c>
      <c r="I410" s="15">
        <v>26.0</v>
      </c>
      <c r="J410" s="16">
        <v>2080.0</v>
      </c>
      <c r="K410" s="15">
        <v>23.1</v>
      </c>
      <c r="L410" s="17">
        <v>0.09</v>
      </c>
      <c r="M410" s="18">
        <v>0.09</v>
      </c>
      <c r="N410" s="18">
        <v>0.17</v>
      </c>
      <c r="O410" s="18">
        <v>0.09</v>
      </c>
      <c r="P410" s="19">
        <v>0.0</v>
      </c>
      <c r="Q410" s="19">
        <v>0.0</v>
      </c>
      <c r="R410" s="18">
        <v>0.17</v>
      </c>
      <c r="S410" s="19">
        <v>0.0</v>
      </c>
      <c r="T410" s="14">
        <v>0.09</v>
      </c>
      <c r="U410" s="15">
        <v>0.09</v>
      </c>
      <c r="V410" s="15">
        <v>0.17</v>
      </c>
      <c r="W410" s="15">
        <v>0.09</v>
      </c>
      <c r="X410" s="15">
        <v>0.17</v>
      </c>
      <c r="Y410" s="20" t="s">
        <v>1663</v>
      </c>
    </row>
    <row r="411">
      <c r="A411" s="9">
        <v>409.0</v>
      </c>
      <c r="B411" s="10" t="s">
        <v>1664</v>
      </c>
      <c r="C411" s="11" t="s">
        <v>1665</v>
      </c>
      <c r="D411" s="12" t="s">
        <v>41</v>
      </c>
      <c r="E411" s="13" t="s">
        <v>1666</v>
      </c>
      <c r="F411" s="12">
        <v>25.0</v>
      </c>
      <c r="G411" s="12">
        <v>1999.0</v>
      </c>
      <c r="H411" s="14">
        <v>16.0</v>
      </c>
      <c r="I411" s="15">
        <v>2.0</v>
      </c>
      <c r="J411" s="15">
        <v>258.0</v>
      </c>
      <c r="K411" s="15">
        <v>2.9</v>
      </c>
      <c r="L411" s="22">
        <v>0.0</v>
      </c>
      <c r="M411" s="19">
        <v>0.0</v>
      </c>
      <c r="N411" s="19">
        <v>0.0</v>
      </c>
      <c r="O411" s="19">
        <v>0.0</v>
      </c>
      <c r="P411" s="19">
        <v>0.0</v>
      </c>
      <c r="Q411" s="19">
        <v>0.0</v>
      </c>
      <c r="R411" s="19">
        <v>0.0</v>
      </c>
      <c r="S411" s="19">
        <v>0.0</v>
      </c>
      <c r="T411" s="23">
        <v>0.0</v>
      </c>
      <c r="U411" s="21">
        <v>0.0</v>
      </c>
      <c r="V411" s="21">
        <v>0.0</v>
      </c>
      <c r="W411" s="21">
        <v>0.0</v>
      </c>
      <c r="X411" s="21">
        <v>0.0</v>
      </c>
      <c r="Y411" s="20" t="s">
        <v>1667</v>
      </c>
    </row>
    <row r="412">
      <c r="A412" s="9">
        <v>410.0</v>
      </c>
      <c r="B412" s="10" t="s">
        <v>1668</v>
      </c>
      <c r="C412" s="11" t="s">
        <v>1669</v>
      </c>
      <c r="D412" s="12" t="s">
        <v>98</v>
      </c>
      <c r="E412" s="13" t="s">
        <v>1670</v>
      </c>
      <c r="F412" s="12">
        <v>33.0</v>
      </c>
      <c r="G412" s="12">
        <v>1992.0</v>
      </c>
      <c r="H412" s="14">
        <v>27.0</v>
      </c>
      <c r="I412" s="15">
        <v>27.0</v>
      </c>
      <c r="J412" s="16">
        <v>2416.0</v>
      </c>
      <c r="K412" s="15">
        <v>26.8</v>
      </c>
      <c r="L412" s="22">
        <v>0.0</v>
      </c>
      <c r="M412" s="19">
        <v>0.0</v>
      </c>
      <c r="N412" s="19">
        <v>0.0</v>
      </c>
      <c r="O412" s="19">
        <v>0.0</v>
      </c>
      <c r="P412" s="19">
        <v>0.0</v>
      </c>
      <c r="Q412" s="19">
        <v>0.0</v>
      </c>
      <c r="R412" s="18">
        <v>0.07</v>
      </c>
      <c r="S412" s="19">
        <v>0.0</v>
      </c>
      <c r="T412" s="23">
        <v>0.0</v>
      </c>
      <c r="U412" s="21">
        <v>0.0</v>
      </c>
      <c r="V412" s="21">
        <v>0.0</v>
      </c>
      <c r="W412" s="21">
        <v>0.0</v>
      </c>
      <c r="X412" s="21">
        <v>0.0</v>
      </c>
      <c r="Y412" s="20" t="s">
        <v>1671</v>
      </c>
    </row>
    <row r="413">
      <c r="A413" s="9">
        <v>411.0</v>
      </c>
      <c r="B413" s="10" t="s">
        <v>1672</v>
      </c>
      <c r="C413" s="11" t="s">
        <v>1673</v>
      </c>
      <c r="D413" s="12" t="s">
        <v>36</v>
      </c>
      <c r="E413" s="13" t="s">
        <v>1674</v>
      </c>
      <c r="F413" s="12">
        <v>25.0</v>
      </c>
      <c r="G413" s="12">
        <v>1999.0</v>
      </c>
      <c r="H413" s="14">
        <v>34.0</v>
      </c>
      <c r="I413" s="15">
        <v>32.0</v>
      </c>
      <c r="J413" s="16">
        <v>2796.0</v>
      </c>
      <c r="K413" s="15">
        <v>31.1</v>
      </c>
      <c r="L413" s="17">
        <v>0.03</v>
      </c>
      <c r="M413" s="18">
        <v>0.06</v>
      </c>
      <c r="N413" s="18">
        <v>0.1</v>
      </c>
      <c r="O413" s="18">
        <v>0.03</v>
      </c>
      <c r="P413" s="19">
        <v>0.0</v>
      </c>
      <c r="Q413" s="19">
        <v>0.0</v>
      </c>
      <c r="R413" s="18">
        <v>0.32</v>
      </c>
      <c r="S413" s="19">
        <v>0.0</v>
      </c>
      <c r="T413" s="14">
        <v>0.03</v>
      </c>
      <c r="U413" s="15">
        <v>0.06</v>
      </c>
      <c r="V413" s="15">
        <v>0.1</v>
      </c>
      <c r="W413" s="15">
        <v>0.03</v>
      </c>
      <c r="X413" s="15">
        <v>0.1</v>
      </c>
      <c r="Y413" s="20" t="s">
        <v>1675</v>
      </c>
    </row>
    <row r="414">
      <c r="A414" s="9">
        <v>412.0</v>
      </c>
      <c r="B414" s="10" t="s">
        <v>1676</v>
      </c>
      <c r="C414" s="11" t="s">
        <v>1677</v>
      </c>
      <c r="D414" s="12" t="s">
        <v>31</v>
      </c>
      <c r="E414" s="13" t="s">
        <v>1678</v>
      </c>
      <c r="F414" s="12">
        <v>21.0</v>
      </c>
      <c r="G414" s="12">
        <v>2003.0</v>
      </c>
      <c r="H414" s="14">
        <v>22.0</v>
      </c>
      <c r="I414" s="15">
        <v>12.0</v>
      </c>
      <c r="J414" s="16">
        <v>1171.0</v>
      </c>
      <c r="K414" s="15">
        <v>13.0</v>
      </c>
      <c r="L414" s="22">
        <v>0.0</v>
      </c>
      <c r="M414" s="18">
        <v>0.08</v>
      </c>
      <c r="N414" s="18">
        <v>0.08</v>
      </c>
      <c r="O414" s="19">
        <v>0.0</v>
      </c>
      <c r="P414" s="19">
        <v>0.0</v>
      </c>
      <c r="Q414" s="19">
        <v>0.0</v>
      </c>
      <c r="R414" s="18">
        <v>0.08</v>
      </c>
      <c r="S414" s="19">
        <v>0.0</v>
      </c>
      <c r="T414" s="23">
        <v>0.0</v>
      </c>
      <c r="U414" s="15">
        <v>0.08</v>
      </c>
      <c r="V414" s="15">
        <v>0.08</v>
      </c>
      <c r="W414" s="21">
        <v>0.0</v>
      </c>
      <c r="X414" s="15">
        <v>0.08</v>
      </c>
      <c r="Y414" s="20" t="s">
        <v>1679</v>
      </c>
    </row>
    <row r="415">
      <c r="A415" s="9">
        <v>413.0</v>
      </c>
      <c r="B415" s="10" t="s">
        <v>1680</v>
      </c>
      <c r="C415" s="11" t="s">
        <v>1681</v>
      </c>
      <c r="D415" s="12" t="s">
        <v>98</v>
      </c>
      <c r="E415" s="13" t="s">
        <v>1682</v>
      </c>
      <c r="F415" s="12">
        <v>27.0</v>
      </c>
      <c r="G415" s="12">
        <v>1998.0</v>
      </c>
      <c r="H415" s="14">
        <v>12.0</v>
      </c>
      <c r="I415" s="15">
        <v>11.0</v>
      </c>
      <c r="J415" s="16">
        <v>1004.0</v>
      </c>
      <c r="K415" s="15">
        <v>11.2</v>
      </c>
      <c r="L415" s="22">
        <v>0.0</v>
      </c>
      <c r="M415" s="19">
        <v>0.0</v>
      </c>
      <c r="N415" s="19">
        <v>0.0</v>
      </c>
      <c r="O415" s="19">
        <v>0.0</v>
      </c>
      <c r="P415" s="19">
        <v>0.0</v>
      </c>
      <c r="Q415" s="19">
        <v>0.0</v>
      </c>
      <c r="R415" s="18">
        <v>0.18</v>
      </c>
      <c r="S415" s="19">
        <v>0.0</v>
      </c>
      <c r="T415" s="23">
        <v>0.0</v>
      </c>
      <c r="U415" s="21">
        <v>0.0</v>
      </c>
      <c r="V415" s="21">
        <v>0.0</v>
      </c>
      <c r="W415" s="21">
        <v>0.0</v>
      </c>
      <c r="X415" s="21">
        <v>0.0</v>
      </c>
      <c r="Y415" s="20" t="s">
        <v>1683</v>
      </c>
    </row>
    <row r="416">
      <c r="A416" s="9">
        <v>414.0</v>
      </c>
      <c r="B416" s="10" t="s">
        <v>1684</v>
      </c>
      <c r="C416" s="11" t="s">
        <v>1685</v>
      </c>
      <c r="D416" s="12" t="s">
        <v>31</v>
      </c>
      <c r="E416" s="13" t="s">
        <v>1686</v>
      </c>
      <c r="F416" s="12">
        <v>24.0</v>
      </c>
      <c r="G416" s="12">
        <v>2001.0</v>
      </c>
      <c r="H416" s="14">
        <v>28.0</v>
      </c>
      <c r="I416" s="15">
        <v>15.0</v>
      </c>
      <c r="J416" s="16">
        <v>1450.0</v>
      </c>
      <c r="K416" s="15">
        <v>16.1</v>
      </c>
      <c r="L416" s="17">
        <v>0.12</v>
      </c>
      <c r="M416" s="18">
        <v>0.19</v>
      </c>
      <c r="N416" s="18">
        <v>0.31</v>
      </c>
      <c r="O416" s="18">
        <v>0.12</v>
      </c>
      <c r="P416" s="19">
        <v>0.0</v>
      </c>
      <c r="Q416" s="19">
        <v>0.0</v>
      </c>
      <c r="R416" s="18">
        <v>0.31</v>
      </c>
      <c r="S416" s="18">
        <v>0.06</v>
      </c>
      <c r="T416" s="14">
        <v>0.12</v>
      </c>
      <c r="U416" s="15">
        <v>0.19</v>
      </c>
      <c r="V416" s="15">
        <v>0.31</v>
      </c>
      <c r="W416" s="15">
        <v>0.12</v>
      </c>
      <c r="X416" s="15">
        <v>0.31</v>
      </c>
      <c r="Y416" s="20" t="s">
        <v>1687</v>
      </c>
    </row>
    <row r="417">
      <c r="A417" s="9">
        <v>415.0</v>
      </c>
      <c r="B417" s="10" t="s">
        <v>1688</v>
      </c>
      <c r="C417" s="11" t="s">
        <v>1689</v>
      </c>
      <c r="D417" s="12" t="s">
        <v>98</v>
      </c>
      <c r="E417" s="13" t="s">
        <v>1690</v>
      </c>
      <c r="F417" s="12">
        <v>29.0</v>
      </c>
      <c r="G417" s="12">
        <v>1995.0</v>
      </c>
      <c r="H417" s="14">
        <v>37.0</v>
      </c>
      <c r="I417" s="15">
        <v>37.0</v>
      </c>
      <c r="J417" s="16">
        <v>3330.0</v>
      </c>
      <c r="K417" s="15">
        <v>37.0</v>
      </c>
      <c r="L417" s="22">
        <v>0.0</v>
      </c>
      <c r="M417" s="19">
        <v>0.0</v>
      </c>
      <c r="N417" s="19">
        <v>0.0</v>
      </c>
      <c r="O417" s="19">
        <v>0.0</v>
      </c>
      <c r="P417" s="19">
        <v>0.0</v>
      </c>
      <c r="Q417" s="19">
        <v>0.0</v>
      </c>
      <c r="R417" s="18">
        <v>0.03</v>
      </c>
      <c r="S417" s="19">
        <v>0.0</v>
      </c>
      <c r="T417" s="23">
        <v>0.0</v>
      </c>
      <c r="U417" s="21">
        <v>0.0</v>
      </c>
      <c r="V417" s="21">
        <v>0.0</v>
      </c>
      <c r="W417" s="21">
        <v>0.0</v>
      </c>
      <c r="X417" s="21">
        <v>0.0</v>
      </c>
      <c r="Y417" s="20" t="s">
        <v>1691</v>
      </c>
    </row>
    <row r="418">
      <c r="A418" s="9">
        <v>416.0</v>
      </c>
      <c r="B418" s="10" t="s">
        <v>1692</v>
      </c>
      <c r="C418" s="11" t="s">
        <v>1693</v>
      </c>
      <c r="D418" s="12" t="s">
        <v>31</v>
      </c>
      <c r="E418" s="13" t="s">
        <v>1694</v>
      </c>
      <c r="F418" s="12">
        <v>18.0</v>
      </c>
      <c r="G418" s="12">
        <v>2006.0</v>
      </c>
      <c r="H418" s="14">
        <v>15.0</v>
      </c>
      <c r="I418" s="15">
        <v>13.0</v>
      </c>
      <c r="J418" s="16">
        <v>1111.0</v>
      </c>
      <c r="K418" s="15">
        <v>12.3</v>
      </c>
      <c r="L418" s="17">
        <v>0.41</v>
      </c>
      <c r="M418" s="18">
        <v>0.16</v>
      </c>
      <c r="N418" s="18">
        <v>0.57</v>
      </c>
      <c r="O418" s="18">
        <v>0.41</v>
      </c>
      <c r="P418" s="19">
        <v>0.0</v>
      </c>
      <c r="Q418" s="19">
        <v>0.0</v>
      </c>
      <c r="R418" s="18">
        <v>0.08</v>
      </c>
      <c r="S418" s="19">
        <v>0.0</v>
      </c>
      <c r="T418" s="14">
        <v>0.41</v>
      </c>
      <c r="U418" s="15">
        <v>0.16</v>
      </c>
      <c r="V418" s="15">
        <v>0.57</v>
      </c>
      <c r="W418" s="15">
        <v>0.41</v>
      </c>
      <c r="X418" s="15">
        <v>0.57</v>
      </c>
      <c r="Y418" s="20" t="s">
        <v>1695</v>
      </c>
    </row>
    <row r="419">
      <c r="A419" s="9">
        <v>417.0</v>
      </c>
      <c r="B419" s="10" t="s">
        <v>1696</v>
      </c>
      <c r="C419" s="11" t="s">
        <v>1697</v>
      </c>
      <c r="D419" s="12" t="s">
        <v>31</v>
      </c>
      <c r="E419" s="13" t="s">
        <v>1698</v>
      </c>
      <c r="F419" s="12">
        <v>30.0</v>
      </c>
      <c r="G419" s="12">
        <v>1995.0</v>
      </c>
      <c r="H419" s="14">
        <v>7.0</v>
      </c>
      <c r="I419" s="15">
        <v>1.0</v>
      </c>
      <c r="J419" s="15">
        <v>94.0</v>
      </c>
      <c r="K419" s="15">
        <v>1.0</v>
      </c>
      <c r="L419" s="17">
        <v>1.0</v>
      </c>
      <c r="M419" s="19">
        <v>0.0</v>
      </c>
      <c r="N419" s="18">
        <v>1.0</v>
      </c>
      <c r="O419" s="18">
        <v>1.0</v>
      </c>
      <c r="P419" s="19">
        <v>0.0</v>
      </c>
      <c r="Q419" s="19">
        <v>0.0</v>
      </c>
      <c r="R419" s="19">
        <v>0.0</v>
      </c>
      <c r="S419" s="19">
        <v>0.0</v>
      </c>
      <c r="T419" s="14">
        <v>0.96</v>
      </c>
      <c r="U419" s="21">
        <v>0.0</v>
      </c>
      <c r="V419" s="15">
        <v>0.96</v>
      </c>
      <c r="W419" s="15">
        <v>0.96</v>
      </c>
      <c r="X419" s="15">
        <v>0.96</v>
      </c>
      <c r="Y419" s="20" t="s">
        <v>1699</v>
      </c>
    </row>
    <row r="420">
      <c r="A420" s="9">
        <v>418.0</v>
      </c>
      <c r="B420" s="10" t="s">
        <v>1700</v>
      </c>
      <c r="C420" s="11" t="s">
        <v>1701</v>
      </c>
      <c r="D420" s="12" t="s">
        <v>31</v>
      </c>
      <c r="E420" s="13" t="s">
        <v>1702</v>
      </c>
      <c r="F420" s="12">
        <v>27.0</v>
      </c>
      <c r="G420" s="12">
        <v>1998.0</v>
      </c>
      <c r="H420" s="14">
        <v>28.0</v>
      </c>
      <c r="I420" s="15">
        <v>19.0</v>
      </c>
      <c r="J420" s="16">
        <v>1631.0</v>
      </c>
      <c r="K420" s="15">
        <v>18.1</v>
      </c>
      <c r="L420" s="17">
        <v>0.28</v>
      </c>
      <c r="M420" s="18">
        <v>0.11</v>
      </c>
      <c r="N420" s="18">
        <v>0.39</v>
      </c>
      <c r="O420" s="18">
        <v>0.28</v>
      </c>
      <c r="P420" s="19">
        <v>0.0</v>
      </c>
      <c r="Q420" s="19">
        <v>0.0</v>
      </c>
      <c r="R420" s="18">
        <v>0.11</v>
      </c>
      <c r="S420" s="19">
        <v>0.0</v>
      </c>
      <c r="T420" s="14">
        <v>0.28</v>
      </c>
      <c r="U420" s="15">
        <v>0.11</v>
      </c>
      <c r="V420" s="15">
        <v>0.39</v>
      </c>
      <c r="W420" s="15">
        <v>0.28</v>
      </c>
      <c r="X420" s="15">
        <v>0.39</v>
      </c>
      <c r="Y420" s="20" t="s">
        <v>1703</v>
      </c>
    </row>
    <row r="421">
      <c r="A421" s="9">
        <v>419.0</v>
      </c>
      <c r="B421" s="10" t="s">
        <v>1704</v>
      </c>
      <c r="C421" s="11" t="s">
        <v>1705</v>
      </c>
      <c r="D421" s="12" t="s">
        <v>36</v>
      </c>
      <c r="E421" s="13" t="s">
        <v>1706</v>
      </c>
      <c r="F421" s="12">
        <v>22.0</v>
      </c>
      <c r="G421" s="12">
        <v>2003.0</v>
      </c>
      <c r="H421" s="14">
        <v>9.0</v>
      </c>
      <c r="I421" s="15">
        <v>6.0</v>
      </c>
      <c r="J421" s="15">
        <v>552.0</v>
      </c>
      <c r="K421" s="15">
        <v>6.1</v>
      </c>
      <c r="L421" s="22">
        <v>0.0</v>
      </c>
      <c r="M421" s="18">
        <v>0.16</v>
      </c>
      <c r="N421" s="18">
        <v>0.16</v>
      </c>
      <c r="O421" s="19">
        <v>0.0</v>
      </c>
      <c r="P421" s="19">
        <v>0.0</v>
      </c>
      <c r="Q421" s="19">
        <v>0.0</v>
      </c>
      <c r="R421" s="18">
        <v>0.33</v>
      </c>
      <c r="S421" s="19">
        <v>0.0</v>
      </c>
      <c r="T421" s="23">
        <v>0.0</v>
      </c>
      <c r="U421" s="15">
        <v>0.16</v>
      </c>
      <c r="V421" s="15">
        <v>0.16</v>
      </c>
      <c r="W421" s="21">
        <v>0.0</v>
      </c>
      <c r="X421" s="15">
        <v>0.16</v>
      </c>
      <c r="Y421" s="20" t="s">
        <v>1707</v>
      </c>
    </row>
    <row r="422">
      <c r="A422" s="9">
        <v>420.0</v>
      </c>
      <c r="B422" s="10" t="s">
        <v>1708</v>
      </c>
      <c r="C422" s="11" t="s">
        <v>1709</v>
      </c>
      <c r="D422" s="12" t="s">
        <v>31</v>
      </c>
      <c r="E422" s="13" t="s">
        <v>1710</v>
      </c>
      <c r="F422" s="12">
        <v>26.0</v>
      </c>
      <c r="G422" s="12">
        <v>1999.0</v>
      </c>
      <c r="H422" s="14">
        <v>36.0</v>
      </c>
      <c r="I422" s="15">
        <v>35.0</v>
      </c>
      <c r="J422" s="16">
        <v>3094.0</v>
      </c>
      <c r="K422" s="15">
        <v>34.4</v>
      </c>
      <c r="L422" s="17">
        <v>0.12</v>
      </c>
      <c r="M422" s="18">
        <v>0.15</v>
      </c>
      <c r="N422" s="18">
        <v>0.26</v>
      </c>
      <c r="O422" s="18">
        <v>0.12</v>
      </c>
      <c r="P422" s="19">
        <v>0.0</v>
      </c>
      <c r="Q422" s="19">
        <v>0.0</v>
      </c>
      <c r="R422" s="18">
        <v>0.09</v>
      </c>
      <c r="S422" s="19">
        <v>0.0</v>
      </c>
      <c r="T422" s="14">
        <v>0.12</v>
      </c>
      <c r="U422" s="15">
        <v>0.15</v>
      </c>
      <c r="V422" s="15">
        <v>0.26</v>
      </c>
      <c r="W422" s="15">
        <v>0.12</v>
      </c>
      <c r="X422" s="15">
        <v>0.26</v>
      </c>
      <c r="Y422" s="20" t="s">
        <v>1711</v>
      </c>
    </row>
    <row r="423">
      <c r="A423" s="9">
        <v>421.0</v>
      </c>
      <c r="B423" s="10" t="s">
        <v>1712</v>
      </c>
      <c r="C423" s="11" t="s">
        <v>1713</v>
      </c>
      <c r="D423" s="12" t="s">
        <v>36</v>
      </c>
      <c r="E423" s="13" t="s">
        <v>1714</v>
      </c>
      <c r="F423" s="12">
        <v>25.0</v>
      </c>
      <c r="G423" s="12">
        <v>2000.0</v>
      </c>
      <c r="H423" s="14">
        <v>33.0</v>
      </c>
      <c r="I423" s="15">
        <v>31.0</v>
      </c>
      <c r="J423" s="16">
        <v>2827.0</v>
      </c>
      <c r="K423" s="15">
        <v>31.4</v>
      </c>
      <c r="L423" s="17">
        <v>0.03</v>
      </c>
      <c r="M423" s="19">
        <v>0.0</v>
      </c>
      <c r="N423" s="18">
        <v>0.03</v>
      </c>
      <c r="O423" s="18">
        <v>0.03</v>
      </c>
      <c r="P423" s="19">
        <v>0.0</v>
      </c>
      <c r="Q423" s="19">
        <v>0.0</v>
      </c>
      <c r="R423" s="18">
        <v>0.13</v>
      </c>
      <c r="S423" s="19">
        <v>0.0</v>
      </c>
      <c r="T423" s="14">
        <v>0.03</v>
      </c>
      <c r="U423" s="21">
        <v>0.0</v>
      </c>
      <c r="V423" s="15">
        <v>0.03</v>
      </c>
      <c r="W423" s="15">
        <v>0.03</v>
      </c>
      <c r="X423" s="15">
        <v>0.03</v>
      </c>
      <c r="Y423" s="20" t="s">
        <v>1715</v>
      </c>
    </row>
    <row r="424">
      <c r="A424" s="9">
        <v>422.0</v>
      </c>
      <c r="B424" s="10" t="s">
        <v>1716</v>
      </c>
      <c r="C424" s="11" t="s">
        <v>1717</v>
      </c>
      <c r="D424" s="12" t="s">
        <v>107</v>
      </c>
      <c r="E424" s="13" t="s">
        <v>1718</v>
      </c>
      <c r="F424" s="12">
        <v>28.0</v>
      </c>
      <c r="G424" s="12">
        <v>1997.0</v>
      </c>
      <c r="H424" s="14">
        <v>32.0</v>
      </c>
      <c r="I424" s="15">
        <v>20.0</v>
      </c>
      <c r="J424" s="16">
        <v>1964.0</v>
      </c>
      <c r="K424" s="15">
        <v>21.8</v>
      </c>
      <c r="L424" s="17">
        <v>0.5</v>
      </c>
      <c r="M424" s="18">
        <v>0.18</v>
      </c>
      <c r="N424" s="18">
        <v>0.69</v>
      </c>
      <c r="O424" s="18">
        <v>0.5</v>
      </c>
      <c r="P424" s="19">
        <v>0.0</v>
      </c>
      <c r="Q424" s="19">
        <v>0.0</v>
      </c>
      <c r="R424" s="18">
        <v>0.23</v>
      </c>
      <c r="S424" s="19">
        <v>0.0</v>
      </c>
      <c r="T424" s="14">
        <v>0.5</v>
      </c>
      <c r="U424" s="15">
        <v>0.18</v>
      </c>
      <c r="V424" s="15">
        <v>0.69</v>
      </c>
      <c r="W424" s="15">
        <v>0.5</v>
      </c>
      <c r="X424" s="15">
        <v>0.69</v>
      </c>
      <c r="Y424" s="20" t="s">
        <v>1719</v>
      </c>
    </row>
    <row r="425">
      <c r="A425" s="9">
        <v>423.0</v>
      </c>
      <c r="B425" s="10" t="s">
        <v>1720</v>
      </c>
      <c r="C425" s="11" t="s">
        <v>1721</v>
      </c>
      <c r="D425" s="12" t="s">
        <v>31</v>
      </c>
      <c r="E425" s="13" t="s">
        <v>1722</v>
      </c>
      <c r="F425" s="12">
        <v>18.0</v>
      </c>
      <c r="G425" s="12">
        <v>2007.0</v>
      </c>
      <c r="H425" s="14">
        <v>18.0</v>
      </c>
      <c r="I425" s="15">
        <v>11.0</v>
      </c>
      <c r="J425" s="15">
        <v>761.0</v>
      </c>
      <c r="K425" s="15">
        <v>8.5</v>
      </c>
      <c r="L425" s="17">
        <v>0.12</v>
      </c>
      <c r="M425" s="18">
        <v>0.12</v>
      </c>
      <c r="N425" s="18">
        <v>0.24</v>
      </c>
      <c r="O425" s="18">
        <v>0.12</v>
      </c>
      <c r="P425" s="19">
        <v>0.0</v>
      </c>
      <c r="Q425" s="19">
        <v>0.0</v>
      </c>
      <c r="R425" s="18">
        <v>0.12</v>
      </c>
      <c r="S425" s="19">
        <v>0.0</v>
      </c>
      <c r="T425" s="14">
        <v>0.12</v>
      </c>
      <c r="U425" s="15">
        <v>0.12</v>
      </c>
      <c r="V425" s="15">
        <v>0.24</v>
      </c>
      <c r="W425" s="15">
        <v>0.12</v>
      </c>
      <c r="X425" s="15">
        <v>0.24</v>
      </c>
      <c r="Y425" s="20" t="s">
        <v>1723</v>
      </c>
    </row>
    <row r="426">
      <c r="A426" s="9">
        <v>424.0</v>
      </c>
      <c r="B426" s="10" t="s">
        <v>1724</v>
      </c>
      <c r="C426" s="11" t="s">
        <v>1725</v>
      </c>
      <c r="D426" s="12" t="s">
        <v>107</v>
      </c>
      <c r="E426" s="13" t="s">
        <v>1726</v>
      </c>
      <c r="F426" s="12">
        <v>28.0</v>
      </c>
      <c r="G426" s="12">
        <v>1997.0</v>
      </c>
      <c r="H426" s="14">
        <v>1.0</v>
      </c>
      <c r="I426" s="21">
        <v>0.0</v>
      </c>
      <c r="J426" s="15">
        <v>28.0</v>
      </c>
      <c r="K426" s="15">
        <v>0.3</v>
      </c>
      <c r="L426" s="22">
        <v>0.0</v>
      </c>
      <c r="M426" s="19">
        <v>0.0</v>
      </c>
      <c r="N426" s="19">
        <v>0.0</v>
      </c>
      <c r="O426" s="19">
        <v>0.0</v>
      </c>
      <c r="P426" s="19">
        <v>0.0</v>
      </c>
      <c r="Q426" s="19">
        <v>0.0</v>
      </c>
      <c r="R426" s="19">
        <v>0.0</v>
      </c>
      <c r="S426" s="19">
        <v>0.0</v>
      </c>
      <c r="T426" s="23">
        <v>0.0</v>
      </c>
      <c r="U426" s="21">
        <v>0.0</v>
      </c>
      <c r="V426" s="21">
        <v>0.0</v>
      </c>
      <c r="W426" s="21">
        <v>0.0</v>
      </c>
      <c r="X426" s="21">
        <v>0.0</v>
      </c>
      <c r="Y426" s="20" t="s">
        <v>1727</v>
      </c>
    </row>
    <row r="427">
      <c r="A427" s="9">
        <v>425.0</v>
      </c>
      <c r="B427" s="10" t="s">
        <v>1728</v>
      </c>
      <c r="C427" s="11" t="s">
        <v>1729</v>
      </c>
      <c r="D427" s="12" t="s">
        <v>36</v>
      </c>
      <c r="E427" s="13" t="s">
        <v>1730</v>
      </c>
      <c r="F427" s="12">
        <v>31.0</v>
      </c>
      <c r="G427" s="12">
        <v>1994.0</v>
      </c>
      <c r="H427" s="14">
        <v>24.0</v>
      </c>
      <c r="I427" s="15">
        <v>11.0</v>
      </c>
      <c r="J427" s="16">
        <v>1176.0</v>
      </c>
      <c r="K427" s="15">
        <v>13.1</v>
      </c>
      <c r="L427" s="17">
        <v>0.08</v>
      </c>
      <c r="M427" s="19">
        <v>0.0</v>
      </c>
      <c r="N427" s="18">
        <v>0.08</v>
      </c>
      <c r="O427" s="18">
        <v>0.08</v>
      </c>
      <c r="P427" s="19">
        <v>0.0</v>
      </c>
      <c r="Q427" s="19">
        <v>0.0</v>
      </c>
      <c r="R427" s="19">
        <v>0.0</v>
      </c>
      <c r="S427" s="19">
        <v>0.0</v>
      </c>
      <c r="T427" s="14">
        <v>0.08</v>
      </c>
      <c r="U427" s="21">
        <v>0.0</v>
      </c>
      <c r="V427" s="15">
        <v>0.08</v>
      </c>
      <c r="W427" s="15">
        <v>0.08</v>
      </c>
      <c r="X427" s="15">
        <v>0.08</v>
      </c>
      <c r="Y427" s="20" t="s">
        <v>1731</v>
      </c>
    </row>
    <row r="428">
      <c r="A428" s="9">
        <v>426.0</v>
      </c>
      <c r="B428" s="10" t="s">
        <v>1732</v>
      </c>
      <c r="C428" s="11" t="s">
        <v>1733</v>
      </c>
      <c r="D428" s="12" t="s">
        <v>345</v>
      </c>
      <c r="E428" s="13" t="s">
        <v>1734</v>
      </c>
      <c r="F428" s="12">
        <v>27.0</v>
      </c>
      <c r="G428" s="12">
        <v>1997.0</v>
      </c>
      <c r="H428" s="14">
        <v>22.0</v>
      </c>
      <c r="I428" s="15">
        <v>17.0</v>
      </c>
      <c r="J428" s="16">
        <v>1492.0</v>
      </c>
      <c r="K428" s="15">
        <v>16.6</v>
      </c>
      <c r="L428" s="17">
        <v>0.06</v>
      </c>
      <c r="M428" s="19">
        <v>0.0</v>
      </c>
      <c r="N428" s="18">
        <v>0.06</v>
      </c>
      <c r="O428" s="19">
        <v>0.0</v>
      </c>
      <c r="P428" s="18">
        <v>0.06</v>
      </c>
      <c r="Q428" s="18">
        <v>0.06</v>
      </c>
      <c r="R428" s="18">
        <v>0.3</v>
      </c>
      <c r="S428" s="19">
        <v>0.0</v>
      </c>
      <c r="T428" s="14">
        <v>0.06</v>
      </c>
      <c r="U428" s="21">
        <v>0.0</v>
      </c>
      <c r="V428" s="15">
        <v>0.06</v>
      </c>
      <c r="W428" s="21">
        <v>0.0</v>
      </c>
      <c r="X428" s="21">
        <v>0.0</v>
      </c>
      <c r="Y428" s="20" t="s">
        <v>1735</v>
      </c>
    </row>
    <row r="429">
      <c r="A429" s="9">
        <v>427.0</v>
      </c>
      <c r="B429" s="10" t="s">
        <v>1736</v>
      </c>
      <c r="C429" s="11" t="s">
        <v>1737</v>
      </c>
      <c r="D429" s="12" t="s">
        <v>345</v>
      </c>
      <c r="E429" s="13" t="s">
        <v>1738</v>
      </c>
      <c r="F429" s="12">
        <v>20.0</v>
      </c>
      <c r="G429" s="12">
        <v>2004.0</v>
      </c>
      <c r="H429" s="14">
        <v>1.0</v>
      </c>
      <c r="I429" s="21">
        <v>0.0</v>
      </c>
      <c r="J429" s="15">
        <v>4.0</v>
      </c>
      <c r="K429" s="21">
        <v>0.0</v>
      </c>
      <c r="L429" s="23">
        <v>0.0</v>
      </c>
      <c r="M429" s="21">
        <v>0.0</v>
      </c>
      <c r="N429" s="21">
        <v>0.0</v>
      </c>
      <c r="O429" s="21">
        <v>0.0</v>
      </c>
      <c r="P429" s="21">
        <v>0.0</v>
      </c>
      <c r="Q429" s="21">
        <v>0.0</v>
      </c>
      <c r="R429" s="21">
        <v>0.0</v>
      </c>
      <c r="S429" s="21">
        <v>0.0</v>
      </c>
      <c r="T429" s="23">
        <v>0.0</v>
      </c>
      <c r="U429" s="21">
        <v>0.0</v>
      </c>
      <c r="V429" s="21">
        <v>0.0</v>
      </c>
      <c r="W429" s="21">
        <v>0.0</v>
      </c>
      <c r="X429" s="21">
        <v>0.0</v>
      </c>
      <c r="Y429" s="20" t="s">
        <v>1739</v>
      </c>
    </row>
    <row r="430">
      <c r="A430" s="9">
        <v>428.0</v>
      </c>
      <c r="B430" s="10" t="s">
        <v>1740</v>
      </c>
      <c r="C430" s="11" t="s">
        <v>1741</v>
      </c>
      <c r="D430" s="12" t="s">
        <v>36</v>
      </c>
      <c r="E430" s="13" t="s">
        <v>1742</v>
      </c>
      <c r="F430" s="12">
        <v>27.0</v>
      </c>
      <c r="G430" s="12">
        <v>1997.0</v>
      </c>
      <c r="H430" s="14">
        <v>35.0</v>
      </c>
      <c r="I430" s="15">
        <v>33.0</v>
      </c>
      <c r="J430" s="16">
        <v>2951.0</v>
      </c>
      <c r="K430" s="15">
        <v>32.8</v>
      </c>
      <c r="L430" s="17">
        <v>0.06</v>
      </c>
      <c r="M430" s="19">
        <v>0.0</v>
      </c>
      <c r="N430" s="18">
        <v>0.06</v>
      </c>
      <c r="O430" s="18">
        <v>0.06</v>
      </c>
      <c r="P430" s="19">
        <v>0.0</v>
      </c>
      <c r="Q430" s="19">
        <v>0.0</v>
      </c>
      <c r="R430" s="18">
        <v>0.09</v>
      </c>
      <c r="S430" s="19">
        <v>0.0</v>
      </c>
      <c r="T430" s="14">
        <v>0.06</v>
      </c>
      <c r="U430" s="21">
        <v>0.0</v>
      </c>
      <c r="V430" s="15">
        <v>0.06</v>
      </c>
      <c r="W430" s="15">
        <v>0.06</v>
      </c>
      <c r="X430" s="15">
        <v>0.06</v>
      </c>
      <c r="Y430" s="20" t="s">
        <v>1743</v>
      </c>
    </row>
    <row r="431">
      <c r="A431" s="9">
        <v>429.0</v>
      </c>
      <c r="B431" s="10" t="s">
        <v>1744</v>
      </c>
      <c r="C431" s="11" t="s">
        <v>1745</v>
      </c>
      <c r="D431" s="12" t="s">
        <v>31</v>
      </c>
      <c r="E431" s="13" t="s">
        <v>1746</v>
      </c>
      <c r="F431" s="12">
        <v>29.0</v>
      </c>
      <c r="G431" s="12">
        <v>1996.0</v>
      </c>
      <c r="H431" s="14">
        <v>21.0</v>
      </c>
      <c r="I431" s="15">
        <v>17.0</v>
      </c>
      <c r="J431" s="16">
        <v>1511.0</v>
      </c>
      <c r="K431" s="15">
        <v>16.8</v>
      </c>
      <c r="L431" s="17">
        <v>0.06</v>
      </c>
      <c r="M431" s="19">
        <v>0.0</v>
      </c>
      <c r="N431" s="18">
        <v>0.06</v>
      </c>
      <c r="O431" s="18">
        <v>0.06</v>
      </c>
      <c r="P431" s="19">
        <v>0.0</v>
      </c>
      <c r="Q431" s="19">
        <v>0.0</v>
      </c>
      <c r="R431" s="18">
        <v>0.18</v>
      </c>
      <c r="S431" s="19">
        <v>0.0</v>
      </c>
      <c r="T431" s="14">
        <v>0.06</v>
      </c>
      <c r="U431" s="21">
        <v>0.0</v>
      </c>
      <c r="V431" s="15">
        <v>0.06</v>
      </c>
      <c r="W431" s="15">
        <v>0.06</v>
      </c>
      <c r="X431" s="15">
        <v>0.06</v>
      </c>
      <c r="Y431" s="20" t="s">
        <v>1747</v>
      </c>
    </row>
    <row r="432">
      <c r="A432" s="9">
        <v>430.0</v>
      </c>
      <c r="B432" s="10" t="s">
        <v>1748</v>
      </c>
      <c r="C432" s="11" t="s">
        <v>1749</v>
      </c>
      <c r="D432" s="12" t="s">
        <v>31</v>
      </c>
      <c r="E432" s="13" t="s">
        <v>1750</v>
      </c>
      <c r="F432" s="12">
        <v>31.0</v>
      </c>
      <c r="G432" s="12">
        <v>1994.0</v>
      </c>
      <c r="H432" s="14">
        <v>6.0</v>
      </c>
      <c r="I432" s="15">
        <v>2.0</v>
      </c>
      <c r="J432" s="15">
        <v>180.0</v>
      </c>
      <c r="K432" s="15">
        <v>2.0</v>
      </c>
      <c r="L432" s="22">
        <v>0.0</v>
      </c>
      <c r="M432" s="19">
        <v>0.0</v>
      </c>
      <c r="N432" s="19">
        <v>0.0</v>
      </c>
      <c r="O432" s="19">
        <v>0.0</v>
      </c>
      <c r="P432" s="19">
        <v>0.0</v>
      </c>
      <c r="Q432" s="19">
        <v>0.0</v>
      </c>
      <c r="R432" s="18">
        <v>0.5</v>
      </c>
      <c r="S432" s="19">
        <v>0.0</v>
      </c>
      <c r="T432" s="23">
        <v>0.0</v>
      </c>
      <c r="U432" s="21">
        <v>0.0</v>
      </c>
      <c r="V432" s="21">
        <v>0.0</v>
      </c>
      <c r="W432" s="21">
        <v>0.0</v>
      </c>
      <c r="X432" s="21">
        <v>0.0</v>
      </c>
      <c r="Y432" s="20" t="s">
        <v>1751</v>
      </c>
    </row>
    <row r="433">
      <c r="A433" s="9">
        <v>431.0</v>
      </c>
      <c r="B433" s="10" t="s">
        <v>1752</v>
      </c>
      <c r="C433" s="11" t="s">
        <v>1753</v>
      </c>
      <c r="D433" s="12" t="s">
        <v>98</v>
      </c>
      <c r="E433" s="13" t="s">
        <v>1754</v>
      </c>
      <c r="F433" s="12">
        <v>22.0</v>
      </c>
      <c r="G433" s="12">
        <v>2003.0</v>
      </c>
      <c r="H433" s="14">
        <v>35.0</v>
      </c>
      <c r="I433" s="15">
        <v>35.0</v>
      </c>
      <c r="J433" s="16">
        <v>3150.0</v>
      </c>
      <c r="K433" s="15">
        <v>35.0</v>
      </c>
      <c r="L433" s="22">
        <v>0.0</v>
      </c>
      <c r="M433" s="19">
        <v>0.0</v>
      </c>
      <c r="N433" s="19">
        <v>0.0</v>
      </c>
      <c r="O433" s="19">
        <v>0.0</v>
      </c>
      <c r="P433" s="19">
        <v>0.0</v>
      </c>
      <c r="Q433" s="19">
        <v>0.0</v>
      </c>
      <c r="R433" s="18">
        <v>0.11</v>
      </c>
      <c r="S433" s="19">
        <v>0.0</v>
      </c>
      <c r="T433" s="23">
        <v>0.0</v>
      </c>
      <c r="U433" s="21">
        <v>0.0</v>
      </c>
      <c r="V433" s="21">
        <v>0.0</v>
      </c>
      <c r="W433" s="21">
        <v>0.0</v>
      </c>
      <c r="X433" s="21">
        <v>0.0</v>
      </c>
      <c r="Y433" s="20" t="s">
        <v>1755</v>
      </c>
    </row>
    <row r="434">
      <c r="A434" s="9">
        <v>432.0</v>
      </c>
      <c r="B434" s="10" t="s">
        <v>1756</v>
      </c>
      <c r="C434" s="11" t="s">
        <v>1757</v>
      </c>
      <c r="D434" s="12" t="s">
        <v>31</v>
      </c>
      <c r="E434" s="13" t="s">
        <v>1758</v>
      </c>
      <c r="F434" s="12">
        <v>23.0</v>
      </c>
      <c r="G434" s="12">
        <v>2002.0</v>
      </c>
      <c r="H434" s="14">
        <v>37.0</v>
      </c>
      <c r="I434" s="15">
        <v>37.0</v>
      </c>
      <c r="J434" s="16">
        <v>3280.0</v>
      </c>
      <c r="K434" s="15">
        <v>36.4</v>
      </c>
      <c r="L434" s="17">
        <v>0.27</v>
      </c>
      <c r="M434" s="18">
        <v>0.16</v>
      </c>
      <c r="N434" s="18">
        <v>0.44</v>
      </c>
      <c r="O434" s="18">
        <v>0.27</v>
      </c>
      <c r="P434" s="19">
        <v>0.0</v>
      </c>
      <c r="Q434" s="19">
        <v>0.0</v>
      </c>
      <c r="R434" s="18">
        <v>0.19</v>
      </c>
      <c r="S434" s="19">
        <v>0.0</v>
      </c>
      <c r="T434" s="14">
        <v>0.27</v>
      </c>
      <c r="U434" s="15">
        <v>0.16</v>
      </c>
      <c r="V434" s="15">
        <v>0.44</v>
      </c>
      <c r="W434" s="15">
        <v>0.27</v>
      </c>
      <c r="X434" s="15">
        <v>0.44</v>
      </c>
      <c r="Y434" s="20" t="s">
        <v>1759</v>
      </c>
    </row>
    <row r="435">
      <c r="A435" s="9">
        <v>433.0</v>
      </c>
      <c r="B435" s="10" t="s">
        <v>1760</v>
      </c>
      <c r="C435" s="11" t="s">
        <v>1761</v>
      </c>
      <c r="D435" s="12" t="s">
        <v>31</v>
      </c>
      <c r="E435" s="13" t="s">
        <v>1762</v>
      </c>
      <c r="F435" s="12">
        <v>23.0</v>
      </c>
      <c r="G435" s="12">
        <v>2002.0</v>
      </c>
      <c r="H435" s="14">
        <v>16.0</v>
      </c>
      <c r="I435" s="15">
        <v>6.0</v>
      </c>
      <c r="J435" s="15">
        <v>682.0</v>
      </c>
      <c r="K435" s="15">
        <v>7.6</v>
      </c>
      <c r="L435" s="17">
        <v>0.13</v>
      </c>
      <c r="M435" s="19">
        <v>0.0</v>
      </c>
      <c r="N435" s="18">
        <v>0.13</v>
      </c>
      <c r="O435" s="18">
        <v>0.13</v>
      </c>
      <c r="P435" s="19">
        <v>0.0</v>
      </c>
      <c r="Q435" s="19">
        <v>0.0</v>
      </c>
      <c r="R435" s="19">
        <v>0.0</v>
      </c>
      <c r="S435" s="19">
        <v>0.0</v>
      </c>
      <c r="T435" s="14">
        <v>0.13</v>
      </c>
      <c r="U435" s="21">
        <v>0.0</v>
      </c>
      <c r="V435" s="15">
        <v>0.13</v>
      </c>
      <c r="W435" s="15">
        <v>0.13</v>
      </c>
      <c r="X435" s="15">
        <v>0.13</v>
      </c>
      <c r="Y435" s="20" t="s">
        <v>1763</v>
      </c>
    </row>
    <row r="436">
      <c r="A436" s="9">
        <v>434.0</v>
      </c>
      <c r="B436" s="10" t="s">
        <v>1764</v>
      </c>
      <c r="C436" s="11" t="s">
        <v>1765</v>
      </c>
      <c r="D436" s="12" t="s">
        <v>36</v>
      </c>
      <c r="E436" s="13" t="s">
        <v>1766</v>
      </c>
      <c r="F436" s="12">
        <v>27.0</v>
      </c>
      <c r="G436" s="12">
        <v>1998.0</v>
      </c>
      <c r="H436" s="14">
        <v>23.0</v>
      </c>
      <c r="I436" s="15">
        <v>22.0</v>
      </c>
      <c r="J436" s="16">
        <v>1868.0</v>
      </c>
      <c r="K436" s="15">
        <v>20.8</v>
      </c>
      <c r="L436" s="17">
        <v>0.19</v>
      </c>
      <c r="M436" s="18">
        <v>0.05</v>
      </c>
      <c r="N436" s="18">
        <v>0.24</v>
      </c>
      <c r="O436" s="18">
        <v>0.19</v>
      </c>
      <c r="P436" s="19">
        <v>0.0</v>
      </c>
      <c r="Q436" s="19">
        <v>0.0</v>
      </c>
      <c r="R436" s="18">
        <v>0.53</v>
      </c>
      <c r="S436" s="18">
        <v>0.1</v>
      </c>
      <c r="T436" s="14">
        <v>0.19</v>
      </c>
      <c r="U436" s="15">
        <v>0.05</v>
      </c>
      <c r="V436" s="15">
        <v>0.24</v>
      </c>
      <c r="W436" s="15">
        <v>0.19</v>
      </c>
      <c r="X436" s="15">
        <v>0.24</v>
      </c>
      <c r="Y436" s="20" t="s">
        <v>1767</v>
      </c>
    </row>
    <row r="437">
      <c r="A437" s="9">
        <v>435.0</v>
      </c>
      <c r="B437" s="10" t="s">
        <v>1768</v>
      </c>
      <c r="C437" s="11" t="s">
        <v>1769</v>
      </c>
      <c r="D437" s="12" t="s">
        <v>36</v>
      </c>
      <c r="E437" s="13" t="s">
        <v>1770</v>
      </c>
      <c r="F437" s="12">
        <v>19.0</v>
      </c>
      <c r="G437" s="12">
        <v>2006.0</v>
      </c>
      <c r="H437" s="14">
        <v>1.0</v>
      </c>
      <c r="I437" s="21">
        <v>0.0</v>
      </c>
      <c r="J437" s="15">
        <v>1.0</v>
      </c>
      <c r="K437" s="21">
        <v>0.0</v>
      </c>
      <c r="L437" s="23">
        <v>0.0</v>
      </c>
      <c r="M437" s="21">
        <v>0.0</v>
      </c>
      <c r="N437" s="21">
        <v>0.0</v>
      </c>
      <c r="O437" s="21">
        <v>0.0</v>
      </c>
      <c r="P437" s="21">
        <v>0.0</v>
      </c>
      <c r="Q437" s="21">
        <v>0.0</v>
      </c>
      <c r="R437" s="21">
        <v>0.0</v>
      </c>
      <c r="S437" s="21">
        <v>0.0</v>
      </c>
      <c r="T437" s="23">
        <v>0.0</v>
      </c>
      <c r="U437" s="21">
        <v>0.0</v>
      </c>
      <c r="V437" s="21">
        <v>0.0</v>
      </c>
      <c r="W437" s="21">
        <v>0.0</v>
      </c>
      <c r="X437" s="21">
        <v>0.0</v>
      </c>
      <c r="Y437" s="20" t="s">
        <v>1771</v>
      </c>
    </row>
    <row r="438">
      <c r="A438" s="9">
        <v>436.0</v>
      </c>
      <c r="B438" s="10" t="s">
        <v>1772</v>
      </c>
      <c r="C438" s="11" t="s">
        <v>1773</v>
      </c>
      <c r="D438" s="12" t="s">
        <v>26</v>
      </c>
      <c r="E438" s="13" t="s">
        <v>1774</v>
      </c>
      <c r="F438" s="12">
        <v>23.0</v>
      </c>
      <c r="G438" s="12">
        <v>2002.0</v>
      </c>
      <c r="H438" s="14">
        <v>32.0</v>
      </c>
      <c r="I438" s="15">
        <v>20.0</v>
      </c>
      <c r="J438" s="16">
        <v>1786.0</v>
      </c>
      <c r="K438" s="15">
        <v>19.8</v>
      </c>
      <c r="L438" s="17">
        <v>0.15</v>
      </c>
      <c r="M438" s="18">
        <v>0.15</v>
      </c>
      <c r="N438" s="18">
        <v>0.3</v>
      </c>
      <c r="O438" s="18">
        <v>0.15</v>
      </c>
      <c r="P438" s="19">
        <v>0.0</v>
      </c>
      <c r="Q438" s="19">
        <v>0.0</v>
      </c>
      <c r="R438" s="18">
        <v>0.1</v>
      </c>
      <c r="S438" s="19">
        <v>0.0</v>
      </c>
      <c r="T438" s="14">
        <v>0.15</v>
      </c>
      <c r="U438" s="15">
        <v>0.15</v>
      </c>
      <c r="V438" s="15">
        <v>0.3</v>
      </c>
      <c r="W438" s="15">
        <v>0.15</v>
      </c>
      <c r="X438" s="15">
        <v>0.3</v>
      </c>
      <c r="Y438" s="20" t="s">
        <v>1775</v>
      </c>
    </row>
    <row r="439">
      <c r="A439" s="9">
        <v>437.0</v>
      </c>
      <c r="B439" s="10" t="s">
        <v>1776</v>
      </c>
      <c r="C439" s="11" t="s">
        <v>1777</v>
      </c>
      <c r="D439" s="12" t="s">
        <v>98</v>
      </c>
      <c r="E439" s="13" t="s">
        <v>1778</v>
      </c>
      <c r="F439" s="12">
        <v>32.0</v>
      </c>
      <c r="G439" s="12">
        <v>1993.0</v>
      </c>
      <c r="H439" s="14">
        <v>23.0</v>
      </c>
      <c r="I439" s="15">
        <v>23.0</v>
      </c>
      <c r="J439" s="16">
        <v>2070.0</v>
      </c>
      <c r="K439" s="15">
        <v>23.0</v>
      </c>
      <c r="L439" s="22">
        <v>0.0</v>
      </c>
      <c r="M439" s="19">
        <v>0.0</v>
      </c>
      <c r="N439" s="19">
        <v>0.0</v>
      </c>
      <c r="O439" s="19">
        <v>0.0</v>
      </c>
      <c r="P439" s="19">
        <v>0.0</v>
      </c>
      <c r="Q439" s="19">
        <v>0.0</v>
      </c>
      <c r="R439" s="18">
        <v>0.09</v>
      </c>
      <c r="S439" s="19">
        <v>0.0</v>
      </c>
      <c r="T439" s="23">
        <v>0.0</v>
      </c>
      <c r="U439" s="21">
        <v>0.0</v>
      </c>
      <c r="V439" s="21">
        <v>0.0</v>
      </c>
      <c r="W439" s="21">
        <v>0.0</v>
      </c>
      <c r="X439" s="21">
        <v>0.0</v>
      </c>
      <c r="Y439" s="20" t="s">
        <v>1779</v>
      </c>
    </row>
    <row r="440">
      <c r="A440" s="9">
        <v>438.0</v>
      </c>
      <c r="B440" s="10" t="s">
        <v>1780</v>
      </c>
      <c r="C440" s="11" t="s">
        <v>1781</v>
      </c>
      <c r="D440" s="12" t="s">
        <v>31</v>
      </c>
      <c r="E440" s="13" t="s">
        <v>1782</v>
      </c>
      <c r="F440" s="12">
        <v>20.0</v>
      </c>
      <c r="G440" s="12">
        <v>2004.0</v>
      </c>
      <c r="H440" s="14">
        <v>33.0</v>
      </c>
      <c r="I440" s="15">
        <v>33.0</v>
      </c>
      <c r="J440" s="16">
        <v>2889.0</v>
      </c>
      <c r="K440" s="15">
        <v>32.1</v>
      </c>
      <c r="L440" s="22">
        <v>0.0</v>
      </c>
      <c r="M440" s="18">
        <v>0.03</v>
      </c>
      <c r="N440" s="18">
        <v>0.03</v>
      </c>
      <c r="O440" s="19">
        <v>0.0</v>
      </c>
      <c r="P440" s="19">
        <v>0.0</v>
      </c>
      <c r="Q440" s="19">
        <v>0.0</v>
      </c>
      <c r="R440" s="18">
        <v>0.28</v>
      </c>
      <c r="S440" s="19">
        <v>0.0</v>
      </c>
      <c r="T440" s="23">
        <v>0.0</v>
      </c>
      <c r="U440" s="15">
        <v>0.03</v>
      </c>
      <c r="V440" s="15">
        <v>0.03</v>
      </c>
      <c r="W440" s="21">
        <v>0.0</v>
      </c>
      <c r="X440" s="15">
        <v>0.03</v>
      </c>
      <c r="Y440" s="20" t="s">
        <v>1783</v>
      </c>
    </row>
    <row r="441">
      <c r="A441" s="9">
        <v>439.0</v>
      </c>
      <c r="B441" s="10" t="s">
        <v>1784</v>
      </c>
      <c r="C441" s="11" t="s">
        <v>1785</v>
      </c>
      <c r="D441" s="12" t="s">
        <v>107</v>
      </c>
      <c r="E441" s="13" t="s">
        <v>1786</v>
      </c>
      <c r="F441" s="12">
        <v>23.0</v>
      </c>
      <c r="G441" s="12">
        <v>2001.0</v>
      </c>
      <c r="H441" s="14">
        <v>31.0</v>
      </c>
      <c r="I441" s="15">
        <v>25.0</v>
      </c>
      <c r="J441" s="16">
        <v>2222.0</v>
      </c>
      <c r="K441" s="15">
        <v>24.7</v>
      </c>
      <c r="L441" s="17">
        <v>0.28</v>
      </c>
      <c r="M441" s="18">
        <v>0.2</v>
      </c>
      <c r="N441" s="18">
        <v>0.49</v>
      </c>
      <c r="O441" s="18">
        <v>0.24</v>
      </c>
      <c r="P441" s="18">
        <v>0.04</v>
      </c>
      <c r="Q441" s="18">
        <v>0.04</v>
      </c>
      <c r="R441" s="18">
        <v>0.08</v>
      </c>
      <c r="S441" s="19">
        <v>0.0</v>
      </c>
      <c r="T441" s="14">
        <v>0.28</v>
      </c>
      <c r="U441" s="15">
        <v>0.2</v>
      </c>
      <c r="V441" s="15">
        <v>0.49</v>
      </c>
      <c r="W441" s="15">
        <v>0.24</v>
      </c>
      <c r="X441" s="15">
        <v>0.45</v>
      </c>
      <c r="Y441" s="20" t="s">
        <v>1787</v>
      </c>
    </row>
    <row r="442">
      <c r="A442" s="9">
        <v>440.0</v>
      </c>
      <c r="B442" s="10" t="s">
        <v>1788</v>
      </c>
      <c r="C442" s="11" t="s">
        <v>1789</v>
      </c>
      <c r="D442" s="12" t="s">
        <v>31</v>
      </c>
      <c r="E442" s="13" t="s">
        <v>1790</v>
      </c>
      <c r="F442" s="12">
        <v>33.0</v>
      </c>
      <c r="G442" s="12">
        <v>1992.0</v>
      </c>
      <c r="H442" s="14">
        <v>27.0</v>
      </c>
      <c r="I442" s="15">
        <v>23.0</v>
      </c>
      <c r="J442" s="16">
        <v>2146.0</v>
      </c>
      <c r="K442" s="15">
        <v>23.8</v>
      </c>
      <c r="L442" s="17">
        <v>0.29</v>
      </c>
      <c r="M442" s="18">
        <v>0.29</v>
      </c>
      <c r="N442" s="18">
        <v>0.59</v>
      </c>
      <c r="O442" s="18">
        <v>0.25</v>
      </c>
      <c r="P442" s="18">
        <v>0.04</v>
      </c>
      <c r="Q442" s="18">
        <v>0.04</v>
      </c>
      <c r="R442" s="18">
        <v>0.04</v>
      </c>
      <c r="S442" s="19">
        <v>0.0</v>
      </c>
      <c r="T442" s="14">
        <v>0.29</v>
      </c>
      <c r="U442" s="15">
        <v>0.29</v>
      </c>
      <c r="V442" s="15">
        <v>0.59</v>
      </c>
      <c r="W442" s="15">
        <v>0.25</v>
      </c>
      <c r="X442" s="15">
        <v>0.55</v>
      </c>
      <c r="Y442" s="20" t="s">
        <v>1791</v>
      </c>
    </row>
    <row r="443">
      <c r="A443" s="9">
        <v>441.0</v>
      </c>
      <c r="B443" s="10" t="s">
        <v>1792</v>
      </c>
      <c r="C443" s="11" t="s">
        <v>1793</v>
      </c>
      <c r="D443" s="12" t="s">
        <v>36</v>
      </c>
      <c r="E443" s="13" t="s">
        <v>1794</v>
      </c>
      <c r="F443" s="12">
        <v>24.0</v>
      </c>
      <c r="G443" s="12">
        <v>2001.0</v>
      </c>
      <c r="H443" s="14">
        <v>31.0</v>
      </c>
      <c r="I443" s="15">
        <v>30.0</v>
      </c>
      <c r="J443" s="16">
        <v>2614.0</v>
      </c>
      <c r="K443" s="15">
        <v>29.0</v>
      </c>
      <c r="L443" s="17">
        <v>0.03</v>
      </c>
      <c r="M443" s="19">
        <v>0.0</v>
      </c>
      <c r="N443" s="18">
        <v>0.03</v>
      </c>
      <c r="O443" s="18">
        <v>0.03</v>
      </c>
      <c r="P443" s="19">
        <v>0.0</v>
      </c>
      <c r="Q443" s="19">
        <v>0.0</v>
      </c>
      <c r="R443" s="18">
        <v>0.07</v>
      </c>
      <c r="S443" s="19">
        <v>0.0</v>
      </c>
      <c r="T443" s="14">
        <v>0.03</v>
      </c>
      <c r="U443" s="21">
        <v>0.0</v>
      </c>
      <c r="V443" s="15">
        <v>0.03</v>
      </c>
      <c r="W443" s="15">
        <v>0.03</v>
      </c>
      <c r="X443" s="15">
        <v>0.03</v>
      </c>
      <c r="Y443" s="20" t="s">
        <v>1795</v>
      </c>
    </row>
    <row r="444">
      <c r="A444" s="9">
        <v>442.0</v>
      </c>
      <c r="B444" s="10" t="s">
        <v>1796</v>
      </c>
      <c r="C444" s="11" t="s">
        <v>1797</v>
      </c>
      <c r="D444" s="12" t="s">
        <v>98</v>
      </c>
      <c r="E444" s="13" t="s">
        <v>1798</v>
      </c>
      <c r="F444" s="12">
        <v>27.0</v>
      </c>
      <c r="G444" s="12">
        <v>1997.0</v>
      </c>
      <c r="H444" s="14">
        <v>35.0</v>
      </c>
      <c r="I444" s="15">
        <v>35.0</v>
      </c>
      <c r="J444" s="16">
        <v>3039.0</v>
      </c>
      <c r="K444" s="15">
        <v>33.8</v>
      </c>
      <c r="L444" s="22">
        <v>0.0</v>
      </c>
      <c r="M444" s="18">
        <v>0.03</v>
      </c>
      <c r="N444" s="18">
        <v>0.03</v>
      </c>
      <c r="O444" s="19">
        <v>0.0</v>
      </c>
      <c r="P444" s="19">
        <v>0.0</v>
      </c>
      <c r="Q444" s="19">
        <v>0.0</v>
      </c>
      <c r="R444" s="18">
        <v>0.09</v>
      </c>
      <c r="S444" s="18">
        <v>0.03</v>
      </c>
      <c r="T444" s="23">
        <v>0.0</v>
      </c>
      <c r="U444" s="15">
        <v>0.03</v>
      </c>
      <c r="V444" s="15">
        <v>0.03</v>
      </c>
      <c r="W444" s="21">
        <v>0.0</v>
      </c>
      <c r="X444" s="15">
        <v>0.03</v>
      </c>
      <c r="Y444" s="20" t="s">
        <v>1799</v>
      </c>
    </row>
    <row r="445">
      <c r="A445" s="9">
        <v>443.0</v>
      </c>
      <c r="B445" s="10" t="s">
        <v>1800</v>
      </c>
      <c r="C445" s="11" t="s">
        <v>1801</v>
      </c>
      <c r="D445" s="12" t="s">
        <v>31</v>
      </c>
      <c r="E445" s="13" t="s">
        <v>1802</v>
      </c>
      <c r="F445" s="12">
        <v>25.0</v>
      </c>
      <c r="G445" s="12">
        <v>2000.0</v>
      </c>
      <c r="H445" s="14">
        <v>23.0</v>
      </c>
      <c r="I445" s="15">
        <v>9.0</v>
      </c>
      <c r="J445" s="15">
        <v>876.0</v>
      </c>
      <c r="K445" s="15">
        <v>9.7</v>
      </c>
      <c r="L445" s="22">
        <v>0.0</v>
      </c>
      <c r="M445" s="18">
        <v>0.21</v>
      </c>
      <c r="N445" s="18">
        <v>0.21</v>
      </c>
      <c r="O445" s="19">
        <v>0.0</v>
      </c>
      <c r="P445" s="19">
        <v>0.0</v>
      </c>
      <c r="Q445" s="19">
        <v>0.0</v>
      </c>
      <c r="R445" s="19">
        <v>0.0</v>
      </c>
      <c r="S445" s="19">
        <v>0.0</v>
      </c>
      <c r="T445" s="23">
        <v>0.0</v>
      </c>
      <c r="U445" s="15">
        <v>0.21</v>
      </c>
      <c r="V445" s="15">
        <v>0.21</v>
      </c>
      <c r="W445" s="21">
        <v>0.0</v>
      </c>
      <c r="X445" s="15">
        <v>0.21</v>
      </c>
      <c r="Y445" s="20" t="s">
        <v>1803</v>
      </c>
    </row>
    <row r="446">
      <c r="A446" s="9">
        <v>444.0</v>
      </c>
      <c r="B446" s="10" t="s">
        <v>1804</v>
      </c>
      <c r="C446" s="11" t="s">
        <v>1805</v>
      </c>
      <c r="D446" s="12" t="s">
        <v>31</v>
      </c>
      <c r="E446" s="13" t="s">
        <v>1806</v>
      </c>
      <c r="F446" s="12">
        <v>27.0</v>
      </c>
      <c r="G446" s="12">
        <v>1997.0</v>
      </c>
      <c r="H446" s="14">
        <v>28.0</v>
      </c>
      <c r="I446" s="15">
        <v>25.0</v>
      </c>
      <c r="J446" s="16">
        <v>2075.0</v>
      </c>
      <c r="K446" s="15">
        <v>23.1</v>
      </c>
      <c r="L446" s="17">
        <v>0.09</v>
      </c>
      <c r="M446" s="18">
        <v>0.09</v>
      </c>
      <c r="N446" s="18">
        <v>0.17</v>
      </c>
      <c r="O446" s="18">
        <v>0.09</v>
      </c>
      <c r="P446" s="19">
        <v>0.0</v>
      </c>
      <c r="Q446" s="19">
        <v>0.0</v>
      </c>
      <c r="R446" s="18">
        <v>0.22</v>
      </c>
      <c r="S446" s="19">
        <v>0.0</v>
      </c>
      <c r="T446" s="14">
        <v>0.09</v>
      </c>
      <c r="U446" s="15">
        <v>0.09</v>
      </c>
      <c r="V446" s="15">
        <v>0.17</v>
      </c>
      <c r="W446" s="15">
        <v>0.09</v>
      </c>
      <c r="X446" s="15">
        <v>0.17</v>
      </c>
      <c r="Y446" s="20" t="s">
        <v>1807</v>
      </c>
    </row>
    <row r="447">
      <c r="A447" s="9">
        <v>445.0</v>
      </c>
      <c r="B447" s="10" t="s">
        <v>1808</v>
      </c>
      <c r="C447" s="11" t="s">
        <v>1809</v>
      </c>
      <c r="D447" s="12" t="s">
        <v>31</v>
      </c>
      <c r="E447" s="13" t="s">
        <v>1810</v>
      </c>
      <c r="F447" s="12">
        <v>21.0</v>
      </c>
      <c r="G447" s="12">
        <v>2004.0</v>
      </c>
      <c r="H447" s="14">
        <v>27.0</v>
      </c>
      <c r="I447" s="15">
        <v>13.0</v>
      </c>
      <c r="J447" s="16">
        <v>1260.0</v>
      </c>
      <c r="K447" s="15">
        <v>14.0</v>
      </c>
      <c r="L447" s="17">
        <v>0.07</v>
      </c>
      <c r="M447" s="19">
        <v>0.0</v>
      </c>
      <c r="N447" s="18">
        <v>0.07</v>
      </c>
      <c r="O447" s="18">
        <v>0.07</v>
      </c>
      <c r="P447" s="19">
        <v>0.0</v>
      </c>
      <c r="Q447" s="19">
        <v>0.0</v>
      </c>
      <c r="R447" s="18">
        <v>0.29</v>
      </c>
      <c r="S447" s="19">
        <v>0.0</v>
      </c>
      <c r="T447" s="14">
        <v>0.07</v>
      </c>
      <c r="U447" s="21">
        <v>0.0</v>
      </c>
      <c r="V447" s="15">
        <v>0.07</v>
      </c>
      <c r="W447" s="15">
        <v>0.07</v>
      </c>
      <c r="X447" s="15">
        <v>0.07</v>
      </c>
      <c r="Y447" s="20" t="s">
        <v>1811</v>
      </c>
    </row>
    <row r="448">
      <c r="A448" s="9">
        <v>446.0</v>
      </c>
      <c r="B448" s="10" t="s">
        <v>1812</v>
      </c>
      <c r="C448" s="11" t="s">
        <v>1813</v>
      </c>
      <c r="D448" s="12" t="s">
        <v>31</v>
      </c>
      <c r="E448" s="13" t="s">
        <v>1814</v>
      </c>
      <c r="F448" s="12">
        <v>27.0</v>
      </c>
      <c r="G448" s="12">
        <v>1998.0</v>
      </c>
      <c r="H448" s="14">
        <v>28.0</v>
      </c>
      <c r="I448" s="15">
        <v>24.0</v>
      </c>
      <c r="J448" s="16">
        <v>2174.0</v>
      </c>
      <c r="K448" s="15">
        <v>24.2</v>
      </c>
      <c r="L448" s="17">
        <v>0.37</v>
      </c>
      <c r="M448" s="18">
        <v>0.04</v>
      </c>
      <c r="N448" s="18">
        <v>0.41</v>
      </c>
      <c r="O448" s="18">
        <v>0.25</v>
      </c>
      <c r="P448" s="18">
        <v>0.12</v>
      </c>
      <c r="Q448" s="18">
        <v>0.12</v>
      </c>
      <c r="R448" s="18">
        <v>0.08</v>
      </c>
      <c r="S448" s="19">
        <v>0.0</v>
      </c>
      <c r="T448" s="14">
        <v>0.37</v>
      </c>
      <c r="U448" s="15">
        <v>0.04</v>
      </c>
      <c r="V448" s="15">
        <v>0.41</v>
      </c>
      <c r="W448" s="15">
        <v>0.25</v>
      </c>
      <c r="X448" s="15">
        <v>0.29</v>
      </c>
      <c r="Y448" s="20" t="s">
        <v>1815</v>
      </c>
    </row>
    <row r="449">
      <c r="A449" s="9">
        <v>447.0</v>
      </c>
      <c r="B449" s="10" t="s">
        <v>1816</v>
      </c>
      <c r="C449" s="11" t="s">
        <v>1817</v>
      </c>
      <c r="D449" s="12" t="s">
        <v>36</v>
      </c>
      <c r="E449" s="13" t="s">
        <v>1818</v>
      </c>
      <c r="F449" s="12">
        <v>19.0</v>
      </c>
      <c r="G449" s="12">
        <v>2005.0</v>
      </c>
      <c r="H449" s="14">
        <v>3.0</v>
      </c>
      <c r="I449" s="15">
        <v>1.0</v>
      </c>
      <c r="J449" s="15">
        <v>102.0</v>
      </c>
      <c r="K449" s="15">
        <v>1.1</v>
      </c>
      <c r="L449" s="22">
        <v>0.0</v>
      </c>
      <c r="M449" s="19">
        <v>0.0</v>
      </c>
      <c r="N449" s="19">
        <v>0.0</v>
      </c>
      <c r="O449" s="19">
        <v>0.0</v>
      </c>
      <c r="P449" s="19">
        <v>0.0</v>
      </c>
      <c r="Q449" s="19">
        <v>0.0</v>
      </c>
      <c r="R449" s="19">
        <v>0.0</v>
      </c>
      <c r="S449" s="19">
        <v>0.0</v>
      </c>
      <c r="T449" s="23">
        <v>0.0</v>
      </c>
      <c r="U449" s="21">
        <v>0.0</v>
      </c>
      <c r="V449" s="21">
        <v>0.0</v>
      </c>
      <c r="W449" s="21">
        <v>0.0</v>
      </c>
      <c r="X449" s="21">
        <v>0.0</v>
      </c>
      <c r="Y449" s="20" t="s">
        <v>1819</v>
      </c>
    </row>
    <row r="450">
      <c r="A450" s="9">
        <v>448.0</v>
      </c>
      <c r="B450" s="10" t="s">
        <v>1820</v>
      </c>
      <c r="C450" s="11" t="s">
        <v>1821</v>
      </c>
      <c r="D450" s="12" t="s">
        <v>31</v>
      </c>
      <c r="E450" s="13" t="s">
        <v>1822</v>
      </c>
      <c r="F450" s="12">
        <v>21.0</v>
      </c>
      <c r="G450" s="12">
        <v>2004.0</v>
      </c>
      <c r="H450" s="14">
        <v>24.0</v>
      </c>
      <c r="I450" s="15">
        <v>7.0</v>
      </c>
      <c r="J450" s="15">
        <v>833.0</v>
      </c>
      <c r="K450" s="15">
        <v>9.3</v>
      </c>
      <c r="L450" s="17">
        <v>0.11</v>
      </c>
      <c r="M450" s="18">
        <v>0.11</v>
      </c>
      <c r="N450" s="18">
        <v>0.22</v>
      </c>
      <c r="O450" s="18">
        <v>0.11</v>
      </c>
      <c r="P450" s="19">
        <v>0.0</v>
      </c>
      <c r="Q450" s="19">
        <v>0.0</v>
      </c>
      <c r="R450" s="18">
        <v>0.22</v>
      </c>
      <c r="S450" s="19">
        <v>0.0</v>
      </c>
      <c r="T450" s="14">
        <v>0.11</v>
      </c>
      <c r="U450" s="15">
        <v>0.11</v>
      </c>
      <c r="V450" s="15">
        <v>0.22</v>
      </c>
      <c r="W450" s="15">
        <v>0.11</v>
      </c>
      <c r="X450" s="15">
        <v>0.22</v>
      </c>
      <c r="Y450" s="20" t="s">
        <v>1823</v>
      </c>
    </row>
    <row r="451">
      <c r="A451" s="9">
        <v>449.0</v>
      </c>
      <c r="B451" s="10" t="s">
        <v>1824</v>
      </c>
      <c r="C451" s="11" t="s">
        <v>1825</v>
      </c>
      <c r="D451" s="12" t="s">
        <v>36</v>
      </c>
      <c r="E451" s="13" t="s">
        <v>1826</v>
      </c>
      <c r="F451" s="12">
        <v>22.0</v>
      </c>
      <c r="G451" s="12">
        <v>2003.0</v>
      </c>
      <c r="H451" s="14">
        <v>14.0</v>
      </c>
      <c r="I451" s="15">
        <v>11.0</v>
      </c>
      <c r="J451" s="16">
        <v>1028.0</v>
      </c>
      <c r="K451" s="15">
        <v>11.4</v>
      </c>
      <c r="L451" s="17">
        <v>0.18</v>
      </c>
      <c r="M451" s="19">
        <v>0.0</v>
      </c>
      <c r="N451" s="18">
        <v>0.18</v>
      </c>
      <c r="O451" s="18">
        <v>0.18</v>
      </c>
      <c r="P451" s="19">
        <v>0.0</v>
      </c>
      <c r="Q451" s="19">
        <v>0.0</v>
      </c>
      <c r="R451" s="18">
        <v>0.18</v>
      </c>
      <c r="S451" s="19">
        <v>0.0</v>
      </c>
      <c r="T451" s="14">
        <v>0.18</v>
      </c>
      <c r="U451" s="21">
        <v>0.0</v>
      </c>
      <c r="V451" s="15">
        <v>0.18</v>
      </c>
      <c r="W451" s="15">
        <v>0.18</v>
      </c>
      <c r="X451" s="15">
        <v>0.18</v>
      </c>
      <c r="Y451" s="20" t="s">
        <v>1827</v>
      </c>
    </row>
    <row r="452">
      <c r="A452" s="9">
        <v>450.0</v>
      </c>
      <c r="B452" s="10" t="s">
        <v>1828</v>
      </c>
      <c r="C452" s="11" t="s">
        <v>1829</v>
      </c>
      <c r="D452" s="12" t="s">
        <v>345</v>
      </c>
      <c r="E452" s="13" t="s">
        <v>1830</v>
      </c>
      <c r="F452" s="12">
        <v>19.0</v>
      </c>
      <c r="G452" s="12">
        <v>2005.0</v>
      </c>
      <c r="H452" s="14">
        <v>13.0</v>
      </c>
      <c r="I452" s="15">
        <v>9.0</v>
      </c>
      <c r="J452" s="15">
        <v>659.0</v>
      </c>
      <c r="K452" s="15">
        <v>7.3</v>
      </c>
      <c r="L452" s="22">
        <v>0.0</v>
      </c>
      <c r="M452" s="19">
        <v>0.0</v>
      </c>
      <c r="N452" s="19">
        <v>0.0</v>
      </c>
      <c r="O452" s="19">
        <v>0.0</v>
      </c>
      <c r="P452" s="19">
        <v>0.0</v>
      </c>
      <c r="Q452" s="19">
        <v>0.0</v>
      </c>
      <c r="R452" s="18">
        <v>0.27</v>
      </c>
      <c r="S452" s="19">
        <v>0.0</v>
      </c>
      <c r="T452" s="23">
        <v>0.0</v>
      </c>
      <c r="U452" s="21">
        <v>0.0</v>
      </c>
      <c r="V452" s="21">
        <v>0.0</v>
      </c>
      <c r="W452" s="21">
        <v>0.0</v>
      </c>
      <c r="X452" s="21">
        <v>0.0</v>
      </c>
      <c r="Y452" s="20" t="s">
        <v>1831</v>
      </c>
    </row>
    <row r="453">
      <c r="A453" s="9">
        <v>451.0</v>
      </c>
      <c r="B453" s="10" t="s">
        <v>1832</v>
      </c>
      <c r="C453" s="11" t="s">
        <v>1833</v>
      </c>
      <c r="D453" s="12" t="s">
        <v>41</v>
      </c>
      <c r="E453" s="13" t="s">
        <v>1834</v>
      </c>
      <c r="F453" s="12">
        <v>21.0</v>
      </c>
      <c r="G453" s="12">
        <v>2004.0</v>
      </c>
      <c r="H453" s="14">
        <v>2.0</v>
      </c>
      <c r="I453" s="21">
        <v>0.0</v>
      </c>
      <c r="J453" s="15">
        <v>9.0</v>
      </c>
      <c r="K453" s="15">
        <v>0.1</v>
      </c>
      <c r="L453" s="22">
        <v>0.0</v>
      </c>
      <c r="M453" s="19">
        <v>0.0</v>
      </c>
      <c r="N453" s="19">
        <v>0.0</v>
      </c>
      <c r="O453" s="19">
        <v>0.0</v>
      </c>
      <c r="P453" s="19">
        <v>0.0</v>
      </c>
      <c r="Q453" s="19">
        <v>0.0</v>
      </c>
      <c r="R453" s="19">
        <v>0.0</v>
      </c>
      <c r="S453" s="19">
        <v>0.0</v>
      </c>
      <c r="T453" s="23">
        <v>0.0</v>
      </c>
      <c r="U453" s="21">
        <v>0.0</v>
      </c>
      <c r="V453" s="21">
        <v>0.0</v>
      </c>
      <c r="W453" s="21">
        <v>0.0</v>
      </c>
      <c r="X453" s="21">
        <v>0.0</v>
      </c>
      <c r="Y453" s="20" t="s">
        <v>1835</v>
      </c>
    </row>
    <row r="454">
      <c r="A454" s="9">
        <v>452.0</v>
      </c>
      <c r="B454" s="10" t="s">
        <v>1836</v>
      </c>
      <c r="C454" s="11" t="s">
        <v>1837</v>
      </c>
      <c r="D454" s="12" t="s">
        <v>26</v>
      </c>
      <c r="E454" s="13" t="s">
        <v>1838</v>
      </c>
      <c r="F454" s="12">
        <v>23.0</v>
      </c>
      <c r="G454" s="12">
        <v>2001.0</v>
      </c>
      <c r="H454" s="14">
        <v>35.0</v>
      </c>
      <c r="I454" s="15">
        <v>32.0</v>
      </c>
      <c r="J454" s="16">
        <v>2745.0</v>
      </c>
      <c r="K454" s="15">
        <v>30.5</v>
      </c>
      <c r="L454" s="17">
        <v>0.26</v>
      </c>
      <c r="M454" s="18">
        <v>0.1</v>
      </c>
      <c r="N454" s="18">
        <v>0.36</v>
      </c>
      <c r="O454" s="18">
        <v>0.26</v>
      </c>
      <c r="P454" s="19">
        <v>0.0</v>
      </c>
      <c r="Q454" s="18">
        <v>0.03</v>
      </c>
      <c r="R454" s="18">
        <v>0.2</v>
      </c>
      <c r="S454" s="18">
        <v>0.03</v>
      </c>
      <c r="T454" s="14">
        <v>0.26</v>
      </c>
      <c r="U454" s="15">
        <v>0.1</v>
      </c>
      <c r="V454" s="15">
        <v>0.36</v>
      </c>
      <c r="W454" s="15">
        <v>0.26</v>
      </c>
      <c r="X454" s="15">
        <v>0.36</v>
      </c>
      <c r="Y454" s="20" t="s">
        <v>1839</v>
      </c>
    </row>
    <row r="455">
      <c r="A455" s="9">
        <v>453.0</v>
      </c>
      <c r="B455" s="10" t="s">
        <v>1840</v>
      </c>
      <c r="C455" s="11" t="s">
        <v>1841</v>
      </c>
      <c r="D455" s="12" t="s">
        <v>36</v>
      </c>
      <c r="E455" s="13" t="s">
        <v>1842</v>
      </c>
      <c r="F455" s="12">
        <v>33.0</v>
      </c>
      <c r="G455" s="12">
        <v>1991.0</v>
      </c>
      <c r="H455" s="14">
        <v>16.0</v>
      </c>
      <c r="I455" s="15">
        <v>11.0</v>
      </c>
      <c r="J455" s="16">
        <v>1091.0</v>
      </c>
      <c r="K455" s="15">
        <v>12.1</v>
      </c>
      <c r="L455" s="22">
        <v>0.0</v>
      </c>
      <c r="M455" s="19">
        <v>0.0</v>
      </c>
      <c r="N455" s="19">
        <v>0.0</v>
      </c>
      <c r="O455" s="19">
        <v>0.0</v>
      </c>
      <c r="P455" s="19">
        <v>0.0</v>
      </c>
      <c r="Q455" s="19">
        <v>0.0</v>
      </c>
      <c r="R455" s="18">
        <v>0.08</v>
      </c>
      <c r="S455" s="19">
        <v>0.0</v>
      </c>
      <c r="T455" s="23">
        <v>0.0</v>
      </c>
      <c r="U455" s="21">
        <v>0.0</v>
      </c>
      <c r="V455" s="21">
        <v>0.0</v>
      </c>
      <c r="W455" s="21">
        <v>0.0</v>
      </c>
      <c r="X455" s="21">
        <v>0.0</v>
      </c>
      <c r="Y455" s="20" t="s">
        <v>1843</v>
      </c>
    </row>
    <row r="456">
      <c r="A456" s="9">
        <v>454.0</v>
      </c>
      <c r="B456" s="10" t="s">
        <v>1844</v>
      </c>
      <c r="C456" s="11" t="s">
        <v>1845</v>
      </c>
      <c r="D456" s="12" t="s">
        <v>31</v>
      </c>
      <c r="E456" s="13" t="s">
        <v>1846</v>
      </c>
      <c r="F456" s="12">
        <v>21.0</v>
      </c>
      <c r="G456" s="12">
        <v>2003.0</v>
      </c>
      <c r="H456" s="14">
        <v>37.0</v>
      </c>
      <c r="I456" s="15">
        <v>34.0</v>
      </c>
      <c r="J456" s="16">
        <v>2849.0</v>
      </c>
      <c r="K456" s="15">
        <v>31.7</v>
      </c>
      <c r="L456" s="17">
        <v>0.09</v>
      </c>
      <c r="M456" s="18">
        <v>0.03</v>
      </c>
      <c r="N456" s="18">
        <v>0.13</v>
      </c>
      <c r="O456" s="18">
        <v>0.09</v>
      </c>
      <c r="P456" s="19">
        <v>0.0</v>
      </c>
      <c r="Q456" s="19">
        <v>0.0</v>
      </c>
      <c r="R456" s="18">
        <v>0.16</v>
      </c>
      <c r="S456" s="19">
        <v>0.0</v>
      </c>
      <c r="T456" s="14">
        <v>0.09</v>
      </c>
      <c r="U456" s="15">
        <v>0.03</v>
      </c>
      <c r="V456" s="15">
        <v>0.13</v>
      </c>
      <c r="W456" s="15">
        <v>0.09</v>
      </c>
      <c r="X456" s="15">
        <v>0.13</v>
      </c>
      <c r="Y456" s="20" t="s">
        <v>1847</v>
      </c>
    </row>
    <row r="457">
      <c r="A457" s="9">
        <v>455.0</v>
      </c>
      <c r="B457" s="10" t="s">
        <v>1848</v>
      </c>
      <c r="C457" s="11" t="s">
        <v>1849</v>
      </c>
      <c r="D457" s="12" t="s">
        <v>36</v>
      </c>
      <c r="E457" s="13" t="s">
        <v>1850</v>
      </c>
      <c r="F457" s="12">
        <v>22.0</v>
      </c>
      <c r="G457" s="12">
        <v>2003.0</v>
      </c>
      <c r="H457" s="14">
        <v>2.0</v>
      </c>
      <c r="I457" s="15">
        <v>1.0</v>
      </c>
      <c r="J457" s="15">
        <v>134.0</v>
      </c>
      <c r="K457" s="15">
        <v>1.5</v>
      </c>
      <c r="L457" s="22">
        <v>0.0</v>
      </c>
      <c r="M457" s="19">
        <v>0.0</v>
      </c>
      <c r="N457" s="19">
        <v>0.0</v>
      </c>
      <c r="O457" s="19">
        <v>0.0</v>
      </c>
      <c r="P457" s="19">
        <v>0.0</v>
      </c>
      <c r="Q457" s="19">
        <v>0.0</v>
      </c>
      <c r="R457" s="19">
        <v>0.0</v>
      </c>
      <c r="S457" s="19">
        <v>0.0</v>
      </c>
      <c r="T457" s="23">
        <v>0.0</v>
      </c>
      <c r="U457" s="21">
        <v>0.0</v>
      </c>
      <c r="V457" s="21">
        <v>0.0</v>
      </c>
      <c r="W457" s="21">
        <v>0.0</v>
      </c>
      <c r="X457" s="21">
        <v>0.0</v>
      </c>
      <c r="Y457" s="20" t="s">
        <v>1851</v>
      </c>
    </row>
    <row r="458">
      <c r="A458" s="9">
        <v>456.0</v>
      </c>
      <c r="B458" s="10" t="s">
        <v>1852</v>
      </c>
      <c r="C458" s="11" t="s">
        <v>1853</v>
      </c>
      <c r="D458" s="12" t="s">
        <v>98</v>
      </c>
      <c r="E458" s="13" t="s">
        <v>1854</v>
      </c>
      <c r="F458" s="12">
        <v>33.0</v>
      </c>
      <c r="G458" s="12">
        <v>1992.0</v>
      </c>
      <c r="H458" s="14">
        <v>31.0</v>
      </c>
      <c r="I458" s="15">
        <v>30.0</v>
      </c>
      <c r="J458" s="16">
        <v>2668.0</v>
      </c>
      <c r="K458" s="15">
        <v>29.6</v>
      </c>
      <c r="L458" s="22">
        <v>0.0</v>
      </c>
      <c r="M458" s="19">
        <v>0.0</v>
      </c>
      <c r="N458" s="19">
        <v>0.0</v>
      </c>
      <c r="O458" s="19">
        <v>0.0</v>
      </c>
      <c r="P458" s="19">
        <v>0.0</v>
      </c>
      <c r="Q458" s="19">
        <v>0.0</v>
      </c>
      <c r="R458" s="18">
        <v>0.07</v>
      </c>
      <c r="S458" s="19">
        <v>0.0</v>
      </c>
      <c r="T458" s="23">
        <v>0.0</v>
      </c>
      <c r="U458" s="21">
        <v>0.0</v>
      </c>
      <c r="V458" s="21">
        <v>0.0</v>
      </c>
      <c r="W458" s="21">
        <v>0.0</v>
      </c>
      <c r="X458" s="21">
        <v>0.0</v>
      </c>
      <c r="Y458" s="20" t="s">
        <v>1855</v>
      </c>
    </row>
    <row r="459">
      <c r="A459" s="9">
        <v>457.0</v>
      </c>
      <c r="B459" s="10" t="s">
        <v>1856</v>
      </c>
      <c r="C459" s="11" t="s">
        <v>1857</v>
      </c>
      <c r="D459" s="12" t="s">
        <v>26</v>
      </c>
      <c r="E459" s="13" t="s">
        <v>1858</v>
      </c>
      <c r="F459" s="12">
        <v>25.0</v>
      </c>
      <c r="G459" s="12">
        <v>2000.0</v>
      </c>
      <c r="H459" s="14">
        <v>17.0</v>
      </c>
      <c r="I459" s="15">
        <v>17.0</v>
      </c>
      <c r="J459" s="16">
        <v>1397.0</v>
      </c>
      <c r="K459" s="15">
        <v>15.5</v>
      </c>
      <c r="L459" s="17">
        <v>0.45</v>
      </c>
      <c r="M459" s="18">
        <v>0.06</v>
      </c>
      <c r="N459" s="18">
        <v>0.52</v>
      </c>
      <c r="O459" s="18">
        <v>0.45</v>
      </c>
      <c r="P459" s="19">
        <v>0.0</v>
      </c>
      <c r="Q459" s="19">
        <v>0.0</v>
      </c>
      <c r="R459" s="18">
        <v>0.06</v>
      </c>
      <c r="S459" s="19">
        <v>0.0</v>
      </c>
      <c r="T459" s="14">
        <v>0.45</v>
      </c>
      <c r="U459" s="15">
        <v>0.06</v>
      </c>
      <c r="V459" s="15">
        <v>0.52</v>
      </c>
      <c r="W459" s="15">
        <v>0.45</v>
      </c>
      <c r="X459" s="15">
        <v>0.52</v>
      </c>
      <c r="Y459" s="20" t="s">
        <v>1859</v>
      </c>
    </row>
    <row r="460">
      <c r="A460" s="9">
        <v>458.0</v>
      </c>
      <c r="B460" s="10" t="s">
        <v>1860</v>
      </c>
      <c r="C460" s="11" t="s">
        <v>1861</v>
      </c>
      <c r="D460" s="12" t="s">
        <v>31</v>
      </c>
      <c r="E460" s="13" t="s">
        <v>1862</v>
      </c>
      <c r="F460" s="12">
        <v>25.0</v>
      </c>
      <c r="G460" s="12">
        <v>2000.0</v>
      </c>
      <c r="H460" s="14">
        <v>20.0</v>
      </c>
      <c r="I460" s="15">
        <v>20.0</v>
      </c>
      <c r="J460" s="16">
        <v>1798.0</v>
      </c>
      <c r="K460" s="15">
        <v>20.0</v>
      </c>
      <c r="L460" s="17">
        <v>0.5</v>
      </c>
      <c r="M460" s="18">
        <v>0.15</v>
      </c>
      <c r="N460" s="18">
        <v>0.65</v>
      </c>
      <c r="O460" s="18">
        <v>0.45</v>
      </c>
      <c r="P460" s="18">
        <v>0.05</v>
      </c>
      <c r="Q460" s="18">
        <v>0.1</v>
      </c>
      <c r="R460" s="18">
        <v>0.3</v>
      </c>
      <c r="S460" s="19">
        <v>0.0</v>
      </c>
      <c r="T460" s="14">
        <v>0.5</v>
      </c>
      <c r="U460" s="15">
        <v>0.15</v>
      </c>
      <c r="V460" s="15">
        <v>0.65</v>
      </c>
      <c r="W460" s="15">
        <v>0.45</v>
      </c>
      <c r="X460" s="15">
        <v>0.6</v>
      </c>
      <c r="Y460" s="20" t="s">
        <v>1863</v>
      </c>
    </row>
    <row r="461">
      <c r="A461" s="9">
        <v>459.0</v>
      </c>
      <c r="B461" s="10" t="s">
        <v>1864</v>
      </c>
      <c r="C461" s="11" t="s">
        <v>1865</v>
      </c>
      <c r="D461" s="12" t="s">
        <v>36</v>
      </c>
      <c r="E461" s="13" t="s">
        <v>1866</v>
      </c>
      <c r="F461" s="12">
        <v>28.0</v>
      </c>
      <c r="G461" s="12">
        <v>1997.0</v>
      </c>
      <c r="H461" s="14">
        <v>37.0</v>
      </c>
      <c r="I461" s="15">
        <v>37.0</v>
      </c>
      <c r="J461" s="16">
        <v>3288.0</v>
      </c>
      <c r="K461" s="15">
        <v>36.5</v>
      </c>
      <c r="L461" s="22">
        <v>0.0</v>
      </c>
      <c r="M461" s="18">
        <v>0.14</v>
      </c>
      <c r="N461" s="18">
        <v>0.14</v>
      </c>
      <c r="O461" s="19">
        <v>0.0</v>
      </c>
      <c r="P461" s="19">
        <v>0.0</v>
      </c>
      <c r="Q461" s="19">
        <v>0.0</v>
      </c>
      <c r="R461" s="18">
        <v>0.22</v>
      </c>
      <c r="S461" s="19">
        <v>0.0</v>
      </c>
      <c r="T461" s="23">
        <v>0.0</v>
      </c>
      <c r="U461" s="15">
        <v>0.14</v>
      </c>
      <c r="V461" s="15">
        <v>0.14</v>
      </c>
      <c r="W461" s="21">
        <v>0.0</v>
      </c>
      <c r="X461" s="15">
        <v>0.14</v>
      </c>
      <c r="Y461" s="20" t="s">
        <v>1867</v>
      </c>
    </row>
    <row r="462">
      <c r="A462" s="9">
        <v>460.0</v>
      </c>
      <c r="B462" s="10" t="s">
        <v>1868</v>
      </c>
      <c r="C462" s="11" t="s">
        <v>1869</v>
      </c>
      <c r="D462" s="12" t="s">
        <v>41</v>
      </c>
      <c r="E462" s="13" t="s">
        <v>1870</v>
      </c>
      <c r="F462" s="12">
        <v>22.0</v>
      </c>
      <c r="G462" s="12">
        <v>2003.0</v>
      </c>
      <c r="H462" s="14">
        <v>30.0</v>
      </c>
      <c r="I462" s="15">
        <v>17.0</v>
      </c>
      <c r="J462" s="16">
        <v>1643.0</v>
      </c>
      <c r="K462" s="15">
        <v>18.3</v>
      </c>
      <c r="L462" s="17">
        <v>0.6</v>
      </c>
      <c r="M462" s="18">
        <v>0.05</v>
      </c>
      <c r="N462" s="18">
        <v>0.66</v>
      </c>
      <c r="O462" s="18">
        <v>0.6</v>
      </c>
      <c r="P462" s="19">
        <v>0.0</v>
      </c>
      <c r="Q462" s="19">
        <v>0.0</v>
      </c>
      <c r="R462" s="18">
        <v>0.11</v>
      </c>
      <c r="S462" s="19">
        <v>0.0</v>
      </c>
      <c r="T462" s="14">
        <v>0.6</v>
      </c>
      <c r="U462" s="15">
        <v>0.05</v>
      </c>
      <c r="V462" s="15">
        <v>0.66</v>
      </c>
      <c r="W462" s="15">
        <v>0.6</v>
      </c>
      <c r="X462" s="15">
        <v>0.66</v>
      </c>
      <c r="Y462" s="20" t="s">
        <v>1871</v>
      </c>
    </row>
    <row r="463">
      <c r="A463" s="9">
        <v>461.0</v>
      </c>
      <c r="B463" s="10" t="s">
        <v>1872</v>
      </c>
      <c r="C463" s="11" t="s">
        <v>1873</v>
      </c>
      <c r="D463" s="12" t="s">
        <v>345</v>
      </c>
      <c r="E463" s="13" t="s">
        <v>1874</v>
      </c>
      <c r="F463" s="12">
        <v>25.0</v>
      </c>
      <c r="G463" s="12">
        <v>2000.0</v>
      </c>
      <c r="H463" s="14">
        <v>27.0</v>
      </c>
      <c r="I463" s="15">
        <v>20.0</v>
      </c>
      <c r="J463" s="16">
        <v>1823.0</v>
      </c>
      <c r="K463" s="15">
        <v>20.3</v>
      </c>
      <c r="L463" s="17">
        <v>0.15</v>
      </c>
      <c r="M463" s="18">
        <v>0.05</v>
      </c>
      <c r="N463" s="18">
        <v>0.2</v>
      </c>
      <c r="O463" s="18">
        <v>0.15</v>
      </c>
      <c r="P463" s="19">
        <v>0.0</v>
      </c>
      <c r="Q463" s="19">
        <v>0.0</v>
      </c>
      <c r="R463" s="19">
        <v>0.0</v>
      </c>
      <c r="S463" s="19">
        <v>0.0</v>
      </c>
      <c r="T463" s="14">
        <v>0.15</v>
      </c>
      <c r="U463" s="15">
        <v>0.05</v>
      </c>
      <c r="V463" s="15">
        <v>0.2</v>
      </c>
      <c r="W463" s="15">
        <v>0.15</v>
      </c>
      <c r="X463" s="15">
        <v>0.2</v>
      </c>
      <c r="Y463" s="20" t="s">
        <v>1875</v>
      </c>
    </row>
    <row r="464">
      <c r="A464" s="9">
        <v>462.0</v>
      </c>
      <c r="B464" s="10" t="s">
        <v>1876</v>
      </c>
      <c r="C464" s="11" t="s">
        <v>1877</v>
      </c>
      <c r="D464" s="12" t="s">
        <v>36</v>
      </c>
      <c r="E464" s="13" t="s">
        <v>1878</v>
      </c>
      <c r="F464" s="12">
        <v>30.0</v>
      </c>
      <c r="G464" s="12">
        <v>1995.0</v>
      </c>
      <c r="H464" s="14">
        <v>38.0</v>
      </c>
      <c r="I464" s="15">
        <v>38.0</v>
      </c>
      <c r="J464" s="16">
        <v>3219.0</v>
      </c>
      <c r="K464" s="15">
        <v>35.8</v>
      </c>
      <c r="L464" s="17">
        <v>0.03</v>
      </c>
      <c r="M464" s="18">
        <v>0.03</v>
      </c>
      <c r="N464" s="18">
        <v>0.06</v>
      </c>
      <c r="O464" s="18">
        <v>0.03</v>
      </c>
      <c r="P464" s="19">
        <v>0.0</v>
      </c>
      <c r="Q464" s="19">
        <v>0.0</v>
      </c>
      <c r="R464" s="18">
        <v>0.25</v>
      </c>
      <c r="S464" s="19">
        <v>0.0</v>
      </c>
      <c r="T464" s="14">
        <v>0.03</v>
      </c>
      <c r="U464" s="15">
        <v>0.03</v>
      </c>
      <c r="V464" s="15">
        <v>0.06</v>
      </c>
      <c r="W464" s="15">
        <v>0.03</v>
      </c>
      <c r="X464" s="15">
        <v>0.06</v>
      </c>
      <c r="Y464" s="20" t="s">
        <v>1879</v>
      </c>
    </row>
    <row r="465">
      <c r="A465" s="9">
        <v>463.0</v>
      </c>
      <c r="B465" s="10" t="s">
        <v>1880</v>
      </c>
      <c r="C465" s="11" t="s">
        <v>1881</v>
      </c>
      <c r="D465" s="12" t="s">
        <v>31</v>
      </c>
      <c r="E465" s="13" t="s">
        <v>1882</v>
      </c>
      <c r="F465" s="12">
        <v>30.0</v>
      </c>
      <c r="G465" s="12">
        <v>1994.0</v>
      </c>
      <c r="H465" s="14">
        <v>38.0</v>
      </c>
      <c r="I465" s="15">
        <v>34.0</v>
      </c>
      <c r="J465" s="16">
        <v>2872.0</v>
      </c>
      <c r="K465" s="15">
        <v>31.9</v>
      </c>
      <c r="L465" s="17">
        <v>0.06</v>
      </c>
      <c r="M465" s="18">
        <v>0.13</v>
      </c>
      <c r="N465" s="18">
        <v>0.19</v>
      </c>
      <c r="O465" s="18">
        <v>0.06</v>
      </c>
      <c r="P465" s="19">
        <v>0.0</v>
      </c>
      <c r="Q465" s="19">
        <v>0.0</v>
      </c>
      <c r="R465" s="18">
        <v>0.31</v>
      </c>
      <c r="S465" s="19">
        <v>0.0</v>
      </c>
      <c r="T465" s="14">
        <v>0.06</v>
      </c>
      <c r="U465" s="15">
        <v>0.13</v>
      </c>
      <c r="V465" s="15">
        <v>0.19</v>
      </c>
      <c r="W465" s="15">
        <v>0.06</v>
      </c>
      <c r="X465" s="15">
        <v>0.19</v>
      </c>
      <c r="Y465" s="20" t="s">
        <v>1883</v>
      </c>
    </row>
    <row r="466">
      <c r="A466" s="9">
        <v>464.0</v>
      </c>
      <c r="B466" s="10" t="s">
        <v>1884</v>
      </c>
      <c r="C466" s="11" t="s">
        <v>1885</v>
      </c>
      <c r="D466" s="12" t="s">
        <v>41</v>
      </c>
      <c r="E466" s="13" t="s">
        <v>1886</v>
      </c>
      <c r="F466" s="12">
        <v>25.0</v>
      </c>
      <c r="G466" s="12">
        <v>1999.0</v>
      </c>
      <c r="H466" s="14">
        <v>1.0</v>
      </c>
      <c r="I466" s="21">
        <v>0.0</v>
      </c>
      <c r="J466" s="15">
        <v>12.0</v>
      </c>
      <c r="K466" s="15">
        <v>0.1</v>
      </c>
      <c r="L466" s="22">
        <v>0.0</v>
      </c>
      <c r="M466" s="19">
        <v>0.0</v>
      </c>
      <c r="N466" s="19">
        <v>0.0</v>
      </c>
      <c r="O466" s="19">
        <v>0.0</v>
      </c>
      <c r="P466" s="19">
        <v>0.0</v>
      </c>
      <c r="Q466" s="19">
        <v>0.0</v>
      </c>
      <c r="R466" s="19">
        <v>0.0</v>
      </c>
      <c r="S466" s="19">
        <v>0.0</v>
      </c>
      <c r="T466" s="23">
        <v>0.0</v>
      </c>
      <c r="U466" s="21">
        <v>0.0</v>
      </c>
      <c r="V466" s="21">
        <v>0.0</v>
      </c>
      <c r="W466" s="21">
        <v>0.0</v>
      </c>
      <c r="X466" s="21">
        <v>0.0</v>
      </c>
      <c r="Y466" s="20" t="s">
        <v>1887</v>
      </c>
    </row>
    <row r="467">
      <c r="A467" s="9">
        <v>465.0</v>
      </c>
      <c r="B467" s="10" t="s">
        <v>1888</v>
      </c>
      <c r="C467" s="11" t="s">
        <v>1889</v>
      </c>
      <c r="D467" s="12" t="s">
        <v>26</v>
      </c>
      <c r="E467" s="13" t="s">
        <v>1890</v>
      </c>
      <c r="F467" s="12">
        <v>22.0</v>
      </c>
      <c r="G467" s="12">
        <v>2003.0</v>
      </c>
      <c r="H467" s="14">
        <v>28.0</v>
      </c>
      <c r="I467" s="15">
        <v>19.0</v>
      </c>
      <c r="J467" s="16">
        <v>1755.0</v>
      </c>
      <c r="K467" s="15">
        <v>19.5</v>
      </c>
      <c r="L467" s="17">
        <v>0.1</v>
      </c>
      <c r="M467" s="18">
        <v>0.26</v>
      </c>
      <c r="N467" s="18">
        <v>0.36</v>
      </c>
      <c r="O467" s="18">
        <v>0.1</v>
      </c>
      <c r="P467" s="19">
        <v>0.0</v>
      </c>
      <c r="Q467" s="19">
        <v>0.0</v>
      </c>
      <c r="R467" s="18">
        <v>0.26</v>
      </c>
      <c r="S467" s="18">
        <v>0.05</v>
      </c>
      <c r="T467" s="14">
        <v>0.1</v>
      </c>
      <c r="U467" s="15">
        <v>0.26</v>
      </c>
      <c r="V467" s="15">
        <v>0.36</v>
      </c>
      <c r="W467" s="15">
        <v>0.1</v>
      </c>
      <c r="X467" s="15">
        <v>0.36</v>
      </c>
      <c r="Y467" s="20" t="s">
        <v>1891</v>
      </c>
    </row>
    <row r="468">
      <c r="A468" s="9">
        <v>466.0</v>
      </c>
      <c r="B468" s="10" t="s">
        <v>1892</v>
      </c>
      <c r="C468" s="11" t="s">
        <v>1893</v>
      </c>
      <c r="D468" s="12" t="s">
        <v>36</v>
      </c>
      <c r="E468" s="13" t="s">
        <v>1894</v>
      </c>
      <c r="F468" s="12">
        <v>34.0</v>
      </c>
      <c r="G468" s="12">
        <v>1991.0</v>
      </c>
      <c r="H468" s="14">
        <v>22.0</v>
      </c>
      <c r="I468" s="15">
        <v>14.0</v>
      </c>
      <c r="J468" s="16">
        <v>1077.0</v>
      </c>
      <c r="K468" s="15">
        <v>12.0</v>
      </c>
      <c r="L468" s="22">
        <v>0.0</v>
      </c>
      <c r="M468" s="18">
        <v>0.17</v>
      </c>
      <c r="N468" s="18">
        <v>0.17</v>
      </c>
      <c r="O468" s="19">
        <v>0.0</v>
      </c>
      <c r="P468" s="19">
        <v>0.0</v>
      </c>
      <c r="Q468" s="19">
        <v>0.0</v>
      </c>
      <c r="R468" s="18">
        <v>0.25</v>
      </c>
      <c r="S468" s="19">
        <v>0.0</v>
      </c>
      <c r="T468" s="23">
        <v>0.0</v>
      </c>
      <c r="U468" s="15">
        <v>0.17</v>
      </c>
      <c r="V468" s="15">
        <v>0.17</v>
      </c>
      <c r="W468" s="21">
        <v>0.0</v>
      </c>
      <c r="X468" s="15">
        <v>0.17</v>
      </c>
      <c r="Y468" s="20" t="s">
        <v>1895</v>
      </c>
    </row>
    <row r="469">
      <c r="A469" s="9">
        <v>467.0</v>
      </c>
      <c r="B469" s="10" t="s">
        <v>1896</v>
      </c>
      <c r="C469" s="11" t="s">
        <v>1897</v>
      </c>
      <c r="D469" s="12" t="s">
        <v>31</v>
      </c>
      <c r="E469" s="13" t="s">
        <v>1898</v>
      </c>
      <c r="F469" s="12">
        <v>25.0</v>
      </c>
      <c r="G469" s="12">
        <v>2000.0</v>
      </c>
      <c r="H469" s="14">
        <v>37.0</v>
      </c>
      <c r="I469" s="15">
        <v>22.0</v>
      </c>
      <c r="J469" s="16">
        <v>1923.0</v>
      </c>
      <c r="K469" s="15">
        <v>21.4</v>
      </c>
      <c r="L469" s="17">
        <v>0.14</v>
      </c>
      <c r="M469" s="19">
        <v>0.0</v>
      </c>
      <c r="N469" s="18">
        <v>0.14</v>
      </c>
      <c r="O469" s="18">
        <v>0.14</v>
      </c>
      <c r="P469" s="19">
        <v>0.0</v>
      </c>
      <c r="Q469" s="19">
        <v>0.0</v>
      </c>
      <c r="R469" s="18">
        <v>0.05</v>
      </c>
      <c r="S469" s="19">
        <v>0.0</v>
      </c>
      <c r="T469" s="14">
        <v>0.14</v>
      </c>
      <c r="U469" s="21">
        <v>0.0</v>
      </c>
      <c r="V469" s="15">
        <v>0.14</v>
      </c>
      <c r="W469" s="15">
        <v>0.14</v>
      </c>
      <c r="X469" s="15">
        <v>0.14</v>
      </c>
      <c r="Y469" s="20" t="s">
        <v>1899</v>
      </c>
    </row>
    <row r="470">
      <c r="A470" s="9">
        <v>468.0</v>
      </c>
      <c r="B470" s="10" t="s">
        <v>1900</v>
      </c>
      <c r="C470" s="11" t="s">
        <v>1901</v>
      </c>
      <c r="D470" s="12" t="s">
        <v>41</v>
      </c>
      <c r="E470" s="13" t="s">
        <v>1902</v>
      </c>
      <c r="F470" s="12">
        <v>27.0</v>
      </c>
      <c r="G470" s="12">
        <v>1997.0</v>
      </c>
      <c r="H470" s="14">
        <v>15.0</v>
      </c>
      <c r="I470" s="15">
        <v>11.0</v>
      </c>
      <c r="J470" s="16">
        <v>1001.0</v>
      </c>
      <c r="K470" s="15">
        <v>11.1</v>
      </c>
      <c r="L470" s="17">
        <v>0.27</v>
      </c>
      <c r="M470" s="19">
        <v>0.0</v>
      </c>
      <c r="N470" s="18">
        <v>0.27</v>
      </c>
      <c r="O470" s="18">
        <v>0.27</v>
      </c>
      <c r="P470" s="19">
        <v>0.0</v>
      </c>
      <c r="Q470" s="19">
        <v>0.0</v>
      </c>
      <c r="R470" s="18">
        <v>0.09</v>
      </c>
      <c r="S470" s="19">
        <v>0.0</v>
      </c>
      <c r="T470" s="14">
        <v>0.27</v>
      </c>
      <c r="U470" s="21">
        <v>0.0</v>
      </c>
      <c r="V470" s="15">
        <v>0.27</v>
      </c>
      <c r="W470" s="15">
        <v>0.27</v>
      </c>
      <c r="X470" s="15">
        <v>0.27</v>
      </c>
      <c r="Y470" s="20" t="s">
        <v>1903</v>
      </c>
    </row>
    <row r="471">
      <c r="A471" s="9">
        <v>469.0</v>
      </c>
      <c r="B471" s="10" t="s">
        <v>1904</v>
      </c>
      <c r="C471" s="11" t="s">
        <v>1905</v>
      </c>
      <c r="D471" s="12" t="s">
        <v>36</v>
      </c>
      <c r="E471" s="13" t="s">
        <v>1906</v>
      </c>
      <c r="F471" s="12">
        <v>20.0</v>
      </c>
      <c r="G471" s="12">
        <v>2005.0</v>
      </c>
      <c r="H471" s="14">
        <v>3.0</v>
      </c>
      <c r="I471" s="21">
        <v>0.0</v>
      </c>
      <c r="J471" s="15">
        <v>35.0</v>
      </c>
      <c r="K471" s="15">
        <v>0.4</v>
      </c>
      <c r="L471" s="22">
        <v>0.0</v>
      </c>
      <c r="M471" s="19">
        <v>0.0</v>
      </c>
      <c r="N471" s="19">
        <v>0.0</v>
      </c>
      <c r="O471" s="19">
        <v>0.0</v>
      </c>
      <c r="P471" s="19">
        <v>0.0</v>
      </c>
      <c r="Q471" s="19">
        <v>0.0</v>
      </c>
      <c r="R471" s="19">
        <v>0.0</v>
      </c>
      <c r="S471" s="19">
        <v>0.0</v>
      </c>
      <c r="T471" s="23">
        <v>0.0</v>
      </c>
      <c r="U471" s="21">
        <v>0.0</v>
      </c>
      <c r="V471" s="21">
        <v>0.0</v>
      </c>
      <c r="W471" s="21">
        <v>0.0</v>
      </c>
      <c r="X471" s="21">
        <v>0.0</v>
      </c>
      <c r="Y471" s="20" t="s">
        <v>1907</v>
      </c>
    </row>
    <row r="472">
      <c r="A472" s="9">
        <v>470.0</v>
      </c>
      <c r="B472" s="10" t="s">
        <v>1908</v>
      </c>
      <c r="C472" s="11" t="s">
        <v>1909</v>
      </c>
      <c r="D472" s="12" t="s">
        <v>36</v>
      </c>
      <c r="E472" s="13" t="s">
        <v>1910</v>
      </c>
      <c r="F472" s="12">
        <v>24.0</v>
      </c>
      <c r="G472" s="12">
        <v>2000.0</v>
      </c>
      <c r="H472" s="14">
        <v>7.0</v>
      </c>
      <c r="I472" s="15">
        <v>1.0</v>
      </c>
      <c r="J472" s="15">
        <v>169.0</v>
      </c>
      <c r="K472" s="15">
        <v>1.9</v>
      </c>
      <c r="L472" s="17">
        <v>0.53</v>
      </c>
      <c r="M472" s="19">
        <v>0.0</v>
      </c>
      <c r="N472" s="18">
        <v>0.53</v>
      </c>
      <c r="O472" s="18">
        <v>0.53</v>
      </c>
      <c r="P472" s="19">
        <v>0.0</v>
      </c>
      <c r="Q472" s="19">
        <v>0.0</v>
      </c>
      <c r="R472" s="19">
        <v>0.0</v>
      </c>
      <c r="S472" s="19">
        <v>0.0</v>
      </c>
      <c r="T472" s="14">
        <v>0.53</v>
      </c>
      <c r="U472" s="21">
        <v>0.0</v>
      </c>
      <c r="V472" s="15">
        <v>0.53</v>
      </c>
      <c r="W472" s="15">
        <v>0.53</v>
      </c>
      <c r="X472" s="15">
        <v>0.53</v>
      </c>
      <c r="Y472" s="20" t="s">
        <v>1911</v>
      </c>
    </row>
    <row r="473">
      <c r="A473" s="9">
        <v>471.0</v>
      </c>
      <c r="B473" s="10" t="s">
        <v>1912</v>
      </c>
      <c r="C473" s="11" t="s">
        <v>1913</v>
      </c>
      <c r="D473" s="12" t="s">
        <v>345</v>
      </c>
      <c r="E473" s="13" t="s">
        <v>1914</v>
      </c>
      <c r="F473" s="12">
        <v>27.0</v>
      </c>
      <c r="G473" s="12">
        <v>1998.0</v>
      </c>
      <c r="H473" s="14">
        <v>7.0</v>
      </c>
      <c r="I473" s="21">
        <v>0.0</v>
      </c>
      <c r="J473" s="15">
        <v>101.0</v>
      </c>
      <c r="K473" s="15">
        <v>1.1</v>
      </c>
      <c r="L473" s="22">
        <v>0.0</v>
      </c>
      <c r="M473" s="19">
        <v>0.0</v>
      </c>
      <c r="N473" s="19">
        <v>0.0</v>
      </c>
      <c r="O473" s="19">
        <v>0.0</v>
      </c>
      <c r="P473" s="19">
        <v>0.0</v>
      </c>
      <c r="Q473" s="19">
        <v>0.0</v>
      </c>
      <c r="R473" s="18">
        <v>0.91</v>
      </c>
      <c r="S473" s="19">
        <v>0.0</v>
      </c>
      <c r="T473" s="23">
        <v>0.0</v>
      </c>
      <c r="U473" s="21">
        <v>0.0</v>
      </c>
      <c r="V473" s="21">
        <v>0.0</v>
      </c>
      <c r="W473" s="21">
        <v>0.0</v>
      </c>
      <c r="X473" s="21">
        <v>0.0</v>
      </c>
      <c r="Y473" s="20" t="s">
        <v>1915</v>
      </c>
    </row>
    <row r="474">
      <c r="A474" s="9">
        <v>472.0</v>
      </c>
      <c r="B474" s="10" t="s">
        <v>1916</v>
      </c>
      <c r="C474" s="11" t="s">
        <v>1917</v>
      </c>
      <c r="D474" s="12" t="s">
        <v>31</v>
      </c>
      <c r="E474" s="13" t="s">
        <v>1918</v>
      </c>
      <c r="F474" s="12">
        <v>30.0</v>
      </c>
      <c r="G474" s="12">
        <v>1995.0</v>
      </c>
      <c r="H474" s="14">
        <v>35.0</v>
      </c>
      <c r="I474" s="15">
        <v>24.0</v>
      </c>
      <c r="J474" s="16">
        <v>2200.0</v>
      </c>
      <c r="K474" s="15">
        <v>24.4</v>
      </c>
      <c r="L474" s="17">
        <v>0.2</v>
      </c>
      <c r="M474" s="19">
        <v>0.0</v>
      </c>
      <c r="N474" s="18">
        <v>0.2</v>
      </c>
      <c r="O474" s="18">
        <v>0.2</v>
      </c>
      <c r="P474" s="19">
        <v>0.0</v>
      </c>
      <c r="Q474" s="19">
        <v>0.0</v>
      </c>
      <c r="R474" s="18">
        <v>0.12</v>
      </c>
      <c r="S474" s="18">
        <v>0.04</v>
      </c>
      <c r="T474" s="14">
        <v>0.2</v>
      </c>
      <c r="U474" s="21">
        <v>0.0</v>
      </c>
      <c r="V474" s="15">
        <v>0.2</v>
      </c>
      <c r="W474" s="15">
        <v>0.2</v>
      </c>
      <c r="X474" s="15">
        <v>0.2</v>
      </c>
      <c r="Y474" s="20" t="s">
        <v>1919</v>
      </c>
    </row>
    <row r="475">
      <c r="A475" s="9">
        <v>473.0</v>
      </c>
      <c r="B475" s="10" t="s">
        <v>1920</v>
      </c>
      <c r="C475" s="11" t="s">
        <v>1921</v>
      </c>
      <c r="D475" s="12" t="s">
        <v>31</v>
      </c>
      <c r="E475" s="13" t="s">
        <v>1922</v>
      </c>
      <c r="F475" s="12">
        <v>19.0</v>
      </c>
      <c r="G475" s="12">
        <v>2006.0</v>
      </c>
      <c r="H475" s="14">
        <v>4.0</v>
      </c>
      <c r="I475" s="15">
        <v>2.0</v>
      </c>
      <c r="J475" s="15">
        <v>144.0</v>
      </c>
      <c r="K475" s="15">
        <v>1.6</v>
      </c>
      <c r="L475" s="22">
        <v>0.0</v>
      </c>
      <c r="M475" s="19">
        <v>0.0</v>
      </c>
      <c r="N475" s="19">
        <v>0.0</v>
      </c>
      <c r="O475" s="19">
        <v>0.0</v>
      </c>
      <c r="P475" s="19">
        <v>0.0</v>
      </c>
      <c r="Q475" s="19">
        <v>0.0</v>
      </c>
      <c r="R475" s="18">
        <v>0.63</v>
      </c>
      <c r="S475" s="19">
        <v>0.0</v>
      </c>
      <c r="T475" s="23">
        <v>0.0</v>
      </c>
      <c r="U475" s="21">
        <v>0.0</v>
      </c>
      <c r="V475" s="21">
        <v>0.0</v>
      </c>
      <c r="W475" s="21">
        <v>0.0</v>
      </c>
      <c r="X475" s="21">
        <v>0.0</v>
      </c>
      <c r="Y475" s="20" t="s">
        <v>1923</v>
      </c>
    </row>
    <row r="476">
      <c r="A476" s="9">
        <v>474.0</v>
      </c>
      <c r="B476" s="10" t="s">
        <v>1924</v>
      </c>
      <c r="C476" s="11" t="s">
        <v>1925</v>
      </c>
      <c r="D476" s="12" t="s">
        <v>345</v>
      </c>
      <c r="E476" s="13" t="s">
        <v>1926</v>
      </c>
      <c r="F476" s="12">
        <v>24.0</v>
      </c>
      <c r="G476" s="12">
        <v>2000.0</v>
      </c>
      <c r="H476" s="14">
        <v>30.0</v>
      </c>
      <c r="I476" s="15">
        <v>23.0</v>
      </c>
      <c r="J476" s="16">
        <v>2055.0</v>
      </c>
      <c r="K476" s="15">
        <v>22.8</v>
      </c>
      <c r="L476" s="22">
        <v>0.0</v>
      </c>
      <c r="M476" s="19">
        <v>0.0</v>
      </c>
      <c r="N476" s="19">
        <v>0.0</v>
      </c>
      <c r="O476" s="19">
        <v>0.0</v>
      </c>
      <c r="P476" s="19">
        <v>0.0</v>
      </c>
      <c r="Q476" s="19">
        <v>0.0</v>
      </c>
      <c r="R476" s="18">
        <v>0.18</v>
      </c>
      <c r="S476" s="19">
        <v>0.0</v>
      </c>
      <c r="T476" s="23">
        <v>0.0</v>
      </c>
      <c r="U476" s="21">
        <v>0.0</v>
      </c>
      <c r="V476" s="21">
        <v>0.0</v>
      </c>
      <c r="W476" s="21">
        <v>0.0</v>
      </c>
      <c r="X476" s="21">
        <v>0.0</v>
      </c>
      <c r="Y476" s="20" t="s">
        <v>1927</v>
      </c>
    </row>
    <row r="477">
      <c r="A477" s="9">
        <v>475.0</v>
      </c>
      <c r="B477" s="10" t="s">
        <v>1928</v>
      </c>
      <c r="C477" s="11" t="s">
        <v>1929</v>
      </c>
      <c r="D477" s="12" t="s">
        <v>31</v>
      </c>
      <c r="E477" s="13" t="s">
        <v>1930</v>
      </c>
      <c r="F477" s="12">
        <v>26.0</v>
      </c>
      <c r="G477" s="12">
        <v>1998.0</v>
      </c>
      <c r="H477" s="14">
        <v>29.0</v>
      </c>
      <c r="I477" s="15">
        <v>28.0</v>
      </c>
      <c r="J477" s="16">
        <v>2370.0</v>
      </c>
      <c r="K477" s="15">
        <v>26.3</v>
      </c>
      <c r="L477" s="17">
        <v>0.19</v>
      </c>
      <c r="M477" s="18">
        <v>0.11</v>
      </c>
      <c r="N477" s="18">
        <v>0.3</v>
      </c>
      <c r="O477" s="18">
        <v>0.19</v>
      </c>
      <c r="P477" s="19">
        <v>0.0</v>
      </c>
      <c r="Q477" s="19">
        <v>0.0</v>
      </c>
      <c r="R477" s="18">
        <v>0.11</v>
      </c>
      <c r="S477" s="19">
        <v>0.0</v>
      </c>
      <c r="T477" s="14">
        <v>0.19</v>
      </c>
      <c r="U477" s="15">
        <v>0.11</v>
      </c>
      <c r="V477" s="15">
        <v>0.3</v>
      </c>
      <c r="W477" s="15">
        <v>0.19</v>
      </c>
      <c r="X477" s="15">
        <v>0.3</v>
      </c>
      <c r="Y477" s="20" t="s">
        <v>1931</v>
      </c>
    </row>
    <row r="478">
      <c r="A478" s="9">
        <v>476.0</v>
      </c>
      <c r="B478" s="10" t="s">
        <v>1932</v>
      </c>
      <c r="C478" s="11" t="s">
        <v>1933</v>
      </c>
      <c r="D478" s="12" t="s">
        <v>36</v>
      </c>
      <c r="E478" s="13" t="s">
        <v>1934</v>
      </c>
      <c r="F478" s="12">
        <v>31.0</v>
      </c>
      <c r="G478" s="12">
        <v>1994.0</v>
      </c>
      <c r="H478" s="14">
        <v>9.0</v>
      </c>
      <c r="I478" s="15">
        <v>5.0</v>
      </c>
      <c r="J478" s="15">
        <v>439.0</v>
      </c>
      <c r="K478" s="15">
        <v>4.9</v>
      </c>
      <c r="L478" s="22">
        <v>0.0</v>
      </c>
      <c r="M478" s="19">
        <v>0.0</v>
      </c>
      <c r="N478" s="19">
        <v>0.0</v>
      </c>
      <c r="O478" s="19">
        <v>0.0</v>
      </c>
      <c r="P478" s="19">
        <v>0.0</v>
      </c>
      <c r="Q478" s="19">
        <v>0.0</v>
      </c>
      <c r="R478" s="19">
        <v>0.0</v>
      </c>
      <c r="S478" s="19">
        <v>0.0</v>
      </c>
      <c r="T478" s="23">
        <v>0.0</v>
      </c>
      <c r="U478" s="21">
        <v>0.0</v>
      </c>
      <c r="V478" s="21">
        <v>0.0</v>
      </c>
      <c r="W478" s="21">
        <v>0.0</v>
      </c>
      <c r="X478" s="21">
        <v>0.0</v>
      </c>
      <c r="Y478" s="20" t="s">
        <v>1935</v>
      </c>
    </row>
    <row r="479">
      <c r="A479" s="9">
        <v>477.0</v>
      </c>
      <c r="B479" s="10" t="s">
        <v>1936</v>
      </c>
      <c r="C479" s="11" t="s">
        <v>1937</v>
      </c>
      <c r="D479" s="12" t="s">
        <v>41</v>
      </c>
      <c r="E479" s="13" t="s">
        <v>1938</v>
      </c>
      <c r="F479" s="12">
        <v>25.0</v>
      </c>
      <c r="G479" s="12">
        <v>2000.0</v>
      </c>
      <c r="H479" s="14">
        <v>22.0</v>
      </c>
      <c r="I479" s="15">
        <v>14.0</v>
      </c>
      <c r="J479" s="16">
        <v>1404.0</v>
      </c>
      <c r="K479" s="15">
        <v>15.6</v>
      </c>
      <c r="L479" s="17">
        <v>0.06</v>
      </c>
      <c r="M479" s="18">
        <v>0.06</v>
      </c>
      <c r="N479" s="18">
        <v>0.13</v>
      </c>
      <c r="O479" s="19">
        <v>0.0</v>
      </c>
      <c r="P479" s="18">
        <v>0.06</v>
      </c>
      <c r="Q479" s="18">
        <v>0.13</v>
      </c>
      <c r="R479" s="18">
        <v>0.13</v>
      </c>
      <c r="S479" s="19">
        <v>0.0</v>
      </c>
      <c r="T479" s="14">
        <v>0.06</v>
      </c>
      <c r="U479" s="15">
        <v>0.06</v>
      </c>
      <c r="V479" s="15">
        <v>0.13</v>
      </c>
      <c r="W479" s="21">
        <v>0.0</v>
      </c>
      <c r="X479" s="15">
        <v>0.06</v>
      </c>
      <c r="Y479" s="20" t="s">
        <v>1939</v>
      </c>
    </row>
    <row r="480">
      <c r="A480" s="9">
        <v>478.0</v>
      </c>
      <c r="B480" s="10" t="s">
        <v>1940</v>
      </c>
      <c r="C480" s="11" t="s">
        <v>1941</v>
      </c>
      <c r="D480" s="12" t="s">
        <v>41</v>
      </c>
      <c r="E480" s="13" t="s">
        <v>1942</v>
      </c>
      <c r="F480" s="12">
        <v>25.0</v>
      </c>
      <c r="G480" s="12">
        <v>2000.0</v>
      </c>
      <c r="H480" s="14">
        <v>14.0</v>
      </c>
      <c r="I480" s="15">
        <v>12.0</v>
      </c>
      <c r="J480" s="15">
        <v>903.0</v>
      </c>
      <c r="K480" s="15">
        <v>10.0</v>
      </c>
      <c r="L480" s="17">
        <v>0.3</v>
      </c>
      <c r="M480" s="19">
        <v>0.0</v>
      </c>
      <c r="N480" s="18">
        <v>0.3</v>
      </c>
      <c r="O480" s="18">
        <v>0.3</v>
      </c>
      <c r="P480" s="19">
        <v>0.0</v>
      </c>
      <c r="Q480" s="19">
        <v>0.0</v>
      </c>
      <c r="R480" s="18">
        <v>0.2</v>
      </c>
      <c r="S480" s="19">
        <v>0.0</v>
      </c>
      <c r="T480" s="14">
        <v>0.3</v>
      </c>
      <c r="U480" s="21">
        <v>0.0</v>
      </c>
      <c r="V480" s="15">
        <v>0.3</v>
      </c>
      <c r="W480" s="15">
        <v>0.3</v>
      </c>
      <c r="X480" s="15">
        <v>0.3</v>
      </c>
      <c r="Y480" s="20" t="s">
        <v>1943</v>
      </c>
    </row>
    <row r="481">
      <c r="A481" s="9">
        <v>479.0</v>
      </c>
      <c r="B481" s="10" t="s">
        <v>1944</v>
      </c>
      <c r="C481" s="11" t="s">
        <v>1945</v>
      </c>
      <c r="D481" s="12" t="s">
        <v>36</v>
      </c>
      <c r="E481" s="13" t="s">
        <v>1946</v>
      </c>
      <c r="F481" s="12">
        <v>25.0</v>
      </c>
      <c r="G481" s="12">
        <v>1999.0</v>
      </c>
      <c r="H481" s="14">
        <v>34.0</v>
      </c>
      <c r="I481" s="15">
        <v>33.0</v>
      </c>
      <c r="J481" s="16">
        <v>2936.0</v>
      </c>
      <c r="K481" s="15">
        <v>32.6</v>
      </c>
      <c r="L481" s="22">
        <v>0.0</v>
      </c>
      <c r="M481" s="18">
        <v>0.03</v>
      </c>
      <c r="N481" s="18">
        <v>0.03</v>
      </c>
      <c r="O481" s="19">
        <v>0.0</v>
      </c>
      <c r="P481" s="19">
        <v>0.0</v>
      </c>
      <c r="Q481" s="19">
        <v>0.0</v>
      </c>
      <c r="R481" s="18">
        <v>0.15</v>
      </c>
      <c r="S481" s="19">
        <v>0.0</v>
      </c>
      <c r="T481" s="23">
        <v>0.0</v>
      </c>
      <c r="U481" s="15">
        <v>0.03</v>
      </c>
      <c r="V481" s="15">
        <v>0.03</v>
      </c>
      <c r="W481" s="21">
        <v>0.0</v>
      </c>
      <c r="X481" s="15">
        <v>0.03</v>
      </c>
      <c r="Y481" s="20" t="s">
        <v>1947</v>
      </c>
    </row>
    <row r="482">
      <c r="A482" s="9">
        <v>480.0</v>
      </c>
      <c r="B482" s="10" t="s">
        <v>1948</v>
      </c>
      <c r="C482" s="11" t="s">
        <v>1949</v>
      </c>
      <c r="D482" s="12" t="s">
        <v>26</v>
      </c>
      <c r="E482" s="13" t="s">
        <v>1950</v>
      </c>
      <c r="F482" s="12">
        <v>23.0</v>
      </c>
      <c r="G482" s="12">
        <v>2001.0</v>
      </c>
      <c r="H482" s="14">
        <v>31.0</v>
      </c>
      <c r="I482" s="15">
        <v>29.0</v>
      </c>
      <c r="J482" s="16">
        <v>2470.0</v>
      </c>
      <c r="K482" s="15">
        <v>27.4</v>
      </c>
      <c r="L482" s="17">
        <v>0.18</v>
      </c>
      <c r="M482" s="18">
        <v>0.07</v>
      </c>
      <c r="N482" s="18">
        <v>0.26</v>
      </c>
      <c r="O482" s="18">
        <v>0.18</v>
      </c>
      <c r="P482" s="19">
        <v>0.0</v>
      </c>
      <c r="Q482" s="19">
        <v>0.0</v>
      </c>
      <c r="R482" s="18">
        <v>0.22</v>
      </c>
      <c r="S482" s="19">
        <v>0.0</v>
      </c>
      <c r="T482" s="14">
        <v>0.18</v>
      </c>
      <c r="U482" s="15">
        <v>0.07</v>
      </c>
      <c r="V482" s="15">
        <v>0.26</v>
      </c>
      <c r="W482" s="15">
        <v>0.18</v>
      </c>
      <c r="X482" s="15">
        <v>0.26</v>
      </c>
      <c r="Y482" s="20" t="s">
        <v>1951</v>
      </c>
    </row>
    <row r="483">
      <c r="A483" s="9">
        <v>481.0</v>
      </c>
      <c r="B483" s="10" t="s">
        <v>1952</v>
      </c>
      <c r="C483" s="11" t="s">
        <v>1953</v>
      </c>
      <c r="D483" s="12" t="s">
        <v>264</v>
      </c>
      <c r="E483" s="13" t="s">
        <v>1954</v>
      </c>
      <c r="F483" s="12">
        <v>24.0</v>
      </c>
      <c r="G483" s="12">
        <v>2000.0</v>
      </c>
      <c r="H483" s="14">
        <v>36.0</v>
      </c>
      <c r="I483" s="15">
        <v>36.0</v>
      </c>
      <c r="J483" s="16">
        <v>3231.0</v>
      </c>
      <c r="K483" s="15">
        <v>35.9</v>
      </c>
      <c r="L483" s="17">
        <v>0.17</v>
      </c>
      <c r="M483" s="18">
        <v>0.19</v>
      </c>
      <c r="N483" s="18">
        <v>0.36</v>
      </c>
      <c r="O483" s="18">
        <v>0.17</v>
      </c>
      <c r="P483" s="19">
        <v>0.0</v>
      </c>
      <c r="Q483" s="18">
        <v>0.03</v>
      </c>
      <c r="R483" s="18">
        <v>0.22</v>
      </c>
      <c r="S483" s="18">
        <v>0.03</v>
      </c>
      <c r="T483" s="14">
        <v>0.17</v>
      </c>
      <c r="U483" s="15">
        <v>0.19</v>
      </c>
      <c r="V483" s="15">
        <v>0.36</v>
      </c>
      <c r="W483" s="15">
        <v>0.17</v>
      </c>
      <c r="X483" s="15">
        <v>0.36</v>
      </c>
      <c r="Y483" s="20" t="s">
        <v>1955</v>
      </c>
    </row>
    <row r="484">
      <c r="A484" s="9">
        <v>482.0</v>
      </c>
      <c r="B484" s="10" t="s">
        <v>1956</v>
      </c>
      <c r="C484" s="11" t="s">
        <v>1957</v>
      </c>
      <c r="D484" s="12" t="s">
        <v>31</v>
      </c>
      <c r="E484" s="13" t="s">
        <v>1958</v>
      </c>
      <c r="F484" s="12">
        <v>20.0</v>
      </c>
      <c r="G484" s="12">
        <v>2005.0</v>
      </c>
      <c r="H484" s="14">
        <v>1.0</v>
      </c>
      <c r="I484" s="15">
        <v>1.0</v>
      </c>
      <c r="J484" s="15">
        <v>38.0</v>
      </c>
      <c r="K484" s="15">
        <v>0.4</v>
      </c>
      <c r="L484" s="22">
        <v>0.0</v>
      </c>
      <c r="M484" s="19">
        <v>0.0</v>
      </c>
      <c r="N484" s="19">
        <v>0.0</v>
      </c>
      <c r="O484" s="19">
        <v>0.0</v>
      </c>
      <c r="P484" s="19">
        <v>0.0</v>
      </c>
      <c r="Q484" s="19">
        <v>0.0</v>
      </c>
      <c r="R484" s="19">
        <v>0.0</v>
      </c>
      <c r="S484" s="19">
        <v>0.0</v>
      </c>
      <c r="T484" s="23">
        <v>0.0</v>
      </c>
      <c r="U484" s="21">
        <v>0.0</v>
      </c>
      <c r="V484" s="21">
        <v>0.0</v>
      </c>
      <c r="W484" s="21">
        <v>0.0</v>
      </c>
      <c r="X484" s="21">
        <v>0.0</v>
      </c>
      <c r="Y484" s="20" t="s">
        <v>1959</v>
      </c>
    </row>
    <row r="485">
      <c r="A485" s="9">
        <v>483.0</v>
      </c>
      <c r="B485" s="10" t="s">
        <v>1960</v>
      </c>
      <c r="C485" s="11" t="s">
        <v>1961</v>
      </c>
      <c r="D485" s="12" t="s">
        <v>26</v>
      </c>
      <c r="E485" s="13" t="s">
        <v>1962</v>
      </c>
      <c r="F485" s="12">
        <v>20.0</v>
      </c>
      <c r="G485" s="12">
        <v>2005.0</v>
      </c>
      <c r="H485" s="14">
        <v>28.0</v>
      </c>
      <c r="I485" s="15">
        <v>16.0</v>
      </c>
      <c r="J485" s="16">
        <v>1561.0</v>
      </c>
      <c r="K485" s="15">
        <v>17.3</v>
      </c>
      <c r="L485" s="17">
        <v>0.23</v>
      </c>
      <c r="M485" s="18">
        <v>0.06</v>
      </c>
      <c r="N485" s="18">
        <v>0.29</v>
      </c>
      <c r="O485" s="18">
        <v>0.23</v>
      </c>
      <c r="P485" s="19">
        <v>0.0</v>
      </c>
      <c r="Q485" s="19">
        <v>0.0</v>
      </c>
      <c r="R485" s="19">
        <v>0.0</v>
      </c>
      <c r="S485" s="19">
        <v>0.0</v>
      </c>
      <c r="T485" s="14">
        <v>0.23</v>
      </c>
      <c r="U485" s="15">
        <v>0.06</v>
      </c>
      <c r="V485" s="15">
        <v>0.29</v>
      </c>
      <c r="W485" s="15">
        <v>0.23</v>
      </c>
      <c r="X485" s="15">
        <v>0.29</v>
      </c>
      <c r="Y485" s="20" t="s">
        <v>1963</v>
      </c>
    </row>
    <row r="486">
      <c r="A486" s="9">
        <v>484.0</v>
      </c>
      <c r="B486" s="10" t="s">
        <v>1964</v>
      </c>
      <c r="C486" s="11" t="s">
        <v>1965</v>
      </c>
      <c r="D486" s="12" t="s">
        <v>31</v>
      </c>
      <c r="E486" s="13" t="s">
        <v>1966</v>
      </c>
      <c r="F486" s="12">
        <v>26.0</v>
      </c>
      <c r="G486" s="12">
        <v>1998.0</v>
      </c>
      <c r="H486" s="14">
        <v>28.0</v>
      </c>
      <c r="I486" s="15">
        <v>14.0</v>
      </c>
      <c r="J486" s="16">
        <v>1315.0</v>
      </c>
      <c r="K486" s="15">
        <v>14.6</v>
      </c>
      <c r="L486" s="17">
        <v>0.14</v>
      </c>
      <c r="M486" s="19">
        <v>0.0</v>
      </c>
      <c r="N486" s="18">
        <v>0.14</v>
      </c>
      <c r="O486" s="18">
        <v>0.14</v>
      </c>
      <c r="P486" s="19">
        <v>0.0</v>
      </c>
      <c r="Q486" s="19">
        <v>0.0</v>
      </c>
      <c r="R486" s="18">
        <v>0.07</v>
      </c>
      <c r="S486" s="19">
        <v>0.0</v>
      </c>
      <c r="T486" s="14">
        <v>0.14</v>
      </c>
      <c r="U486" s="21">
        <v>0.0</v>
      </c>
      <c r="V486" s="15">
        <v>0.14</v>
      </c>
      <c r="W486" s="15">
        <v>0.14</v>
      </c>
      <c r="X486" s="15">
        <v>0.14</v>
      </c>
      <c r="Y486" s="20" t="s">
        <v>1967</v>
      </c>
    </row>
    <row r="487">
      <c r="A487" s="9">
        <v>485.0</v>
      </c>
      <c r="B487" s="10" t="s">
        <v>1968</v>
      </c>
      <c r="C487" s="11" t="s">
        <v>1969</v>
      </c>
      <c r="D487" s="12" t="s">
        <v>36</v>
      </c>
      <c r="E487" s="13" t="s">
        <v>1970</v>
      </c>
      <c r="F487" s="12">
        <v>32.0</v>
      </c>
      <c r="G487" s="12">
        <v>1992.0</v>
      </c>
      <c r="H487" s="14">
        <v>37.0</v>
      </c>
      <c r="I487" s="15">
        <v>37.0</v>
      </c>
      <c r="J487" s="16">
        <v>3330.0</v>
      </c>
      <c r="K487" s="15">
        <v>37.0</v>
      </c>
      <c r="L487" s="17">
        <v>0.05</v>
      </c>
      <c r="M487" s="18">
        <v>0.08</v>
      </c>
      <c r="N487" s="18">
        <v>0.14</v>
      </c>
      <c r="O487" s="18">
        <v>0.05</v>
      </c>
      <c r="P487" s="19">
        <v>0.0</v>
      </c>
      <c r="Q487" s="19">
        <v>0.0</v>
      </c>
      <c r="R487" s="18">
        <v>0.22</v>
      </c>
      <c r="S487" s="19">
        <v>0.0</v>
      </c>
      <c r="T487" s="14">
        <v>0.05</v>
      </c>
      <c r="U487" s="15">
        <v>0.08</v>
      </c>
      <c r="V487" s="15">
        <v>0.14</v>
      </c>
      <c r="W487" s="15">
        <v>0.05</v>
      </c>
      <c r="X487" s="15">
        <v>0.14</v>
      </c>
      <c r="Y487" s="20" t="s">
        <v>1971</v>
      </c>
    </row>
    <row r="488">
      <c r="A488" s="9">
        <v>486.0</v>
      </c>
      <c r="B488" s="10" t="s">
        <v>1972</v>
      </c>
      <c r="C488" s="11" t="s">
        <v>1973</v>
      </c>
      <c r="D488" s="12" t="s">
        <v>31</v>
      </c>
      <c r="E488" s="13" t="s">
        <v>1974</v>
      </c>
      <c r="F488" s="12">
        <v>26.0</v>
      </c>
      <c r="G488" s="12">
        <v>1999.0</v>
      </c>
      <c r="H488" s="14">
        <v>34.0</v>
      </c>
      <c r="I488" s="15">
        <v>31.0</v>
      </c>
      <c r="J488" s="16">
        <v>2732.0</v>
      </c>
      <c r="K488" s="15">
        <v>30.4</v>
      </c>
      <c r="L488" s="17">
        <v>0.23</v>
      </c>
      <c r="M488" s="18">
        <v>0.13</v>
      </c>
      <c r="N488" s="18">
        <v>0.36</v>
      </c>
      <c r="O488" s="18">
        <v>0.16</v>
      </c>
      <c r="P488" s="18">
        <v>0.07</v>
      </c>
      <c r="Q488" s="18">
        <v>0.07</v>
      </c>
      <c r="R488" s="18">
        <v>0.2</v>
      </c>
      <c r="S488" s="19">
        <v>0.0</v>
      </c>
      <c r="T488" s="14">
        <v>0.23</v>
      </c>
      <c r="U488" s="15">
        <v>0.13</v>
      </c>
      <c r="V488" s="15">
        <v>0.36</v>
      </c>
      <c r="W488" s="15">
        <v>0.16</v>
      </c>
      <c r="X488" s="15">
        <v>0.3</v>
      </c>
      <c r="Y488" s="20" t="s">
        <v>1975</v>
      </c>
    </row>
    <row r="489">
      <c r="A489" s="9">
        <v>487.0</v>
      </c>
      <c r="B489" s="10" t="s">
        <v>1976</v>
      </c>
      <c r="C489" s="11" t="s">
        <v>1977</v>
      </c>
      <c r="D489" s="12" t="s">
        <v>26</v>
      </c>
      <c r="E489" s="13" t="s">
        <v>1978</v>
      </c>
      <c r="F489" s="12">
        <v>21.0</v>
      </c>
      <c r="G489" s="12">
        <v>2003.0</v>
      </c>
      <c r="H489" s="14">
        <v>29.0</v>
      </c>
      <c r="I489" s="15">
        <v>14.0</v>
      </c>
      <c r="J489" s="16">
        <v>1272.0</v>
      </c>
      <c r="K489" s="15">
        <v>14.1</v>
      </c>
      <c r="L489" s="17">
        <v>0.14</v>
      </c>
      <c r="M489" s="18">
        <v>0.07</v>
      </c>
      <c r="N489" s="18">
        <v>0.21</v>
      </c>
      <c r="O489" s="18">
        <v>0.14</v>
      </c>
      <c r="P489" s="19">
        <v>0.0</v>
      </c>
      <c r="Q489" s="19">
        <v>0.0</v>
      </c>
      <c r="R489" s="18">
        <v>0.14</v>
      </c>
      <c r="S489" s="19">
        <v>0.0</v>
      </c>
      <c r="T489" s="14">
        <v>0.14</v>
      </c>
      <c r="U489" s="15">
        <v>0.07</v>
      </c>
      <c r="V489" s="15">
        <v>0.21</v>
      </c>
      <c r="W489" s="15">
        <v>0.14</v>
      </c>
      <c r="X489" s="15">
        <v>0.21</v>
      </c>
      <c r="Y489" s="20" t="s">
        <v>1979</v>
      </c>
    </row>
    <row r="490">
      <c r="A490" s="9">
        <v>488.0</v>
      </c>
      <c r="B490" s="10" t="s">
        <v>1980</v>
      </c>
      <c r="C490" s="11" t="s">
        <v>1981</v>
      </c>
      <c r="D490" s="12" t="s">
        <v>264</v>
      </c>
      <c r="E490" s="13" t="s">
        <v>1982</v>
      </c>
      <c r="F490" s="12">
        <v>23.0</v>
      </c>
      <c r="G490" s="12">
        <v>2001.0</v>
      </c>
      <c r="H490" s="14">
        <v>31.0</v>
      </c>
      <c r="I490" s="15">
        <v>19.0</v>
      </c>
      <c r="J490" s="16">
        <v>1845.0</v>
      </c>
      <c r="K490" s="15">
        <v>20.5</v>
      </c>
      <c r="L490" s="22">
        <v>0.0</v>
      </c>
      <c r="M490" s="18">
        <v>0.05</v>
      </c>
      <c r="N490" s="18">
        <v>0.05</v>
      </c>
      <c r="O490" s="19">
        <v>0.0</v>
      </c>
      <c r="P490" s="19">
        <v>0.0</v>
      </c>
      <c r="Q490" s="19">
        <v>0.0</v>
      </c>
      <c r="R490" s="18">
        <v>0.15</v>
      </c>
      <c r="S490" s="19">
        <v>0.0</v>
      </c>
      <c r="T490" s="23">
        <v>0.0</v>
      </c>
      <c r="U490" s="15">
        <v>0.05</v>
      </c>
      <c r="V490" s="15">
        <v>0.05</v>
      </c>
      <c r="W490" s="21">
        <v>0.0</v>
      </c>
      <c r="X490" s="15">
        <v>0.05</v>
      </c>
      <c r="Y490" s="20" t="s">
        <v>1983</v>
      </c>
    </row>
    <row r="491">
      <c r="A491" s="9">
        <v>489.0</v>
      </c>
      <c r="B491" s="10" t="s">
        <v>1984</v>
      </c>
      <c r="C491" s="11" t="s">
        <v>1985</v>
      </c>
      <c r="D491" s="12" t="s">
        <v>26</v>
      </c>
      <c r="E491" s="13" t="s">
        <v>1986</v>
      </c>
      <c r="F491" s="12">
        <v>20.0</v>
      </c>
      <c r="G491" s="12">
        <v>2005.0</v>
      </c>
      <c r="H491" s="14">
        <v>31.0</v>
      </c>
      <c r="I491" s="15">
        <v>13.0</v>
      </c>
      <c r="J491" s="16">
        <v>1349.0</v>
      </c>
      <c r="K491" s="15">
        <v>15.0</v>
      </c>
      <c r="L491" s="17">
        <v>0.27</v>
      </c>
      <c r="M491" s="18">
        <v>0.07</v>
      </c>
      <c r="N491" s="18">
        <v>0.33</v>
      </c>
      <c r="O491" s="18">
        <v>0.27</v>
      </c>
      <c r="P491" s="19">
        <v>0.0</v>
      </c>
      <c r="Q491" s="19">
        <v>0.0</v>
      </c>
      <c r="R491" s="18">
        <v>0.07</v>
      </c>
      <c r="S491" s="19">
        <v>0.0</v>
      </c>
      <c r="T491" s="14">
        <v>0.27</v>
      </c>
      <c r="U491" s="15">
        <v>0.07</v>
      </c>
      <c r="V491" s="15">
        <v>0.33</v>
      </c>
      <c r="W491" s="15">
        <v>0.27</v>
      </c>
      <c r="X491" s="15">
        <v>0.33</v>
      </c>
      <c r="Y491" s="20" t="s">
        <v>1987</v>
      </c>
    </row>
    <row r="492">
      <c r="A492" s="9">
        <v>490.0</v>
      </c>
      <c r="B492" s="10" t="s">
        <v>1988</v>
      </c>
      <c r="C492" s="11" t="s">
        <v>1989</v>
      </c>
      <c r="D492" s="12" t="s">
        <v>36</v>
      </c>
      <c r="E492" s="13" t="s">
        <v>1990</v>
      </c>
      <c r="F492" s="12">
        <v>29.0</v>
      </c>
      <c r="G492" s="12">
        <v>1995.0</v>
      </c>
      <c r="H492" s="14">
        <v>22.0</v>
      </c>
      <c r="I492" s="15">
        <v>21.0</v>
      </c>
      <c r="J492" s="16">
        <v>1791.0</v>
      </c>
      <c r="K492" s="15">
        <v>19.9</v>
      </c>
      <c r="L492" s="17">
        <v>0.05</v>
      </c>
      <c r="M492" s="19">
        <v>0.0</v>
      </c>
      <c r="N492" s="18">
        <v>0.05</v>
      </c>
      <c r="O492" s="18">
        <v>0.05</v>
      </c>
      <c r="P492" s="19">
        <v>0.0</v>
      </c>
      <c r="Q492" s="19">
        <v>0.0</v>
      </c>
      <c r="R492" s="18">
        <v>0.1</v>
      </c>
      <c r="S492" s="19">
        <v>0.0</v>
      </c>
      <c r="T492" s="14">
        <v>0.05</v>
      </c>
      <c r="U492" s="21">
        <v>0.0</v>
      </c>
      <c r="V492" s="15">
        <v>0.05</v>
      </c>
      <c r="W492" s="15">
        <v>0.05</v>
      </c>
      <c r="X492" s="15">
        <v>0.05</v>
      </c>
      <c r="Y492" s="20" t="s">
        <v>1991</v>
      </c>
    </row>
    <row r="493">
      <c r="A493" s="9">
        <v>491.0</v>
      </c>
      <c r="B493" s="10" t="s">
        <v>1992</v>
      </c>
      <c r="C493" s="11" t="s">
        <v>1993</v>
      </c>
      <c r="D493" s="12" t="s">
        <v>41</v>
      </c>
      <c r="E493" s="13" t="s">
        <v>1994</v>
      </c>
      <c r="F493" s="12">
        <v>24.0</v>
      </c>
      <c r="G493" s="12">
        <v>2001.0</v>
      </c>
      <c r="H493" s="14">
        <v>38.0</v>
      </c>
      <c r="I493" s="15">
        <v>37.0</v>
      </c>
      <c r="J493" s="16">
        <v>3282.0</v>
      </c>
      <c r="K493" s="15">
        <v>36.5</v>
      </c>
      <c r="L493" s="17">
        <v>0.6</v>
      </c>
      <c r="M493" s="18">
        <v>0.03</v>
      </c>
      <c r="N493" s="18">
        <v>0.63</v>
      </c>
      <c r="O493" s="18">
        <v>0.38</v>
      </c>
      <c r="P493" s="18">
        <v>0.22</v>
      </c>
      <c r="Q493" s="18">
        <v>0.25</v>
      </c>
      <c r="R493" s="18">
        <v>0.19</v>
      </c>
      <c r="S493" s="19">
        <v>0.0</v>
      </c>
      <c r="T493" s="14">
        <v>0.6</v>
      </c>
      <c r="U493" s="15">
        <v>0.03</v>
      </c>
      <c r="V493" s="15">
        <v>0.63</v>
      </c>
      <c r="W493" s="15">
        <v>0.38</v>
      </c>
      <c r="X493" s="15">
        <v>0.41</v>
      </c>
      <c r="Y493" s="20" t="s">
        <v>1995</v>
      </c>
    </row>
    <row r="494">
      <c r="A494" s="9">
        <v>492.0</v>
      </c>
      <c r="B494" s="10" t="s">
        <v>1996</v>
      </c>
      <c r="C494" s="11" t="s">
        <v>1997</v>
      </c>
      <c r="D494" s="12" t="s">
        <v>36</v>
      </c>
      <c r="E494" s="13" t="s">
        <v>1998</v>
      </c>
      <c r="F494" s="12">
        <v>23.0</v>
      </c>
      <c r="G494" s="12">
        <v>2001.0</v>
      </c>
      <c r="H494" s="14">
        <v>35.0</v>
      </c>
      <c r="I494" s="15">
        <v>33.0</v>
      </c>
      <c r="J494" s="16">
        <v>2965.0</v>
      </c>
      <c r="K494" s="15">
        <v>32.9</v>
      </c>
      <c r="L494" s="17">
        <v>0.12</v>
      </c>
      <c r="M494" s="19">
        <v>0.0</v>
      </c>
      <c r="N494" s="18">
        <v>0.12</v>
      </c>
      <c r="O494" s="18">
        <v>0.12</v>
      </c>
      <c r="P494" s="19">
        <v>0.0</v>
      </c>
      <c r="Q494" s="19">
        <v>0.0</v>
      </c>
      <c r="R494" s="18">
        <v>0.12</v>
      </c>
      <c r="S494" s="19">
        <v>0.0</v>
      </c>
      <c r="T494" s="14">
        <v>0.12</v>
      </c>
      <c r="U494" s="21">
        <v>0.0</v>
      </c>
      <c r="V494" s="15">
        <v>0.12</v>
      </c>
      <c r="W494" s="15">
        <v>0.12</v>
      </c>
      <c r="X494" s="15">
        <v>0.12</v>
      </c>
      <c r="Y494" s="20" t="s">
        <v>1999</v>
      </c>
    </row>
    <row r="495">
      <c r="A495" s="9">
        <v>493.0</v>
      </c>
      <c r="B495" s="10" t="s">
        <v>2000</v>
      </c>
      <c r="C495" s="11" t="s">
        <v>2001</v>
      </c>
      <c r="D495" s="12" t="s">
        <v>31</v>
      </c>
      <c r="E495" s="13" t="s">
        <v>2002</v>
      </c>
      <c r="F495" s="12">
        <v>28.0</v>
      </c>
      <c r="G495" s="12">
        <v>1997.0</v>
      </c>
      <c r="H495" s="14">
        <v>25.0</v>
      </c>
      <c r="I495" s="15">
        <v>21.0</v>
      </c>
      <c r="J495" s="16">
        <v>1862.0</v>
      </c>
      <c r="K495" s="15">
        <v>20.7</v>
      </c>
      <c r="L495" s="22">
        <v>0.0</v>
      </c>
      <c r="M495" s="18">
        <v>0.19</v>
      </c>
      <c r="N495" s="18">
        <v>0.19</v>
      </c>
      <c r="O495" s="19">
        <v>0.0</v>
      </c>
      <c r="P495" s="19">
        <v>0.0</v>
      </c>
      <c r="Q495" s="19">
        <v>0.0</v>
      </c>
      <c r="R495" s="19">
        <v>0.0</v>
      </c>
      <c r="S495" s="19">
        <v>0.0</v>
      </c>
      <c r="T495" s="23">
        <v>0.0</v>
      </c>
      <c r="U495" s="15">
        <v>0.19</v>
      </c>
      <c r="V495" s="15">
        <v>0.19</v>
      </c>
      <c r="W495" s="21">
        <v>0.0</v>
      </c>
      <c r="X495" s="15">
        <v>0.19</v>
      </c>
      <c r="Y495" s="20" t="s">
        <v>2003</v>
      </c>
    </row>
    <row r="496">
      <c r="A496" s="9">
        <v>494.0</v>
      </c>
      <c r="B496" s="10" t="s">
        <v>2004</v>
      </c>
      <c r="C496" s="11" t="s">
        <v>2005</v>
      </c>
      <c r="D496" s="12" t="s">
        <v>36</v>
      </c>
      <c r="E496" s="13" t="s">
        <v>2006</v>
      </c>
      <c r="F496" s="12">
        <v>24.0</v>
      </c>
      <c r="G496" s="12">
        <v>2001.0</v>
      </c>
      <c r="H496" s="14">
        <v>30.0</v>
      </c>
      <c r="I496" s="15">
        <v>28.0</v>
      </c>
      <c r="J496" s="16">
        <v>2454.0</v>
      </c>
      <c r="K496" s="15">
        <v>27.3</v>
      </c>
      <c r="L496" s="17">
        <v>0.11</v>
      </c>
      <c r="M496" s="18">
        <v>0.18</v>
      </c>
      <c r="N496" s="18">
        <v>0.29</v>
      </c>
      <c r="O496" s="18">
        <v>0.11</v>
      </c>
      <c r="P496" s="19">
        <v>0.0</v>
      </c>
      <c r="Q496" s="19">
        <v>0.0</v>
      </c>
      <c r="R496" s="18">
        <v>0.18</v>
      </c>
      <c r="S496" s="19">
        <v>0.0</v>
      </c>
      <c r="T496" s="14">
        <v>0.11</v>
      </c>
      <c r="U496" s="15">
        <v>0.18</v>
      </c>
      <c r="V496" s="15">
        <v>0.29</v>
      </c>
      <c r="W496" s="15">
        <v>0.11</v>
      </c>
      <c r="X496" s="15">
        <v>0.29</v>
      </c>
      <c r="Y496" s="20" t="s">
        <v>2007</v>
      </c>
    </row>
    <row r="497">
      <c r="A497" s="9">
        <v>495.0</v>
      </c>
      <c r="B497" s="10" t="s">
        <v>2008</v>
      </c>
      <c r="C497" s="11" t="s">
        <v>2009</v>
      </c>
      <c r="D497" s="12" t="s">
        <v>36</v>
      </c>
      <c r="E497" s="13" t="s">
        <v>2010</v>
      </c>
      <c r="F497" s="12">
        <v>25.0</v>
      </c>
      <c r="G497" s="12">
        <v>1999.0</v>
      </c>
      <c r="H497" s="14">
        <v>23.0</v>
      </c>
      <c r="I497" s="15">
        <v>22.0</v>
      </c>
      <c r="J497" s="16">
        <v>1814.0</v>
      </c>
      <c r="K497" s="15">
        <v>20.2</v>
      </c>
      <c r="L497" s="22">
        <v>0.0</v>
      </c>
      <c r="M497" s="18">
        <v>0.05</v>
      </c>
      <c r="N497" s="18">
        <v>0.05</v>
      </c>
      <c r="O497" s="19">
        <v>0.0</v>
      </c>
      <c r="P497" s="19">
        <v>0.0</v>
      </c>
      <c r="Q497" s="19">
        <v>0.0</v>
      </c>
      <c r="R497" s="18">
        <v>0.25</v>
      </c>
      <c r="S497" s="18">
        <v>0.05</v>
      </c>
      <c r="T497" s="23">
        <v>0.0</v>
      </c>
      <c r="U497" s="15">
        <v>0.05</v>
      </c>
      <c r="V497" s="15">
        <v>0.05</v>
      </c>
      <c r="W497" s="21">
        <v>0.0</v>
      </c>
      <c r="X497" s="15">
        <v>0.05</v>
      </c>
      <c r="Y497" s="20" t="s">
        <v>2011</v>
      </c>
    </row>
    <row r="498">
      <c r="A498" s="9">
        <v>496.0</v>
      </c>
      <c r="B498" s="10" t="s">
        <v>2012</v>
      </c>
      <c r="C498" s="11" t="s">
        <v>2013</v>
      </c>
      <c r="D498" s="12" t="s">
        <v>31</v>
      </c>
      <c r="E498" s="13" t="s">
        <v>2014</v>
      </c>
      <c r="F498" s="12">
        <v>25.0</v>
      </c>
      <c r="G498" s="12">
        <v>2000.0</v>
      </c>
      <c r="H498" s="14">
        <v>35.0</v>
      </c>
      <c r="I498" s="15">
        <v>31.0</v>
      </c>
      <c r="J498" s="16">
        <v>2534.0</v>
      </c>
      <c r="K498" s="15">
        <v>28.2</v>
      </c>
      <c r="L498" s="22">
        <v>0.0</v>
      </c>
      <c r="M498" s="18">
        <v>0.07</v>
      </c>
      <c r="N498" s="18">
        <v>0.07</v>
      </c>
      <c r="O498" s="19">
        <v>0.0</v>
      </c>
      <c r="P498" s="19">
        <v>0.0</v>
      </c>
      <c r="Q498" s="19">
        <v>0.0</v>
      </c>
      <c r="R498" s="18">
        <v>0.14</v>
      </c>
      <c r="S498" s="19">
        <v>0.0</v>
      </c>
      <c r="T498" s="23">
        <v>0.0</v>
      </c>
      <c r="U498" s="15">
        <v>0.07</v>
      </c>
      <c r="V498" s="15">
        <v>0.07</v>
      </c>
      <c r="W498" s="21">
        <v>0.0</v>
      </c>
      <c r="X498" s="15">
        <v>0.07</v>
      </c>
      <c r="Y498" s="20" t="s">
        <v>2015</v>
      </c>
    </row>
    <row r="499">
      <c r="A499" s="9">
        <v>497.0</v>
      </c>
      <c r="B499" s="10" t="s">
        <v>2016</v>
      </c>
      <c r="C499" s="11" t="s">
        <v>2017</v>
      </c>
      <c r="D499" s="12" t="s">
        <v>36</v>
      </c>
      <c r="E499" s="13" t="s">
        <v>2018</v>
      </c>
      <c r="F499" s="12">
        <v>28.0</v>
      </c>
      <c r="G499" s="12">
        <v>1997.0</v>
      </c>
      <c r="H499" s="14">
        <v>21.0</v>
      </c>
      <c r="I499" s="15">
        <v>18.0</v>
      </c>
      <c r="J499" s="16">
        <v>1676.0</v>
      </c>
      <c r="K499" s="15">
        <v>18.6</v>
      </c>
      <c r="L499" s="22">
        <v>0.0</v>
      </c>
      <c r="M499" s="19">
        <v>0.0</v>
      </c>
      <c r="N499" s="19">
        <v>0.0</v>
      </c>
      <c r="O499" s="19">
        <v>0.0</v>
      </c>
      <c r="P499" s="19">
        <v>0.0</v>
      </c>
      <c r="Q499" s="19">
        <v>0.0</v>
      </c>
      <c r="R499" s="18">
        <v>0.05</v>
      </c>
      <c r="S499" s="19">
        <v>0.0</v>
      </c>
      <c r="T499" s="23">
        <v>0.0</v>
      </c>
      <c r="U499" s="21">
        <v>0.0</v>
      </c>
      <c r="V499" s="21">
        <v>0.0</v>
      </c>
      <c r="W499" s="21">
        <v>0.0</v>
      </c>
      <c r="X499" s="21">
        <v>0.0</v>
      </c>
      <c r="Y499" s="20" t="s">
        <v>2019</v>
      </c>
    </row>
    <row r="500">
      <c r="A500" s="9">
        <v>498.0</v>
      </c>
      <c r="B500" s="10" t="s">
        <v>2020</v>
      </c>
      <c r="C500" s="11" t="s">
        <v>2021</v>
      </c>
      <c r="D500" s="12" t="s">
        <v>31</v>
      </c>
      <c r="E500" s="13" t="s">
        <v>2022</v>
      </c>
      <c r="F500" s="12">
        <v>19.0</v>
      </c>
      <c r="G500" s="12">
        <v>2005.0</v>
      </c>
      <c r="H500" s="14">
        <v>9.0</v>
      </c>
      <c r="I500" s="15">
        <v>2.0</v>
      </c>
      <c r="J500" s="15">
        <v>140.0</v>
      </c>
      <c r="K500" s="15">
        <v>1.6</v>
      </c>
      <c r="L500" s="22">
        <v>0.0</v>
      </c>
      <c r="M500" s="19">
        <v>0.0</v>
      </c>
      <c r="N500" s="19">
        <v>0.0</v>
      </c>
      <c r="O500" s="19">
        <v>0.0</v>
      </c>
      <c r="P500" s="19">
        <v>0.0</v>
      </c>
      <c r="Q500" s="19">
        <v>0.0</v>
      </c>
      <c r="R500" s="18">
        <v>0.63</v>
      </c>
      <c r="S500" s="19">
        <v>0.0</v>
      </c>
      <c r="T500" s="23">
        <v>0.0</v>
      </c>
      <c r="U500" s="21">
        <v>0.0</v>
      </c>
      <c r="V500" s="21">
        <v>0.0</v>
      </c>
      <c r="W500" s="21">
        <v>0.0</v>
      </c>
      <c r="X500" s="21">
        <v>0.0</v>
      </c>
      <c r="Y500" s="20" t="s">
        <v>2023</v>
      </c>
    </row>
    <row r="501">
      <c r="A501" s="9">
        <v>499.0</v>
      </c>
      <c r="B501" s="10" t="s">
        <v>2024</v>
      </c>
      <c r="C501" s="11" t="s">
        <v>2025</v>
      </c>
      <c r="D501" s="12" t="s">
        <v>98</v>
      </c>
      <c r="E501" s="13" t="s">
        <v>2026</v>
      </c>
      <c r="F501" s="12">
        <v>22.0</v>
      </c>
      <c r="G501" s="12">
        <v>2002.0</v>
      </c>
      <c r="H501" s="14">
        <v>4.0</v>
      </c>
      <c r="I501" s="15">
        <v>4.0</v>
      </c>
      <c r="J501" s="15">
        <v>360.0</v>
      </c>
      <c r="K501" s="15">
        <v>4.0</v>
      </c>
      <c r="L501" s="22">
        <v>0.0</v>
      </c>
      <c r="M501" s="19">
        <v>0.0</v>
      </c>
      <c r="N501" s="19">
        <v>0.0</v>
      </c>
      <c r="O501" s="19">
        <v>0.0</v>
      </c>
      <c r="P501" s="19">
        <v>0.0</v>
      </c>
      <c r="Q501" s="19">
        <v>0.0</v>
      </c>
      <c r="R501" s="19">
        <v>0.0</v>
      </c>
      <c r="S501" s="19">
        <v>0.0</v>
      </c>
      <c r="T501" s="23">
        <v>0.0</v>
      </c>
      <c r="U501" s="21">
        <v>0.0</v>
      </c>
      <c r="V501" s="21">
        <v>0.0</v>
      </c>
      <c r="W501" s="21">
        <v>0.0</v>
      </c>
      <c r="X501" s="21">
        <v>0.0</v>
      </c>
      <c r="Y501" s="20" t="s">
        <v>2027</v>
      </c>
    </row>
    <row r="502">
      <c r="A502" s="9">
        <v>500.0</v>
      </c>
      <c r="B502" s="10" t="s">
        <v>2028</v>
      </c>
      <c r="C502" s="11" t="s">
        <v>2029</v>
      </c>
      <c r="D502" s="12" t="s">
        <v>31</v>
      </c>
      <c r="E502" s="13" t="s">
        <v>2030</v>
      </c>
      <c r="F502" s="12">
        <v>29.0</v>
      </c>
      <c r="G502" s="12">
        <v>1996.0</v>
      </c>
      <c r="H502" s="14">
        <v>15.0</v>
      </c>
      <c r="I502" s="15">
        <v>1.0</v>
      </c>
      <c r="J502" s="15">
        <v>274.0</v>
      </c>
      <c r="K502" s="15">
        <v>3.0</v>
      </c>
      <c r="L502" s="22">
        <v>0.0</v>
      </c>
      <c r="M502" s="19">
        <v>0.0</v>
      </c>
      <c r="N502" s="19">
        <v>0.0</v>
      </c>
      <c r="O502" s="19">
        <v>0.0</v>
      </c>
      <c r="P502" s="19">
        <v>0.0</v>
      </c>
      <c r="Q502" s="19">
        <v>0.0</v>
      </c>
      <c r="R502" s="19">
        <v>0.0</v>
      </c>
      <c r="S502" s="19">
        <v>0.0</v>
      </c>
      <c r="T502" s="23">
        <v>0.0</v>
      </c>
      <c r="U502" s="21">
        <v>0.0</v>
      </c>
      <c r="V502" s="21">
        <v>0.0</v>
      </c>
      <c r="W502" s="21">
        <v>0.0</v>
      </c>
      <c r="X502" s="21">
        <v>0.0</v>
      </c>
      <c r="Y502" s="20" t="s">
        <v>2031</v>
      </c>
    </row>
    <row r="503">
      <c r="A503" s="9">
        <v>501.0</v>
      </c>
      <c r="B503" s="10" t="s">
        <v>2032</v>
      </c>
      <c r="C503" s="11" t="s">
        <v>2033</v>
      </c>
      <c r="D503" s="12" t="s">
        <v>107</v>
      </c>
      <c r="E503" s="13" t="s">
        <v>2034</v>
      </c>
      <c r="F503" s="12">
        <v>29.0</v>
      </c>
      <c r="G503" s="12">
        <v>1996.0</v>
      </c>
      <c r="H503" s="14">
        <v>9.0</v>
      </c>
      <c r="I503" s="21">
        <v>0.0</v>
      </c>
      <c r="J503" s="15">
        <v>121.0</v>
      </c>
      <c r="K503" s="15">
        <v>1.3</v>
      </c>
      <c r="L503" s="22">
        <v>0.0</v>
      </c>
      <c r="M503" s="19">
        <v>0.0</v>
      </c>
      <c r="N503" s="19">
        <v>0.0</v>
      </c>
      <c r="O503" s="19">
        <v>0.0</v>
      </c>
      <c r="P503" s="19">
        <v>0.0</v>
      </c>
      <c r="Q503" s="19">
        <v>0.0</v>
      </c>
      <c r="R503" s="18">
        <v>0.77</v>
      </c>
      <c r="S503" s="19">
        <v>0.0</v>
      </c>
      <c r="T503" s="23">
        <v>0.0</v>
      </c>
      <c r="U503" s="21">
        <v>0.0</v>
      </c>
      <c r="V503" s="21">
        <v>0.0</v>
      </c>
      <c r="W503" s="21">
        <v>0.0</v>
      </c>
      <c r="X503" s="21">
        <v>0.0</v>
      </c>
      <c r="Y503" s="20" t="s">
        <v>2035</v>
      </c>
    </row>
    <row r="504">
      <c r="A504" s="9">
        <v>502.0</v>
      </c>
      <c r="B504" s="10" t="s">
        <v>2036</v>
      </c>
      <c r="C504" s="11" t="s">
        <v>2037</v>
      </c>
      <c r="D504" s="12" t="s">
        <v>26</v>
      </c>
      <c r="E504" s="13" t="s">
        <v>2038</v>
      </c>
      <c r="F504" s="12">
        <v>29.0</v>
      </c>
      <c r="G504" s="12">
        <v>1995.0</v>
      </c>
      <c r="H504" s="14">
        <v>12.0</v>
      </c>
      <c r="I504" s="15">
        <v>9.0</v>
      </c>
      <c r="J504" s="15">
        <v>632.0</v>
      </c>
      <c r="K504" s="15">
        <v>7.0</v>
      </c>
      <c r="L504" s="17">
        <v>0.14</v>
      </c>
      <c r="M504" s="19">
        <v>0.0</v>
      </c>
      <c r="N504" s="18">
        <v>0.14</v>
      </c>
      <c r="O504" s="18">
        <v>0.14</v>
      </c>
      <c r="P504" s="19">
        <v>0.0</v>
      </c>
      <c r="Q504" s="19">
        <v>0.0</v>
      </c>
      <c r="R504" s="18">
        <v>0.14</v>
      </c>
      <c r="S504" s="19">
        <v>0.0</v>
      </c>
      <c r="T504" s="14">
        <v>0.14</v>
      </c>
      <c r="U504" s="21">
        <v>0.0</v>
      </c>
      <c r="V504" s="15">
        <v>0.14</v>
      </c>
      <c r="W504" s="15">
        <v>0.14</v>
      </c>
      <c r="X504" s="15">
        <v>0.14</v>
      </c>
      <c r="Y504" s="20" t="s">
        <v>2039</v>
      </c>
    </row>
    <row r="505">
      <c r="A505" s="9">
        <v>503.0</v>
      </c>
      <c r="B505" s="10" t="s">
        <v>2040</v>
      </c>
      <c r="C505" s="11" t="s">
        <v>2041</v>
      </c>
      <c r="D505" s="12" t="s">
        <v>107</v>
      </c>
      <c r="E505" s="13" t="s">
        <v>2042</v>
      </c>
      <c r="F505" s="12">
        <v>26.0</v>
      </c>
      <c r="G505" s="12">
        <v>1999.0</v>
      </c>
      <c r="H505" s="14">
        <v>6.0</v>
      </c>
      <c r="I505" s="21">
        <v>0.0</v>
      </c>
      <c r="J505" s="15">
        <v>43.0</v>
      </c>
      <c r="K505" s="15">
        <v>0.5</v>
      </c>
      <c r="L505" s="22">
        <v>0.0</v>
      </c>
      <c r="M505" s="19">
        <v>0.0</v>
      </c>
      <c r="N505" s="19">
        <v>0.0</v>
      </c>
      <c r="O505" s="19">
        <v>0.0</v>
      </c>
      <c r="P505" s="19">
        <v>0.0</v>
      </c>
      <c r="Q505" s="19">
        <v>0.0</v>
      </c>
      <c r="R505" s="19">
        <v>0.0</v>
      </c>
      <c r="S505" s="19">
        <v>0.0</v>
      </c>
      <c r="T505" s="23">
        <v>0.0</v>
      </c>
      <c r="U505" s="21">
        <v>0.0</v>
      </c>
      <c r="V505" s="21">
        <v>0.0</v>
      </c>
      <c r="W505" s="21">
        <v>0.0</v>
      </c>
      <c r="X505" s="21">
        <v>0.0</v>
      </c>
      <c r="Y505" s="20" t="s">
        <v>2043</v>
      </c>
    </row>
    <row r="506">
      <c r="A506" s="9">
        <v>504.0</v>
      </c>
      <c r="B506" s="10" t="s">
        <v>2044</v>
      </c>
      <c r="C506" s="11" t="s">
        <v>2045</v>
      </c>
      <c r="D506" s="12" t="s">
        <v>36</v>
      </c>
      <c r="E506" s="13" t="s">
        <v>2046</v>
      </c>
      <c r="F506" s="12">
        <v>34.0</v>
      </c>
      <c r="G506" s="12">
        <v>1990.0</v>
      </c>
      <c r="H506" s="14">
        <v>21.0</v>
      </c>
      <c r="I506" s="15">
        <v>18.0</v>
      </c>
      <c r="J506" s="16">
        <v>1586.0</v>
      </c>
      <c r="K506" s="15">
        <v>17.6</v>
      </c>
      <c r="L506" s="22">
        <v>0.0</v>
      </c>
      <c r="M506" s="18">
        <v>0.06</v>
      </c>
      <c r="N506" s="18">
        <v>0.06</v>
      </c>
      <c r="O506" s="19">
        <v>0.0</v>
      </c>
      <c r="P506" s="19">
        <v>0.0</v>
      </c>
      <c r="Q506" s="19">
        <v>0.0</v>
      </c>
      <c r="R506" s="18">
        <v>0.17</v>
      </c>
      <c r="S506" s="19">
        <v>0.0</v>
      </c>
      <c r="T506" s="23">
        <v>0.0</v>
      </c>
      <c r="U506" s="15">
        <v>0.06</v>
      </c>
      <c r="V506" s="15">
        <v>0.06</v>
      </c>
      <c r="W506" s="21">
        <v>0.0</v>
      </c>
      <c r="X506" s="15">
        <v>0.06</v>
      </c>
      <c r="Y506" s="20" t="s">
        <v>2047</v>
      </c>
    </row>
    <row r="507">
      <c r="A507" s="9">
        <v>505.0</v>
      </c>
      <c r="B507" s="10" t="s">
        <v>2048</v>
      </c>
      <c r="C507" s="11" t="s">
        <v>2049</v>
      </c>
      <c r="D507" s="12" t="s">
        <v>107</v>
      </c>
      <c r="E507" s="13" t="s">
        <v>2050</v>
      </c>
      <c r="F507" s="12">
        <v>30.0</v>
      </c>
      <c r="G507" s="12">
        <v>1994.0</v>
      </c>
      <c r="H507" s="14">
        <v>31.0</v>
      </c>
      <c r="I507" s="15">
        <v>21.0</v>
      </c>
      <c r="J507" s="16">
        <v>2000.0</v>
      </c>
      <c r="K507" s="15">
        <v>22.2</v>
      </c>
      <c r="L507" s="17">
        <v>0.27</v>
      </c>
      <c r="M507" s="18">
        <v>0.27</v>
      </c>
      <c r="N507" s="18">
        <v>0.54</v>
      </c>
      <c r="O507" s="18">
        <v>0.27</v>
      </c>
      <c r="P507" s="19">
        <v>0.0</v>
      </c>
      <c r="Q507" s="19">
        <v>0.0</v>
      </c>
      <c r="R507" s="18">
        <v>0.09</v>
      </c>
      <c r="S507" s="19">
        <v>0.0</v>
      </c>
      <c r="T507" s="14">
        <v>0.27</v>
      </c>
      <c r="U507" s="15">
        <v>0.27</v>
      </c>
      <c r="V507" s="15">
        <v>0.54</v>
      </c>
      <c r="W507" s="15">
        <v>0.27</v>
      </c>
      <c r="X507" s="15">
        <v>0.54</v>
      </c>
      <c r="Y507" s="20" t="s">
        <v>2051</v>
      </c>
    </row>
    <row r="508">
      <c r="A508" s="9">
        <v>506.0</v>
      </c>
      <c r="B508" s="10" t="s">
        <v>2052</v>
      </c>
      <c r="C508" s="11" t="s">
        <v>2053</v>
      </c>
      <c r="D508" s="12" t="s">
        <v>36</v>
      </c>
      <c r="E508" s="13" t="s">
        <v>2054</v>
      </c>
      <c r="F508" s="12">
        <v>23.0</v>
      </c>
      <c r="G508" s="12">
        <v>2001.0</v>
      </c>
      <c r="H508" s="14">
        <v>38.0</v>
      </c>
      <c r="I508" s="15">
        <v>38.0</v>
      </c>
      <c r="J508" s="16">
        <v>3379.0</v>
      </c>
      <c r="K508" s="15">
        <v>37.5</v>
      </c>
      <c r="L508" s="17">
        <v>0.03</v>
      </c>
      <c r="M508" s="18">
        <v>0.13</v>
      </c>
      <c r="N508" s="18">
        <v>0.16</v>
      </c>
      <c r="O508" s="18">
        <v>0.03</v>
      </c>
      <c r="P508" s="19">
        <v>0.0</v>
      </c>
      <c r="Q508" s="19">
        <v>0.0</v>
      </c>
      <c r="R508" s="18">
        <v>0.13</v>
      </c>
      <c r="S508" s="19">
        <v>0.0</v>
      </c>
      <c r="T508" s="14">
        <v>0.03</v>
      </c>
      <c r="U508" s="15">
        <v>0.13</v>
      </c>
      <c r="V508" s="15">
        <v>0.16</v>
      </c>
      <c r="W508" s="15">
        <v>0.03</v>
      </c>
      <c r="X508" s="15">
        <v>0.16</v>
      </c>
      <c r="Y508" s="20" t="s">
        <v>2055</v>
      </c>
    </row>
    <row r="509">
      <c r="A509" s="9">
        <v>507.0</v>
      </c>
      <c r="B509" s="10" t="s">
        <v>2056</v>
      </c>
      <c r="C509" s="11" t="s">
        <v>2057</v>
      </c>
      <c r="D509" s="12" t="s">
        <v>36</v>
      </c>
      <c r="E509" s="13" t="s">
        <v>2058</v>
      </c>
      <c r="F509" s="12">
        <v>27.0</v>
      </c>
      <c r="G509" s="12">
        <v>1997.0</v>
      </c>
      <c r="H509" s="14">
        <v>14.0</v>
      </c>
      <c r="I509" s="15">
        <v>14.0</v>
      </c>
      <c r="J509" s="16">
        <v>1201.0</v>
      </c>
      <c r="K509" s="15">
        <v>13.3</v>
      </c>
      <c r="L509" s="17">
        <v>0.08</v>
      </c>
      <c r="M509" s="19">
        <v>0.0</v>
      </c>
      <c r="N509" s="18">
        <v>0.08</v>
      </c>
      <c r="O509" s="18">
        <v>0.08</v>
      </c>
      <c r="P509" s="19">
        <v>0.0</v>
      </c>
      <c r="Q509" s="19">
        <v>0.0</v>
      </c>
      <c r="R509" s="18">
        <v>0.08</v>
      </c>
      <c r="S509" s="19">
        <v>0.0</v>
      </c>
      <c r="T509" s="14">
        <v>0.07</v>
      </c>
      <c r="U509" s="21">
        <v>0.0</v>
      </c>
      <c r="V509" s="15">
        <v>0.07</v>
      </c>
      <c r="W509" s="15">
        <v>0.07</v>
      </c>
      <c r="X509" s="15">
        <v>0.07</v>
      </c>
      <c r="Y509" s="20" t="s">
        <v>2059</v>
      </c>
    </row>
    <row r="510">
      <c r="A510" s="9">
        <v>508.0</v>
      </c>
      <c r="B510" s="10" t="s">
        <v>2060</v>
      </c>
      <c r="C510" s="11" t="s">
        <v>2061</v>
      </c>
      <c r="D510" s="12" t="s">
        <v>41</v>
      </c>
      <c r="E510" s="13" t="s">
        <v>2062</v>
      </c>
      <c r="F510" s="12">
        <v>19.0</v>
      </c>
      <c r="G510" s="12">
        <v>2006.0</v>
      </c>
      <c r="H510" s="14">
        <v>9.0</v>
      </c>
      <c r="I510" s="15">
        <v>1.0</v>
      </c>
      <c r="J510" s="15">
        <v>139.0</v>
      </c>
      <c r="K510" s="15">
        <v>1.5</v>
      </c>
      <c r="L510" s="17">
        <v>0.67</v>
      </c>
      <c r="M510" s="18">
        <v>0.67</v>
      </c>
      <c r="N510" s="18">
        <v>1.33</v>
      </c>
      <c r="O510" s="18">
        <v>0.67</v>
      </c>
      <c r="P510" s="19">
        <v>0.0</v>
      </c>
      <c r="Q510" s="19">
        <v>0.0</v>
      </c>
      <c r="R510" s="19">
        <v>0.0</v>
      </c>
      <c r="S510" s="19">
        <v>0.0</v>
      </c>
      <c r="T510" s="14">
        <v>0.65</v>
      </c>
      <c r="U510" s="15">
        <v>0.65</v>
      </c>
      <c r="V510" s="15">
        <v>1.29</v>
      </c>
      <c r="W510" s="15">
        <v>0.65</v>
      </c>
      <c r="X510" s="15">
        <v>1.29</v>
      </c>
      <c r="Y510" s="20" t="s">
        <v>2063</v>
      </c>
    </row>
    <row r="511">
      <c r="A511" s="9">
        <v>509.0</v>
      </c>
      <c r="B511" s="10" t="s">
        <v>2064</v>
      </c>
      <c r="C511" s="11" t="s">
        <v>2065</v>
      </c>
      <c r="D511" s="12" t="s">
        <v>41</v>
      </c>
      <c r="E511" s="13" t="s">
        <v>2066</v>
      </c>
      <c r="F511" s="12">
        <v>22.0</v>
      </c>
      <c r="G511" s="12">
        <v>2003.0</v>
      </c>
      <c r="H511" s="14">
        <v>14.0</v>
      </c>
      <c r="I511" s="21">
        <v>0.0</v>
      </c>
      <c r="J511" s="15">
        <v>173.0</v>
      </c>
      <c r="K511" s="15">
        <v>1.9</v>
      </c>
      <c r="L511" s="22">
        <v>0.0</v>
      </c>
      <c r="M511" s="19">
        <v>0.0</v>
      </c>
      <c r="N511" s="19">
        <v>0.0</v>
      </c>
      <c r="O511" s="19">
        <v>0.0</v>
      </c>
      <c r="P511" s="19">
        <v>0.0</v>
      </c>
      <c r="Q511" s="19">
        <v>0.0</v>
      </c>
      <c r="R511" s="19">
        <v>0.0</v>
      </c>
      <c r="S511" s="19">
        <v>0.0</v>
      </c>
      <c r="T511" s="23">
        <v>0.0</v>
      </c>
      <c r="U511" s="21">
        <v>0.0</v>
      </c>
      <c r="V511" s="21">
        <v>0.0</v>
      </c>
      <c r="W511" s="21">
        <v>0.0</v>
      </c>
      <c r="X511" s="21">
        <v>0.0</v>
      </c>
      <c r="Y511" s="20" t="s">
        <v>2067</v>
      </c>
    </row>
    <row r="512">
      <c r="A512" s="9">
        <v>510.0</v>
      </c>
      <c r="B512" s="10" t="s">
        <v>2068</v>
      </c>
      <c r="C512" s="11" t="s">
        <v>2069</v>
      </c>
      <c r="D512" s="12" t="s">
        <v>345</v>
      </c>
      <c r="E512" s="13" t="s">
        <v>2070</v>
      </c>
      <c r="F512" s="12">
        <v>22.0</v>
      </c>
      <c r="G512" s="12">
        <v>2002.0</v>
      </c>
      <c r="H512" s="14">
        <v>20.0</v>
      </c>
      <c r="I512" s="15">
        <v>14.0</v>
      </c>
      <c r="J512" s="16">
        <v>1339.0</v>
      </c>
      <c r="K512" s="15">
        <v>14.9</v>
      </c>
      <c r="L512" s="22">
        <v>0.0</v>
      </c>
      <c r="M512" s="18">
        <v>0.07</v>
      </c>
      <c r="N512" s="18">
        <v>0.07</v>
      </c>
      <c r="O512" s="19">
        <v>0.0</v>
      </c>
      <c r="P512" s="19">
        <v>0.0</v>
      </c>
      <c r="Q512" s="19">
        <v>0.0</v>
      </c>
      <c r="R512" s="18">
        <v>0.27</v>
      </c>
      <c r="S512" s="19">
        <v>0.0</v>
      </c>
      <c r="T512" s="23">
        <v>0.0</v>
      </c>
      <c r="U512" s="15">
        <v>0.07</v>
      </c>
      <c r="V512" s="15">
        <v>0.07</v>
      </c>
      <c r="W512" s="21">
        <v>0.0</v>
      </c>
      <c r="X512" s="15">
        <v>0.07</v>
      </c>
      <c r="Y512" s="20" t="s">
        <v>2071</v>
      </c>
    </row>
    <row r="513">
      <c r="A513" s="9">
        <v>511.0</v>
      </c>
      <c r="B513" s="10" t="s">
        <v>2072</v>
      </c>
      <c r="C513" s="11" t="s">
        <v>2073</v>
      </c>
      <c r="D513" s="12" t="s">
        <v>31</v>
      </c>
      <c r="E513" s="13" t="s">
        <v>2074</v>
      </c>
      <c r="F513" s="12">
        <v>24.0</v>
      </c>
      <c r="G513" s="12">
        <v>2001.0</v>
      </c>
      <c r="H513" s="14">
        <v>22.0</v>
      </c>
      <c r="I513" s="15">
        <v>8.0</v>
      </c>
      <c r="J513" s="15">
        <v>887.0</v>
      </c>
      <c r="K513" s="15">
        <v>9.9</v>
      </c>
      <c r="L513" s="22">
        <v>0.0</v>
      </c>
      <c r="M513" s="19">
        <v>0.0</v>
      </c>
      <c r="N513" s="19">
        <v>0.0</v>
      </c>
      <c r="O513" s="19">
        <v>0.0</v>
      </c>
      <c r="P513" s="19">
        <v>0.0</v>
      </c>
      <c r="Q513" s="19">
        <v>0.0</v>
      </c>
      <c r="R513" s="18">
        <v>0.1</v>
      </c>
      <c r="S513" s="19">
        <v>0.0</v>
      </c>
      <c r="T513" s="23">
        <v>0.0</v>
      </c>
      <c r="U513" s="21">
        <v>0.0</v>
      </c>
      <c r="V513" s="21">
        <v>0.0</v>
      </c>
      <c r="W513" s="21">
        <v>0.0</v>
      </c>
      <c r="X513" s="21">
        <v>0.0</v>
      </c>
      <c r="Y513" s="20" t="s">
        <v>2075</v>
      </c>
    </row>
    <row r="514">
      <c r="A514" s="9">
        <v>512.0</v>
      </c>
      <c r="B514" s="10" t="s">
        <v>2076</v>
      </c>
      <c r="C514" s="11" t="s">
        <v>2077</v>
      </c>
      <c r="D514" s="12" t="s">
        <v>31</v>
      </c>
      <c r="E514" s="13" t="s">
        <v>2078</v>
      </c>
      <c r="F514" s="12">
        <v>21.0</v>
      </c>
      <c r="G514" s="12">
        <v>2004.0</v>
      </c>
      <c r="H514" s="14">
        <v>35.0</v>
      </c>
      <c r="I514" s="15">
        <v>27.0</v>
      </c>
      <c r="J514" s="16">
        <v>2336.0</v>
      </c>
      <c r="K514" s="15">
        <v>26.0</v>
      </c>
      <c r="L514" s="17">
        <v>0.12</v>
      </c>
      <c r="M514" s="18">
        <v>0.04</v>
      </c>
      <c r="N514" s="18">
        <v>0.15</v>
      </c>
      <c r="O514" s="18">
        <v>0.12</v>
      </c>
      <c r="P514" s="19">
        <v>0.0</v>
      </c>
      <c r="Q514" s="19">
        <v>0.0</v>
      </c>
      <c r="R514" s="18">
        <v>0.12</v>
      </c>
      <c r="S514" s="18">
        <v>0.04</v>
      </c>
      <c r="T514" s="14">
        <v>0.12</v>
      </c>
      <c r="U514" s="15">
        <v>0.04</v>
      </c>
      <c r="V514" s="15">
        <v>0.15</v>
      </c>
      <c r="W514" s="15">
        <v>0.12</v>
      </c>
      <c r="X514" s="15">
        <v>0.15</v>
      </c>
      <c r="Y514" s="20" t="s">
        <v>2079</v>
      </c>
    </row>
    <row r="515">
      <c r="A515" s="9">
        <v>513.0</v>
      </c>
      <c r="B515" s="10" t="s">
        <v>2080</v>
      </c>
      <c r="C515" s="11" t="s">
        <v>2081</v>
      </c>
      <c r="D515" s="12" t="s">
        <v>41</v>
      </c>
      <c r="E515" s="13" t="s">
        <v>2082</v>
      </c>
      <c r="F515" s="12">
        <v>28.0</v>
      </c>
      <c r="G515" s="12">
        <v>1997.0</v>
      </c>
      <c r="H515" s="14">
        <v>23.0</v>
      </c>
      <c r="I515" s="21">
        <v>0.0</v>
      </c>
      <c r="J515" s="15">
        <v>232.0</v>
      </c>
      <c r="K515" s="15">
        <v>2.6</v>
      </c>
      <c r="L515" s="17">
        <v>0.38</v>
      </c>
      <c r="M515" s="19">
        <v>0.0</v>
      </c>
      <c r="N515" s="18">
        <v>0.38</v>
      </c>
      <c r="O515" s="18">
        <v>0.38</v>
      </c>
      <c r="P515" s="19">
        <v>0.0</v>
      </c>
      <c r="Q515" s="19">
        <v>0.0</v>
      </c>
      <c r="R515" s="18">
        <v>0.38</v>
      </c>
      <c r="S515" s="19">
        <v>0.0</v>
      </c>
      <c r="T515" s="14">
        <v>0.39</v>
      </c>
      <c r="U515" s="21">
        <v>0.0</v>
      </c>
      <c r="V515" s="15">
        <v>0.39</v>
      </c>
      <c r="W515" s="15">
        <v>0.39</v>
      </c>
      <c r="X515" s="15">
        <v>0.39</v>
      </c>
      <c r="Y515" s="20" t="s">
        <v>2083</v>
      </c>
    </row>
    <row r="516">
      <c r="A516" s="9">
        <v>514.0</v>
      </c>
      <c r="B516" s="10" t="s">
        <v>2084</v>
      </c>
      <c r="C516" s="11" t="s">
        <v>2085</v>
      </c>
      <c r="D516" s="12" t="s">
        <v>98</v>
      </c>
      <c r="E516" s="13" t="s">
        <v>2086</v>
      </c>
      <c r="F516" s="12">
        <v>23.0</v>
      </c>
      <c r="G516" s="12">
        <v>2001.0</v>
      </c>
      <c r="H516" s="14">
        <v>1.0</v>
      </c>
      <c r="I516" s="15">
        <v>1.0</v>
      </c>
      <c r="J516" s="15">
        <v>90.0</v>
      </c>
      <c r="K516" s="15">
        <v>1.0</v>
      </c>
      <c r="L516" s="22">
        <v>0.0</v>
      </c>
      <c r="M516" s="19">
        <v>0.0</v>
      </c>
      <c r="N516" s="19">
        <v>0.0</v>
      </c>
      <c r="O516" s="19">
        <v>0.0</v>
      </c>
      <c r="P516" s="19">
        <v>0.0</v>
      </c>
      <c r="Q516" s="19">
        <v>0.0</v>
      </c>
      <c r="R516" s="19">
        <v>0.0</v>
      </c>
      <c r="S516" s="19">
        <v>0.0</v>
      </c>
      <c r="T516" s="23">
        <v>0.0</v>
      </c>
      <c r="U516" s="21">
        <v>0.0</v>
      </c>
      <c r="V516" s="21">
        <v>0.0</v>
      </c>
      <c r="W516" s="21">
        <v>0.0</v>
      </c>
      <c r="X516" s="21">
        <v>0.0</v>
      </c>
      <c r="Y516" s="20" t="s">
        <v>2087</v>
      </c>
    </row>
    <row r="517">
      <c r="A517" s="9">
        <v>515.0</v>
      </c>
      <c r="B517" s="10" t="s">
        <v>2088</v>
      </c>
      <c r="C517" s="11" t="s">
        <v>2089</v>
      </c>
      <c r="D517" s="12" t="s">
        <v>36</v>
      </c>
      <c r="E517" s="13" t="s">
        <v>2090</v>
      </c>
      <c r="F517" s="12">
        <v>34.0</v>
      </c>
      <c r="G517" s="12">
        <v>1991.0</v>
      </c>
      <c r="H517" s="14">
        <v>38.0</v>
      </c>
      <c r="I517" s="15">
        <v>38.0</v>
      </c>
      <c r="J517" s="16">
        <v>3420.0</v>
      </c>
      <c r="K517" s="15">
        <v>38.0</v>
      </c>
      <c r="L517" s="17">
        <v>0.16</v>
      </c>
      <c r="M517" s="19">
        <v>0.0</v>
      </c>
      <c r="N517" s="18">
        <v>0.16</v>
      </c>
      <c r="O517" s="18">
        <v>0.16</v>
      </c>
      <c r="P517" s="19">
        <v>0.0</v>
      </c>
      <c r="Q517" s="19">
        <v>0.0</v>
      </c>
      <c r="R517" s="18">
        <v>0.11</v>
      </c>
      <c r="S517" s="19">
        <v>0.0</v>
      </c>
      <c r="T517" s="14">
        <v>0.16</v>
      </c>
      <c r="U517" s="21">
        <v>0.0</v>
      </c>
      <c r="V517" s="15">
        <v>0.16</v>
      </c>
      <c r="W517" s="15">
        <v>0.16</v>
      </c>
      <c r="X517" s="15">
        <v>0.16</v>
      </c>
      <c r="Y517" s="20" t="s">
        <v>2091</v>
      </c>
    </row>
    <row r="518">
      <c r="A518" s="9">
        <v>516.0</v>
      </c>
      <c r="B518" s="10" t="s">
        <v>2092</v>
      </c>
      <c r="C518" s="11" t="s">
        <v>2093</v>
      </c>
      <c r="D518" s="12" t="s">
        <v>36</v>
      </c>
      <c r="E518" s="13" t="s">
        <v>2094</v>
      </c>
      <c r="F518" s="12">
        <v>33.0</v>
      </c>
      <c r="G518" s="12">
        <v>1992.0</v>
      </c>
      <c r="H518" s="14">
        <v>24.0</v>
      </c>
      <c r="I518" s="15">
        <v>9.0</v>
      </c>
      <c r="J518" s="16">
        <v>1057.0</v>
      </c>
      <c r="K518" s="15">
        <v>11.7</v>
      </c>
      <c r="L518" s="17">
        <v>0.09</v>
      </c>
      <c r="M518" s="19">
        <v>0.0</v>
      </c>
      <c r="N518" s="18">
        <v>0.09</v>
      </c>
      <c r="O518" s="18">
        <v>0.09</v>
      </c>
      <c r="P518" s="19">
        <v>0.0</v>
      </c>
      <c r="Q518" s="19">
        <v>0.0</v>
      </c>
      <c r="R518" s="18">
        <v>0.43</v>
      </c>
      <c r="S518" s="19">
        <v>0.0</v>
      </c>
      <c r="T518" s="14">
        <v>0.09</v>
      </c>
      <c r="U518" s="21">
        <v>0.0</v>
      </c>
      <c r="V518" s="15">
        <v>0.09</v>
      </c>
      <c r="W518" s="15">
        <v>0.09</v>
      </c>
      <c r="X518" s="15">
        <v>0.09</v>
      </c>
      <c r="Y518" s="20" t="s">
        <v>2095</v>
      </c>
    </row>
    <row r="519">
      <c r="A519" s="9">
        <v>517.0</v>
      </c>
      <c r="B519" s="10" t="s">
        <v>2096</v>
      </c>
      <c r="C519" s="11" t="s">
        <v>2097</v>
      </c>
      <c r="D519" s="12" t="s">
        <v>36</v>
      </c>
      <c r="E519" s="13" t="s">
        <v>2098</v>
      </c>
      <c r="F519" s="12">
        <v>24.0</v>
      </c>
      <c r="G519" s="12">
        <v>2001.0</v>
      </c>
      <c r="H519" s="14">
        <v>35.0</v>
      </c>
      <c r="I519" s="15">
        <v>35.0</v>
      </c>
      <c r="J519" s="16">
        <v>3041.0</v>
      </c>
      <c r="K519" s="15">
        <v>33.8</v>
      </c>
      <c r="L519" s="17">
        <v>0.12</v>
      </c>
      <c r="M519" s="18">
        <v>0.03</v>
      </c>
      <c r="N519" s="18">
        <v>0.15</v>
      </c>
      <c r="O519" s="18">
        <v>0.12</v>
      </c>
      <c r="P519" s="19">
        <v>0.0</v>
      </c>
      <c r="Q519" s="19">
        <v>0.0</v>
      </c>
      <c r="R519" s="18">
        <v>0.27</v>
      </c>
      <c r="S519" s="18">
        <v>0.03</v>
      </c>
      <c r="T519" s="14">
        <v>0.12</v>
      </c>
      <c r="U519" s="15">
        <v>0.03</v>
      </c>
      <c r="V519" s="15">
        <v>0.15</v>
      </c>
      <c r="W519" s="15">
        <v>0.12</v>
      </c>
      <c r="X519" s="15">
        <v>0.15</v>
      </c>
      <c r="Y519" s="20" t="s">
        <v>2099</v>
      </c>
    </row>
    <row r="520">
      <c r="A520" s="9">
        <v>518.0</v>
      </c>
      <c r="B520" s="10" t="s">
        <v>2100</v>
      </c>
      <c r="C520" s="11" t="s">
        <v>2101</v>
      </c>
      <c r="D520" s="12" t="s">
        <v>98</v>
      </c>
      <c r="E520" s="13" t="s">
        <v>2102</v>
      </c>
      <c r="F520" s="12">
        <v>22.0</v>
      </c>
      <c r="G520" s="12">
        <v>2002.0</v>
      </c>
      <c r="H520" s="14">
        <v>38.0</v>
      </c>
      <c r="I520" s="15">
        <v>38.0</v>
      </c>
      <c r="J520" s="16">
        <v>3420.0</v>
      </c>
      <c r="K520" s="15">
        <v>38.0</v>
      </c>
      <c r="L520" s="22">
        <v>0.0</v>
      </c>
      <c r="M520" s="19">
        <v>0.0</v>
      </c>
      <c r="N520" s="19">
        <v>0.0</v>
      </c>
      <c r="O520" s="19">
        <v>0.0</v>
      </c>
      <c r="P520" s="19">
        <v>0.0</v>
      </c>
      <c r="Q520" s="19">
        <v>0.0</v>
      </c>
      <c r="R520" s="18">
        <v>0.08</v>
      </c>
      <c r="S520" s="19">
        <v>0.0</v>
      </c>
      <c r="T520" s="23">
        <v>0.0</v>
      </c>
      <c r="U520" s="21">
        <v>0.0</v>
      </c>
      <c r="V520" s="21">
        <v>0.0</v>
      </c>
      <c r="W520" s="21">
        <v>0.0</v>
      </c>
      <c r="X520" s="21">
        <v>0.0</v>
      </c>
      <c r="Y520" s="20" t="s">
        <v>2103</v>
      </c>
    </row>
    <row r="521">
      <c r="A521" s="9">
        <v>519.0</v>
      </c>
      <c r="B521" s="10" t="s">
        <v>2104</v>
      </c>
      <c r="C521" s="11" t="s">
        <v>2105</v>
      </c>
      <c r="D521" s="12" t="s">
        <v>98</v>
      </c>
      <c r="E521" s="13" t="s">
        <v>2106</v>
      </c>
      <c r="F521" s="12">
        <v>28.0</v>
      </c>
      <c r="G521" s="12">
        <v>1996.0</v>
      </c>
      <c r="H521" s="14">
        <v>31.0</v>
      </c>
      <c r="I521" s="15">
        <v>31.0</v>
      </c>
      <c r="J521" s="16">
        <v>2790.0</v>
      </c>
      <c r="K521" s="15">
        <v>31.0</v>
      </c>
      <c r="L521" s="22">
        <v>0.0</v>
      </c>
      <c r="M521" s="19">
        <v>0.0</v>
      </c>
      <c r="N521" s="19">
        <v>0.0</v>
      </c>
      <c r="O521" s="19">
        <v>0.0</v>
      </c>
      <c r="P521" s="19">
        <v>0.0</v>
      </c>
      <c r="Q521" s="19">
        <v>0.0</v>
      </c>
      <c r="R521" s="18">
        <v>0.03</v>
      </c>
      <c r="S521" s="19">
        <v>0.0</v>
      </c>
      <c r="T521" s="23">
        <v>0.0</v>
      </c>
      <c r="U521" s="21">
        <v>0.0</v>
      </c>
      <c r="V521" s="21">
        <v>0.0</v>
      </c>
      <c r="W521" s="21">
        <v>0.0</v>
      </c>
      <c r="X521" s="21">
        <v>0.0</v>
      </c>
      <c r="Y521" s="20" t="s">
        <v>2107</v>
      </c>
    </row>
    <row r="522">
      <c r="A522" s="9">
        <v>520.0</v>
      </c>
      <c r="B522" s="10" t="s">
        <v>2108</v>
      </c>
      <c r="C522" s="11" t="s">
        <v>2109</v>
      </c>
      <c r="D522" s="12" t="s">
        <v>345</v>
      </c>
      <c r="E522" s="13" t="s">
        <v>2110</v>
      </c>
      <c r="F522" s="12">
        <v>35.0</v>
      </c>
      <c r="G522" s="12">
        <v>1990.0</v>
      </c>
      <c r="H522" s="14">
        <v>36.0</v>
      </c>
      <c r="I522" s="15">
        <v>35.0</v>
      </c>
      <c r="J522" s="16">
        <v>3096.0</v>
      </c>
      <c r="K522" s="15">
        <v>34.4</v>
      </c>
      <c r="L522" s="22">
        <v>0.0</v>
      </c>
      <c r="M522" s="18">
        <v>0.06</v>
      </c>
      <c r="N522" s="18">
        <v>0.06</v>
      </c>
      <c r="O522" s="19">
        <v>0.0</v>
      </c>
      <c r="P522" s="19">
        <v>0.0</v>
      </c>
      <c r="Q522" s="19">
        <v>0.0</v>
      </c>
      <c r="R522" s="18">
        <v>0.26</v>
      </c>
      <c r="S522" s="19">
        <v>0.0</v>
      </c>
      <c r="T522" s="23">
        <v>0.0</v>
      </c>
      <c r="U522" s="15">
        <v>0.06</v>
      </c>
      <c r="V522" s="15">
        <v>0.06</v>
      </c>
      <c r="W522" s="21">
        <v>0.0</v>
      </c>
      <c r="X522" s="15">
        <v>0.06</v>
      </c>
      <c r="Y522" s="20" t="s">
        <v>2111</v>
      </c>
    </row>
    <row r="523">
      <c r="A523" s="9">
        <v>521.0</v>
      </c>
      <c r="B523" s="10" t="s">
        <v>2112</v>
      </c>
      <c r="C523" s="11" t="s">
        <v>2113</v>
      </c>
      <c r="D523" s="12" t="s">
        <v>36</v>
      </c>
      <c r="E523" s="13" t="s">
        <v>2114</v>
      </c>
      <c r="F523" s="12">
        <v>28.0</v>
      </c>
      <c r="G523" s="12">
        <v>1997.0</v>
      </c>
      <c r="H523" s="14">
        <v>23.0</v>
      </c>
      <c r="I523" s="15">
        <v>15.0</v>
      </c>
      <c r="J523" s="16">
        <v>1383.0</v>
      </c>
      <c r="K523" s="15">
        <v>15.4</v>
      </c>
      <c r="L523" s="17">
        <v>0.06</v>
      </c>
      <c r="M523" s="19">
        <v>0.0</v>
      </c>
      <c r="N523" s="18">
        <v>0.06</v>
      </c>
      <c r="O523" s="18">
        <v>0.06</v>
      </c>
      <c r="P523" s="19">
        <v>0.0</v>
      </c>
      <c r="Q523" s="19">
        <v>0.0</v>
      </c>
      <c r="R523" s="18">
        <v>0.13</v>
      </c>
      <c r="S523" s="19">
        <v>0.0</v>
      </c>
      <c r="T523" s="14">
        <v>0.07</v>
      </c>
      <c r="U523" s="21">
        <v>0.0</v>
      </c>
      <c r="V523" s="15">
        <v>0.07</v>
      </c>
      <c r="W523" s="15">
        <v>0.07</v>
      </c>
      <c r="X523" s="15">
        <v>0.07</v>
      </c>
      <c r="Y523" s="20" t="s">
        <v>2115</v>
      </c>
    </row>
    <row r="524">
      <c r="A524" s="9">
        <v>522.0</v>
      </c>
      <c r="B524" s="10" t="s">
        <v>2116</v>
      </c>
      <c r="C524" s="11" t="s">
        <v>2117</v>
      </c>
      <c r="D524" s="12" t="s">
        <v>345</v>
      </c>
      <c r="E524" s="13" t="s">
        <v>2118</v>
      </c>
      <c r="F524" s="12">
        <v>27.0</v>
      </c>
      <c r="G524" s="12">
        <v>1997.0</v>
      </c>
      <c r="H524" s="14">
        <v>25.0</v>
      </c>
      <c r="I524" s="15">
        <v>23.0</v>
      </c>
      <c r="J524" s="16">
        <v>2081.0</v>
      </c>
      <c r="K524" s="15">
        <v>23.1</v>
      </c>
      <c r="L524" s="22">
        <v>0.0</v>
      </c>
      <c r="M524" s="18">
        <v>0.09</v>
      </c>
      <c r="N524" s="18">
        <v>0.09</v>
      </c>
      <c r="O524" s="19">
        <v>0.0</v>
      </c>
      <c r="P524" s="19">
        <v>0.0</v>
      </c>
      <c r="Q524" s="19">
        <v>0.0</v>
      </c>
      <c r="R524" s="18">
        <v>0.17</v>
      </c>
      <c r="S524" s="19">
        <v>0.0</v>
      </c>
      <c r="T524" s="23">
        <v>0.0</v>
      </c>
      <c r="U524" s="15">
        <v>0.09</v>
      </c>
      <c r="V524" s="15">
        <v>0.09</v>
      </c>
      <c r="W524" s="21">
        <v>0.0</v>
      </c>
      <c r="X524" s="15">
        <v>0.09</v>
      </c>
      <c r="Y524" s="20" t="s">
        <v>2119</v>
      </c>
    </row>
    <row r="525">
      <c r="A525" s="9">
        <v>523.0</v>
      </c>
      <c r="B525" s="10" t="s">
        <v>2120</v>
      </c>
      <c r="C525" s="11" t="s">
        <v>2121</v>
      </c>
      <c r="D525" s="12" t="s">
        <v>31</v>
      </c>
      <c r="E525" s="13" t="s">
        <v>2122</v>
      </c>
      <c r="F525" s="12">
        <v>30.0</v>
      </c>
      <c r="G525" s="12">
        <v>1994.0</v>
      </c>
      <c r="H525" s="14">
        <v>5.0</v>
      </c>
      <c r="I525" s="15">
        <v>5.0</v>
      </c>
      <c r="J525" s="15">
        <v>413.0</v>
      </c>
      <c r="K525" s="15">
        <v>4.6</v>
      </c>
      <c r="L525" s="22">
        <v>0.0</v>
      </c>
      <c r="M525" s="19">
        <v>0.0</v>
      </c>
      <c r="N525" s="19">
        <v>0.0</v>
      </c>
      <c r="O525" s="19">
        <v>0.0</v>
      </c>
      <c r="P525" s="19">
        <v>0.0</v>
      </c>
      <c r="Q525" s="19">
        <v>0.0</v>
      </c>
      <c r="R525" s="19">
        <v>0.0</v>
      </c>
      <c r="S525" s="19">
        <v>0.0</v>
      </c>
      <c r="T525" s="23">
        <v>0.0</v>
      </c>
      <c r="U525" s="21">
        <v>0.0</v>
      </c>
      <c r="V525" s="21">
        <v>0.0</v>
      </c>
      <c r="W525" s="21">
        <v>0.0</v>
      </c>
      <c r="X525" s="21">
        <v>0.0</v>
      </c>
      <c r="Y525" s="20" t="s">
        <v>2123</v>
      </c>
    </row>
    <row r="526">
      <c r="A526" s="9">
        <v>524.0</v>
      </c>
      <c r="B526" s="10" t="s">
        <v>2124</v>
      </c>
      <c r="C526" s="11" t="s">
        <v>2125</v>
      </c>
      <c r="D526" s="12" t="s">
        <v>31</v>
      </c>
      <c r="E526" s="13" t="s">
        <v>2126</v>
      </c>
      <c r="F526" s="12">
        <v>30.0</v>
      </c>
      <c r="G526" s="12">
        <v>1994.0</v>
      </c>
      <c r="H526" s="14">
        <v>13.0</v>
      </c>
      <c r="I526" s="15">
        <v>7.0</v>
      </c>
      <c r="J526" s="15">
        <v>684.0</v>
      </c>
      <c r="K526" s="15">
        <v>7.6</v>
      </c>
      <c r="L526" s="22">
        <v>0.0</v>
      </c>
      <c r="M526" s="18">
        <v>0.13</v>
      </c>
      <c r="N526" s="18">
        <v>0.13</v>
      </c>
      <c r="O526" s="19">
        <v>0.0</v>
      </c>
      <c r="P526" s="19">
        <v>0.0</v>
      </c>
      <c r="Q526" s="19">
        <v>0.0</v>
      </c>
      <c r="R526" s="18">
        <v>0.13</v>
      </c>
      <c r="S526" s="19">
        <v>0.0</v>
      </c>
      <c r="T526" s="23">
        <v>0.0</v>
      </c>
      <c r="U526" s="15">
        <v>0.13</v>
      </c>
      <c r="V526" s="15">
        <v>0.13</v>
      </c>
      <c r="W526" s="21">
        <v>0.0</v>
      </c>
      <c r="X526" s="15">
        <v>0.13</v>
      </c>
      <c r="Y526" s="20" t="s">
        <v>2127</v>
      </c>
    </row>
    <row r="527">
      <c r="A527" s="9">
        <v>525.0</v>
      </c>
      <c r="B527" s="10" t="s">
        <v>2128</v>
      </c>
      <c r="C527" s="11" t="s">
        <v>2129</v>
      </c>
      <c r="D527" s="12" t="s">
        <v>41</v>
      </c>
      <c r="E527" s="13" t="s">
        <v>2130</v>
      </c>
      <c r="F527" s="12">
        <v>29.0</v>
      </c>
      <c r="G527" s="12">
        <v>1995.0</v>
      </c>
      <c r="H527" s="14">
        <v>37.0</v>
      </c>
      <c r="I527" s="15">
        <v>33.0</v>
      </c>
      <c r="J527" s="16">
        <v>2839.0</v>
      </c>
      <c r="K527" s="15">
        <v>31.5</v>
      </c>
      <c r="L527" s="17">
        <v>0.51</v>
      </c>
      <c r="M527" s="18">
        <v>0.1</v>
      </c>
      <c r="N527" s="18">
        <v>0.6</v>
      </c>
      <c r="O527" s="18">
        <v>0.51</v>
      </c>
      <c r="P527" s="19">
        <v>0.0</v>
      </c>
      <c r="Q527" s="19">
        <v>0.0</v>
      </c>
      <c r="R527" s="18">
        <v>0.13</v>
      </c>
      <c r="S527" s="19">
        <v>0.0</v>
      </c>
      <c r="T527" s="14">
        <v>0.51</v>
      </c>
      <c r="U527" s="15">
        <v>0.1</v>
      </c>
      <c r="V527" s="15">
        <v>0.6</v>
      </c>
      <c r="W527" s="15">
        <v>0.51</v>
      </c>
      <c r="X527" s="15">
        <v>0.6</v>
      </c>
      <c r="Y527" s="20" t="s">
        <v>2131</v>
      </c>
    </row>
    <row r="528">
      <c r="A528" s="9">
        <v>526.0</v>
      </c>
      <c r="B528" s="10" t="s">
        <v>2132</v>
      </c>
      <c r="C528" s="11" t="s">
        <v>2133</v>
      </c>
      <c r="D528" s="12" t="s">
        <v>31</v>
      </c>
      <c r="E528" s="13" t="s">
        <v>2134</v>
      </c>
      <c r="F528" s="12">
        <v>19.0</v>
      </c>
      <c r="G528" s="12">
        <v>2006.0</v>
      </c>
      <c r="H528" s="14">
        <v>6.0</v>
      </c>
      <c r="I528" s="21">
        <v>0.0</v>
      </c>
      <c r="J528" s="15">
        <v>62.0</v>
      </c>
      <c r="K528" s="15">
        <v>0.7</v>
      </c>
      <c r="L528" s="22">
        <v>0.0</v>
      </c>
      <c r="M528" s="19">
        <v>0.0</v>
      </c>
      <c r="N528" s="19">
        <v>0.0</v>
      </c>
      <c r="O528" s="19">
        <v>0.0</v>
      </c>
      <c r="P528" s="19">
        <v>0.0</v>
      </c>
      <c r="Q528" s="19">
        <v>0.0</v>
      </c>
      <c r="R528" s="18">
        <v>1.43</v>
      </c>
      <c r="S528" s="19">
        <v>0.0</v>
      </c>
      <c r="T528" s="23">
        <v>0.0</v>
      </c>
      <c r="U528" s="21">
        <v>0.0</v>
      </c>
      <c r="V528" s="21">
        <v>0.0</v>
      </c>
      <c r="W528" s="21">
        <v>0.0</v>
      </c>
      <c r="X528" s="21">
        <v>0.0</v>
      </c>
      <c r="Y528" s="20" t="s">
        <v>2135</v>
      </c>
    </row>
    <row r="529">
      <c r="A529" s="9">
        <v>527.0</v>
      </c>
      <c r="B529" s="10" t="s">
        <v>2136</v>
      </c>
      <c r="C529" s="11" t="s">
        <v>2137</v>
      </c>
      <c r="D529" s="12" t="s">
        <v>98</v>
      </c>
      <c r="E529" s="13" t="s">
        <v>2138</v>
      </c>
      <c r="F529" s="12">
        <v>21.0</v>
      </c>
      <c r="G529" s="12">
        <v>2004.0</v>
      </c>
      <c r="H529" s="14">
        <v>3.0</v>
      </c>
      <c r="I529" s="15">
        <v>3.0</v>
      </c>
      <c r="J529" s="15">
        <v>270.0</v>
      </c>
      <c r="K529" s="15">
        <v>3.0</v>
      </c>
      <c r="L529" s="22">
        <v>0.0</v>
      </c>
      <c r="M529" s="19">
        <v>0.0</v>
      </c>
      <c r="N529" s="19">
        <v>0.0</v>
      </c>
      <c r="O529" s="19">
        <v>0.0</v>
      </c>
      <c r="P529" s="19">
        <v>0.0</v>
      </c>
      <c r="Q529" s="19">
        <v>0.0</v>
      </c>
      <c r="R529" s="19">
        <v>0.0</v>
      </c>
      <c r="S529" s="19">
        <v>0.0</v>
      </c>
      <c r="T529" s="23">
        <v>0.0</v>
      </c>
      <c r="U529" s="21">
        <v>0.0</v>
      </c>
      <c r="V529" s="21">
        <v>0.0</v>
      </c>
      <c r="W529" s="21">
        <v>0.0</v>
      </c>
      <c r="X529" s="21">
        <v>0.0</v>
      </c>
      <c r="Y529" s="20" t="s">
        <v>2139</v>
      </c>
    </row>
    <row r="530">
      <c r="A530" s="9">
        <v>528.0</v>
      </c>
      <c r="B530" s="10" t="s">
        <v>2140</v>
      </c>
      <c r="C530" s="11" t="s">
        <v>2141</v>
      </c>
      <c r="D530" s="12" t="s">
        <v>41</v>
      </c>
      <c r="E530" s="13" t="s">
        <v>2142</v>
      </c>
      <c r="F530" s="12">
        <v>34.0</v>
      </c>
      <c r="G530" s="12">
        <v>1990.0</v>
      </c>
      <c r="H530" s="14">
        <v>37.0</v>
      </c>
      <c r="I530" s="15">
        <v>26.0</v>
      </c>
      <c r="J530" s="16">
        <v>2258.0</v>
      </c>
      <c r="K530" s="15">
        <v>25.1</v>
      </c>
      <c r="L530" s="17">
        <v>0.52</v>
      </c>
      <c r="M530" s="18">
        <v>0.04</v>
      </c>
      <c r="N530" s="18">
        <v>0.56</v>
      </c>
      <c r="O530" s="18">
        <v>0.48</v>
      </c>
      <c r="P530" s="18">
        <v>0.04</v>
      </c>
      <c r="Q530" s="18">
        <v>0.12</v>
      </c>
      <c r="R530" s="18">
        <v>0.2</v>
      </c>
      <c r="S530" s="19">
        <v>0.0</v>
      </c>
      <c r="T530" s="14">
        <v>0.52</v>
      </c>
      <c r="U530" s="15">
        <v>0.04</v>
      </c>
      <c r="V530" s="15">
        <v>0.56</v>
      </c>
      <c r="W530" s="15">
        <v>0.48</v>
      </c>
      <c r="X530" s="15">
        <v>0.52</v>
      </c>
      <c r="Y530" s="20" t="s">
        <v>2143</v>
      </c>
    </row>
    <row r="531">
      <c r="A531" s="9">
        <v>529.0</v>
      </c>
      <c r="B531" s="10" t="s">
        <v>2144</v>
      </c>
      <c r="C531" s="11" t="s">
        <v>2145</v>
      </c>
      <c r="D531" s="12" t="s">
        <v>31</v>
      </c>
      <c r="E531" s="13" t="s">
        <v>2146</v>
      </c>
      <c r="F531" s="12">
        <v>21.0</v>
      </c>
      <c r="G531" s="12">
        <v>2004.0</v>
      </c>
      <c r="H531" s="14">
        <v>34.0</v>
      </c>
      <c r="I531" s="15">
        <v>29.0</v>
      </c>
      <c r="J531" s="16">
        <v>2552.0</v>
      </c>
      <c r="K531" s="15">
        <v>28.4</v>
      </c>
      <c r="L531" s="17">
        <v>0.04</v>
      </c>
      <c r="M531" s="18">
        <v>0.18</v>
      </c>
      <c r="N531" s="18">
        <v>0.21</v>
      </c>
      <c r="O531" s="18">
        <v>0.04</v>
      </c>
      <c r="P531" s="19">
        <v>0.0</v>
      </c>
      <c r="Q531" s="19">
        <v>0.0</v>
      </c>
      <c r="R531" s="18">
        <v>0.21</v>
      </c>
      <c r="S531" s="18">
        <v>0.04</v>
      </c>
      <c r="T531" s="14">
        <v>0.04</v>
      </c>
      <c r="U531" s="15">
        <v>0.18</v>
      </c>
      <c r="V531" s="15">
        <v>0.21</v>
      </c>
      <c r="W531" s="15">
        <v>0.04</v>
      </c>
      <c r="X531" s="15">
        <v>0.21</v>
      </c>
      <c r="Y531" s="20" t="s">
        <v>2147</v>
      </c>
    </row>
    <row r="532">
      <c r="A532" s="9">
        <v>530.0</v>
      </c>
      <c r="B532" s="10" t="s">
        <v>2148</v>
      </c>
      <c r="C532" s="11" t="s">
        <v>2149</v>
      </c>
      <c r="D532" s="12" t="s">
        <v>36</v>
      </c>
      <c r="E532" s="13" t="s">
        <v>2150</v>
      </c>
      <c r="F532" s="12">
        <v>27.0</v>
      </c>
      <c r="G532" s="12">
        <v>1997.0</v>
      </c>
      <c r="H532" s="14">
        <v>12.0</v>
      </c>
      <c r="I532" s="15">
        <v>9.0</v>
      </c>
      <c r="J532" s="15">
        <v>702.0</v>
      </c>
      <c r="K532" s="15">
        <v>7.8</v>
      </c>
      <c r="L532" s="22">
        <v>0.0</v>
      </c>
      <c r="M532" s="18">
        <v>0.13</v>
      </c>
      <c r="N532" s="18">
        <v>0.13</v>
      </c>
      <c r="O532" s="19">
        <v>0.0</v>
      </c>
      <c r="P532" s="19">
        <v>0.0</v>
      </c>
      <c r="Q532" s="19">
        <v>0.0</v>
      </c>
      <c r="R532" s="19">
        <v>0.0</v>
      </c>
      <c r="S532" s="19">
        <v>0.0</v>
      </c>
      <c r="T532" s="23">
        <v>0.0</v>
      </c>
      <c r="U532" s="15">
        <v>0.13</v>
      </c>
      <c r="V532" s="15">
        <v>0.13</v>
      </c>
      <c r="W532" s="21">
        <v>0.0</v>
      </c>
      <c r="X532" s="15">
        <v>0.13</v>
      </c>
      <c r="Y532" s="20" t="s">
        <v>2151</v>
      </c>
    </row>
    <row r="533">
      <c r="A533" s="9">
        <v>531.0</v>
      </c>
      <c r="B533" s="10" t="s">
        <v>2152</v>
      </c>
      <c r="C533" s="11" t="s">
        <v>2153</v>
      </c>
      <c r="D533" s="12" t="s">
        <v>36</v>
      </c>
      <c r="E533" s="13" t="s">
        <v>2154</v>
      </c>
      <c r="F533" s="12">
        <v>25.0</v>
      </c>
      <c r="G533" s="12">
        <v>1999.0</v>
      </c>
      <c r="H533" s="14">
        <v>26.0</v>
      </c>
      <c r="I533" s="15">
        <v>23.0</v>
      </c>
      <c r="J533" s="16">
        <v>1903.0</v>
      </c>
      <c r="K533" s="15">
        <v>21.1</v>
      </c>
      <c r="L533" s="17">
        <v>0.09</v>
      </c>
      <c r="M533" s="18">
        <v>0.14</v>
      </c>
      <c r="N533" s="18">
        <v>0.24</v>
      </c>
      <c r="O533" s="18">
        <v>0.09</v>
      </c>
      <c r="P533" s="19">
        <v>0.0</v>
      </c>
      <c r="Q533" s="19">
        <v>0.0</v>
      </c>
      <c r="R533" s="18">
        <v>0.38</v>
      </c>
      <c r="S533" s="19">
        <v>0.0</v>
      </c>
      <c r="T533" s="14">
        <v>0.09</v>
      </c>
      <c r="U533" s="15">
        <v>0.14</v>
      </c>
      <c r="V533" s="15">
        <v>0.24</v>
      </c>
      <c r="W533" s="15">
        <v>0.09</v>
      </c>
      <c r="X533" s="15">
        <v>0.24</v>
      </c>
      <c r="Y533" s="20" t="s">
        <v>2155</v>
      </c>
    </row>
    <row r="534">
      <c r="A534" s="9">
        <v>532.0</v>
      </c>
      <c r="B534" s="10" t="s">
        <v>2156</v>
      </c>
      <c r="C534" s="11" t="s">
        <v>2157</v>
      </c>
      <c r="D534" s="12" t="s">
        <v>36</v>
      </c>
      <c r="E534" s="13" t="s">
        <v>2158</v>
      </c>
      <c r="F534" s="12">
        <v>24.0</v>
      </c>
      <c r="G534" s="12">
        <v>2001.0</v>
      </c>
      <c r="H534" s="14">
        <v>37.0</v>
      </c>
      <c r="I534" s="15">
        <v>36.0</v>
      </c>
      <c r="J534" s="16">
        <v>3204.0</v>
      </c>
      <c r="K534" s="15">
        <v>35.6</v>
      </c>
      <c r="L534" s="17">
        <v>0.06</v>
      </c>
      <c r="M534" s="18">
        <v>0.08</v>
      </c>
      <c r="N534" s="18">
        <v>0.14</v>
      </c>
      <c r="O534" s="18">
        <v>0.06</v>
      </c>
      <c r="P534" s="19">
        <v>0.0</v>
      </c>
      <c r="Q534" s="19">
        <v>0.0</v>
      </c>
      <c r="R534" s="18">
        <v>0.17</v>
      </c>
      <c r="S534" s="18">
        <v>0.03</v>
      </c>
      <c r="T534" s="14">
        <v>0.06</v>
      </c>
      <c r="U534" s="15">
        <v>0.08</v>
      </c>
      <c r="V534" s="15">
        <v>0.14</v>
      </c>
      <c r="W534" s="15">
        <v>0.06</v>
      </c>
      <c r="X534" s="15">
        <v>0.14</v>
      </c>
      <c r="Y534" s="20" t="s">
        <v>2159</v>
      </c>
    </row>
    <row r="535">
      <c r="A535" s="9">
        <v>533.0</v>
      </c>
      <c r="B535" s="10" t="s">
        <v>2160</v>
      </c>
      <c r="C535" s="11" t="s">
        <v>2161</v>
      </c>
      <c r="D535" s="12" t="s">
        <v>31</v>
      </c>
      <c r="E535" s="13" t="s">
        <v>2162</v>
      </c>
      <c r="F535" s="12">
        <v>18.0</v>
      </c>
      <c r="G535" s="12">
        <v>2007.0</v>
      </c>
      <c r="H535" s="14">
        <v>22.0</v>
      </c>
      <c r="I535" s="15">
        <v>12.0</v>
      </c>
      <c r="J535" s="15">
        <v>848.0</v>
      </c>
      <c r="K535" s="15">
        <v>9.4</v>
      </c>
      <c r="L535" s="17">
        <v>0.21</v>
      </c>
      <c r="M535" s="18">
        <v>0.21</v>
      </c>
      <c r="N535" s="18">
        <v>0.43</v>
      </c>
      <c r="O535" s="18">
        <v>0.21</v>
      </c>
      <c r="P535" s="19">
        <v>0.0</v>
      </c>
      <c r="Q535" s="19">
        <v>0.0</v>
      </c>
      <c r="R535" s="18">
        <v>0.43</v>
      </c>
      <c r="S535" s="19">
        <v>0.0</v>
      </c>
      <c r="T535" s="14">
        <v>0.21</v>
      </c>
      <c r="U535" s="15">
        <v>0.21</v>
      </c>
      <c r="V535" s="15">
        <v>0.42</v>
      </c>
      <c r="W535" s="15">
        <v>0.21</v>
      </c>
      <c r="X535" s="15">
        <v>0.42</v>
      </c>
      <c r="Y535" s="20" t="s">
        <v>2163</v>
      </c>
    </row>
    <row r="536">
      <c r="A536" s="9">
        <v>534.0</v>
      </c>
      <c r="B536" s="10" t="s">
        <v>2164</v>
      </c>
      <c r="C536" s="11" t="s">
        <v>2165</v>
      </c>
      <c r="D536" s="12" t="s">
        <v>31</v>
      </c>
      <c r="E536" s="13" t="s">
        <v>2166</v>
      </c>
      <c r="F536" s="12">
        <v>25.0</v>
      </c>
      <c r="G536" s="12">
        <v>1999.0</v>
      </c>
      <c r="H536" s="14">
        <v>24.0</v>
      </c>
      <c r="I536" s="15">
        <v>10.0</v>
      </c>
      <c r="J536" s="15">
        <v>983.0</v>
      </c>
      <c r="K536" s="15">
        <v>10.9</v>
      </c>
      <c r="L536" s="22">
        <v>0.0</v>
      </c>
      <c r="M536" s="18">
        <v>0.18</v>
      </c>
      <c r="N536" s="18">
        <v>0.18</v>
      </c>
      <c r="O536" s="19">
        <v>0.0</v>
      </c>
      <c r="P536" s="19">
        <v>0.0</v>
      </c>
      <c r="Q536" s="19">
        <v>0.0</v>
      </c>
      <c r="R536" s="18">
        <v>0.28</v>
      </c>
      <c r="S536" s="19">
        <v>0.0</v>
      </c>
      <c r="T536" s="23">
        <v>0.0</v>
      </c>
      <c r="U536" s="15">
        <v>0.18</v>
      </c>
      <c r="V536" s="15">
        <v>0.18</v>
      </c>
      <c r="W536" s="21">
        <v>0.0</v>
      </c>
      <c r="X536" s="15">
        <v>0.18</v>
      </c>
      <c r="Y536" s="20" t="s">
        <v>2167</v>
      </c>
    </row>
    <row r="537">
      <c r="A537" s="9">
        <v>535.0</v>
      </c>
      <c r="B537" s="10" t="s">
        <v>2168</v>
      </c>
      <c r="C537" s="11" t="s">
        <v>2169</v>
      </c>
      <c r="D537" s="12" t="s">
        <v>41</v>
      </c>
      <c r="E537" s="13" t="s">
        <v>2170</v>
      </c>
      <c r="F537" s="12">
        <v>33.0</v>
      </c>
      <c r="G537" s="12">
        <v>1992.0</v>
      </c>
      <c r="H537" s="14">
        <v>32.0</v>
      </c>
      <c r="I537" s="15">
        <v>11.0</v>
      </c>
      <c r="J537" s="16">
        <v>1251.0</v>
      </c>
      <c r="K537" s="15">
        <v>13.9</v>
      </c>
      <c r="L537" s="17">
        <v>0.5</v>
      </c>
      <c r="M537" s="18">
        <v>0.07</v>
      </c>
      <c r="N537" s="18">
        <v>0.58</v>
      </c>
      <c r="O537" s="18">
        <v>0.5</v>
      </c>
      <c r="P537" s="19">
        <v>0.0</v>
      </c>
      <c r="Q537" s="19">
        <v>0.0</v>
      </c>
      <c r="R537" s="18">
        <v>0.07</v>
      </c>
      <c r="S537" s="19">
        <v>0.0</v>
      </c>
      <c r="T537" s="14">
        <v>0.5</v>
      </c>
      <c r="U537" s="15">
        <v>0.07</v>
      </c>
      <c r="V537" s="15">
        <v>0.58</v>
      </c>
      <c r="W537" s="15">
        <v>0.5</v>
      </c>
      <c r="X537" s="15">
        <v>0.58</v>
      </c>
      <c r="Y537" s="20" t="s">
        <v>2171</v>
      </c>
    </row>
    <row r="538">
      <c r="A538" s="9">
        <v>536.0</v>
      </c>
      <c r="B538" s="10" t="s">
        <v>2172</v>
      </c>
      <c r="C538" s="11" t="s">
        <v>2173</v>
      </c>
      <c r="D538" s="12" t="s">
        <v>31</v>
      </c>
      <c r="E538" s="13" t="s">
        <v>2174</v>
      </c>
      <c r="F538" s="12">
        <v>28.0</v>
      </c>
      <c r="G538" s="12">
        <v>1997.0</v>
      </c>
      <c r="H538" s="14">
        <v>36.0</v>
      </c>
      <c r="I538" s="15">
        <v>32.0</v>
      </c>
      <c r="J538" s="16">
        <v>2673.0</v>
      </c>
      <c r="K538" s="15">
        <v>29.7</v>
      </c>
      <c r="L538" s="17">
        <v>0.34</v>
      </c>
      <c r="M538" s="18">
        <v>0.24</v>
      </c>
      <c r="N538" s="18">
        <v>0.57</v>
      </c>
      <c r="O538" s="18">
        <v>0.34</v>
      </c>
      <c r="P538" s="19">
        <v>0.0</v>
      </c>
      <c r="Q538" s="19">
        <v>0.0</v>
      </c>
      <c r="R538" s="18">
        <v>0.24</v>
      </c>
      <c r="S538" s="19">
        <v>0.0</v>
      </c>
      <c r="T538" s="14">
        <v>0.34</v>
      </c>
      <c r="U538" s="15">
        <v>0.24</v>
      </c>
      <c r="V538" s="15">
        <v>0.57</v>
      </c>
      <c r="W538" s="15">
        <v>0.34</v>
      </c>
      <c r="X538" s="15">
        <v>0.57</v>
      </c>
      <c r="Y538" s="20" t="s">
        <v>2175</v>
      </c>
    </row>
    <row r="539">
      <c r="A539" s="9">
        <v>537.0</v>
      </c>
      <c r="B539" s="10" t="s">
        <v>2176</v>
      </c>
      <c r="C539" s="11" t="s">
        <v>2177</v>
      </c>
      <c r="D539" s="12" t="s">
        <v>31</v>
      </c>
      <c r="E539" s="13" t="s">
        <v>2178</v>
      </c>
      <c r="F539" s="12">
        <v>20.0</v>
      </c>
      <c r="G539" s="12">
        <v>2004.0</v>
      </c>
      <c r="H539" s="14">
        <v>1.0</v>
      </c>
      <c r="I539" s="21">
        <v>0.0</v>
      </c>
      <c r="J539" s="15">
        <v>7.0</v>
      </c>
      <c r="K539" s="15">
        <v>0.1</v>
      </c>
      <c r="L539" s="22">
        <v>0.0</v>
      </c>
      <c r="M539" s="19">
        <v>0.0</v>
      </c>
      <c r="N539" s="19">
        <v>0.0</v>
      </c>
      <c r="O539" s="19">
        <v>0.0</v>
      </c>
      <c r="P539" s="19">
        <v>0.0</v>
      </c>
      <c r="Q539" s="19">
        <v>0.0</v>
      </c>
      <c r="R539" s="19">
        <v>0.0</v>
      </c>
      <c r="S539" s="19">
        <v>0.0</v>
      </c>
      <c r="T539" s="23">
        <v>0.0</v>
      </c>
      <c r="U539" s="21">
        <v>0.0</v>
      </c>
      <c r="V539" s="21">
        <v>0.0</v>
      </c>
      <c r="W539" s="21">
        <v>0.0</v>
      </c>
      <c r="X539" s="21">
        <v>0.0</v>
      </c>
      <c r="Y539" s="20" t="s">
        <v>2179</v>
      </c>
    </row>
    <row r="540">
      <c r="A540" s="9">
        <v>538.0</v>
      </c>
      <c r="B540" s="10" t="s">
        <v>2180</v>
      </c>
      <c r="C540" s="11" t="s">
        <v>2181</v>
      </c>
      <c r="D540" s="12" t="s">
        <v>31</v>
      </c>
      <c r="E540" s="13" t="s">
        <v>2182</v>
      </c>
      <c r="F540" s="12">
        <v>22.0</v>
      </c>
      <c r="G540" s="12">
        <v>2003.0</v>
      </c>
      <c r="H540" s="14">
        <v>33.0</v>
      </c>
      <c r="I540" s="15">
        <v>27.0</v>
      </c>
      <c r="J540" s="16">
        <v>2378.0</v>
      </c>
      <c r="K540" s="15">
        <v>26.4</v>
      </c>
      <c r="L540" s="17">
        <v>0.19</v>
      </c>
      <c r="M540" s="18">
        <v>0.11</v>
      </c>
      <c r="N540" s="18">
        <v>0.3</v>
      </c>
      <c r="O540" s="18">
        <v>0.19</v>
      </c>
      <c r="P540" s="19">
        <v>0.0</v>
      </c>
      <c r="Q540" s="19">
        <v>0.0</v>
      </c>
      <c r="R540" s="18">
        <v>0.04</v>
      </c>
      <c r="S540" s="19">
        <v>0.0</v>
      </c>
      <c r="T540" s="14">
        <v>0.19</v>
      </c>
      <c r="U540" s="15">
        <v>0.11</v>
      </c>
      <c r="V540" s="15">
        <v>0.3</v>
      </c>
      <c r="W540" s="15">
        <v>0.19</v>
      </c>
      <c r="X540" s="15">
        <v>0.3</v>
      </c>
      <c r="Y540" s="20" t="s">
        <v>2183</v>
      </c>
    </row>
    <row r="541">
      <c r="A541" s="9">
        <v>539.0</v>
      </c>
      <c r="B541" s="10" t="s">
        <v>2184</v>
      </c>
      <c r="C541" s="11" t="s">
        <v>2185</v>
      </c>
      <c r="D541" s="12" t="s">
        <v>41</v>
      </c>
      <c r="E541" s="13" t="s">
        <v>2186</v>
      </c>
      <c r="F541" s="12">
        <v>28.0</v>
      </c>
      <c r="G541" s="12">
        <v>1996.0</v>
      </c>
      <c r="H541" s="14">
        <v>19.0</v>
      </c>
      <c r="I541" s="15">
        <v>4.0</v>
      </c>
      <c r="J541" s="15">
        <v>531.0</v>
      </c>
      <c r="K541" s="15">
        <v>5.9</v>
      </c>
      <c r="L541" s="17">
        <v>0.17</v>
      </c>
      <c r="M541" s="19">
        <v>0.0</v>
      </c>
      <c r="N541" s="18">
        <v>0.17</v>
      </c>
      <c r="O541" s="18">
        <v>0.17</v>
      </c>
      <c r="P541" s="19">
        <v>0.0</v>
      </c>
      <c r="Q541" s="19">
        <v>0.0</v>
      </c>
      <c r="R541" s="18">
        <v>0.51</v>
      </c>
      <c r="S541" s="19">
        <v>0.0</v>
      </c>
      <c r="T541" s="14">
        <v>0.17</v>
      </c>
      <c r="U541" s="21">
        <v>0.0</v>
      </c>
      <c r="V541" s="15">
        <v>0.17</v>
      </c>
      <c r="W541" s="15">
        <v>0.17</v>
      </c>
      <c r="X541" s="15">
        <v>0.17</v>
      </c>
      <c r="Y541" s="20" t="s">
        <v>2187</v>
      </c>
    </row>
    <row r="542">
      <c r="A542" s="9">
        <v>540.0</v>
      </c>
      <c r="B542" s="10" t="s">
        <v>2188</v>
      </c>
      <c r="C542" s="11" t="s">
        <v>2189</v>
      </c>
      <c r="D542" s="12" t="s">
        <v>107</v>
      </c>
      <c r="E542" s="13" t="s">
        <v>2190</v>
      </c>
      <c r="F542" s="12">
        <v>23.0</v>
      </c>
      <c r="G542" s="12">
        <v>2002.0</v>
      </c>
      <c r="H542" s="14">
        <v>33.0</v>
      </c>
      <c r="I542" s="15">
        <v>24.0</v>
      </c>
      <c r="J542" s="16">
        <v>1902.0</v>
      </c>
      <c r="K542" s="15">
        <v>21.1</v>
      </c>
      <c r="L542" s="17">
        <v>0.38</v>
      </c>
      <c r="M542" s="18">
        <v>0.14</v>
      </c>
      <c r="N542" s="18">
        <v>0.52</v>
      </c>
      <c r="O542" s="18">
        <v>0.33</v>
      </c>
      <c r="P542" s="18">
        <v>0.05</v>
      </c>
      <c r="Q542" s="18">
        <v>0.05</v>
      </c>
      <c r="R542" s="19">
        <v>0.0</v>
      </c>
      <c r="S542" s="19">
        <v>0.0</v>
      </c>
      <c r="T542" s="14">
        <v>0.38</v>
      </c>
      <c r="U542" s="15">
        <v>0.14</v>
      </c>
      <c r="V542" s="15">
        <v>0.52</v>
      </c>
      <c r="W542" s="15">
        <v>0.33</v>
      </c>
      <c r="X542" s="15">
        <v>0.47</v>
      </c>
      <c r="Y542" s="20" t="s">
        <v>2191</v>
      </c>
    </row>
    <row r="543">
      <c r="A543" s="9">
        <v>541.0</v>
      </c>
      <c r="B543" s="10" t="s">
        <v>2192</v>
      </c>
      <c r="C543" s="11" t="s">
        <v>2193</v>
      </c>
      <c r="D543" s="12" t="s">
        <v>41</v>
      </c>
      <c r="E543" s="13" t="s">
        <v>2194</v>
      </c>
      <c r="F543" s="12">
        <v>33.0</v>
      </c>
      <c r="G543" s="12">
        <v>1991.0</v>
      </c>
      <c r="H543" s="14">
        <v>15.0</v>
      </c>
      <c r="I543" s="15">
        <v>11.0</v>
      </c>
      <c r="J543" s="15">
        <v>901.0</v>
      </c>
      <c r="K543" s="15">
        <v>10.0</v>
      </c>
      <c r="L543" s="17">
        <v>0.3</v>
      </c>
      <c r="M543" s="19">
        <v>0.0</v>
      </c>
      <c r="N543" s="18">
        <v>0.3</v>
      </c>
      <c r="O543" s="18">
        <v>0.3</v>
      </c>
      <c r="P543" s="19">
        <v>0.0</v>
      </c>
      <c r="Q543" s="19">
        <v>0.0</v>
      </c>
      <c r="R543" s="19">
        <v>0.0</v>
      </c>
      <c r="S543" s="19">
        <v>0.0</v>
      </c>
      <c r="T543" s="14">
        <v>0.3</v>
      </c>
      <c r="U543" s="21">
        <v>0.0</v>
      </c>
      <c r="V543" s="15">
        <v>0.3</v>
      </c>
      <c r="W543" s="15">
        <v>0.3</v>
      </c>
      <c r="X543" s="15">
        <v>0.3</v>
      </c>
      <c r="Y543" s="20" t="s">
        <v>2195</v>
      </c>
    </row>
    <row r="544">
      <c r="A544" s="9">
        <v>542.0</v>
      </c>
      <c r="B544" s="10" t="s">
        <v>2196</v>
      </c>
      <c r="C544" s="11" t="s">
        <v>2197</v>
      </c>
      <c r="D544" s="12" t="s">
        <v>98</v>
      </c>
      <c r="E544" s="13" t="s">
        <v>2198</v>
      </c>
      <c r="F544" s="12">
        <v>28.0</v>
      </c>
      <c r="G544" s="12">
        <v>1997.0</v>
      </c>
      <c r="H544" s="14">
        <v>3.0</v>
      </c>
      <c r="I544" s="15">
        <v>2.0</v>
      </c>
      <c r="J544" s="15">
        <v>213.0</v>
      </c>
      <c r="K544" s="15">
        <v>2.4</v>
      </c>
      <c r="L544" s="22">
        <v>0.0</v>
      </c>
      <c r="M544" s="19">
        <v>0.0</v>
      </c>
      <c r="N544" s="19">
        <v>0.0</v>
      </c>
      <c r="O544" s="19">
        <v>0.0</v>
      </c>
      <c r="P544" s="19">
        <v>0.0</v>
      </c>
      <c r="Q544" s="19">
        <v>0.0</v>
      </c>
      <c r="R544" s="19">
        <v>0.0</v>
      </c>
      <c r="S544" s="19">
        <v>0.0</v>
      </c>
      <c r="T544" s="23">
        <v>0.0</v>
      </c>
      <c r="U544" s="21">
        <v>0.0</v>
      </c>
      <c r="V544" s="21">
        <v>0.0</v>
      </c>
      <c r="W544" s="21">
        <v>0.0</v>
      </c>
      <c r="X544" s="21">
        <v>0.0</v>
      </c>
      <c r="Y544" s="20" t="s">
        <v>2199</v>
      </c>
    </row>
    <row r="545">
      <c r="A545" s="9">
        <v>543.0</v>
      </c>
      <c r="B545" s="10" t="s">
        <v>2200</v>
      </c>
      <c r="C545" s="11" t="s">
        <v>2201</v>
      </c>
      <c r="D545" s="12" t="s">
        <v>36</v>
      </c>
      <c r="E545" s="13" t="s">
        <v>2202</v>
      </c>
      <c r="F545" s="12">
        <v>28.0</v>
      </c>
      <c r="G545" s="12">
        <v>1997.0</v>
      </c>
      <c r="H545" s="14">
        <v>11.0</v>
      </c>
      <c r="I545" s="15">
        <v>5.0</v>
      </c>
      <c r="J545" s="15">
        <v>500.0</v>
      </c>
      <c r="K545" s="15">
        <v>5.6</v>
      </c>
      <c r="L545" s="22">
        <v>0.0</v>
      </c>
      <c r="M545" s="19">
        <v>0.0</v>
      </c>
      <c r="N545" s="19">
        <v>0.0</v>
      </c>
      <c r="O545" s="19">
        <v>0.0</v>
      </c>
      <c r="P545" s="19">
        <v>0.0</v>
      </c>
      <c r="Q545" s="19">
        <v>0.0</v>
      </c>
      <c r="R545" s="19">
        <v>0.0</v>
      </c>
      <c r="S545" s="19">
        <v>0.0</v>
      </c>
      <c r="T545" s="23">
        <v>0.0</v>
      </c>
      <c r="U545" s="21">
        <v>0.0</v>
      </c>
      <c r="V545" s="21">
        <v>0.0</v>
      </c>
      <c r="W545" s="21">
        <v>0.0</v>
      </c>
      <c r="X545" s="21">
        <v>0.0</v>
      </c>
      <c r="Y545" s="20" t="s">
        <v>2203</v>
      </c>
    </row>
    <row r="546">
      <c r="A546" s="9">
        <v>544.0</v>
      </c>
      <c r="B546" s="10" t="s">
        <v>2204</v>
      </c>
      <c r="C546" s="11" t="s">
        <v>2205</v>
      </c>
      <c r="D546" s="12" t="s">
        <v>31</v>
      </c>
      <c r="E546" s="13" t="s">
        <v>2206</v>
      </c>
      <c r="F546" s="12">
        <v>32.0</v>
      </c>
      <c r="G546" s="12">
        <v>1992.0</v>
      </c>
      <c r="H546" s="14">
        <v>34.0</v>
      </c>
      <c r="I546" s="15">
        <v>32.0</v>
      </c>
      <c r="J546" s="16">
        <v>2904.0</v>
      </c>
      <c r="K546" s="15">
        <v>32.3</v>
      </c>
      <c r="L546" s="17">
        <v>0.03</v>
      </c>
      <c r="M546" s="18">
        <v>0.19</v>
      </c>
      <c r="N546" s="18">
        <v>0.22</v>
      </c>
      <c r="O546" s="18">
        <v>0.03</v>
      </c>
      <c r="P546" s="19">
        <v>0.0</v>
      </c>
      <c r="Q546" s="19">
        <v>0.0</v>
      </c>
      <c r="R546" s="18">
        <v>0.25</v>
      </c>
      <c r="S546" s="19">
        <v>0.0</v>
      </c>
      <c r="T546" s="14">
        <v>0.03</v>
      </c>
      <c r="U546" s="15">
        <v>0.19</v>
      </c>
      <c r="V546" s="15">
        <v>0.22</v>
      </c>
      <c r="W546" s="15">
        <v>0.03</v>
      </c>
      <c r="X546" s="15">
        <v>0.22</v>
      </c>
      <c r="Y546" s="20" t="s">
        <v>2207</v>
      </c>
    </row>
    <row r="547">
      <c r="A547" s="9">
        <v>545.0</v>
      </c>
      <c r="B547" s="10" t="s">
        <v>2208</v>
      </c>
      <c r="C547" s="11" t="s">
        <v>2209</v>
      </c>
      <c r="D547" s="12" t="s">
        <v>31</v>
      </c>
      <c r="E547" s="13" t="s">
        <v>2210</v>
      </c>
      <c r="F547" s="12">
        <v>21.0</v>
      </c>
      <c r="G547" s="12">
        <v>2004.0</v>
      </c>
      <c r="H547" s="14">
        <v>37.0</v>
      </c>
      <c r="I547" s="15">
        <v>30.0</v>
      </c>
      <c r="J547" s="16">
        <v>2659.0</v>
      </c>
      <c r="K547" s="15">
        <v>29.5</v>
      </c>
      <c r="L547" s="17">
        <v>0.03</v>
      </c>
      <c r="M547" s="18">
        <v>0.07</v>
      </c>
      <c r="N547" s="18">
        <v>0.1</v>
      </c>
      <c r="O547" s="18">
        <v>0.03</v>
      </c>
      <c r="P547" s="19">
        <v>0.0</v>
      </c>
      <c r="Q547" s="19">
        <v>0.0</v>
      </c>
      <c r="R547" s="18">
        <v>0.24</v>
      </c>
      <c r="S547" s="19">
        <v>0.0</v>
      </c>
      <c r="T547" s="14">
        <v>0.03</v>
      </c>
      <c r="U547" s="15">
        <v>0.07</v>
      </c>
      <c r="V547" s="15">
        <v>0.1</v>
      </c>
      <c r="W547" s="15">
        <v>0.03</v>
      </c>
      <c r="X547" s="15">
        <v>0.1</v>
      </c>
      <c r="Y547" s="20" t="s">
        <v>2211</v>
      </c>
    </row>
    <row r="548">
      <c r="A548" s="9">
        <v>546.0</v>
      </c>
      <c r="B548" s="10" t="s">
        <v>2212</v>
      </c>
      <c r="C548" s="11" t="s">
        <v>2213</v>
      </c>
      <c r="D548" s="12" t="s">
        <v>31</v>
      </c>
      <c r="E548" s="13" t="s">
        <v>2214</v>
      </c>
      <c r="F548" s="12">
        <v>27.0</v>
      </c>
      <c r="G548" s="12">
        <v>1997.0</v>
      </c>
      <c r="H548" s="14">
        <v>22.0</v>
      </c>
      <c r="I548" s="15">
        <v>2.0</v>
      </c>
      <c r="J548" s="15">
        <v>617.0</v>
      </c>
      <c r="K548" s="15">
        <v>6.9</v>
      </c>
      <c r="L548" s="22">
        <v>0.0</v>
      </c>
      <c r="M548" s="18">
        <v>0.29</v>
      </c>
      <c r="N548" s="18">
        <v>0.29</v>
      </c>
      <c r="O548" s="19">
        <v>0.0</v>
      </c>
      <c r="P548" s="19">
        <v>0.0</v>
      </c>
      <c r="Q548" s="19">
        <v>0.0</v>
      </c>
      <c r="R548" s="18">
        <v>0.43</v>
      </c>
      <c r="S548" s="19">
        <v>0.0</v>
      </c>
      <c r="T548" s="23">
        <v>0.0</v>
      </c>
      <c r="U548" s="15">
        <v>0.29</v>
      </c>
      <c r="V548" s="15">
        <v>0.29</v>
      </c>
      <c r="W548" s="21">
        <v>0.0</v>
      </c>
      <c r="X548" s="15">
        <v>0.29</v>
      </c>
      <c r="Y548" s="20" t="s">
        <v>2215</v>
      </c>
    </row>
    <row r="549">
      <c r="A549" s="9">
        <v>547.0</v>
      </c>
      <c r="B549" s="10" t="s">
        <v>2216</v>
      </c>
      <c r="C549" s="11" t="s">
        <v>2217</v>
      </c>
      <c r="D549" s="12" t="s">
        <v>36</v>
      </c>
      <c r="E549" s="13" t="s">
        <v>2218</v>
      </c>
      <c r="F549" s="12">
        <v>19.0</v>
      </c>
      <c r="G549" s="12">
        <v>2005.0</v>
      </c>
      <c r="H549" s="14">
        <v>32.0</v>
      </c>
      <c r="I549" s="15">
        <v>18.0</v>
      </c>
      <c r="J549" s="16">
        <v>1740.0</v>
      </c>
      <c r="K549" s="15">
        <v>19.3</v>
      </c>
      <c r="L549" s="22">
        <v>0.0</v>
      </c>
      <c r="M549" s="19">
        <v>0.0</v>
      </c>
      <c r="N549" s="19">
        <v>0.0</v>
      </c>
      <c r="O549" s="19">
        <v>0.0</v>
      </c>
      <c r="P549" s="19">
        <v>0.0</v>
      </c>
      <c r="Q549" s="19">
        <v>0.0</v>
      </c>
      <c r="R549" s="18">
        <v>0.05</v>
      </c>
      <c r="S549" s="19">
        <v>0.0</v>
      </c>
      <c r="T549" s="23">
        <v>0.0</v>
      </c>
      <c r="U549" s="21">
        <v>0.0</v>
      </c>
      <c r="V549" s="21">
        <v>0.0</v>
      </c>
      <c r="W549" s="21">
        <v>0.0</v>
      </c>
      <c r="X549" s="21">
        <v>0.0</v>
      </c>
      <c r="Y549" s="20" t="s">
        <v>2219</v>
      </c>
    </row>
    <row r="550">
      <c r="A550" s="9">
        <v>548.0</v>
      </c>
      <c r="B550" s="10" t="s">
        <v>2220</v>
      </c>
      <c r="C550" s="11" t="s">
        <v>2221</v>
      </c>
      <c r="D550" s="12" t="s">
        <v>36</v>
      </c>
      <c r="E550" s="13" t="s">
        <v>2222</v>
      </c>
      <c r="F550" s="12">
        <v>28.0</v>
      </c>
      <c r="G550" s="12">
        <v>1996.0</v>
      </c>
      <c r="H550" s="14">
        <v>5.0</v>
      </c>
      <c r="I550" s="15">
        <v>4.0</v>
      </c>
      <c r="J550" s="15">
        <v>353.0</v>
      </c>
      <c r="K550" s="15">
        <v>3.9</v>
      </c>
      <c r="L550" s="22">
        <v>0.0</v>
      </c>
      <c r="M550" s="19">
        <v>0.0</v>
      </c>
      <c r="N550" s="19">
        <v>0.0</v>
      </c>
      <c r="O550" s="19">
        <v>0.0</v>
      </c>
      <c r="P550" s="19">
        <v>0.0</v>
      </c>
      <c r="Q550" s="19">
        <v>0.0</v>
      </c>
      <c r="R550" s="19">
        <v>0.0</v>
      </c>
      <c r="S550" s="19">
        <v>0.0</v>
      </c>
      <c r="T550" s="23">
        <v>0.0</v>
      </c>
      <c r="U550" s="21">
        <v>0.0</v>
      </c>
      <c r="V550" s="21">
        <v>0.0</v>
      </c>
      <c r="W550" s="21">
        <v>0.0</v>
      </c>
      <c r="X550" s="21">
        <v>0.0</v>
      </c>
      <c r="Y550" s="20" t="s">
        <v>2223</v>
      </c>
    </row>
    <row r="551">
      <c r="A551" s="9">
        <v>549.0</v>
      </c>
      <c r="B551" s="10" t="s">
        <v>2224</v>
      </c>
      <c r="C551" s="11" t="s">
        <v>2225</v>
      </c>
      <c r="D551" s="12" t="s">
        <v>107</v>
      </c>
      <c r="E551" s="13" t="s">
        <v>2226</v>
      </c>
      <c r="F551" s="12">
        <v>24.0</v>
      </c>
      <c r="G551" s="12">
        <v>2001.0</v>
      </c>
      <c r="H551" s="14">
        <v>24.0</v>
      </c>
      <c r="I551" s="15">
        <v>5.0</v>
      </c>
      <c r="J551" s="15">
        <v>626.0</v>
      </c>
      <c r="K551" s="15">
        <v>7.0</v>
      </c>
      <c r="L551" s="17">
        <v>0.29</v>
      </c>
      <c r="M551" s="18">
        <v>0.14</v>
      </c>
      <c r="N551" s="18">
        <v>0.43</v>
      </c>
      <c r="O551" s="18">
        <v>0.29</v>
      </c>
      <c r="P551" s="19">
        <v>0.0</v>
      </c>
      <c r="Q551" s="19">
        <v>0.0</v>
      </c>
      <c r="R551" s="18">
        <v>0.43</v>
      </c>
      <c r="S551" s="19">
        <v>0.0</v>
      </c>
      <c r="T551" s="14">
        <v>0.29</v>
      </c>
      <c r="U551" s="15">
        <v>0.14</v>
      </c>
      <c r="V551" s="15">
        <v>0.43</v>
      </c>
      <c r="W551" s="15">
        <v>0.29</v>
      </c>
      <c r="X551" s="15">
        <v>0.43</v>
      </c>
      <c r="Y551" s="20" t="s">
        <v>2227</v>
      </c>
    </row>
    <row r="552">
      <c r="A552" s="9">
        <v>550.0</v>
      </c>
      <c r="B552" s="10" t="s">
        <v>2228</v>
      </c>
      <c r="C552" s="11" t="s">
        <v>2229</v>
      </c>
      <c r="D552" s="12" t="s">
        <v>31</v>
      </c>
      <c r="E552" s="13" t="s">
        <v>2230</v>
      </c>
      <c r="F552" s="12">
        <v>26.0</v>
      </c>
      <c r="G552" s="12">
        <v>1999.0</v>
      </c>
      <c r="H552" s="14">
        <v>38.0</v>
      </c>
      <c r="I552" s="15">
        <v>34.0</v>
      </c>
      <c r="J552" s="16">
        <v>2992.0</v>
      </c>
      <c r="K552" s="15">
        <v>33.2</v>
      </c>
      <c r="L552" s="17">
        <v>0.15</v>
      </c>
      <c r="M552" s="18">
        <v>0.03</v>
      </c>
      <c r="N552" s="18">
        <v>0.18</v>
      </c>
      <c r="O552" s="18">
        <v>0.15</v>
      </c>
      <c r="P552" s="19">
        <v>0.0</v>
      </c>
      <c r="Q552" s="19">
        <v>0.0</v>
      </c>
      <c r="R552" s="18">
        <v>0.12</v>
      </c>
      <c r="S552" s="19">
        <v>0.0</v>
      </c>
      <c r="T552" s="14">
        <v>0.15</v>
      </c>
      <c r="U552" s="15">
        <v>0.03</v>
      </c>
      <c r="V552" s="15">
        <v>0.18</v>
      </c>
      <c r="W552" s="15">
        <v>0.15</v>
      </c>
      <c r="X552" s="15">
        <v>0.18</v>
      </c>
      <c r="Y552" s="20" t="s">
        <v>2231</v>
      </c>
    </row>
    <row r="553">
      <c r="A553" s="24">
        <v>551.0</v>
      </c>
      <c r="B553" s="25" t="s">
        <v>2232</v>
      </c>
      <c r="C553" s="26" t="s">
        <v>2233</v>
      </c>
      <c r="D553" s="27" t="s">
        <v>31</v>
      </c>
      <c r="E553" s="28" t="s">
        <v>2234</v>
      </c>
      <c r="F553" s="27">
        <v>26.0</v>
      </c>
      <c r="G553" s="27">
        <v>1998.0</v>
      </c>
      <c r="H553" s="29">
        <v>24.0</v>
      </c>
      <c r="I553" s="30">
        <v>16.0</v>
      </c>
      <c r="J553" s="31">
        <v>1369.0</v>
      </c>
      <c r="K553" s="30">
        <v>15.2</v>
      </c>
      <c r="L553" s="32">
        <v>0.07</v>
      </c>
      <c r="M553" s="33">
        <v>0.39</v>
      </c>
      <c r="N553" s="33">
        <v>0.46</v>
      </c>
      <c r="O553" s="33">
        <v>0.07</v>
      </c>
      <c r="P553" s="34">
        <v>0.0</v>
      </c>
      <c r="Q553" s="34">
        <v>0.0</v>
      </c>
      <c r="R553" s="34">
        <v>0.0</v>
      </c>
      <c r="S553" s="34">
        <v>0.0</v>
      </c>
      <c r="T553" s="29">
        <v>0.07</v>
      </c>
      <c r="U553" s="30">
        <v>0.39</v>
      </c>
      <c r="V553" s="30">
        <v>0.46</v>
      </c>
      <c r="W553" s="30">
        <v>0.07</v>
      </c>
      <c r="X553" s="30">
        <v>0.46</v>
      </c>
      <c r="Y553" s="35" t="s">
        <v>2235</v>
      </c>
    </row>
  </sheetData>
  <mergeCells count="4">
    <mergeCell ref="A1:G1"/>
    <mergeCell ref="H1:K1"/>
    <mergeCell ref="L1:S1"/>
    <mergeCell ref="T1:X1"/>
  </mergeCells>
  <hyperlinks>
    <hyperlink r:id="rId1" ref="B3"/>
    <hyperlink r:id="rId2" ref="C3"/>
    <hyperlink r:id="rId3" ref="E3"/>
    <hyperlink r:id="rId4" ref="Y3"/>
    <hyperlink r:id="rId5" ref="B4"/>
    <hyperlink r:id="rId6" ref="C4"/>
    <hyperlink r:id="rId7" ref="E4"/>
    <hyperlink r:id="rId8" ref="Y4"/>
    <hyperlink r:id="rId9" ref="B5"/>
    <hyperlink r:id="rId10" ref="C5"/>
    <hyperlink r:id="rId11" ref="E5"/>
    <hyperlink r:id="rId12" ref="Y5"/>
    <hyperlink r:id="rId13" ref="B6"/>
    <hyperlink r:id="rId14" ref="C6"/>
    <hyperlink r:id="rId15" ref="E6"/>
    <hyperlink r:id="rId16" ref="Y6"/>
    <hyperlink r:id="rId17" ref="B7"/>
    <hyperlink r:id="rId18" ref="C7"/>
    <hyperlink r:id="rId19" ref="E7"/>
    <hyperlink r:id="rId20" ref="Y7"/>
    <hyperlink r:id="rId21" ref="B8"/>
    <hyperlink r:id="rId22" ref="C8"/>
    <hyperlink r:id="rId23" ref="E8"/>
    <hyperlink r:id="rId24" ref="Y8"/>
    <hyperlink r:id="rId25" ref="B9"/>
    <hyperlink r:id="rId26" ref="C9"/>
    <hyperlink r:id="rId27" ref="E9"/>
    <hyperlink r:id="rId28" ref="Y9"/>
    <hyperlink r:id="rId29" ref="B10"/>
    <hyperlink r:id="rId30" ref="C10"/>
    <hyperlink r:id="rId31" ref="E10"/>
    <hyperlink r:id="rId32" ref="Y10"/>
    <hyperlink r:id="rId33" ref="B11"/>
    <hyperlink r:id="rId34" ref="C11"/>
    <hyperlink r:id="rId35" ref="E11"/>
    <hyperlink r:id="rId36" ref="Y11"/>
    <hyperlink r:id="rId37" ref="B12"/>
    <hyperlink r:id="rId38" ref="C12"/>
    <hyperlink r:id="rId39" ref="E12"/>
    <hyperlink r:id="rId40" ref="Y12"/>
    <hyperlink r:id="rId41" ref="B13"/>
    <hyperlink r:id="rId42" ref="C13"/>
    <hyperlink r:id="rId43" ref="E13"/>
    <hyperlink r:id="rId44" ref="Y13"/>
    <hyperlink r:id="rId45" ref="B14"/>
    <hyperlink r:id="rId46" ref="C14"/>
    <hyperlink r:id="rId47" ref="E14"/>
    <hyperlink r:id="rId48" ref="Y14"/>
    <hyperlink r:id="rId49" ref="B15"/>
    <hyperlink r:id="rId50" ref="C15"/>
    <hyperlink r:id="rId51" ref="E15"/>
    <hyperlink r:id="rId52" ref="Y15"/>
    <hyperlink r:id="rId53" ref="B16"/>
    <hyperlink r:id="rId54" ref="C16"/>
    <hyperlink r:id="rId55" ref="E16"/>
    <hyperlink r:id="rId56" ref="Y16"/>
    <hyperlink r:id="rId57" ref="B17"/>
    <hyperlink r:id="rId58" ref="C17"/>
    <hyperlink r:id="rId59" ref="E17"/>
    <hyperlink r:id="rId60" ref="Y17"/>
    <hyperlink r:id="rId61" ref="B18"/>
    <hyperlink r:id="rId62" ref="C18"/>
    <hyperlink r:id="rId63" ref="E18"/>
    <hyperlink r:id="rId64" ref="Y18"/>
    <hyperlink r:id="rId65" ref="B19"/>
    <hyperlink r:id="rId66" ref="C19"/>
    <hyperlink r:id="rId67" ref="E19"/>
    <hyperlink r:id="rId68" ref="Y19"/>
    <hyperlink r:id="rId69" ref="B20"/>
    <hyperlink r:id="rId70" ref="C20"/>
    <hyperlink r:id="rId71" ref="E20"/>
    <hyperlink r:id="rId72" ref="Y20"/>
    <hyperlink r:id="rId73" ref="B21"/>
    <hyperlink r:id="rId74" ref="C21"/>
    <hyperlink r:id="rId75" ref="E21"/>
    <hyperlink r:id="rId76" ref="Y21"/>
    <hyperlink r:id="rId77" ref="B22"/>
    <hyperlink r:id="rId78" ref="C22"/>
    <hyperlink r:id="rId79" ref="E22"/>
    <hyperlink r:id="rId80" ref="Y22"/>
    <hyperlink r:id="rId81" ref="B23"/>
    <hyperlink r:id="rId82" ref="C23"/>
    <hyperlink r:id="rId83" ref="E23"/>
    <hyperlink r:id="rId84" ref="Y23"/>
    <hyperlink r:id="rId85" ref="B24"/>
    <hyperlink r:id="rId86" ref="C24"/>
    <hyperlink r:id="rId87" ref="E24"/>
    <hyperlink r:id="rId88" ref="Y24"/>
    <hyperlink r:id="rId89" ref="B25"/>
    <hyperlink r:id="rId90" ref="C25"/>
    <hyperlink r:id="rId91" ref="E25"/>
    <hyperlink r:id="rId92" ref="Y25"/>
    <hyperlink r:id="rId93" ref="B26"/>
    <hyperlink r:id="rId94" ref="C26"/>
    <hyperlink r:id="rId95" ref="E26"/>
    <hyperlink r:id="rId96" ref="Y26"/>
    <hyperlink r:id="rId97" ref="B27"/>
    <hyperlink r:id="rId98" ref="C27"/>
    <hyperlink r:id="rId99" ref="E27"/>
    <hyperlink r:id="rId100" ref="Y27"/>
    <hyperlink r:id="rId101" ref="B28"/>
    <hyperlink r:id="rId102" ref="C28"/>
    <hyperlink r:id="rId103" ref="E28"/>
    <hyperlink r:id="rId104" ref="Y28"/>
    <hyperlink r:id="rId105" ref="B29"/>
    <hyperlink r:id="rId106" ref="C29"/>
    <hyperlink r:id="rId107" ref="E29"/>
    <hyperlink r:id="rId108" ref="Y29"/>
    <hyperlink r:id="rId109" ref="B30"/>
    <hyperlink r:id="rId110" ref="C30"/>
    <hyperlink r:id="rId111" ref="E30"/>
    <hyperlink r:id="rId112" ref="Y30"/>
    <hyperlink r:id="rId113" ref="B31"/>
    <hyperlink r:id="rId114" ref="C31"/>
    <hyperlink r:id="rId115" ref="E31"/>
    <hyperlink r:id="rId116" ref="Y31"/>
    <hyperlink r:id="rId117" ref="B32"/>
    <hyperlink r:id="rId118" ref="C32"/>
    <hyperlink r:id="rId119" ref="E32"/>
    <hyperlink r:id="rId120" ref="Y32"/>
    <hyperlink r:id="rId121" ref="B33"/>
    <hyperlink r:id="rId122" ref="C33"/>
    <hyperlink r:id="rId123" ref="E33"/>
    <hyperlink r:id="rId124" ref="Y33"/>
    <hyperlink r:id="rId125" ref="B34"/>
    <hyperlink r:id="rId126" ref="C34"/>
    <hyperlink r:id="rId127" ref="E34"/>
    <hyperlink r:id="rId128" ref="Y34"/>
    <hyperlink r:id="rId129" ref="B35"/>
    <hyperlink r:id="rId130" ref="C35"/>
    <hyperlink r:id="rId131" ref="E35"/>
    <hyperlink r:id="rId132" ref="Y35"/>
    <hyperlink r:id="rId133" ref="B36"/>
    <hyperlink r:id="rId134" ref="C36"/>
    <hyperlink r:id="rId135" ref="E36"/>
    <hyperlink r:id="rId136" ref="Y36"/>
    <hyperlink r:id="rId137" ref="B37"/>
    <hyperlink r:id="rId138" ref="C37"/>
    <hyperlink r:id="rId139" ref="E37"/>
    <hyperlink r:id="rId140" ref="Y37"/>
    <hyperlink r:id="rId141" ref="B38"/>
    <hyperlink r:id="rId142" ref="C38"/>
    <hyperlink r:id="rId143" ref="E38"/>
    <hyperlink r:id="rId144" ref="Y38"/>
    <hyperlink r:id="rId145" ref="B39"/>
    <hyperlink r:id="rId146" ref="C39"/>
    <hyperlink r:id="rId147" ref="E39"/>
    <hyperlink r:id="rId148" ref="Y39"/>
    <hyperlink r:id="rId149" ref="B40"/>
    <hyperlink r:id="rId150" ref="C40"/>
    <hyperlink r:id="rId151" ref="E40"/>
    <hyperlink r:id="rId152" ref="Y40"/>
    <hyperlink r:id="rId153" ref="B41"/>
    <hyperlink r:id="rId154" ref="C41"/>
    <hyperlink r:id="rId155" ref="E41"/>
    <hyperlink r:id="rId156" ref="Y41"/>
    <hyperlink r:id="rId157" ref="B42"/>
    <hyperlink r:id="rId158" ref="C42"/>
    <hyperlink r:id="rId159" ref="E42"/>
    <hyperlink r:id="rId160" ref="Y42"/>
    <hyperlink r:id="rId161" ref="B43"/>
    <hyperlink r:id="rId162" ref="C43"/>
    <hyperlink r:id="rId163" ref="E43"/>
    <hyperlink r:id="rId164" ref="Y43"/>
    <hyperlink r:id="rId165" ref="B44"/>
    <hyperlink r:id="rId166" ref="C44"/>
    <hyperlink r:id="rId167" ref="E44"/>
    <hyperlink r:id="rId168" ref="Y44"/>
    <hyperlink r:id="rId169" ref="B45"/>
    <hyperlink r:id="rId170" ref="C45"/>
    <hyperlink r:id="rId171" ref="E45"/>
    <hyperlink r:id="rId172" ref="Y45"/>
    <hyperlink r:id="rId173" ref="B46"/>
    <hyperlink r:id="rId174" ref="C46"/>
    <hyperlink r:id="rId175" ref="E46"/>
    <hyperlink r:id="rId176" ref="Y46"/>
    <hyperlink r:id="rId177" ref="B47"/>
    <hyperlink r:id="rId178" ref="C47"/>
    <hyperlink r:id="rId179" ref="E47"/>
    <hyperlink r:id="rId180" ref="Y47"/>
    <hyperlink r:id="rId181" ref="B48"/>
    <hyperlink r:id="rId182" ref="C48"/>
    <hyperlink r:id="rId183" ref="E48"/>
    <hyperlink r:id="rId184" ref="Y48"/>
    <hyperlink r:id="rId185" ref="B49"/>
    <hyperlink r:id="rId186" ref="C49"/>
    <hyperlink r:id="rId187" ref="E49"/>
    <hyperlink r:id="rId188" ref="Y49"/>
    <hyperlink r:id="rId189" ref="B50"/>
    <hyperlink r:id="rId190" ref="C50"/>
    <hyperlink r:id="rId191" ref="E50"/>
    <hyperlink r:id="rId192" ref="Y50"/>
    <hyperlink r:id="rId193" ref="B51"/>
    <hyperlink r:id="rId194" ref="C51"/>
    <hyperlink r:id="rId195" ref="E51"/>
    <hyperlink r:id="rId196" ref="Y51"/>
    <hyperlink r:id="rId197" ref="B52"/>
    <hyperlink r:id="rId198" ref="C52"/>
    <hyperlink r:id="rId199" ref="E52"/>
    <hyperlink r:id="rId200" ref="Y52"/>
    <hyperlink r:id="rId201" ref="B53"/>
    <hyperlink r:id="rId202" ref="C53"/>
    <hyperlink r:id="rId203" ref="E53"/>
    <hyperlink r:id="rId204" ref="Y53"/>
    <hyperlink r:id="rId205" ref="B54"/>
    <hyperlink r:id="rId206" ref="C54"/>
    <hyperlink r:id="rId207" ref="E54"/>
    <hyperlink r:id="rId208" ref="Y54"/>
    <hyperlink r:id="rId209" ref="B55"/>
    <hyperlink r:id="rId210" ref="C55"/>
    <hyperlink r:id="rId211" ref="E55"/>
    <hyperlink r:id="rId212" ref="Y55"/>
    <hyperlink r:id="rId213" ref="B56"/>
    <hyperlink r:id="rId214" ref="C56"/>
    <hyperlink r:id="rId215" ref="E56"/>
    <hyperlink r:id="rId216" ref="Y56"/>
    <hyperlink r:id="rId217" ref="B57"/>
    <hyperlink r:id="rId218" ref="C57"/>
    <hyperlink r:id="rId219" ref="E57"/>
    <hyperlink r:id="rId220" ref="Y57"/>
    <hyperlink r:id="rId221" ref="B58"/>
    <hyperlink r:id="rId222" ref="C58"/>
    <hyperlink r:id="rId223" ref="E58"/>
    <hyperlink r:id="rId224" ref="Y58"/>
    <hyperlink r:id="rId225" ref="B59"/>
    <hyperlink r:id="rId226" ref="C59"/>
    <hyperlink r:id="rId227" ref="E59"/>
    <hyperlink r:id="rId228" ref="Y59"/>
    <hyperlink r:id="rId229" ref="B60"/>
    <hyperlink r:id="rId230" ref="C60"/>
    <hyperlink r:id="rId231" ref="E60"/>
    <hyperlink r:id="rId232" ref="Y60"/>
    <hyperlink r:id="rId233" ref="B61"/>
    <hyperlink r:id="rId234" ref="C61"/>
    <hyperlink r:id="rId235" ref="E61"/>
    <hyperlink r:id="rId236" ref="Y61"/>
    <hyperlink r:id="rId237" ref="B62"/>
    <hyperlink r:id="rId238" ref="C62"/>
    <hyperlink r:id="rId239" ref="E62"/>
    <hyperlink r:id="rId240" ref="Y62"/>
    <hyperlink r:id="rId241" ref="B63"/>
    <hyperlink r:id="rId242" ref="C63"/>
    <hyperlink r:id="rId243" ref="E63"/>
    <hyperlink r:id="rId244" ref="Y63"/>
    <hyperlink r:id="rId245" ref="B64"/>
    <hyperlink r:id="rId246" ref="C64"/>
    <hyperlink r:id="rId247" ref="E64"/>
    <hyperlink r:id="rId248" ref="Y64"/>
    <hyperlink r:id="rId249" ref="B65"/>
    <hyperlink r:id="rId250" ref="C65"/>
    <hyperlink r:id="rId251" ref="E65"/>
    <hyperlink r:id="rId252" ref="Y65"/>
    <hyperlink r:id="rId253" ref="B66"/>
    <hyperlink r:id="rId254" ref="C66"/>
    <hyperlink r:id="rId255" ref="E66"/>
    <hyperlink r:id="rId256" ref="Y66"/>
    <hyperlink r:id="rId257" ref="B67"/>
    <hyperlink r:id="rId258" ref="C67"/>
    <hyperlink r:id="rId259" ref="E67"/>
    <hyperlink r:id="rId260" ref="Y67"/>
    <hyperlink r:id="rId261" ref="B68"/>
    <hyperlink r:id="rId262" ref="C68"/>
    <hyperlink r:id="rId263" ref="E68"/>
    <hyperlink r:id="rId264" ref="Y68"/>
    <hyperlink r:id="rId265" ref="B69"/>
    <hyperlink r:id="rId266" ref="C69"/>
    <hyperlink r:id="rId267" ref="E69"/>
    <hyperlink r:id="rId268" ref="Y69"/>
    <hyperlink r:id="rId269" ref="B70"/>
    <hyperlink r:id="rId270" ref="C70"/>
    <hyperlink r:id="rId271" ref="E70"/>
    <hyperlink r:id="rId272" ref="Y70"/>
    <hyperlink r:id="rId273" ref="B71"/>
    <hyperlink r:id="rId274" ref="C71"/>
    <hyperlink r:id="rId275" ref="E71"/>
    <hyperlink r:id="rId276" ref="Y71"/>
    <hyperlink r:id="rId277" ref="B72"/>
    <hyperlink r:id="rId278" ref="C72"/>
    <hyperlink r:id="rId279" ref="E72"/>
    <hyperlink r:id="rId280" ref="Y72"/>
    <hyperlink r:id="rId281" ref="B73"/>
    <hyperlink r:id="rId282" ref="C73"/>
    <hyperlink r:id="rId283" ref="E73"/>
    <hyperlink r:id="rId284" ref="Y73"/>
    <hyperlink r:id="rId285" ref="B74"/>
    <hyperlink r:id="rId286" ref="C74"/>
    <hyperlink r:id="rId287" ref="E74"/>
    <hyperlink r:id="rId288" ref="Y74"/>
    <hyperlink r:id="rId289" ref="B75"/>
    <hyperlink r:id="rId290" ref="C75"/>
    <hyperlink r:id="rId291" ref="E75"/>
    <hyperlink r:id="rId292" ref="Y75"/>
    <hyperlink r:id="rId293" ref="B76"/>
    <hyperlink r:id="rId294" ref="C76"/>
    <hyperlink r:id="rId295" ref="E76"/>
    <hyperlink r:id="rId296" ref="Y76"/>
    <hyperlink r:id="rId297" ref="B77"/>
    <hyperlink r:id="rId298" ref="C77"/>
    <hyperlink r:id="rId299" ref="E77"/>
    <hyperlink r:id="rId300" ref="Y77"/>
    <hyperlink r:id="rId301" ref="B78"/>
    <hyperlink r:id="rId302" ref="C78"/>
    <hyperlink r:id="rId303" ref="E78"/>
    <hyperlink r:id="rId304" ref="Y78"/>
    <hyperlink r:id="rId305" ref="B79"/>
    <hyperlink r:id="rId306" ref="C79"/>
    <hyperlink r:id="rId307" ref="E79"/>
    <hyperlink r:id="rId308" ref="Y79"/>
    <hyperlink r:id="rId309" ref="B80"/>
    <hyperlink r:id="rId310" ref="C80"/>
    <hyperlink r:id="rId311" ref="E80"/>
    <hyperlink r:id="rId312" ref="Y80"/>
    <hyperlink r:id="rId313" ref="B81"/>
    <hyperlink r:id="rId314" ref="C81"/>
    <hyperlink r:id="rId315" ref="E81"/>
    <hyperlink r:id="rId316" ref="Y81"/>
    <hyperlink r:id="rId317" ref="B82"/>
    <hyperlink r:id="rId318" ref="C82"/>
    <hyperlink r:id="rId319" ref="E82"/>
    <hyperlink r:id="rId320" ref="Y82"/>
    <hyperlink r:id="rId321" ref="B83"/>
    <hyperlink r:id="rId322" ref="C83"/>
    <hyperlink r:id="rId323" ref="E83"/>
    <hyperlink r:id="rId324" ref="Y83"/>
    <hyperlink r:id="rId325" ref="B84"/>
    <hyperlink r:id="rId326" ref="C84"/>
    <hyperlink r:id="rId327" ref="E84"/>
    <hyperlink r:id="rId328" ref="Y84"/>
    <hyperlink r:id="rId329" ref="B85"/>
    <hyperlink r:id="rId330" ref="C85"/>
    <hyperlink r:id="rId331" ref="E85"/>
    <hyperlink r:id="rId332" ref="Y85"/>
    <hyperlink r:id="rId333" ref="B86"/>
    <hyperlink r:id="rId334" ref="C86"/>
    <hyperlink r:id="rId335" ref="E86"/>
    <hyperlink r:id="rId336" ref="Y86"/>
    <hyperlink r:id="rId337" ref="B87"/>
    <hyperlink r:id="rId338" ref="C87"/>
    <hyperlink r:id="rId339" ref="E87"/>
    <hyperlink r:id="rId340" ref="Y87"/>
    <hyperlink r:id="rId341" ref="B88"/>
    <hyperlink r:id="rId342" ref="C88"/>
    <hyperlink r:id="rId343" ref="E88"/>
    <hyperlink r:id="rId344" ref="Y88"/>
    <hyperlink r:id="rId345" ref="B89"/>
    <hyperlink r:id="rId346" ref="C89"/>
    <hyperlink r:id="rId347" ref="E89"/>
    <hyperlink r:id="rId348" ref="Y89"/>
    <hyperlink r:id="rId349" ref="B90"/>
    <hyperlink r:id="rId350" ref="C90"/>
    <hyperlink r:id="rId351" ref="E90"/>
    <hyperlink r:id="rId352" ref="Y90"/>
    <hyperlink r:id="rId353" ref="B91"/>
    <hyperlink r:id="rId354" ref="C91"/>
    <hyperlink r:id="rId355" ref="E91"/>
    <hyperlink r:id="rId356" ref="Y91"/>
    <hyperlink r:id="rId357" ref="B92"/>
    <hyperlink r:id="rId358" ref="C92"/>
    <hyperlink r:id="rId359" ref="E92"/>
    <hyperlink r:id="rId360" ref="Y92"/>
    <hyperlink r:id="rId361" ref="B93"/>
    <hyperlink r:id="rId362" ref="C93"/>
    <hyperlink r:id="rId363" ref="E93"/>
    <hyperlink r:id="rId364" ref="Y93"/>
    <hyperlink r:id="rId365" ref="B94"/>
    <hyperlink r:id="rId366" ref="C94"/>
    <hyperlink r:id="rId367" ref="E94"/>
    <hyperlink r:id="rId368" ref="Y94"/>
    <hyperlink r:id="rId369" ref="B95"/>
    <hyperlink r:id="rId370" ref="C95"/>
    <hyperlink r:id="rId371" ref="E95"/>
    <hyperlink r:id="rId372" ref="Y95"/>
    <hyperlink r:id="rId373" ref="B96"/>
    <hyperlink r:id="rId374" ref="C96"/>
    <hyperlink r:id="rId375" ref="E96"/>
    <hyperlink r:id="rId376" ref="Y96"/>
    <hyperlink r:id="rId377" ref="B97"/>
    <hyperlink r:id="rId378" ref="C97"/>
    <hyperlink r:id="rId379" ref="E97"/>
    <hyperlink r:id="rId380" ref="Y97"/>
    <hyperlink r:id="rId381" ref="B98"/>
    <hyperlink r:id="rId382" ref="C98"/>
    <hyperlink r:id="rId383" ref="E98"/>
    <hyperlink r:id="rId384" ref="Y98"/>
    <hyperlink r:id="rId385" ref="B99"/>
    <hyperlink r:id="rId386" ref="C99"/>
    <hyperlink r:id="rId387" ref="E99"/>
    <hyperlink r:id="rId388" ref="Y99"/>
    <hyperlink r:id="rId389" ref="B100"/>
    <hyperlink r:id="rId390" ref="C100"/>
    <hyperlink r:id="rId391" ref="E100"/>
    <hyperlink r:id="rId392" ref="Y100"/>
    <hyperlink r:id="rId393" ref="B101"/>
    <hyperlink r:id="rId394" ref="C101"/>
    <hyperlink r:id="rId395" ref="E101"/>
    <hyperlink r:id="rId396" ref="Y101"/>
    <hyperlink r:id="rId397" ref="B102"/>
    <hyperlink r:id="rId398" ref="C102"/>
    <hyperlink r:id="rId399" ref="E102"/>
    <hyperlink r:id="rId400" ref="Y102"/>
    <hyperlink r:id="rId401" ref="B103"/>
    <hyperlink r:id="rId402" ref="C103"/>
    <hyperlink r:id="rId403" ref="E103"/>
    <hyperlink r:id="rId404" ref="Y103"/>
    <hyperlink r:id="rId405" ref="B104"/>
    <hyperlink r:id="rId406" ref="C104"/>
    <hyperlink r:id="rId407" ref="E104"/>
    <hyperlink r:id="rId408" ref="Y104"/>
    <hyperlink r:id="rId409" ref="B105"/>
    <hyperlink r:id="rId410" ref="C105"/>
    <hyperlink r:id="rId411" ref="E105"/>
    <hyperlink r:id="rId412" ref="Y105"/>
    <hyperlink r:id="rId413" ref="B106"/>
    <hyperlink r:id="rId414" ref="C106"/>
    <hyperlink r:id="rId415" ref="E106"/>
    <hyperlink r:id="rId416" ref="Y106"/>
    <hyperlink r:id="rId417" ref="B107"/>
    <hyperlink r:id="rId418" ref="C107"/>
    <hyperlink r:id="rId419" ref="E107"/>
    <hyperlink r:id="rId420" ref="Y107"/>
    <hyperlink r:id="rId421" ref="B108"/>
    <hyperlink r:id="rId422" ref="C108"/>
    <hyperlink r:id="rId423" ref="E108"/>
    <hyperlink r:id="rId424" ref="Y108"/>
    <hyperlink r:id="rId425" ref="B109"/>
    <hyperlink r:id="rId426" ref="C109"/>
    <hyperlink r:id="rId427" ref="E109"/>
    <hyperlink r:id="rId428" ref="Y109"/>
    <hyperlink r:id="rId429" ref="B110"/>
    <hyperlink r:id="rId430" ref="C110"/>
    <hyperlink r:id="rId431" ref="E110"/>
    <hyperlink r:id="rId432" ref="Y110"/>
    <hyperlink r:id="rId433" ref="B111"/>
    <hyperlink r:id="rId434" ref="C111"/>
    <hyperlink r:id="rId435" ref="E111"/>
    <hyperlink r:id="rId436" ref="Y111"/>
    <hyperlink r:id="rId437" ref="B112"/>
    <hyperlink r:id="rId438" ref="C112"/>
    <hyperlink r:id="rId439" ref="E112"/>
    <hyperlink r:id="rId440" ref="Y112"/>
    <hyperlink r:id="rId441" ref="B113"/>
    <hyperlink r:id="rId442" ref="C113"/>
    <hyperlink r:id="rId443" ref="E113"/>
    <hyperlink r:id="rId444" ref="Y113"/>
    <hyperlink r:id="rId445" ref="B114"/>
    <hyperlink r:id="rId446" ref="C114"/>
    <hyperlink r:id="rId447" ref="E114"/>
    <hyperlink r:id="rId448" ref="Y114"/>
    <hyperlink r:id="rId449" ref="B115"/>
    <hyperlink r:id="rId450" ref="C115"/>
    <hyperlink r:id="rId451" ref="E115"/>
    <hyperlink r:id="rId452" ref="Y115"/>
    <hyperlink r:id="rId453" ref="B116"/>
    <hyperlink r:id="rId454" ref="C116"/>
    <hyperlink r:id="rId455" ref="E116"/>
    <hyperlink r:id="rId456" ref="Y116"/>
    <hyperlink r:id="rId457" ref="B117"/>
    <hyperlink r:id="rId458" ref="C117"/>
    <hyperlink r:id="rId459" ref="E117"/>
    <hyperlink r:id="rId460" ref="Y117"/>
    <hyperlink r:id="rId461" ref="B118"/>
    <hyperlink r:id="rId462" ref="C118"/>
    <hyperlink r:id="rId463" ref="E118"/>
    <hyperlink r:id="rId464" ref="Y118"/>
    <hyperlink r:id="rId465" ref="B119"/>
    <hyperlink r:id="rId466" ref="C119"/>
    <hyperlink r:id="rId467" ref="E119"/>
    <hyperlink r:id="rId468" ref="Y119"/>
    <hyperlink r:id="rId469" ref="B120"/>
    <hyperlink r:id="rId470" ref="C120"/>
    <hyperlink r:id="rId471" ref="E120"/>
    <hyperlink r:id="rId472" ref="Y120"/>
    <hyperlink r:id="rId473" ref="B121"/>
    <hyperlink r:id="rId474" ref="C121"/>
    <hyperlink r:id="rId475" ref="E121"/>
    <hyperlink r:id="rId476" ref="Y121"/>
    <hyperlink r:id="rId477" ref="B122"/>
    <hyperlink r:id="rId478" ref="C122"/>
    <hyperlink r:id="rId479" ref="E122"/>
    <hyperlink r:id="rId480" ref="Y122"/>
    <hyperlink r:id="rId481" ref="B123"/>
    <hyperlink r:id="rId482" ref="C123"/>
    <hyperlink r:id="rId483" ref="E123"/>
    <hyperlink r:id="rId484" ref="Y123"/>
    <hyperlink r:id="rId485" ref="B124"/>
    <hyperlink r:id="rId486" ref="C124"/>
    <hyperlink r:id="rId487" ref="E124"/>
    <hyperlink r:id="rId488" ref="Y124"/>
    <hyperlink r:id="rId489" ref="B125"/>
    <hyperlink r:id="rId490" ref="C125"/>
    <hyperlink r:id="rId491" ref="E125"/>
    <hyperlink r:id="rId492" ref="Y125"/>
    <hyperlink r:id="rId493" ref="B126"/>
    <hyperlink r:id="rId494" ref="C126"/>
    <hyperlink r:id="rId495" ref="E126"/>
    <hyperlink r:id="rId496" ref="Y126"/>
    <hyperlink r:id="rId497" ref="B127"/>
    <hyperlink r:id="rId498" ref="C127"/>
    <hyperlink r:id="rId499" ref="E127"/>
    <hyperlink r:id="rId500" ref="Y127"/>
    <hyperlink r:id="rId501" ref="B128"/>
    <hyperlink r:id="rId502" ref="C128"/>
    <hyperlink r:id="rId503" ref="E128"/>
    <hyperlink r:id="rId504" ref="Y128"/>
    <hyperlink r:id="rId505" ref="B129"/>
    <hyperlink r:id="rId506" ref="C129"/>
    <hyperlink r:id="rId507" ref="E129"/>
    <hyperlink r:id="rId508" ref="Y129"/>
    <hyperlink r:id="rId509" ref="B130"/>
    <hyperlink r:id="rId510" ref="C130"/>
    <hyperlink r:id="rId511" ref="E130"/>
    <hyperlink r:id="rId512" ref="Y130"/>
    <hyperlink r:id="rId513" ref="B131"/>
    <hyperlink r:id="rId514" ref="C131"/>
    <hyperlink r:id="rId515" ref="E131"/>
    <hyperlink r:id="rId516" ref="Y131"/>
    <hyperlink r:id="rId517" ref="B132"/>
    <hyperlink r:id="rId518" ref="C132"/>
    <hyperlink r:id="rId519" ref="E132"/>
    <hyperlink r:id="rId520" ref="Y132"/>
    <hyperlink r:id="rId521" ref="B133"/>
    <hyperlink r:id="rId522" ref="C133"/>
    <hyperlink r:id="rId523" ref="E133"/>
    <hyperlink r:id="rId524" ref="Y133"/>
    <hyperlink r:id="rId525" ref="B134"/>
    <hyperlink r:id="rId526" ref="C134"/>
    <hyperlink r:id="rId527" ref="E134"/>
    <hyperlink r:id="rId528" ref="Y134"/>
    <hyperlink r:id="rId529" ref="B135"/>
    <hyperlink r:id="rId530" ref="C135"/>
    <hyperlink r:id="rId531" ref="E135"/>
    <hyperlink r:id="rId532" ref="Y135"/>
    <hyperlink r:id="rId533" ref="B136"/>
    <hyperlink r:id="rId534" ref="C136"/>
    <hyperlink r:id="rId535" ref="E136"/>
    <hyperlink r:id="rId536" ref="Y136"/>
    <hyperlink r:id="rId537" ref="B137"/>
    <hyperlink r:id="rId538" ref="C137"/>
    <hyperlink r:id="rId539" ref="E137"/>
    <hyperlink r:id="rId540" ref="Y137"/>
    <hyperlink r:id="rId541" ref="B138"/>
    <hyperlink r:id="rId542" ref="C138"/>
    <hyperlink r:id="rId543" ref="E138"/>
    <hyperlink r:id="rId544" ref="Y138"/>
    <hyperlink r:id="rId545" ref="B139"/>
    <hyperlink r:id="rId546" ref="C139"/>
    <hyperlink r:id="rId547" ref="E139"/>
    <hyperlink r:id="rId548" ref="Y139"/>
    <hyperlink r:id="rId549" ref="B140"/>
    <hyperlink r:id="rId550" ref="C140"/>
    <hyperlink r:id="rId551" ref="E140"/>
    <hyperlink r:id="rId552" ref="Y140"/>
    <hyperlink r:id="rId553" ref="B141"/>
    <hyperlink r:id="rId554" ref="C141"/>
    <hyperlink r:id="rId555" ref="E141"/>
    <hyperlink r:id="rId556" ref="Y141"/>
    <hyperlink r:id="rId557" ref="B142"/>
    <hyperlink r:id="rId558" ref="C142"/>
    <hyperlink r:id="rId559" ref="E142"/>
    <hyperlink r:id="rId560" ref="Y142"/>
    <hyperlink r:id="rId561" ref="B143"/>
    <hyperlink r:id="rId562" ref="C143"/>
    <hyperlink r:id="rId563" ref="E143"/>
    <hyperlink r:id="rId564" ref="Y143"/>
    <hyperlink r:id="rId565" ref="B144"/>
    <hyperlink r:id="rId566" ref="C144"/>
    <hyperlink r:id="rId567" ref="E144"/>
    <hyperlink r:id="rId568" ref="Y144"/>
    <hyperlink r:id="rId569" ref="B145"/>
    <hyperlink r:id="rId570" ref="C145"/>
    <hyperlink r:id="rId571" ref="E145"/>
    <hyperlink r:id="rId572" ref="Y145"/>
    <hyperlink r:id="rId573" ref="B146"/>
    <hyperlink r:id="rId574" ref="C146"/>
    <hyperlink r:id="rId575" ref="E146"/>
    <hyperlink r:id="rId576" ref="Y146"/>
    <hyperlink r:id="rId577" ref="B147"/>
    <hyperlink r:id="rId578" ref="C147"/>
    <hyperlink r:id="rId579" ref="E147"/>
    <hyperlink r:id="rId580" ref="Y147"/>
    <hyperlink r:id="rId581" ref="B148"/>
    <hyperlink r:id="rId582" ref="C148"/>
    <hyperlink r:id="rId583" ref="E148"/>
    <hyperlink r:id="rId584" ref="Y148"/>
    <hyperlink r:id="rId585" ref="B149"/>
    <hyperlink r:id="rId586" ref="C149"/>
    <hyperlink r:id="rId587" ref="E149"/>
    <hyperlink r:id="rId588" ref="Y149"/>
    <hyperlink r:id="rId589" ref="B150"/>
    <hyperlink r:id="rId590" ref="C150"/>
    <hyperlink r:id="rId591" ref="E150"/>
    <hyperlink r:id="rId592" ref="Y150"/>
    <hyperlink r:id="rId593" ref="B151"/>
    <hyperlink r:id="rId594" ref="C151"/>
    <hyperlink r:id="rId595" ref="E151"/>
    <hyperlink r:id="rId596" ref="Y151"/>
    <hyperlink r:id="rId597" ref="B152"/>
    <hyperlink r:id="rId598" ref="C152"/>
    <hyperlink r:id="rId599" ref="E152"/>
    <hyperlink r:id="rId600" ref="Y152"/>
    <hyperlink r:id="rId601" ref="B153"/>
    <hyperlink r:id="rId602" ref="C153"/>
    <hyperlink r:id="rId603" ref="E153"/>
    <hyperlink r:id="rId604" ref="Y153"/>
    <hyperlink r:id="rId605" ref="B154"/>
    <hyperlink r:id="rId606" ref="C154"/>
    <hyperlink r:id="rId607" ref="E154"/>
    <hyperlink r:id="rId608" ref="Y154"/>
    <hyperlink r:id="rId609" ref="B155"/>
    <hyperlink r:id="rId610" ref="C155"/>
    <hyperlink r:id="rId611" ref="E155"/>
    <hyperlink r:id="rId612" ref="Y155"/>
    <hyperlink r:id="rId613" ref="B156"/>
    <hyperlink r:id="rId614" ref="C156"/>
    <hyperlink r:id="rId615" ref="E156"/>
    <hyperlink r:id="rId616" ref="Y156"/>
    <hyperlink r:id="rId617" ref="B157"/>
    <hyperlink r:id="rId618" ref="C157"/>
    <hyperlink r:id="rId619" ref="E157"/>
    <hyperlink r:id="rId620" ref="Y157"/>
    <hyperlink r:id="rId621" ref="B158"/>
    <hyperlink r:id="rId622" ref="C158"/>
    <hyperlink r:id="rId623" ref="E158"/>
    <hyperlink r:id="rId624" ref="Y158"/>
    <hyperlink r:id="rId625" ref="B159"/>
    <hyperlink r:id="rId626" ref="C159"/>
    <hyperlink r:id="rId627" ref="E159"/>
    <hyperlink r:id="rId628" ref="Y159"/>
    <hyperlink r:id="rId629" ref="B160"/>
    <hyperlink r:id="rId630" ref="C160"/>
    <hyperlink r:id="rId631" ref="E160"/>
    <hyperlink r:id="rId632" ref="Y160"/>
    <hyperlink r:id="rId633" ref="B161"/>
    <hyperlink r:id="rId634" ref="C161"/>
    <hyperlink r:id="rId635" ref="E161"/>
    <hyperlink r:id="rId636" ref="Y161"/>
    <hyperlink r:id="rId637" ref="B162"/>
    <hyperlink r:id="rId638" ref="C162"/>
    <hyperlink r:id="rId639" ref="E162"/>
    <hyperlink r:id="rId640" ref="Y162"/>
    <hyperlink r:id="rId641" ref="B163"/>
    <hyperlink r:id="rId642" ref="C163"/>
    <hyperlink r:id="rId643" ref="E163"/>
    <hyperlink r:id="rId644" ref="Y163"/>
    <hyperlink r:id="rId645" ref="B164"/>
    <hyperlink r:id="rId646" ref="C164"/>
    <hyperlink r:id="rId647" ref="E164"/>
    <hyperlink r:id="rId648" ref="Y164"/>
    <hyperlink r:id="rId649" ref="B165"/>
    <hyperlink r:id="rId650" ref="C165"/>
    <hyperlink r:id="rId651" ref="E165"/>
    <hyperlink r:id="rId652" ref="Y165"/>
    <hyperlink r:id="rId653" ref="B166"/>
    <hyperlink r:id="rId654" ref="C166"/>
    <hyperlink r:id="rId655" ref="E166"/>
    <hyperlink r:id="rId656" ref="Y166"/>
    <hyperlink r:id="rId657" ref="B167"/>
    <hyperlink r:id="rId658" ref="C167"/>
    <hyperlink r:id="rId659" ref="E167"/>
    <hyperlink r:id="rId660" ref="Y167"/>
    <hyperlink r:id="rId661" ref="B168"/>
    <hyperlink r:id="rId662" ref="C168"/>
    <hyperlink r:id="rId663" ref="E168"/>
    <hyperlink r:id="rId664" ref="Y168"/>
    <hyperlink r:id="rId665" ref="B169"/>
    <hyperlink r:id="rId666" ref="C169"/>
    <hyperlink r:id="rId667" ref="E169"/>
    <hyperlink r:id="rId668" ref="Y169"/>
    <hyperlink r:id="rId669" ref="B170"/>
    <hyperlink r:id="rId670" ref="C170"/>
    <hyperlink r:id="rId671" ref="E170"/>
    <hyperlink r:id="rId672" ref="Y170"/>
    <hyperlink r:id="rId673" ref="B171"/>
    <hyperlink r:id="rId674" ref="C171"/>
    <hyperlink r:id="rId675" ref="E171"/>
    <hyperlink r:id="rId676" ref="Y171"/>
    <hyperlink r:id="rId677" ref="B172"/>
    <hyperlink r:id="rId678" ref="C172"/>
    <hyperlink r:id="rId679" ref="E172"/>
    <hyperlink r:id="rId680" ref="Y172"/>
    <hyperlink r:id="rId681" ref="B173"/>
    <hyperlink r:id="rId682" ref="C173"/>
    <hyperlink r:id="rId683" ref="E173"/>
    <hyperlink r:id="rId684" ref="Y173"/>
    <hyperlink r:id="rId685" ref="B174"/>
    <hyperlink r:id="rId686" ref="C174"/>
    <hyperlink r:id="rId687" ref="E174"/>
    <hyperlink r:id="rId688" ref="Y174"/>
    <hyperlink r:id="rId689" ref="B175"/>
    <hyperlink r:id="rId690" ref="C175"/>
    <hyperlink r:id="rId691" ref="E175"/>
    <hyperlink r:id="rId692" ref="Y175"/>
    <hyperlink r:id="rId693" ref="B176"/>
    <hyperlink r:id="rId694" ref="C176"/>
    <hyperlink r:id="rId695" ref="E176"/>
    <hyperlink r:id="rId696" ref="Y176"/>
    <hyperlink r:id="rId697" ref="B177"/>
    <hyperlink r:id="rId698" ref="C177"/>
    <hyperlink r:id="rId699" ref="E177"/>
    <hyperlink r:id="rId700" ref="Y177"/>
    <hyperlink r:id="rId701" ref="B178"/>
    <hyperlink r:id="rId702" ref="C178"/>
    <hyperlink r:id="rId703" ref="E178"/>
    <hyperlink r:id="rId704" ref="Y178"/>
    <hyperlink r:id="rId705" ref="B179"/>
    <hyperlink r:id="rId706" ref="C179"/>
    <hyperlink r:id="rId707" ref="E179"/>
    <hyperlink r:id="rId708" ref="Y179"/>
    <hyperlink r:id="rId709" ref="B180"/>
    <hyperlink r:id="rId710" ref="C180"/>
    <hyperlink r:id="rId711" ref="E180"/>
    <hyperlink r:id="rId712" ref="Y180"/>
    <hyperlink r:id="rId713" ref="B181"/>
    <hyperlink r:id="rId714" ref="C181"/>
    <hyperlink r:id="rId715" ref="E181"/>
    <hyperlink r:id="rId716" ref="Y181"/>
    <hyperlink r:id="rId717" ref="B182"/>
    <hyperlink r:id="rId718" ref="C182"/>
    <hyperlink r:id="rId719" ref="E182"/>
    <hyperlink r:id="rId720" ref="Y182"/>
    <hyperlink r:id="rId721" ref="B183"/>
    <hyperlink r:id="rId722" ref="C183"/>
    <hyperlink r:id="rId723" ref="E183"/>
    <hyperlink r:id="rId724" ref="Y183"/>
    <hyperlink r:id="rId725" ref="B184"/>
    <hyperlink r:id="rId726" ref="C184"/>
    <hyperlink r:id="rId727" ref="E184"/>
    <hyperlink r:id="rId728" ref="Y184"/>
    <hyperlink r:id="rId729" ref="B185"/>
    <hyperlink r:id="rId730" ref="C185"/>
    <hyperlink r:id="rId731" ref="E185"/>
    <hyperlink r:id="rId732" ref="Y185"/>
    <hyperlink r:id="rId733" ref="B186"/>
    <hyperlink r:id="rId734" ref="C186"/>
    <hyperlink r:id="rId735" ref="E186"/>
    <hyperlink r:id="rId736" ref="Y186"/>
    <hyperlink r:id="rId737" ref="B187"/>
    <hyperlink r:id="rId738" ref="C187"/>
    <hyperlink r:id="rId739" ref="E187"/>
    <hyperlink r:id="rId740" ref="Y187"/>
    <hyperlink r:id="rId741" ref="B188"/>
    <hyperlink r:id="rId742" ref="C188"/>
    <hyperlink r:id="rId743" ref="E188"/>
    <hyperlink r:id="rId744" ref="Y188"/>
    <hyperlink r:id="rId745" ref="B189"/>
    <hyperlink r:id="rId746" ref="C189"/>
    <hyperlink r:id="rId747" ref="E189"/>
    <hyperlink r:id="rId748" ref="Y189"/>
    <hyperlink r:id="rId749" ref="B190"/>
    <hyperlink r:id="rId750" ref="C190"/>
    <hyperlink r:id="rId751" ref="E190"/>
    <hyperlink r:id="rId752" ref="Y190"/>
    <hyperlink r:id="rId753" ref="B191"/>
    <hyperlink r:id="rId754" ref="C191"/>
    <hyperlink r:id="rId755" ref="E191"/>
    <hyperlink r:id="rId756" ref="Y191"/>
    <hyperlink r:id="rId757" ref="B192"/>
    <hyperlink r:id="rId758" ref="C192"/>
    <hyperlink r:id="rId759" ref="E192"/>
    <hyperlink r:id="rId760" ref="Y192"/>
    <hyperlink r:id="rId761" ref="B193"/>
    <hyperlink r:id="rId762" ref="C193"/>
    <hyperlink r:id="rId763" ref="E193"/>
    <hyperlink r:id="rId764" ref="Y193"/>
    <hyperlink r:id="rId765" ref="B194"/>
    <hyperlink r:id="rId766" ref="C194"/>
    <hyperlink r:id="rId767" ref="E194"/>
    <hyperlink r:id="rId768" ref="Y194"/>
    <hyperlink r:id="rId769" ref="B195"/>
    <hyperlink r:id="rId770" ref="C195"/>
    <hyperlink r:id="rId771" ref="E195"/>
    <hyperlink r:id="rId772" ref="Y195"/>
    <hyperlink r:id="rId773" ref="B196"/>
    <hyperlink r:id="rId774" ref="C196"/>
    <hyperlink r:id="rId775" ref="E196"/>
    <hyperlink r:id="rId776" ref="Y196"/>
    <hyperlink r:id="rId777" ref="B197"/>
    <hyperlink r:id="rId778" ref="C197"/>
    <hyperlink r:id="rId779" ref="E197"/>
    <hyperlink r:id="rId780" ref="Y197"/>
    <hyperlink r:id="rId781" ref="B198"/>
    <hyperlink r:id="rId782" ref="C198"/>
    <hyperlink r:id="rId783" ref="E198"/>
    <hyperlink r:id="rId784" ref="Y198"/>
    <hyperlink r:id="rId785" ref="B199"/>
    <hyperlink r:id="rId786" ref="C199"/>
    <hyperlink r:id="rId787" ref="E199"/>
    <hyperlink r:id="rId788" ref="Y199"/>
    <hyperlink r:id="rId789" ref="B200"/>
    <hyperlink r:id="rId790" ref="C200"/>
    <hyperlink r:id="rId791" ref="E200"/>
    <hyperlink r:id="rId792" ref="Y200"/>
    <hyperlink r:id="rId793" ref="B201"/>
    <hyperlink r:id="rId794" ref="C201"/>
    <hyperlink r:id="rId795" ref="E201"/>
    <hyperlink r:id="rId796" ref="Y201"/>
    <hyperlink r:id="rId797" ref="B202"/>
    <hyperlink r:id="rId798" ref="C202"/>
    <hyperlink r:id="rId799" ref="E202"/>
    <hyperlink r:id="rId800" ref="Y202"/>
    <hyperlink r:id="rId801" ref="B203"/>
    <hyperlink r:id="rId802" ref="C203"/>
    <hyperlink r:id="rId803" ref="E203"/>
    <hyperlink r:id="rId804" ref="Y203"/>
    <hyperlink r:id="rId805" ref="B204"/>
    <hyperlink r:id="rId806" ref="C204"/>
    <hyperlink r:id="rId807" ref="E204"/>
    <hyperlink r:id="rId808" ref="Y204"/>
    <hyperlink r:id="rId809" ref="B205"/>
    <hyperlink r:id="rId810" ref="C205"/>
    <hyperlink r:id="rId811" ref="E205"/>
    <hyperlink r:id="rId812" ref="Y205"/>
    <hyperlink r:id="rId813" ref="B206"/>
    <hyperlink r:id="rId814" ref="C206"/>
    <hyperlink r:id="rId815" ref="E206"/>
    <hyperlink r:id="rId816" ref="Y206"/>
    <hyperlink r:id="rId817" ref="B207"/>
    <hyperlink r:id="rId818" ref="C207"/>
    <hyperlink r:id="rId819" ref="E207"/>
    <hyperlink r:id="rId820" ref="Y207"/>
    <hyperlink r:id="rId821" ref="B208"/>
    <hyperlink r:id="rId822" ref="C208"/>
    <hyperlink r:id="rId823" ref="E208"/>
    <hyperlink r:id="rId824" ref="Y208"/>
    <hyperlink r:id="rId825" ref="B209"/>
    <hyperlink r:id="rId826" ref="C209"/>
    <hyperlink r:id="rId827" ref="E209"/>
    <hyperlink r:id="rId828" ref="Y209"/>
    <hyperlink r:id="rId829" ref="B210"/>
    <hyperlink r:id="rId830" ref="C210"/>
    <hyperlink r:id="rId831" ref="E210"/>
    <hyperlink r:id="rId832" ref="Y210"/>
    <hyperlink r:id="rId833" ref="B211"/>
    <hyperlink r:id="rId834" ref="C211"/>
    <hyperlink r:id="rId835" ref="E211"/>
    <hyperlink r:id="rId836" ref="Y211"/>
    <hyperlink r:id="rId837" ref="B212"/>
    <hyperlink r:id="rId838" ref="C212"/>
    <hyperlink r:id="rId839" ref="E212"/>
    <hyperlink r:id="rId840" ref="Y212"/>
    <hyperlink r:id="rId841" ref="B213"/>
    <hyperlink r:id="rId842" ref="C213"/>
    <hyperlink r:id="rId843" ref="E213"/>
    <hyperlink r:id="rId844" ref="Y213"/>
    <hyperlink r:id="rId845" ref="B214"/>
    <hyperlink r:id="rId846" ref="C214"/>
    <hyperlink r:id="rId847" ref="E214"/>
    <hyperlink r:id="rId848" ref="Y214"/>
    <hyperlink r:id="rId849" ref="B215"/>
    <hyperlink r:id="rId850" ref="C215"/>
    <hyperlink r:id="rId851" ref="E215"/>
    <hyperlink r:id="rId852" ref="Y215"/>
    <hyperlink r:id="rId853" ref="B216"/>
    <hyperlink r:id="rId854" ref="C216"/>
    <hyperlink r:id="rId855" ref="E216"/>
    <hyperlink r:id="rId856" ref="Y216"/>
    <hyperlink r:id="rId857" ref="B217"/>
    <hyperlink r:id="rId858" ref="C217"/>
    <hyperlink r:id="rId859" ref="E217"/>
    <hyperlink r:id="rId860" ref="Y217"/>
    <hyperlink r:id="rId861" ref="B218"/>
    <hyperlink r:id="rId862" ref="C218"/>
    <hyperlink r:id="rId863" ref="E218"/>
    <hyperlink r:id="rId864" ref="Y218"/>
    <hyperlink r:id="rId865" ref="B219"/>
    <hyperlink r:id="rId866" ref="C219"/>
    <hyperlink r:id="rId867" ref="E219"/>
    <hyperlink r:id="rId868" ref="Y219"/>
    <hyperlink r:id="rId869" ref="B220"/>
    <hyperlink r:id="rId870" ref="C220"/>
    <hyperlink r:id="rId871" ref="E220"/>
    <hyperlink r:id="rId872" ref="Y220"/>
    <hyperlink r:id="rId873" ref="B221"/>
    <hyperlink r:id="rId874" ref="C221"/>
    <hyperlink r:id="rId875" ref="E221"/>
    <hyperlink r:id="rId876" ref="Y221"/>
    <hyperlink r:id="rId877" ref="B222"/>
    <hyperlink r:id="rId878" ref="C222"/>
    <hyperlink r:id="rId879" ref="E222"/>
    <hyperlink r:id="rId880" ref="Y222"/>
    <hyperlink r:id="rId881" ref="B223"/>
    <hyperlink r:id="rId882" ref="C223"/>
    <hyperlink r:id="rId883" ref="E223"/>
    <hyperlink r:id="rId884" ref="Y223"/>
    <hyperlink r:id="rId885" ref="B224"/>
    <hyperlink r:id="rId886" ref="C224"/>
    <hyperlink r:id="rId887" ref="E224"/>
    <hyperlink r:id="rId888" ref="Y224"/>
    <hyperlink r:id="rId889" ref="B225"/>
    <hyperlink r:id="rId890" ref="C225"/>
    <hyperlink r:id="rId891" ref="E225"/>
    <hyperlink r:id="rId892" ref="Y225"/>
    <hyperlink r:id="rId893" ref="B226"/>
    <hyperlink r:id="rId894" ref="C226"/>
    <hyperlink r:id="rId895" ref="E226"/>
    <hyperlink r:id="rId896" ref="Y226"/>
    <hyperlink r:id="rId897" ref="B227"/>
    <hyperlink r:id="rId898" ref="C227"/>
    <hyperlink r:id="rId899" ref="E227"/>
    <hyperlink r:id="rId900" ref="Y227"/>
    <hyperlink r:id="rId901" ref="B228"/>
    <hyperlink r:id="rId902" ref="C228"/>
    <hyperlink r:id="rId903" ref="E228"/>
    <hyperlink r:id="rId904" ref="Y228"/>
    <hyperlink r:id="rId905" ref="B229"/>
    <hyperlink r:id="rId906" ref="C229"/>
    <hyperlink r:id="rId907" ref="E229"/>
    <hyperlink r:id="rId908" ref="Y229"/>
    <hyperlink r:id="rId909" ref="B230"/>
    <hyperlink r:id="rId910" ref="C230"/>
    <hyperlink r:id="rId911" ref="E230"/>
    <hyperlink r:id="rId912" ref="Y230"/>
    <hyperlink r:id="rId913" ref="B231"/>
    <hyperlink r:id="rId914" ref="C231"/>
    <hyperlink r:id="rId915" ref="E231"/>
    <hyperlink r:id="rId916" ref="Y231"/>
    <hyperlink r:id="rId917" ref="B232"/>
    <hyperlink r:id="rId918" ref="C232"/>
    <hyperlink r:id="rId919" ref="E232"/>
    <hyperlink r:id="rId920" ref="Y232"/>
    <hyperlink r:id="rId921" ref="B233"/>
    <hyperlink r:id="rId922" ref="C233"/>
    <hyperlink r:id="rId923" ref="E233"/>
    <hyperlink r:id="rId924" ref="Y233"/>
    <hyperlink r:id="rId925" ref="B234"/>
    <hyperlink r:id="rId926" ref="C234"/>
    <hyperlink r:id="rId927" ref="E234"/>
    <hyperlink r:id="rId928" ref="Y234"/>
    <hyperlink r:id="rId929" ref="B235"/>
    <hyperlink r:id="rId930" ref="C235"/>
    <hyperlink r:id="rId931" ref="E235"/>
    <hyperlink r:id="rId932" ref="Y235"/>
    <hyperlink r:id="rId933" ref="B236"/>
    <hyperlink r:id="rId934" ref="C236"/>
    <hyperlink r:id="rId935" ref="E236"/>
    <hyperlink r:id="rId936" ref="Y236"/>
    <hyperlink r:id="rId937" ref="B237"/>
    <hyperlink r:id="rId938" ref="C237"/>
    <hyperlink r:id="rId939" ref="E237"/>
    <hyperlink r:id="rId940" ref="Y237"/>
    <hyperlink r:id="rId941" ref="B238"/>
    <hyperlink r:id="rId942" ref="C238"/>
    <hyperlink r:id="rId943" ref="E238"/>
    <hyperlink r:id="rId944" ref="Y238"/>
    <hyperlink r:id="rId945" ref="B239"/>
    <hyperlink r:id="rId946" ref="C239"/>
    <hyperlink r:id="rId947" ref="E239"/>
    <hyperlink r:id="rId948" ref="Y239"/>
    <hyperlink r:id="rId949" ref="B240"/>
    <hyperlink r:id="rId950" ref="C240"/>
    <hyperlink r:id="rId951" ref="E240"/>
    <hyperlink r:id="rId952" ref="Y240"/>
    <hyperlink r:id="rId953" ref="B241"/>
    <hyperlink r:id="rId954" ref="C241"/>
    <hyperlink r:id="rId955" ref="E241"/>
    <hyperlink r:id="rId956" ref="Y241"/>
    <hyperlink r:id="rId957" ref="B242"/>
    <hyperlink r:id="rId958" ref="C242"/>
    <hyperlink r:id="rId959" ref="E242"/>
    <hyperlink r:id="rId960" ref="Y242"/>
    <hyperlink r:id="rId961" ref="B243"/>
    <hyperlink r:id="rId962" ref="C243"/>
    <hyperlink r:id="rId963" ref="E243"/>
    <hyperlink r:id="rId964" ref="Y243"/>
    <hyperlink r:id="rId965" ref="B244"/>
    <hyperlink r:id="rId966" ref="C244"/>
    <hyperlink r:id="rId967" ref="E244"/>
    <hyperlink r:id="rId968" ref="Y244"/>
    <hyperlink r:id="rId969" ref="B245"/>
    <hyperlink r:id="rId970" ref="C245"/>
    <hyperlink r:id="rId971" ref="E245"/>
    <hyperlink r:id="rId972" ref="Y245"/>
    <hyperlink r:id="rId973" ref="B246"/>
    <hyperlink r:id="rId974" ref="C246"/>
    <hyperlink r:id="rId975" ref="E246"/>
    <hyperlink r:id="rId976" ref="Y246"/>
    <hyperlink r:id="rId977" ref="B247"/>
    <hyperlink r:id="rId978" ref="C247"/>
    <hyperlink r:id="rId979" ref="E247"/>
    <hyperlink r:id="rId980" ref="Y247"/>
    <hyperlink r:id="rId981" ref="B248"/>
    <hyperlink r:id="rId982" ref="C248"/>
    <hyperlink r:id="rId983" ref="E248"/>
    <hyperlink r:id="rId984" ref="Y248"/>
    <hyperlink r:id="rId985" ref="B249"/>
    <hyperlink r:id="rId986" ref="C249"/>
    <hyperlink r:id="rId987" ref="E249"/>
    <hyperlink r:id="rId988" ref="Y249"/>
    <hyperlink r:id="rId989" ref="B250"/>
    <hyperlink r:id="rId990" ref="C250"/>
    <hyperlink r:id="rId991" ref="E250"/>
    <hyperlink r:id="rId992" ref="Y250"/>
    <hyperlink r:id="rId993" ref="B251"/>
    <hyperlink r:id="rId994" ref="C251"/>
    <hyperlink r:id="rId995" ref="E251"/>
    <hyperlink r:id="rId996" ref="Y251"/>
    <hyperlink r:id="rId997" ref="B252"/>
    <hyperlink r:id="rId998" ref="C252"/>
    <hyperlink r:id="rId999" ref="E252"/>
    <hyperlink r:id="rId1000" ref="Y252"/>
    <hyperlink r:id="rId1001" ref="B253"/>
    <hyperlink r:id="rId1002" ref="C253"/>
    <hyperlink r:id="rId1003" ref="E253"/>
    <hyperlink r:id="rId1004" ref="Y253"/>
    <hyperlink r:id="rId1005" ref="B254"/>
    <hyperlink r:id="rId1006" ref="C254"/>
    <hyperlink r:id="rId1007" ref="E254"/>
    <hyperlink r:id="rId1008" ref="Y254"/>
    <hyperlink r:id="rId1009" ref="B255"/>
    <hyperlink r:id="rId1010" ref="C255"/>
    <hyperlink r:id="rId1011" ref="E255"/>
    <hyperlink r:id="rId1012" ref="Y255"/>
    <hyperlink r:id="rId1013" ref="B256"/>
    <hyperlink r:id="rId1014" ref="C256"/>
    <hyperlink r:id="rId1015" ref="E256"/>
    <hyperlink r:id="rId1016" ref="Y256"/>
    <hyperlink r:id="rId1017" ref="B257"/>
    <hyperlink r:id="rId1018" ref="C257"/>
    <hyperlink r:id="rId1019" ref="E257"/>
    <hyperlink r:id="rId1020" ref="Y257"/>
    <hyperlink r:id="rId1021" ref="B258"/>
    <hyperlink r:id="rId1022" ref="C258"/>
    <hyperlink r:id="rId1023" ref="E258"/>
    <hyperlink r:id="rId1024" ref="Y258"/>
    <hyperlink r:id="rId1025" ref="B259"/>
    <hyperlink r:id="rId1026" ref="C259"/>
    <hyperlink r:id="rId1027" ref="E259"/>
    <hyperlink r:id="rId1028" ref="Y259"/>
    <hyperlink r:id="rId1029" ref="B260"/>
    <hyperlink r:id="rId1030" ref="C260"/>
    <hyperlink r:id="rId1031" ref="E260"/>
    <hyperlink r:id="rId1032" ref="Y260"/>
    <hyperlink r:id="rId1033" ref="B261"/>
    <hyperlink r:id="rId1034" ref="C261"/>
    <hyperlink r:id="rId1035" ref="E261"/>
    <hyperlink r:id="rId1036" ref="Y261"/>
    <hyperlink r:id="rId1037" ref="B262"/>
    <hyperlink r:id="rId1038" ref="C262"/>
    <hyperlink r:id="rId1039" ref="E262"/>
    <hyperlink r:id="rId1040" ref="Y262"/>
    <hyperlink r:id="rId1041" ref="B263"/>
    <hyperlink r:id="rId1042" ref="C263"/>
    <hyperlink r:id="rId1043" ref="E263"/>
    <hyperlink r:id="rId1044" ref="Y263"/>
    <hyperlink r:id="rId1045" ref="B264"/>
    <hyperlink r:id="rId1046" ref="C264"/>
    <hyperlink r:id="rId1047" ref="E264"/>
    <hyperlink r:id="rId1048" ref="Y264"/>
    <hyperlink r:id="rId1049" ref="B265"/>
    <hyperlink r:id="rId1050" ref="C265"/>
    <hyperlink r:id="rId1051" ref="E265"/>
    <hyperlink r:id="rId1052" ref="Y265"/>
    <hyperlink r:id="rId1053" ref="B266"/>
    <hyperlink r:id="rId1054" ref="C266"/>
    <hyperlink r:id="rId1055" ref="E266"/>
    <hyperlink r:id="rId1056" ref="Y266"/>
    <hyperlink r:id="rId1057" ref="B267"/>
    <hyperlink r:id="rId1058" ref="C267"/>
    <hyperlink r:id="rId1059" ref="E267"/>
    <hyperlink r:id="rId1060" ref="Y267"/>
    <hyperlink r:id="rId1061" ref="B268"/>
    <hyperlink r:id="rId1062" ref="C268"/>
    <hyperlink r:id="rId1063" ref="E268"/>
    <hyperlink r:id="rId1064" ref="Y268"/>
    <hyperlink r:id="rId1065" ref="B269"/>
    <hyperlink r:id="rId1066" ref="C269"/>
    <hyperlink r:id="rId1067" ref="E269"/>
    <hyperlink r:id="rId1068" ref="Y269"/>
    <hyperlink r:id="rId1069" ref="B270"/>
    <hyperlink r:id="rId1070" ref="C270"/>
    <hyperlink r:id="rId1071" ref="E270"/>
    <hyperlink r:id="rId1072" ref="Y270"/>
    <hyperlink r:id="rId1073" ref="B271"/>
    <hyperlink r:id="rId1074" ref="C271"/>
    <hyperlink r:id="rId1075" ref="E271"/>
    <hyperlink r:id="rId1076" ref="Y271"/>
    <hyperlink r:id="rId1077" ref="B272"/>
    <hyperlink r:id="rId1078" ref="C272"/>
    <hyperlink r:id="rId1079" ref="E272"/>
    <hyperlink r:id="rId1080" ref="Y272"/>
    <hyperlink r:id="rId1081" ref="B273"/>
    <hyperlink r:id="rId1082" ref="C273"/>
    <hyperlink r:id="rId1083" ref="E273"/>
    <hyperlink r:id="rId1084" ref="Y273"/>
    <hyperlink r:id="rId1085" ref="B274"/>
    <hyperlink r:id="rId1086" ref="C274"/>
    <hyperlink r:id="rId1087" ref="E274"/>
    <hyperlink r:id="rId1088" ref="Y274"/>
    <hyperlink r:id="rId1089" ref="B275"/>
    <hyperlink r:id="rId1090" ref="C275"/>
    <hyperlink r:id="rId1091" ref="E275"/>
    <hyperlink r:id="rId1092" ref="Y275"/>
    <hyperlink r:id="rId1093" ref="B276"/>
    <hyperlink r:id="rId1094" ref="C276"/>
    <hyperlink r:id="rId1095" ref="E276"/>
    <hyperlink r:id="rId1096" ref="Y276"/>
    <hyperlink r:id="rId1097" ref="B277"/>
    <hyperlink r:id="rId1098" ref="C277"/>
    <hyperlink r:id="rId1099" ref="E277"/>
    <hyperlink r:id="rId1100" ref="Y277"/>
    <hyperlink r:id="rId1101" ref="B278"/>
    <hyperlink r:id="rId1102" ref="C278"/>
    <hyperlink r:id="rId1103" ref="E278"/>
    <hyperlink r:id="rId1104" ref="Y278"/>
    <hyperlink r:id="rId1105" ref="B279"/>
    <hyperlink r:id="rId1106" ref="C279"/>
    <hyperlink r:id="rId1107" ref="E279"/>
    <hyperlink r:id="rId1108" ref="Y279"/>
    <hyperlink r:id="rId1109" ref="B280"/>
    <hyperlink r:id="rId1110" ref="C280"/>
    <hyperlink r:id="rId1111" ref="E280"/>
    <hyperlink r:id="rId1112" ref="Y280"/>
    <hyperlink r:id="rId1113" ref="B281"/>
    <hyperlink r:id="rId1114" ref="C281"/>
    <hyperlink r:id="rId1115" ref="E281"/>
    <hyperlink r:id="rId1116" ref="Y281"/>
    <hyperlink r:id="rId1117" ref="B282"/>
    <hyperlink r:id="rId1118" ref="C282"/>
    <hyperlink r:id="rId1119" ref="E282"/>
    <hyperlink r:id="rId1120" ref="Y282"/>
    <hyperlink r:id="rId1121" ref="B283"/>
    <hyperlink r:id="rId1122" ref="C283"/>
    <hyperlink r:id="rId1123" ref="E283"/>
    <hyperlink r:id="rId1124" ref="Y283"/>
    <hyperlink r:id="rId1125" ref="B284"/>
    <hyperlink r:id="rId1126" ref="C284"/>
    <hyperlink r:id="rId1127" ref="E284"/>
    <hyperlink r:id="rId1128" ref="Y284"/>
    <hyperlink r:id="rId1129" ref="B285"/>
    <hyperlink r:id="rId1130" ref="C285"/>
    <hyperlink r:id="rId1131" ref="E285"/>
    <hyperlink r:id="rId1132" ref="Y285"/>
    <hyperlink r:id="rId1133" ref="B286"/>
    <hyperlink r:id="rId1134" ref="C286"/>
    <hyperlink r:id="rId1135" ref="E286"/>
    <hyperlink r:id="rId1136" ref="Y286"/>
    <hyperlink r:id="rId1137" ref="B287"/>
    <hyperlink r:id="rId1138" ref="C287"/>
    <hyperlink r:id="rId1139" ref="E287"/>
    <hyperlink r:id="rId1140" ref="Y287"/>
    <hyperlink r:id="rId1141" ref="B288"/>
    <hyperlink r:id="rId1142" ref="C288"/>
    <hyperlink r:id="rId1143" ref="E288"/>
    <hyperlink r:id="rId1144" ref="Y288"/>
    <hyperlink r:id="rId1145" ref="B289"/>
    <hyperlink r:id="rId1146" ref="C289"/>
    <hyperlink r:id="rId1147" ref="E289"/>
    <hyperlink r:id="rId1148" ref="Y289"/>
    <hyperlink r:id="rId1149" ref="B290"/>
    <hyperlink r:id="rId1150" ref="C290"/>
    <hyperlink r:id="rId1151" ref="E290"/>
    <hyperlink r:id="rId1152" ref="Y290"/>
    <hyperlink r:id="rId1153" ref="B291"/>
    <hyperlink r:id="rId1154" ref="C291"/>
    <hyperlink r:id="rId1155" ref="E291"/>
    <hyperlink r:id="rId1156" ref="Y291"/>
    <hyperlink r:id="rId1157" ref="B292"/>
    <hyperlink r:id="rId1158" ref="C292"/>
    <hyperlink r:id="rId1159" ref="E292"/>
    <hyperlink r:id="rId1160" ref="Y292"/>
    <hyperlink r:id="rId1161" ref="B293"/>
    <hyperlink r:id="rId1162" ref="C293"/>
    <hyperlink r:id="rId1163" ref="E293"/>
    <hyperlink r:id="rId1164" ref="Y293"/>
    <hyperlink r:id="rId1165" ref="B294"/>
    <hyperlink r:id="rId1166" ref="C294"/>
    <hyperlink r:id="rId1167" ref="E294"/>
    <hyperlink r:id="rId1168" ref="Y294"/>
    <hyperlink r:id="rId1169" ref="B295"/>
    <hyperlink r:id="rId1170" ref="C295"/>
    <hyperlink r:id="rId1171" ref="E295"/>
    <hyperlink r:id="rId1172" ref="Y295"/>
    <hyperlink r:id="rId1173" ref="B296"/>
    <hyperlink r:id="rId1174" ref="C296"/>
    <hyperlink r:id="rId1175" ref="E296"/>
    <hyperlink r:id="rId1176" ref="Y296"/>
    <hyperlink r:id="rId1177" ref="B297"/>
    <hyperlink r:id="rId1178" ref="C297"/>
    <hyperlink r:id="rId1179" ref="E297"/>
    <hyperlink r:id="rId1180" ref="Y297"/>
    <hyperlink r:id="rId1181" ref="B298"/>
    <hyperlink r:id="rId1182" ref="C298"/>
    <hyperlink r:id="rId1183" ref="E298"/>
    <hyperlink r:id="rId1184" ref="Y298"/>
    <hyperlink r:id="rId1185" ref="B299"/>
    <hyperlink r:id="rId1186" ref="C299"/>
    <hyperlink r:id="rId1187" ref="E299"/>
    <hyperlink r:id="rId1188" ref="Y299"/>
    <hyperlink r:id="rId1189" ref="B300"/>
    <hyperlink r:id="rId1190" ref="C300"/>
    <hyperlink r:id="rId1191" ref="E300"/>
    <hyperlink r:id="rId1192" ref="Y300"/>
    <hyperlink r:id="rId1193" ref="B301"/>
    <hyperlink r:id="rId1194" ref="C301"/>
    <hyperlink r:id="rId1195" ref="E301"/>
    <hyperlink r:id="rId1196" ref="Y301"/>
    <hyperlink r:id="rId1197" ref="B302"/>
    <hyperlink r:id="rId1198" ref="C302"/>
    <hyperlink r:id="rId1199" ref="E302"/>
    <hyperlink r:id="rId1200" ref="Y302"/>
    <hyperlink r:id="rId1201" ref="B303"/>
    <hyperlink r:id="rId1202" ref="C303"/>
    <hyperlink r:id="rId1203" ref="E303"/>
    <hyperlink r:id="rId1204" ref="Y303"/>
    <hyperlink r:id="rId1205" ref="B304"/>
    <hyperlink r:id="rId1206" ref="C304"/>
    <hyperlink r:id="rId1207" ref="E304"/>
    <hyperlink r:id="rId1208" ref="Y304"/>
    <hyperlink r:id="rId1209" ref="B305"/>
    <hyperlink r:id="rId1210" ref="C305"/>
    <hyperlink r:id="rId1211" ref="E305"/>
    <hyperlink r:id="rId1212" ref="Y305"/>
    <hyperlink r:id="rId1213" ref="B306"/>
    <hyperlink r:id="rId1214" ref="C306"/>
    <hyperlink r:id="rId1215" ref="E306"/>
    <hyperlink r:id="rId1216" ref="Y306"/>
    <hyperlink r:id="rId1217" ref="B307"/>
    <hyperlink r:id="rId1218" ref="C307"/>
    <hyperlink r:id="rId1219" ref="E307"/>
    <hyperlink r:id="rId1220" ref="Y307"/>
    <hyperlink r:id="rId1221" ref="B308"/>
    <hyperlink r:id="rId1222" ref="C308"/>
    <hyperlink r:id="rId1223" ref="E308"/>
    <hyperlink r:id="rId1224" ref="Y308"/>
    <hyperlink r:id="rId1225" ref="B309"/>
    <hyperlink r:id="rId1226" ref="C309"/>
    <hyperlink r:id="rId1227" ref="E309"/>
    <hyperlink r:id="rId1228" ref="Y309"/>
    <hyperlink r:id="rId1229" ref="B310"/>
    <hyperlink r:id="rId1230" ref="C310"/>
    <hyperlink r:id="rId1231" ref="E310"/>
    <hyperlink r:id="rId1232" ref="Y310"/>
    <hyperlink r:id="rId1233" ref="B311"/>
    <hyperlink r:id="rId1234" ref="C311"/>
    <hyperlink r:id="rId1235" ref="E311"/>
    <hyperlink r:id="rId1236" ref="Y311"/>
    <hyperlink r:id="rId1237" ref="B312"/>
    <hyperlink r:id="rId1238" ref="C312"/>
    <hyperlink r:id="rId1239" ref="E312"/>
    <hyperlink r:id="rId1240" ref="Y312"/>
    <hyperlink r:id="rId1241" ref="B313"/>
    <hyperlink r:id="rId1242" ref="C313"/>
    <hyperlink r:id="rId1243" ref="E313"/>
    <hyperlink r:id="rId1244" ref="Y313"/>
    <hyperlink r:id="rId1245" ref="B314"/>
    <hyperlink r:id="rId1246" ref="C314"/>
    <hyperlink r:id="rId1247" ref="E314"/>
    <hyperlink r:id="rId1248" ref="Y314"/>
    <hyperlink r:id="rId1249" ref="B315"/>
    <hyperlink r:id="rId1250" ref="C315"/>
    <hyperlink r:id="rId1251" ref="E315"/>
    <hyperlink r:id="rId1252" ref="Y315"/>
    <hyperlink r:id="rId1253" ref="B316"/>
    <hyperlink r:id="rId1254" ref="C316"/>
    <hyperlink r:id="rId1255" ref="E316"/>
    <hyperlink r:id="rId1256" ref="Y316"/>
    <hyperlink r:id="rId1257" ref="B317"/>
    <hyperlink r:id="rId1258" ref="C317"/>
    <hyperlink r:id="rId1259" ref="E317"/>
    <hyperlink r:id="rId1260" ref="Y317"/>
    <hyperlink r:id="rId1261" ref="B318"/>
    <hyperlink r:id="rId1262" ref="C318"/>
    <hyperlink r:id="rId1263" ref="E318"/>
    <hyperlink r:id="rId1264" ref="Y318"/>
    <hyperlink r:id="rId1265" ref="B319"/>
    <hyperlink r:id="rId1266" ref="C319"/>
    <hyperlink r:id="rId1267" ref="E319"/>
    <hyperlink r:id="rId1268" ref="Y319"/>
    <hyperlink r:id="rId1269" ref="B320"/>
    <hyperlink r:id="rId1270" ref="C320"/>
    <hyperlink r:id="rId1271" ref="E320"/>
    <hyperlink r:id="rId1272" ref="Y320"/>
    <hyperlink r:id="rId1273" ref="B321"/>
    <hyperlink r:id="rId1274" ref="C321"/>
    <hyperlink r:id="rId1275" ref="E321"/>
    <hyperlink r:id="rId1276" ref="Y321"/>
    <hyperlink r:id="rId1277" ref="B322"/>
    <hyperlink r:id="rId1278" ref="C322"/>
    <hyperlink r:id="rId1279" ref="E322"/>
    <hyperlink r:id="rId1280" ref="Y322"/>
    <hyperlink r:id="rId1281" ref="B323"/>
    <hyperlink r:id="rId1282" ref="C323"/>
    <hyperlink r:id="rId1283" ref="E323"/>
    <hyperlink r:id="rId1284" ref="Y323"/>
    <hyperlink r:id="rId1285" ref="B324"/>
    <hyperlink r:id="rId1286" ref="C324"/>
    <hyperlink r:id="rId1287" ref="E324"/>
    <hyperlink r:id="rId1288" ref="Y324"/>
    <hyperlink r:id="rId1289" ref="B325"/>
    <hyperlink r:id="rId1290" ref="C325"/>
    <hyperlink r:id="rId1291" ref="E325"/>
    <hyperlink r:id="rId1292" ref="Y325"/>
    <hyperlink r:id="rId1293" ref="B326"/>
    <hyperlink r:id="rId1294" ref="C326"/>
    <hyperlink r:id="rId1295" ref="E326"/>
    <hyperlink r:id="rId1296" ref="Y326"/>
    <hyperlink r:id="rId1297" ref="B327"/>
    <hyperlink r:id="rId1298" ref="C327"/>
    <hyperlink r:id="rId1299" ref="E327"/>
    <hyperlink r:id="rId1300" ref="Y327"/>
    <hyperlink r:id="rId1301" ref="B328"/>
    <hyperlink r:id="rId1302" ref="C328"/>
    <hyperlink r:id="rId1303" ref="E328"/>
    <hyperlink r:id="rId1304" ref="Y328"/>
    <hyperlink r:id="rId1305" ref="B329"/>
    <hyperlink r:id="rId1306" ref="C329"/>
    <hyperlink r:id="rId1307" ref="E329"/>
    <hyperlink r:id="rId1308" ref="Y329"/>
    <hyperlink r:id="rId1309" ref="B330"/>
    <hyperlink r:id="rId1310" ref="C330"/>
    <hyperlink r:id="rId1311" ref="E330"/>
    <hyperlink r:id="rId1312" ref="Y330"/>
    <hyperlink r:id="rId1313" ref="B331"/>
    <hyperlink r:id="rId1314" ref="C331"/>
    <hyperlink r:id="rId1315" ref="E331"/>
    <hyperlink r:id="rId1316" ref="Y331"/>
    <hyperlink r:id="rId1317" ref="B332"/>
    <hyperlink r:id="rId1318" ref="C332"/>
    <hyperlink r:id="rId1319" ref="E332"/>
    <hyperlink r:id="rId1320" ref="Y332"/>
    <hyperlink r:id="rId1321" ref="B333"/>
    <hyperlink r:id="rId1322" ref="C333"/>
    <hyperlink r:id="rId1323" ref="E333"/>
    <hyperlink r:id="rId1324" ref="Y333"/>
    <hyperlink r:id="rId1325" ref="B334"/>
    <hyperlink r:id="rId1326" ref="C334"/>
    <hyperlink r:id="rId1327" ref="E334"/>
    <hyperlink r:id="rId1328" ref="Y334"/>
    <hyperlink r:id="rId1329" ref="B335"/>
    <hyperlink r:id="rId1330" ref="C335"/>
    <hyperlink r:id="rId1331" ref="E335"/>
    <hyperlink r:id="rId1332" ref="Y335"/>
    <hyperlink r:id="rId1333" ref="B336"/>
    <hyperlink r:id="rId1334" ref="C336"/>
    <hyperlink r:id="rId1335" ref="E336"/>
    <hyperlink r:id="rId1336" ref="Y336"/>
    <hyperlink r:id="rId1337" ref="B337"/>
    <hyperlink r:id="rId1338" ref="C337"/>
    <hyperlink r:id="rId1339" ref="E337"/>
    <hyperlink r:id="rId1340" ref="Y337"/>
    <hyperlink r:id="rId1341" ref="B338"/>
    <hyperlink r:id="rId1342" ref="C338"/>
    <hyperlink r:id="rId1343" ref="E338"/>
    <hyperlink r:id="rId1344" ref="Y338"/>
    <hyperlink r:id="rId1345" ref="B339"/>
    <hyperlink r:id="rId1346" ref="C339"/>
    <hyperlink r:id="rId1347" ref="E339"/>
    <hyperlink r:id="rId1348" ref="Y339"/>
    <hyperlink r:id="rId1349" ref="B340"/>
    <hyperlink r:id="rId1350" ref="C340"/>
    <hyperlink r:id="rId1351" ref="E340"/>
    <hyperlink r:id="rId1352" ref="Y340"/>
    <hyperlink r:id="rId1353" ref="B341"/>
    <hyperlink r:id="rId1354" ref="C341"/>
    <hyperlink r:id="rId1355" ref="E341"/>
    <hyperlink r:id="rId1356" ref="Y341"/>
    <hyperlink r:id="rId1357" ref="B342"/>
    <hyperlink r:id="rId1358" ref="C342"/>
    <hyperlink r:id="rId1359" ref="E342"/>
    <hyperlink r:id="rId1360" ref="Y342"/>
    <hyperlink r:id="rId1361" ref="B343"/>
    <hyperlink r:id="rId1362" ref="C343"/>
    <hyperlink r:id="rId1363" ref="E343"/>
    <hyperlink r:id="rId1364" ref="Y343"/>
    <hyperlink r:id="rId1365" ref="B344"/>
    <hyperlink r:id="rId1366" ref="C344"/>
    <hyperlink r:id="rId1367" ref="E344"/>
    <hyperlink r:id="rId1368" ref="Y344"/>
    <hyperlink r:id="rId1369" ref="B345"/>
    <hyperlink r:id="rId1370" ref="C345"/>
    <hyperlink r:id="rId1371" ref="E345"/>
    <hyperlink r:id="rId1372" ref="Y345"/>
    <hyperlink r:id="rId1373" ref="B346"/>
    <hyperlink r:id="rId1374" ref="C346"/>
    <hyperlink r:id="rId1375" ref="E346"/>
    <hyperlink r:id="rId1376" ref="Y346"/>
    <hyperlink r:id="rId1377" ref="B347"/>
    <hyperlink r:id="rId1378" ref="C347"/>
    <hyperlink r:id="rId1379" ref="E347"/>
    <hyperlink r:id="rId1380" ref="Y347"/>
    <hyperlink r:id="rId1381" ref="B348"/>
    <hyperlink r:id="rId1382" ref="C348"/>
    <hyperlink r:id="rId1383" ref="E348"/>
    <hyperlink r:id="rId1384" ref="Y348"/>
    <hyperlink r:id="rId1385" ref="B349"/>
    <hyperlink r:id="rId1386" ref="C349"/>
    <hyperlink r:id="rId1387" ref="E349"/>
    <hyperlink r:id="rId1388" ref="Y349"/>
    <hyperlink r:id="rId1389" ref="B350"/>
    <hyperlink r:id="rId1390" ref="C350"/>
    <hyperlink r:id="rId1391" ref="E350"/>
    <hyperlink r:id="rId1392" ref="Y350"/>
    <hyperlink r:id="rId1393" ref="B351"/>
    <hyperlink r:id="rId1394" ref="C351"/>
    <hyperlink r:id="rId1395" ref="E351"/>
    <hyperlink r:id="rId1396" ref="Y351"/>
    <hyperlink r:id="rId1397" ref="B352"/>
    <hyperlink r:id="rId1398" ref="C352"/>
    <hyperlink r:id="rId1399" ref="E352"/>
    <hyperlink r:id="rId1400" ref="Y352"/>
    <hyperlink r:id="rId1401" ref="B353"/>
    <hyperlink r:id="rId1402" ref="C353"/>
    <hyperlink r:id="rId1403" ref="E353"/>
    <hyperlink r:id="rId1404" ref="Y353"/>
    <hyperlink r:id="rId1405" ref="B354"/>
    <hyperlink r:id="rId1406" ref="C354"/>
    <hyperlink r:id="rId1407" ref="E354"/>
    <hyperlink r:id="rId1408" ref="Y354"/>
    <hyperlink r:id="rId1409" ref="B355"/>
    <hyperlink r:id="rId1410" ref="C355"/>
    <hyperlink r:id="rId1411" ref="E355"/>
    <hyperlink r:id="rId1412" ref="Y355"/>
    <hyperlink r:id="rId1413" ref="B356"/>
    <hyperlink r:id="rId1414" ref="C356"/>
    <hyperlink r:id="rId1415" ref="E356"/>
    <hyperlink r:id="rId1416" ref="Y356"/>
    <hyperlink r:id="rId1417" ref="B357"/>
    <hyperlink r:id="rId1418" ref="C357"/>
    <hyperlink r:id="rId1419" ref="E357"/>
    <hyperlink r:id="rId1420" ref="Y357"/>
    <hyperlink r:id="rId1421" ref="B358"/>
    <hyperlink r:id="rId1422" ref="C358"/>
    <hyperlink r:id="rId1423" ref="E358"/>
    <hyperlink r:id="rId1424" ref="Y358"/>
    <hyperlink r:id="rId1425" ref="B359"/>
    <hyperlink r:id="rId1426" ref="C359"/>
    <hyperlink r:id="rId1427" ref="E359"/>
    <hyperlink r:id="rId1428" ref="Y359"/>
    <hyperlink r:id="rId1429" ref="B360"/>
    <hyperlink r:id="rId1430" ref="C360"/>
    <hyperlink r:id="rId1431" ref="E360"/>
    <hyperlink r:id="rId1432" ref="Y360"/>
    <hyperlink r:id="rId1433" ref="B361"/>
    <hyperlink r:id="rId1434" ref="C361"/>
    <hyperlink r:id="rId1435" ref="E361"/>
    <hyperlink r:id="rId1436" ref="Y361"/>
    <hyperlink r:id="rId1437" ref="B362"/>
    <hyperlink r:id="rId1438" ref="C362"/>
    <hyperlink r:id="rId1439" ref="E362"/>
    <hyperlink r:id="rId1440" ref="Y362"/>
    <hyperlink r:id="rId1441" ref="B363"/>
    <hyperlink r:id="rId1442" ref="C363"/>
    <hyperlink r:id="rId1443" ref="E363"/>
    <hyperlink r:id="rId1444" ref="Y363"/>
    <hyperlink r:id="rId1445" ref="B364"/>
    <hyperlink r:id="rId1446" ref="C364"/>
    <hyperlink r:id="rId1447" ref="E364"/>
    <hyperlink r:id="rId1448" ref="Y364"/>
    <hyperlink r:id="rId1449" ref="B365"/>
    <hyperlink r:id="rId1450" ref="C365"/>
    <hyperlink r:id="rId1451" ref="E365"/>
    <hyperlink r:id="rId1452" ref="Y365"/>
    <hyperlink r:id="rId1453" ref="B366"/>
    <hyperlink r:id="rId1454" ref="C366"/>
    <hyperlink r:id="rId1455" ref="E366"/>
    <hyperlink r:id="rId1456" ref="Y366"/>
    <hyperlink r:id="rId1457" ref="B367"/>
    <hyperlink r:id="rId1458" ref="C367"/>
    <hyperlink r:id="rId1459" ref="E367"/>
    <hyperlink r:id="rId1460" ref="Y367"/>
    <hyperlink r:id="rId1461" ref="B368"/>
    <hyperlink r:id="rId1462" ref="C368"/>
    <hyperlink r:id="rId1463" ref="E368"/>
    <hyperlink r:id="rId1464" ref="Y368"/>
    <hyperlink r:id="rId1465" ref="B369"/>
    <hyperlink r:id="rId1466" ref="C369"/>
    <hyperlink r:id="rId1467" ref="E369"/>
    <hyperlink r:id="rId1468" ref="Y369"/>
    <hyperlink r:id="rId1469" ref="B370"/>
    <hyperlink r:id="rId1470" ref="C370"/>
    <hyperlink r:id="rId1471" ref="E370"/>
    <hyperlink r:id="rId1472" ref="Y370"/>
    <hyperlink r:id="rId1473" ref="B371"/>
    <hyperlink r:id="rId1474" ref="C371"/>
    <hyperlink r:id="rId1475" ref="E371"/>
    <hyperlink r:id="rId1476" ref="Y371"/>
    <hyperlink r:id="rId1477" ref="B372"/>
    <hyperlink r:id="rId1478" ref="C372"/>
    <hyperlink r:id="rId1479" ref="E372"/>
    <hyperlink r:id="rId1480" ref="Y372"/>
    <hyperlink r:id="rId1481" ref="B373"/>
    <hyperlink r:id="rId1482" ref="C373"/>
    <hyperlink r:id="rId1483" ref="E373"/>
    <hyperlink r:id="rId1484" ref="Y373"/>
    <hyperlink r:id="rId1485" ref="B374"/>
    <hyperlink r:id="rId1486" ref="C374"/>
    <hyperlink r:id="rId1487" ref="E374"/>
    <hyperlink r:id="rId1488" ref="Y374"/>
    <hyperlink r:id="rId1489" ref="B375"/>
    <hyperlink r:id="rId1490" ref="C375"/>
    <hyperlink r:id="rId1491" ref="E375"/>
    <hyperlink r:id="rId1492" ref="Y375"/>
    <hyperlink r:id="rId1493" ref="B376"/>
    <hyperlink r:id="rId1494" ref="C376"/>
    <hyperlink r:id="rId1495" ref="E376"/>
    <hyperlink r:id="rId1496" ref="Y376"/>
    <hyperlink r:id="rId1497" ref="B377"/>
    <hyperlink r:id="rId1498" ref="C377"/>
    <hyperlink r:id="rId1499" ref="E377"/>
    <hyperlink r:id="rId1500" ref="Y377"/>
    <hyperlink r:id="rId1501" ref="B378"/>
    <hyperlink r:id="rId1502" ref="C378"/>
    <hyperlink r:id="rId1503" ref="E378"/>
    <hyperlink r:id="rId1504" ref="Y378"/>
    <hyperlink r:id="rId1505" ref="B379"/>
    <hyperlink r:id="rId1506" ref="C379"/>
    <hyperlink r:id="rId1507" ref="E379"/>
    <hyperlink r:id="rId1508" ref="Y379"/>
    <hyperlink r:id="rId1509" ref="B380"/>
    <hyperlink r:id="rId1510" ref="C380"/>
    <hyperlink r:id="rId1511" ref="E380"/>
    <hyperlink r:id="rId1512" ref="Y380"/>
    <hyperlink r:id="rId1513" ref="B381"/>
    <hyperlink r:id="rId1514" ref="C381"/>
    <hyperlink r:id="rId1515" ref="E381"/>
    <hyperlink r:id="rId1516" ref="Y381"/>
    <hyperlink r:id="rId1517" ref="B382"/>
    <hyperlink r:id="rId1518" ref="C382"/>
    <hyperlink r:id="rId1519" ref="E382"/>
    <hyperlink r:id="rId1520" ref="Y382"/>
    <hyperlink r:id="rId1521" ref="B383"/>
    <hyperlink r:id="rId1522" ref="C383"/>
    <hyperlink r:id="rId1523" ref="E383"/>
    <hyperlink r:id="rId1524" ref="Y383"/>
    <hyperlink r:id="rId1525" ref="B384"/>
    <hyperlink r:id="rId1526" ref="C384"/>
    <hyperlink r:id="rId1527" ref="E384"/>
    <hyperlink r:id="rId1528" ref="Y384"/>
    <hyperlink r:id="rId1529" ref="B385"/>
    <hyperlink r:id="rId1530" ref="C385"/>
    <hyperlink r:id="rId1531" ref="E385"/>
    <hyperlink r:id="rId1532" ref="Y385"/>
    <hyperlink r:id="rId1533" ref="B386"/>
    <hyperlink r:id="rId1534" ref="C386"/>
    <hyperlink r:id="rId1535" ref="E386"/>
    <hyperlink r:id="rId1536" ref="Y386"/>
    <hyperlink r:id="rId1537" ref="B387"/>
    <hyperlink r:id="rId1538" ref="C387"/>
    <hyperlink r:id="rId1539" ref="E387"/>
    <hyperlink r:id="rId1540" ref="Y387"/>
    <hyperlink r:id="rId1541" ref="B388"/>
    <hyperlink r:id="rId1542" ref="C388"/>
    <hyperlink r:id="rId1543" ref="E388"/>
    <hyperlink r:id="rId1544" ref="Y388"/>
    <hyperlink r:id="rId1545" ref="B389"/>
    <hyperlink r:id="rId1546" ref="C389"/>
    <hyperlink r:id="rId1547" ref="E389"/>
    <hyperlink r:id="rId1548" ref="Y389"/>
    <hyperlink r:id="rId1549" ref="B390"/>
    <hyperlink r:id="rId1550" ref="C390"/>
    <hyperlink r:id="rId1551" ref="E390"/>
    <hyperlink r:id="rId1552" ref="Y390"/>
    <hyperlink r:id="rId1553" ref="B391"/>
    <hyperlink r:id="rId1554" ref="C391"/>
    <hyperlink r:id="rId1555" ref="E391"/>
    <hyperlink r:id="rId1556" ref="Y391"/>
    <hyperlink r:id="rId1557" ref="B392"/>
    <hyperlink r:id="rId1558" ref="C392"/>
    <hyperlink r:id="rId1559" ref="E392"/>
    <hyperlink r:id="rId1560" ref="Y392"/>
    <hyperlink r:id="rId1561" ref="B393"/>
    <hyperlink r:id="rId1562" ref="C393"/>
    <hyperlink r:id="rId1563" ref="E393"/>
    <hyperlink r:id="rId1564" ref="Y393"/>
    <hyperlink r:id="rId1565" ref="B394"/>
    <hyperlink r:id="rId1566" ref="C394"/>
    <hyperlink r:id="rId1567" ref="E394"/>
    <hyperlink r:id="rId1568" ref="Y394"/>
    <hyperlink r:id="rId1569" ref="B395"/>
    <hyperlink r:id="rId1570" ref="C395"/>
    <hyperlink r:id="rId1571" ref="E395"/>
    <hyperlink r:id="rId1572" ref="Y395"/>
    <hyperlink r:id="rId1573" ref="B396"/>
    <hyperlink r:id="rId1574" ref="C396"/>
    <hyperlink r:id="rId1575" ref="E396"/>
    <hyperlink r:id="rId1576" ref="Y396"/>
    <hyperlink r:id="rId1577" ref="B397"/>
    <hyperlink r:id="rId1578" ref="C397"/>
    <hyperlink r:id="rId1579" ref="E397"/>
    <hyperlink r:id="rId1580" ref="Y397"/>
    <hyperlink r:id="rId1581" ref="B398"/>
    <hyperlink r:id="rId1582" ref="C398"/>
    <hyperlink r:id="rId1583" ref="E398"/>
    <hyperlink r:id="rId1584" ref="Y398"/>
    <hyperlink r:id="rId1585" ref="B399"/>
    <hyperlink r:id="rId1586" ref="C399"/>
    <hyperlink r:id="rId1587" ref="E399"/>
    <hyperlink r:id="rId1588" ref="Y399"/>
    <hyperlink r:id="rId1589" ref="B400"/>
    <hyperlink r:id="rId1590" ref="C400"/>
    <hyperlink r:id="rId1591" ref="E400"/>
    <hyperlink r:id="rId1592" ref="Y400"/>
    <hyperlink r:id="rId1593" ref="B401"/>
    <hyperlink r:id="rId1594" ref="C401"/>
    <hyperlink r:id="rId1595" ref="E401"/>
    <hyperlink r:id="rId1596" ref="Y401"/>
    <hyperlink r:id="rId1597" ref="B402"/>
    <hyperlink r:id="rId1598" ref="C402"/>
    <hyperlink r:id="rId1599" ref="E402"/>
    <hyperlink r:id="rId1600" ref="Y402"/>
    <hyperlink r:id="rId1601" ref="B403"/>
    <hyperlink r:id="rId1602" ref="C403"/>
    <hyperlink r:id="rId1603" ref="E403"/>
    <hyperlink r:id="rId1604" ref="Y403"/>
    <hyperlink r:id="rId1605" ref="B404"/>
    <hyperlink r:id="rId1606" ref="C404"/>
    <hyperlink r:id="rId1607" ref="E404"/>
    <hyperlink r:id="rId1608" ref="Y404"/>
    <hyperlink r:id="rId1609" ref="B405"/>
    <hyperlink r:id="rId1610" ref="C405"/>
    <hyperlink r:id="rId1611" ref="E405"/>
    <hyperlink r:id="rId1612" ref="Y405"/>
    <hyperlink r:id="rId1613" ref="B406"/>
    <hyperlink r:id="rId1614" ref="C406"/>
    <hyperlink r:id="rId1615" ref="E406"/>
    <hyperlink r:id="rId1616" ref="Y406"/>
    <hyperlink r:id="rId1617" ref="B407"/>
    <hyperlink r:id="rId1618" ref="C407"/>
    <hyperlink r:id="rId1619" ref="E407"/>
    <hyperlink r:id="rId1620" ref="Y407"/>
    <hyperlink r:id="rId1621" ref="B408"/>
    <hyperlink r:id="rId1622" ref="C408"/>
    <hyperlink r:id="rId1623" ref="E408"/>
    <hyperlink r:id="rId1624" ref="Y408"/>
    <hyperlink r:id="rId1625" ref="B409"/>
    <hyperlink r:id="rId1626" ref="C409"/>
    <hyperlink r:id="rId1627" ref="E409"/>
    <hyperlink r:id="rId1628" ref="Y409"/>
    <hyperlink r:id="rId1629" ref="B410"/>
    <hyperlink r:id="rId1630" ref="C410"/>
    <hyperlink r:id="rId1631" ref="E410"/>
    <hyperlink r:id="rId1632" ref="Y410"/>
    <hyperlink r:id="rId1633" ref="B411"/>
    <hyperlink r:id="rId1634" ref="C411"/>
    <hyperlink r:id="rId1635" ref="E411"/>
    <hyperlink r:id="rId1636" ref="Y411"/>
    <hyperlink r:id="rId1637" ref="B412"/>
    <hyperlink r:id="rId1638" ref="C412"/>
    <hyperlink r:id="rId1639" ref="E412"/>
    <hyperlink r:id="rId1640" ref="Y412"/>
    <hyperlink r:id="rId1641" ref="B413"/>
    <hyperlink r:id="rId1642" ref="C413"/>
    <hyperlink r:id="rId1643" ref="E413"/>
    <hyperlink r:id="rId1644" ref="Y413"/>
    <hyperlink r:id="rId1645" ref="B414"/>
    <hyperlink r:id="rId1646" ref="C414"/>
    <hyperlink r:id="rId1647" ref="E414"/>
    <hyperlink r:id="rId1648" ref="Y414"/>
    <hyperlink r:id="rId1649" ref="B415"/>
    <hyperlink r:id="rId1650" ref="C415"/>
    <hyperlink r:id="rId1651" ref="E415"/>
    <hyperlink r:id="rId1652" ref="Y415"/>
    <hyperlink r:id="rId1653" ref="B416"/>
    <hyperlink r:id="rId1654" ref="C416"/>
    <hyperlink r:id="rId1655" ref="E416"/>
    <hyperlink r:id="rId1656" ref="Y416"/>
    <hyperlink r:id="rId1657" ref="B417"/>
    <hyperlink r:id="rId1658" ref="C417"/>
    <hyperlink r:id="rId1659" ref="E417"/>
    <hyperlink r:id="rId1660" ref="Y417"/>
    <hyperlink r:id="rId1661" ref="B418"/>
    <hyperlink r:id="rId1662" ref="C418"/>
    <hyperlink r:id="rId1663" ref="E418"/>
    <hyperlink r:id="rId1664" ref="Y418"/>
    <hyperlink r:id="rId1665" ref="B419"/>
    <hyperlink r:id="rId1666" ref="C419"/>
    <hyperlink r:id="rId1667" ref="E419"/>
    <hyperlink r:id="rId1668" ref="Y419"/>
    <hyperlink r:id="rId1669" ref="B420"/>
    <hyperlink r:id="rId1670" ref="C420"/>
    <hyperlink r:id="rId1671" ref="E420"/>
    <hyperlink r:id="rId1672" ref="Y420"/>
    <hyperlink r:id="rId1673" ref="B421"/>
    <hyperlink r:id="rId1674" ref="C421"/>
    <hyperlink r:id="rId1675" ref="E421"/>
    <hyperlink r:id="rId1676" ref="Y421"/>
    <hyperlink r:id="rId1677" ref="B422"/>
    <hyperlink r:id="rId1678" ref="C422"/>
    <hyperlink r:id="rId1679" ref="E422"/>
    <hyperlink r:id="rId1680" ref="Y422"/>
    <hyperlink r:id="rId1681" ref="B423"/>
    <hyperlink r:id="rId1682" ref="C423"/>
    <hyperlink r:id="rId1683" ref="E423"/>
    <hyperlink r:id="rId1684" ref="Y423"/>
    <hyperlink r:id="rId1685" ref="B424"/>
    <hyperlink r:id="rId1686" ref="C424"/>
    <hyperlink r:id="rId1687" ref="E424"/>
    <hyperlink r:id="rId1688" ref="Y424"/>
    <hyperlink r:id="rId1689" ref="B425"/>
    <hyperlink r:id="rId1690" ref="C425"/>
    <hyperlink r:id="rId1691" ref="E425"/>
    <hyperlink r:id="rId1692" ref="Y425"/>
    <hyperlink r:id="rId1693" ref="B426"/>
    <hyperlink r:id="rId1694" ref="C426"/>
    <hyperlink r:id="rId1695" ref="E426"/>
    <hyperlink r:id="rId1696" ref="Y426"/>
    <hyperlink r:id="rId1697" ref="B427"/>
    <hyperlink r:id="rId1698" ref="C427"/>
    <hyperlink r:id="rId1699" ref="E427"/>
    <hyperlink r:id="rId1700" ref="Y427"/>
    <hyperlink r:id="rId1701" ref="B428"/>
    <hyperlink r:id="rId1702" ref="C428"/>
    <hyperlink r:id="rId1703" ref="E428"/>
    <hyperlink r:id="rId1704" ref="Y428"/>
    <hyperlink r:id="rId1705" ref="B429"/>
    <hyperlink r:id="rId1706" ref="C429"/>
    <hyperlink r:id="rId1707" ref="E429"/>
    <hyperlink r:id="rId1708" ref="Y429"/>
    <hyperlink r:id="rId1709" ref="B430"/>
    <hyperlink r:id="rId1710" ref="C430"/>
    <hyperlink r:id="rId1711" ref="E430"/>
    <hyperlink r:id="rId1712" ref="Y430"/>
    <hyperlink r:id="rId1713" ref="B431"/>
    <hyperlink r:id="rId1714" ref="C431"/>
    <hyperlink r:id="rId1715" ref="E431"/>
    <hyperlink r:id="rId1716" ref="Y431"/>
    <hyperlink r:id="rId1717" ref="B432"/>
    <hyperlink r:id="rId1718" ref="C432"/>
    <hyperlink r:id="rId1719" ref="E432"/>
    <hyperlink r:id="rId1720" ref="Y432"/>
    <hyperlink r:id="rId1721" ref="B433"/>
    <hyperlink r:id="rId1722" ref="C433"/>
    <hyperlink r:id="rId1723" ref="E433"/>
    <hyperlink r:id="rId1724" ref="Y433"/>
    <hyperlink r:id="rId1725" ref="B434"/>
    <hyperlink r:id="rId1726" ref="C434"/>
    <hyperlink r:id="rId1727" ref="E434"/>
    <hyperlink r:id="rId1728" ref="Y434"/>
    <hyperlink r:id="rId1729" ref="B435"/>
    <hyperlink r:id="rId1730" ref="C435"/>
    <hyperlink r:id="rId1731" ref="E435"/>
    <hyperlink r:id="rId1732" ref="Y435"/>
    <hyperlink r:id="rId1733" ref="B436"/>
    <hyperlink r:id="rId1734" ref="C436"/>
    <hyperlink r:id="rId1735" ref="E436"/>
    <hyperlink r:id="rId1736" ref="Y436"/>
    <hyperlink r:id="rId1737" ref="B437"/>
    <hyperlink r:id="rId1738" ref="C437"/>
    <hyperlink r:id="rId1739" ref="E437"/>
    <hyperlink r:id="rId1740" ref="Y437"/>
    <hyperlink r:id="rId1741" ref="B438"/>
    <hyperlink r:id="rId1742" ref="C438"/>
    <hyperlink r:id="rId1743" ref="E438"/>
    <hyperlink r:id="rId1744" ref="Y438"/>
    <hyperlink r:id="rId1745" ref="B439"/>
    <hyperlink r:id="rId1746" ref="C439"/>
    <hyperlink r:id="rId1747" ref="E439"/>
    <hyperlink r:id="rId1748" ref="Y439"/>
    <hyperlink r:id="rId1749" ref="B440"/>
    <hyperlink r:id="rId1750" ref="C440"/>
    <hyperlink r:id="rId1751" ref="E440"/>
    <hyperlink r:id="rId1752" ref="Y440"/>
    <hyperlink r:id="rId1753" ref="B441"/>
    <hyperlink r:id="rId1754" ref="C441"/>
    <hyperlink r:id="rId1755" ref="E441"/>
    <hyperlink r:id="rId1756" ref="Y441"/>
    <hyperlink r:id="rId1757" ref="B442"/>
    <hyperlink r:id="rId1758" ref="C442"/>
    <hyperlink r:id="rId1759" ref="E442"/>
    <hyperlink r:id="rId1760" ref="Y442"/>
    <hyperlink r:id="rId1761" ref="B443"/>
    <hyperlink r:id="rId1762" ref="C443"/>
    <hyperlink r:id="rId1763" ref="E443"/>
    <hyperlink r:id="rId1764" ref="Y443"/>
    <hyperlink r:id="rId1765" ref="B444"/>
    <hyperlink r:id="rId1766" ref="C444"/>
    <hyperlink r:id="rId1767" ref="E444"/>
    <hyperlink r:id="rId1768" ref="Y444"/>
    <hyperlink r:id="rId1769" ref="B445"/>
    <hyperlink r:id="rId1770" ref="C445"/>
    <hyperlink r:id="rId1771" ref="E445"/>
    <hyperlink r:id="rId1772" ref="Y445"/>
    <hyperlink r:id="rId1773" ref="B446"/>
    <hyperlink r:id="rId1774" ref="C446"/>
    <hyperlink r:id="rId1775" ref="E446"/>
    <hyperlink r:id="rId1776" ref="Y446"/>
    <hyperlink r:id="rId1777" ref="B447"/>
    <hyperlink r:id="rId1778" ref="C447"/>
    <hyperlink r:id="rId1779" ref="E447"/>
    <hyperlink r:id="rId1780" ref="Y447"/>
    <hyperlink r:id="rId1781" ref="B448"/>
    <hyperlink r:id="rId1782" ref="C448"/>
    <hyperlink r:id="rId1783" ref="E448"/>
    <hyperlink r:id="rId1784" ref="Y448"/>
    <hyperlink r:id="rId1785" ref="B449"/>
    <hyperlink r:id="rId1786" ref="C449"/>
    <hyperlink r:id="rId1787" ref="E449"/>
    <hyperlink r:id="rId1788" ref="Y449"/>
    <hyperlink r:id="rId1789" ref="B450"/>
    <hyperlink r:id="rId1790" ref="C450"/>
    <hyperlink r:id="rId1791" ref="E450"/>
    <hyperlink r:id="rId1792" ref="Y450"/>
    <hyperlink r:id="rId1793" ref="B451"/>
    <hyperlink r:id="rId1794" ref="C451"/>
    <hyperlink r:id="rId1795" ref="E451"/>
    <hyperlink r:id="rId1796" ref="Y451"/>
    <hyperlink r:id="rId1797" ref="B452"/>
    <hyperlink r:id="rId1798" ref="C452"/>
    <hyperlink r:id="rId1799" ref="E452"/>
    <hyperlink r:id="rId1800" ref="Y452"/>
    <hyperlink r:id="rId1801" ref="B453"/>
    <hyperlink r:id="rId1802" ref="C453"/>
    <hyperlink r:id="rId1803" ref="E453"/>
    <hyperlink r:id="rId1804" ref="Y453"/>
    <hyperlink r:id="rId1805" ref="B454"/>
    <hyperlink r:id="rId1806" ref="C454"/>
    <hyperlink r:id="rId1807" ref="E454"/>
    <hyperlink r:id="rId1808" ref="Y454"/>
    <hyperlink r:id="rId1809" ref="B455"/>
    <hyperlink r:id="rId1810" ref="C455"/>
    <hyperlink r:id="rId1811" ref="E455"/>
    <hyperlink r:id="rId1812" ref="Y455"/>
    <hyperlink r:id="rId1813" ref="B456"/>
    <hyperlink r:id="rId1814" ref="C456"/>
    <hyperlink r:id="rId1815" ref="E456"/>
    <hyperlink r:id="rId1816" ref="Y456"/>
    <hyperlink r:id="rId1817" ref="B457"/>
    <hyperlink r:id="rId1818" ref="C457"/>
    <hyperlink r:id="rId1819" ref="E457"/>
    <hyperlink r:id="rId1820" ref="Y457"/>
    <hyperlink r:id="rId1821" ref="B458"/>
    <hyperlink r:id="rId1822" ref="C458"/>
    <hyperlink r:id="rId1823" ref="E458"/>
    <hyperlink r:id="rId1824" ref="Y458"/>
    <hyperlink r:id="rId1825" ref="B459"/>
    <hyperlink r:id="rId1826" ref="C459"/>
    <hyperlink r:id="rId1827" ref="E459"/>
    <hyperlink r:id="rId1828" ref="Y459"/>
    <hyperlink r:id="rId1829" ref="B460"/>
    <hyperlink r:id="rId1830" ref="C460"/>
    <hyperlink r:id="rId1831" ref="E460"/>
    <hyperlink r:id="rId1832" ref="Y460"/>
    <hyperlink r:id="rId1833" ref="B461"/>
    <hyperlink r:id="rId1834" ref="C461"/>
    <hyperlink r:id="rId1835" ref="E461"/>
    <hyperlink r:id="rId1836" ref="Y461"/>
    <hyperlink r:id="rId1837" ref="B462"/>
    <hyperlink r:id="rId1838" ref="C462"/>
    <hyperlink r:id="rId1839" ref="E462"/>
    <hyperlink r:id="rId1840" ref="Y462"/>
    <hyperlink r:id="rId1841" ref="B463"/>
    <hyperlink r:id="rId1842" ref="C463"/>
    <hyperlink r:id="rId1843" ref="E463"/>
    <hyperlink r:id="rId1844" ref="Y463"/>
    <hyperlink r:id="rId1845" ref="B464"/>
    <hyperlink r:id="rId1846" ref="C464"/>
    <hyperlink r:id="rId1847" ref="E464"/>
    <hyperlink r:id="rId1848" ref="Y464"/>
    <hyperlink r:id="rId1849" ref="B465"/>
    <hyperlink r:id="rId1850" ref="C465"/>
    <hyperlink r:id="rId1851" ref="E465"/>
    <hyperlink r:id="rId1852" ref="Y465"/>
    <hyperlink r:id="rId1853" ref="B466"/>
    <hyperlink r:id="rId1854" ref="C466"/>
    <hyperlink r:id="rId1855" ref="E466"/>
    <hyperlink r:id="rId1856" ref="Y466"/>
    <hyperlink r:id="rId1857" ref="B467"/>
    <hyperlink r:id="rId1858" ref="C467"/>
    <hyperlink r:id="rId1859" ref="E467"/>
    <hyperlink r:id="rId1860" ref="Y467"/>
    <hyperlink r:id="rId1861" ref="B468"/>
    <hyperlink r:id="rId1862" ref="C468"/>
    <hyperlink r:id="rId1863" ref="E468"/>
    <hyperlink r:id="rId1864" ref="Y468"/>
    <hyperlink r:id="rId1865" ref="B469"/>
    <hyperlink r:id="rId1866" ref="C469"/>
    <hyperlink r:id="rId1867" ref="E469"/>
    <hyperlink r:id="rId1868" ref="Y469"/>
    <hyperlink r:id="rId1869" ref="B470"/>
    <hyperlink r:id="rId1870" ref="C470"/>
    <hyperlink r:id="rId1871" ref="E470"/>
    <hyperlink r:id="rId1872" ref="Y470"/>
    <hyperlink r:id="rId1873" ref="B471"/>
    <hyperlink r:id="rId1874" ref="C471"/>
    <hyperlink r:id="rId1875" ref="E471"/>
    <hyperlink r:id="rId1876" ref="Y471"/>
    <hyperlink r:id="rId1877" ref="B472"/>
    <hyperlink r:id="rId1878" ref="C472"/>
    <hyperlink r:id="rId1879" ref="E472"/>
    <hyperlink r:id="rId1880" ref="Y472"/>
    <hyperlink r:id="rId1881" ref="B473"/>
    <hyperlink r:id="rId1882" ref="C473"/>
    <hyperlink r:id="rId1883" ref="E473"/>
    <hyperlink r:id="rId1884" ref="Y473"/>
    <hyperlink r:id="rId1885" ref="B474"/>
    <hyperlink r:id="rId1886" ref="C474"/>
    <hyperlink r:id="rId1887" ref="E474"/>
    <hyperlink r:id="rId1888" ref="Y474"/>
    <hyperlink r:id="rId1889" ref="B475"/>
    <hyperlink r:id="rId1890" ref="C475"/>
    <hyperlink r:id="rId1891" ref="E475"/>
    <hyperlink r:id="rId1892" ref="Y475"/>
    <hyperlink r:id="rId1893" ref="B476"/>
    <hyperlink r:id="rId1894" ref="C476"/>
    <hyperlink r:id="rId1895" ref="E476"/>
    <hyperlink r:id="rId1896" ref="Y476"/>
    <hyperlink r:id="rId1897" ref="B477"/>
    <hyperlink r:id="rId1898" ref="C477"/>
    <hyperlink r:id="rId1899" ref="E477"/>
    <hyperlink r:id="rId1900" ref="Y477"/>
    <hyperlink r:id="rId1901" ref="B478"/>
    <hyperlink r:id="rId1902" ref="C478"/>
    <hyperlink r:id="rId1903" ref="E478"/>
    <hyperlink r:id="rId1904" ref="Y478"/>
    <hyperlink r:id="rId1905" ref="B479"/>
    <hyperlink r:id="rId1906" ref="C479"/>
    <hyperlink r:id="rId1907" ref="E479"/>
    <hyperlink r:id="rId1908" ref="Y479"/>
    <hyperlink r:id="rId1909" ref="B480"/>
    <hyperlink r:id="rId1910" ref="C480"/>
    <hyperlink r:id="rId1911" ref="E480"/>
    <hyperlink r:id="rId1912" ref="Y480"/>
    <hyperlink r:id="rId1913" ref="B481"/>
    <hyperlink r:id="rId1914" ref="C481"/>
    <hyperlink r:id="rId1915" ref="E481"/>
    <hyperlink r:id="rId1916" ref="Y481"/>
    <hyperlink r:id="rId1917" ref="B482"/>
    <hyperlink r:id="rId1918" ref="C482"/>
    <hyperlink r:id="rId1919" ref="E482"/>
    <hyperlink r:id="rId1920" ref="Y482"/>
    <hyperlink r:id="rId1921" ref="B483"/>
    <hyperlink r:id="rId1922" ref="C483"/>
    <hyperlink r:id="rId1923" ref="E483"/>
    <hyperlink r:id="rId1924" ref="Y483"/>
    <hyperlink r:id="rId1925" ref="B484"/>
    <hyperlink r:id="rId1926" ref="C484"/>
    <hyperlink r:id="rId1927" ref="E484"/>
    <hyperlink r:id="rId1928" ref="Y484"/>
    <hyperlink r:id="rId1929" ref="B485"/>
    <hyperlink r:id="rId1930" ref="C485"/>
    <hyperlink r:id="rId1931" ref="E485"/>
    <hyperlink r:id="rId1932" ref="Y485"/>
    <hyperlink r:id="rId1933" ref="B486"/>
    <hyperlink r:id="rId1934" ref="C486"/>
    <hyperlink r:id="rId1935" ref="E486"/>
    <hyperlink r:id="rId1936" ref="Y486"/>
    <hyperlink r:id="rId1937" ref="B487"/>
    <hyperlink r:id="rId1938" ref="C487"/>
    <hyperlink r:id="rId1939" ref="E487"/>
    <hyperlink r:id="rId1940" ref="Y487"/>
    <hyperlink r:id="rId1941" ref="B488"/>
    <hyperlink r:id="rId1942" ref="C488"/>
    <hyperlink r:id="rId1943" ref="E488"/>
    <hyperlink r:id="rId1944" ref="Y488"/>
    <hyperlink r:id="rId1945" ref="B489"/>
    <hyperlink r:id="rId1946" ref="C489"/>
    <hyperlink r:id="rId1947" ref="E489"/>
    <hyperlink r:id="rId1948" ref="Y489"/>
    <hyperlink r:id="rId1949" ref="B490"/>
    <hyperlink r:id="rId1950" ref="C490"/>
    <hyperlink r:id="rId1951" ref="E490"/>
    <hyperlink r:id="rId1952" ref="Y490"/>
    <hyperlink r:id="rId1953" ref="B491"/>
    <hyperlink r:id="rId1954" ref="C491"/>
    <hyperlink r:id="rId1955" ref="E491"/>
    <hyperlink r:id="rId1956" ref="Y491"/>
    <hyperlink r:id="rId1957" ref="B492"/>
    <hyperlink r:id="rId1958" ref="C492"/>
    <hyperlink r:id="rId1959" ref="E492"/>
    <hyperlink r:id="rId1960" ref="Y492"/>
    <hyperlink r:id="rId1961" ref="B493"/>
    <hyperlink r:id="rId1962" ref="C493"/>
    <hyperlink r:id="rId1963" ref="E493"/>
    <hyperlink r:id="rId1964" ref="Y493"/>
    <hyperlink r:id="rId1965" ref="B494"/>
    <hyperlink r:id="rId1966" ref="C494"/>
    <hyperlink r:id="rId1967" ref="E494"/>
    <hyperlink r:id="rId1968" ref="Y494"/>
    <hyperlink r:id="rId1969" ref="B495"/>
    <hyperlink r:id="rId1970" ref="C495"/>
    <hyperlink r:id="rId1971" ref="E495"/>
    <hyperlink r:id="rId1972" ref="Y495"/>
    <hyperlink r:id="rId1973" ref="B496"/>
    <hyperlink r:id="rId1974" ref="C496"/>
    <hyperlink r:id="rId1975" ref="E496"/>
    <hyperlink r:id="rId1976" ref="Y496"/>
    <hyperlink r:id="rId1977" ref="B497"/>
    <hyperlink r:id="rId1978" ref="C497"/>
    <hyperlink r:id="rId1979" ref="E497"/>
    <hyperlink r:id="rId1980" ref="Y497"/>
    <hyperlink r:id="rId1981" ref="B498"/>
    <hyperlink r:id="rId1982" ref="C498"/>
    <hyperlink r:id="rId1983" ref="E498"/>
    <hyperlink r:id="rId1984" ref="Y498"/>
    <hyperlink r:id="rId1985" ref="B499"/>
    <hyperlink r:id="rId1986" ref="C499"/>
    <hyperlink r:id="rId1987" ref="E499"/>
    <hyperlink r:id="rId1988" ref="Y499"/>
    <hyperlink r:id="rId1989" ref="B500"/>
    <hyperlink r:id="rId1990" ref="C500"/>
    <hyperlink r:id="rId1991" ref="E500"/>
    <hyperlink r:id="rId1992" ref="Y500"/>
    <hyperlink r:id="rId1993" ref="B501"/>
    <hyperlink r:id="rId1994" ref="C501"/>
    <hyperlink r:id="rId1995" ref="E501"/>
    <hyperlink r:id="rId1996" ref="Y501"/>
    <hyperlink r:id="rId1997" ref="B502"/>
    <hyperlink r:id="rId1998" ref="C502"/>
    <hyperlink r:id="rId1999" ref="E502"/>
    <hyperlink r:id="rId2000" ref="Y502"/>
    <hyperlink r:id="rId2001" ref="B503"/>
    <hyperlink r:id="rId2002" ref="C503"/>
    <hyperlink r:id="rId2003" ref="E503"/>
    <hyperlink r:id="rId2004" ref="Y503"/>
    <hyperlink r:id="rId2005" ref="B504"/>
    <hyperlink r:id="rId2006" ref="C504"/>
    <hyperlink r:id="rId2007" ref="E504"/>
    <hyperlink r:id="rId2008" ref="Y504"/>
    <hyperlink r:id="rId2009" ref="B505"/>
    <hyperlink r:id="rId2010" ref="C505"/>
    <hyperlink r:id="rId2011" ref="E505"/>
    <hyperlink r:id="rId2012" ref="Y505"/>
    <hyperlink r:id="rId2013" ref="B506"/>
    <hyperlink r:id="rId2014" ref="C506"/>
    <hyperlink r:id="rId2015" ref="E506"/>
    <hyperlink r:id="rId2016" ref="Y506"/>
    <hyperlink r:id="rId2017" ref="B507"/>
    <hyperlink r:id="rId2018" ref="C507"/>
    <hyperlink r:id="rId2019" ref="E507"/>
    <hyperlink r:id="rId2020" ref="Y507"/>
    <hyperlink r:id="rId2021" ref="B508"/>
    <hyperlink r:id="rId2022" ref="C508"/>
    <hyperlink r:id="rId2023" ref="E508"/>
    <hyperlink r:id="rId2024" ref="Y508"/>
    <hyperlink r:id="rId2025" ref="B509"/>
    <hyperlink r:id="rId2026" ref="C509"/>
    <hyperlink r:id="rId2027" ref="E509"/>
    <hyperlink r:id="rId2028" ref="Y509"/>
    <hyperlink r:id="rId2029" ref="B510"/>
    <hyperlink r:id="rId2030" ref="C510"/>
    <hyperlink r:id="rId2031" ref="E510"/>
    <hyperlink r:id="rId2032" ref="Y510"/>
    <hyperlink r:id="rId2033" ref="B511"/>
    <hyperlink r:id="rId2034" ref="C511"/>
    <hyperlink r:id="rId2035" ref="E511"/>
    <hyperlink r:id="rId2036" ref="Y511"/>
    <hyperlink r:id="rId2037" ref="B512"/>
    <hyperlink r:id="rId2038" ref="C512"/>
    <hyperlink r:id="rId2039" ref="E512"/>
    <hyperlink r:id="rId2040" ref="Y512"/>
    <hyperlink r:id="rId2041" ref="B513"/>
    <hyperlink r:id="rId2042" ref="C513"/>
    <hyperlink r:id="rId2043" ref="E513"/>
    <hyperlink r:id="rId2044" ref="Y513"/>
    <hyperlink r:id="rId2045" ref="B514"/>
    <hyperlink r:id="rId2046" ref="C514"/>
    <hyperlink r:id="rId2047" ref="E514"/>
    <hyperlink r:id="rId2048" ref="Y514"/>
    <hyperlink r:id="rId2049" ref="B515"/>
    <hyperlink r:id="rId2050" ref="C515"/>
    <hyperlink r:id="rId2051" ref="E515"/>
    <hyperlink r:id="rId2052" ref="Y515"/>
    <hyperlink r:id="rId2053" ref="B516"/>
    <hyperlink r:id="rId2054" ref="C516"/>
    <hyperlink r:id="rId2055" ref="E516"/>
    <hyperlink r:id="rId2056" ref="Y516"/>
    <hyperlink r:id="rId2057" ref="B517"/>
    <hyperlink r:id="rId2058" ref="C517"/>
    <hyperlink r:id="rId2059" ref="E517"/>
    <hyperlink r:id="rId2060" ref="Y517"/>
    <hyperlink r:id="rId2061" ref="B518"/>
    <hyperlink r:id="rId2062" ref="C518"/>
    <hyperlink r:id="rId2063" ref="E518"/>
    <hyperlink r:id="rId2064" ref="Y518"/>
    <hyperlink r:id="rId2065" ref="B519"/>
    <hyperlink r:id="rId2066" ref="C519"/>
    <hyperlink r:id="rId2067" ref="E519"/>
    <hyperlink r:id="rId2068" ref="Y519"/>
    <hyperlink r:id="rId2069" ref="B520"/>
    <hyperlink r:id="rId2070" ref="C520"/>
    <hyperlink r:id="rId2071" ref="E520"/>
    <hyperlink r:id="rId2072" ref="Y520"/>
    <hyperlink r:id="rId2073" ref="B521"/>
    <hyperlink r:id="rId2074" ref="C521"/>
    <hyperlink r:id="rId2075" ref="E521"/>
    <hyperlink r:id="rId2076" ref="Y521"/>
    <hyperlink r:id="rId2077" ref="B522"/>
    <hyperlink r:id="rId2078" ref="C522"/>
    <hyperlink r:id="rId2079" ref="E522"/>
    <hyperlink r:id="rId2080" ref="Y522"/>
    <hyperlink r:id="rId2081" ref="B523"/>
    <hyperlink r:id="rId2082" ref="C523"/>
    <hyperlink r:id="rId2083" ref="E523"/>
    <hyperlink r:id="rId2084" ref="Y523"/>
    <hyperlink r:id="rId2085" ref="B524"/>
    <hyperlink r:id="rId2086" ref="C524"/>
    <hyperlink r:id="rId2087" ref="E524"/>
    <hyperlink r:id="rId2088" ref="Y524"/>
    <hyperlink r:id="rId2089" ref="B525"/>
    <hyperlink r:id="rId2090" ref="C525"/>
    <hyperlink r:id="rId2091" ref="E525"/>
    <hyperlink r:id="rId2092" ref="Y525"/>
    <hyperlink r:id="rId2093" ref="B526"/>
    <hyperlink r:id="rId2094" ref="C526"/>
    <hyperlink r:id="rId2095" ref="E526"/>
    <hyperlink r:id="rId2096" ref="Y526"/>
    <hyperlink r:id="rId2097" ref="B527"/>
    <hyperlink r:id="rId2098" ref="C527"/>
    <hyperlink r:id="rId2099" ref="E527"/>
    <hyperlink r:id="rId2100" ref="Y527"/>
    <hyperlink r:id="rId2101" ref="B528"/>
    <hyperlink r:id="rId2102" ref="C528"/>
    <hyperlink r:id="rId2103" ref="E528"/>
    <hyperlink r:id="rId2104" ref="Y528"/>
    <hyperlink r:id="rId2105" ref="B529"/>
    <hyperlink r:id="rId2106" ref="C529"/>
    <hyperlink r:id="rId2107" ref="E529"/>
    <hyperlink r:id="rId2108" ref="Y529"/>
    <hyperlink r:id="rId2109" ref="B530"/>
    <hyperlink r:id="rId2110" ref="C530"/>
    <hyperlink r:id="rId2111" ref="E530"/>
    <hyperlink r:id="rId2112" ref="Y530"/>
    <hyperlink r:id="rId2113" ref="B531"/>
    <hyperlink r:id="rId2114" ref="C531"/>
    <hyperlink r:id="rId2115" ref="E531"/>
    <hyperlink r:id="rId2116" ref="Y531"/>
    <hyperlink r:id="rId2117" ref="B532"/>
    <hyperlink r:id="rId2118" ref="C532"/>
    <hyperlink r:id="rId2119" ref="E532"/>
    <hyperlink r:id="rId2120" ref="Y532"/>
    <hyperlink r:id="rId2121" ref="B533"/>
    <hyperlink r:id="rId2122" ref="C533"/>
    <hyperlink r:id="rId2123" ref="E533"/>
    <hyperlink r:id="rId2124" ref="Y533"/>
    <hyperlink r:id="rId2125" ref="B534"/>
    <hyperlink r:id="rId2126" ref="C534"/>
    <hyperlink r:id="rId2127" ref="E534"/>
    <hyperlink r:id="rId2128" ref="Y534"/>
    <hyperlink r:id="rId2129" ref="B535"/>
    <hyperlink r:id="rId2130" ref="C535"/>
    <hyperlink r:id="rId2131" ref="E535"/>
    <hyperlink r:id="rId2132" ref="Y535"/>
    <hyperlink r:id="rId2133" ref="B536"/>
    <hyperlink r:id="rId2134" ref="C536"/>
    <hyperlink r:id="rId2135" ref="E536"/>
    <hyperlink r:id="rId2136" ref="Y536"/>
    <hyperlink r:id="rId2137" ref="B537"/>
    <hyperlink r:id="rId2138" ref="C537"/>
    <hyperlink r:id="rId2139" ref="E537"/>
    <hyperlink r:id="rId2140" ref="Y537"/>
    <hyperlink r:id="rId2141" ref="B538"/>
    <hyperlink r:id="rId2142" ref="C538"/>
    <hyperlink r:id="rId2143" ref="E538"/>
    <hyperlink r:id="rId2144" ref="Y538"/>
    <hyperlink r:id="rId2145" ref="B539"/>
    <hyperlink r:id="rId2146" ref="C539"/>
    <hyperlink r:id="rId2147" ref="E539"/>
    <hyperlink r:id="rId2148" ref="Y539"/>
    <hyperlink r:id="rId2149" ref="B540"/>
    <hyperlink r:id="rId2150" ref="C540"/>
    <hyperlink r:id="rId2151" ref="E540"/>
    <hyperlink r:id="rId2152" ref="Y540"/>
    <hyperlink r:id="rId2153" ref="B541"/>
    <hyperlink r:id="rId2154" ref="C541"/>
    <hyperlink r:id="rId2155" ref="E541"/>
    <hyperlink r:id="rId2156" ref="Y541"/>
    <hyperlink r:id="rId2157" ref="B542"/>
    <hyperlink r:id="rId2158" ref="C542"/>
    <hyperlink r:id="rId2159" ref="E542"/>
    <hyperlink r:id="rId2160" ref="Y542"/>
    <hyperlink r:id="rId2161" ref="B543"/>
    <hyperlink r:id="rId2162" ref="C543"/>
    <hyperlink r:id="rId2163" ref="E543"/>
    <hyperlink r:id="rId2164" ref="Y543"/>
    <hyperlink r:id="rId2165" ref="B544"/>
    <hyperlink r:id="rId2166" ref="C544"/>
    <hyperlink r:id="rId2167" ref="E544"/>
    <hyperlink r:id="rId2168" ref="Y544"/>
    <hyperlink r:id="rId2169" ref="B545"/>
    <hyperlink r:id="rId2170" ref="C545"/>
    <hyperlink r:id="rId2171" ref="E545"/>
    <hyperlink r:id="rId2172" ref="Y545"/>
    <hyperlink r:id="rId2173" ref="B546"/>
    <hyperlink r:id="rId2174" ref="C546"/>
    <hyperlink r:id="rId2175" ref="E546"/>
    <hyperlink r:id="rId2176" ref="Y546"/>
    <hyperlink r:id="rId2177" ref="B547"/>
    <hyperlink r:id="rId2178" ref="C547"/>
    <hyperlink r:id="rId2179" ref="E547"/>
    <hyperlink r:id="rId2180" ref="Y547"/>
    <hyperlink r:id="rId2181" ref="B548"/>
    <hyperlink r:id="rId2182" ref="C548"/>
    <hyperlink r:id="rId2183" ref="E548"/>
    <hyperlink r:id="rId2184" ref="Y548"/>
    <hyperlink r:id="rId2185" ref="B549"/>
    <hyperlink r:id="rId2186" ref="C549"/>
    <hyperlink r:id="rId2187" ref="E549"/>
    <hyperlink r:id="rId2188" ref="Y549"/>
    <hyperlink r:id="rId2189" ref="B550"/>
    <hyperlink r:id="rId2190" ref="C550"/>
    <hyperlink r:id="rId2191" ref="E550"/>
    <hyperlink r:id="rId2192" ref="Y550"/>
    <hyperlink r:id="rId2193" ref="B551"/>
    <hyperlink r:id="rId2194" ref="C551"/>
    <hyperlink r:id="rId2195" ref="E551"/>
    <hyperlink r:id="rId2196" ref="Y551"/>
    <hyperlink r:id="rId2197" ref="B552"/>
    <hyperlink r:id="rId2198" ref="C552"/>
    <hyperlink r:id="rId2199" ref="E552"/>
    <hyperlink r:id="rId2200" ref="Y552"/>
    <hyperlink r:id="rId2201" ref="B553"/>
    <hyperlink r:id="rId2202" ref="C553"/>
    <hyperlink r:id="rId2203" ref="E553"/>
    <hyperlink r:id="rId2204" ref="Y553"/>
  </hyperlinks>
  <drawing r:id="rId220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3"/>
      <c r="H1" s="4" t="s">
        <v>0</v>
      </c>
      <c r="I1" s="2"/>
      <c r="J1" s="2"/>
      <c r="K1" s="2"/>
      <c r="L1" s="4" t="s">
        <v>1</v>
      </c>
      <c r="M1" s="2"/>
      <c r="N1" s="2"/>
      <c r="O1" s="2"/>
      <c r="P1" s="2"/>
      <c r="Q1" s="2"/>
      <c r="R1" s="2"/>
      <c r="S1" s="2"/>
      <c r="T1" s="2"/>
      <c r="U1" s="2"/>
      <c r="V1" s="4" t="s">
        <v>2236</v>
      </c>
      <c r="W1" s="2"/>
      <c r="X1" s="2"/>
      <c r="Y1" s="2"/>
      <c r="Z1" s="2"/>
      <c r="AA1" s="5"/>
    </row>
    <row r="2">
      <c r="A2" s="6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4" t="s">
        <v>10</v>
      </c>
      <c r="I2" s="8" t="s">
        <v>11</v>
      </c>
      <c r="J2" s="8" t="s">
        <v>12</v>
      </c>
      <c r="K2" s="8" t="s">
        <v>13</v>
      </c>
      <c r="L2" s="4" t="s">
        <v>2237</v>
      </c>
      <c r="M2" s="8" t="s">
        <v>2238</v>
      </c>
      <c r="N2" s="8" t="s">
        <v>2239</v>
      </c>
      <c r="O2" s="8" t="s">
        <v>2240</v>
      </c>
      <c r="P2" s="8" t="s">
        <v>2241</v>
      </c>
      <c r="Q2" s="8" t="s">
        <v>2242</v>
      </c>
      <c r="R2" s="8" t="s">
        <v>2243</v>
      </c>
      <c r="S2" s="8" t="s">
        <v>2244</v>
      </c>
      <c r="T2" s="8" t="s">
        <v>2245</v>
      </c>
      <c r="U2" s="8" t="s">
        <v>2246</v>
      </c>
      <c r="V2" s="4" t="s">
        <v>19</v>
      </c>
      <c r="W2" s="8" t="s">
        <v>2247</v>
      </c>
      <c r="X2" s="8" t="s">
        <v>2248</v>
      </c>
      <c r="Y2" s="8" t="s">
        <v>2249</v>
      </c>
      <c r="Z2" s="8" t="s">
        <v>2241</v>
      </c>
      <c r="AA2" s="4" t="s">
        <v>23</v>
      </c>
    </row>
    <row r="3">
      <c r="A3" s="9">
        <v>1.0</v>
      </c>
      <c r="B3" s="10" t="s">
        <v>2250</v>
      </c>
      <c r="C3" s="11" t="s">
        <v>2251</v>
      </c>
      <c r="D3" s="12" t="s">
        <v>98</v>
      </c>
      <c r="E3" s="13" t="s">
        <v>2252</v>
      </c>
      <c r="F3" s="12">
        <v>32.0</v>
      </c>
      <c r="G3" s="12">
        <v>1992.0</v>
      </c>
      <c r="H3" s="14">
        <v>26.0</v>
      </c>
      <c r="I3" s="15">
        <v>26.0</v>
      </c>
      <c r="J3" s="16">
        <v>2340.0</v>
      </c>
      <c r="K3" s="15">
        <v>26.0</v>
      </c>
      <c r="L3" s="17">
        <v>1.19</v>
      </c>
      <c r="M3" s="15">
        <v>1.19</v>
      </c>
      <c r="N3" s="18">
        <v>3.31</v>
      </c>
      <c r="O3" s="18">
        <v>2.19</v>
      </c>
      <c r="P3" s="15">
        <v>66.3</v>
      </c>
      <c r="Q3" s="18">
        <v>0.5</v>
      </c>
      <c r="R3" s="18">
        <v>0.31</v>
      </c>
      <c r="S3" s="18">
        <v>0.19</v>
      </c>
      <c r="T3" s="18">
        <v>0.31</v>
      </c>
      <c r="U3" s="15">
        <v>30.8</v>
      </c>
      <c r="V3" s="17">
        <v>0.08</v>
      </c>
      <c r="W3" s="18">
        <v>0.08</v>
      </c>
      <c r="X3" s="19">
        <v>0.0</v>
      </c>
      <c r="Y3" s="19">
        <v>0.0</v>
      </c>
      <c r="Z3" s="21">
        <v>0.0</v>
      </c>
      <c r="AA3" s="20" t="s">
        <v>2253</v>
      </c>
    </row>
    <row r="4">
      <c r="A4" s="9">
        <v>2.0</v>
      </c>
      <c r="B4" s="10" t="s">
        <v>2254</v>
      </c>
      <c r="C4" s="11" t="s">
        <v>2255</v>
      </c>
      <c r="D4" s="12" t="s">
        <v>98</v>
      </c>
      <c r="E4" s="13" t="s">
        <v>2256</v>
      </c>
      <c r="F4" s="12">
        <v>32.0</v>
      </c>
      <c r="G4" s="12">
        <v>1993.0</v>
      </c>
      <c r="H4" s="14">
        <v>20.0</v>
      </c>
      <c r="I4" s="15">
        <v>20.0</v>
      </c>
      <c r="J4" s="16">
        <v>1800.0</v>
      </c>
      <c r="K4" s="15">
        <v>20.0</v>
      </c>
      <c r="L4" s="17">
        <v>1.85</v>
      </c>
      <c r="M4" s="15">
        <v>1.85</v>
      </c>
      <c r="N4" s="18">
        <v>5.4</v>
      </c>
      <c r="O4" s="18">
        <v>3.8</v>
      </c>
      <c r="P4" s="15">
        <v>70.4</v>
      </c>
      <c r="Q4" s="18">
        <v>0.2</v>
      </c>
      <c r="R4" s="18">
        <v>0.25</v>
      </c>
      <c r="S4" s="18">
        <v>0.55</v>
      </c>
      <c r="T4" s="19">
        <v>0.0</v>
      </c>
      <c r="U4" s="21">
        <v>0.0</v>
      </c>
      <c r="V4" s="17">
        <v>0.3</v>
      </c>
      <c r="W4" s="18">
        <v>0.25</v>
      </c>
      <c r="X4" s="19">
        <v>0.0</v>
      </c>
      <c r="Y4" s="18">
        <v>0.05</v>
      </c>
      <c r="Z4" s="21">
        <v>0.0</v>
      </c>
      <c r="AA4" s="20" t="s">
        <v>2257</v>
      </c>
    </row>
    <row r="5">
      <c r="A5" s="9">
        <v>3.0</v>
      </c>
      <c r="B5" s="10" t="s">
        <v>2258</v>
      </c>
      <c r="C5" s="11" t="s">
        <v>2259</v>
      </c>
      <c r="D5" s="12" t="s">
        <v>98</v>
      </c>
      <c r="E5" s="13" t="s">
        <v>2260</v>
      </c>
      <c r="F5" s="12">
        <v>30.0</v>
      </c>
      <c r="G5" s="12">
        <v>1994.0</v>
      </c>
      <c r="H5" s="14">
        <v>1.0</v>
      </c>
      <c r="I5" s="15">
        <v>1.0</v>
      </c>
      <c r="J5" s="15">
        <v>90.0</v>
      </c>
      <c r="K5" s="15">
        <v>1.0</v>
      </c>
      <c r="L5" s="17">
        <v>1.0</v>
      </c>
      <c r="M5" s="15">
        <v>1.0</v>
      </c>
      <c r="N5" s="18">
        <v>3.0</v>
      </c>
      <c r="O5" s="18">
        <v>2.0</v>
      </c>
      <c r="P5" s="15">
        <v>66.7</v>
      </c>
      <c r="Q5" s="18">
        <v>1.0</v>
      </c>
      <c r="R5" s="19">
        <v>0.0</v>
      </c>
      <c r="S5" s="19">
        <v>0.0</v>
      </c>
      <c r="T5" s="19">
        <v>0.0</v>
      </c>
      <c r="U5" s="21">
        <v>0.0</v>
      </c>
      <c r="V5" s="22">
        <v>0.0</v>
      </c>
      <c r="W5" s="19">
        <v>0.0</v>
      </c>
      <c r="X5" s="19">
        <v>0.0</v>
      </c>
      <c r="Y5" s="19">
        <v>0.0</v>
      </c>
      <c r="Z5" s="36"/>
      <c r="AA5" s="20" t="s">
        <v>2261</v>
      </c>
    </row>
    <row r="6">
      <c r="A6" s="9">
        <v>4.0</v>
      </c>
      <c r="B6" s="10" t="s">
        <v>2262</v>
      </c>
      <c r="C6" s="11" t="s">
        <v>2263</v>
      </c>
      <c r="D6" s="12" t="s">
        <v>98</v>
      </c>
      <c r="E6" s="13" t="s">
        <v>2264</v>
      </c>
      <c r="F6" s="12">
        <v>27.0</v>
      </c>
      <c r="G6" s="12">
        <v>1998.0</v>
      </c>
      <c r="H6" s="14">
        <v>6.0</v>
      </c>
      <c r="I6" s="15">
        <v>6.0</v>
      </c>
      <c r="J6" s="15">
        <v>540.0</v>
      </c>
      <c r="K6" s="15">
        <v>6.0</v>
      </c>
      <c r="L6" s="17">
        <v>1.83</v>
      </c>
      <c r="M6" s="15">
        <v>1.83</v>
      </c>
      <c r="N6" s="18">
        <v>4.0</v>
      </c>
      <c r="O6" s="18">
        <v>2.17</v>
      </c>
      <c r="P6" s="15">
        <v>54.2</v>
      </c>
      <c r="Q6" s="18">
        <v>0.33</v>
      </c>
      <c r="R6" s="18">
        <v>0.17</v>
      </c>
      <c r="S6" s="18">
        <v>0.5</v>
      </c>
      <c r="T6" s="19">
        <v>0.0</v>
      </c>
      <c r="U6" s="21">
        <v>0.0</v>
      </c>
      <c r="V6" s="22">
        <v>0.0</v>
      </c>
      <c r="W6" s="19">
        <v>0.0</v>
      </c>
      <c r="X6" s="19">
        <v>0.0</v>
      </c>
      <c r="Y6" s="19">
        <v>0.0</v>
      </c>
      <c r="Z6" s="36"/>
      <c r="AA6" s="20" t="s">
        <v>2265</v>
      </c>
    </row>
    <row r="7">
      <c r="A7" s="9">
        <v>5.0</v>
      </c>
      <c r="B7" s="10" t="s">
        <v>2266</v>
      </c>
      <c r="C7" s="11" t="s">
        <v>2267</v>
      </c>
      <c r="D7" s="12" t="s">
        <v>98</v>
      </c>
      <c r="E7" s="13" t="s">
        <v>2268</v>
      </c>
      <c r="F7" s="12">
        <v>32.0</v>
      </c>
      <c r="G7" s="12">
        <v>1993.0</v>
      </c>
      <c r="H7" s="14">
        <v>1.0</v>
      </c>
      <c r="I7" s="15">
        <v>1.0</v>
      </c>
      <c r="J7" s="15">
        <v>90.0</v>
      </c>
      <c r="K7" s="15">
        <v>1.0</v>
      </c>
      <c r="L7" s="22">
        <v>0.0</v>
      </c>
      <c r="M7" s="21">
        <v>0.0</v>
      </c>
      <c r="N7" s="18">
        <v>3.0</v>
      </c>
      <c r="O7" s="18">
        <v>3.0</v>
      </c>
      <c r="P7" s="15">
        <v>100.0</v>
      </c>
      <c r="Q7" s="19">
        <v>0.0</v>
      </c>
      <c r="R7" s="18">
        <v>1.0</v>
      </c>
      <c r="S7" s="19">
        <v>0.0</v>
      </c>
      <c r="T7" s="18">
        <v>1.0</v>
      </c>
      <c r="U7" s="15">
        <v>100.0</v>
      </c>
      <c r="V7" s="17">
        <v>1.0</v>
      </c>
      <c r="W7" s="19">
        <v>0.0</v>
      </c>
      <c r="X7" s="19">
        <v>0.0</v>
      </c>
      <c r="Y7" s="18">
        <v>1.0</v>
      </c>
      <c r="Z7" s="36"/>
      <c r="AA7" s="20" t="s">
        <v>2269</v>
      </c>
    </row>
    <row r="8">
      <c r="A8" s="9">
        <v>6.0</v>
      </c>
      <c r="B8" s="10" t="s">
        <v>2270</v>
      </c>
      <c r="C8" s="11" t="s">
        <v>2271</v>
      </c>
      <c r="D8" s="12" t="s">
        <v>98</v>
      </c>
      <c r="E8" s="13" t="s">
        <v>2272</v>
      </c>
      <c r="F8" s="12">
        <v>32.0</v>
      </c>
      <c r="G8" s="12">
        <v>1993.0</v>
      </c>
      <c r="H8" s="14">
        <v>3.0</v>
      </c>
      <c r="I8" s="15">
        <v>3.0</v>
      </c>
      <c r="J8" s="15">
        <v>270.0</v>
      </c>
      <c r="K8" s="15">
        <v>3.0</v>
      </c>
      <c r="L8" s="17">
        <v>2.33</v>
      </c>
      <c r="M8" s="15">
        <v>2.33</v>
      </c>
      <c r="N8" s="18">
        <v>4.33</v>
      </c>
      <c r="O8" s="18">
        <v>2.33</v>
      </c>
      <c r="P8" s="15">
        <v>53.8</v>
      </c>
      <c r="Q8" s="19">
        <v>0.0</v>
      </c>
      <c r="R8" s="18">
        <v>0.33</v>
      </c>
      <c r="S8" s="18">
        <v>0.67</v>
      </c>
      <c r="T8" s="19">
        <v>0.0</v>
      </c>
      <c r="U8" s="21">
        <v>0.0</v>
      </c>
      <c r="V8" s="17">
        <v>0.33</v>
      </c>
      <c r="W8" s="18">
        <v>0.33</v>
      </c>
      <c r="X8" s="19">
        <v>0.0</v>
      </c>
      <c r="Y8" s="19">
        <v>0.0</v>
      </c>
      <c r="Z8" s="21">
        <v>0.0</v>
      </c>
      <c r="AA8" s="20" t="s">
        <v>2273</v>
      </c>
    </row>
    <row r="9">
      <c r="A9" s="9">
        <v>7.0</v>
      </c>
      <c r="B9" s="10" t="s">
        <v>2274</v>
      </c>
      <c r="C9" s="11" t="s">
        <v>2275</v>
      </c>
      <c r="D9" s="12" t="s">
        <v>98</v>
      </c>
      <c r="E9" s="13" t="s">
        <v>2276</v>
      </c>
      <c r="F9" s="12">
        <v>34.0</v>
      </c>
      <c r="G9" s="12">
        <v>1991.0</v>
      </c>
      <c r="H9" s="14">
        <v>7.0</v>
      </c>
      <c r="I9" s="15">
        <v>6.0</v>
      </c>
      <c r="J9" s="15">
        <v>585.0</v>
      </c>
      <c r="K9" s="15">
        <v>6.5</v>
      </c>
      <c r="L9" s="17">
        <v>1.54</v>
      </c>
      <c r="M9" s="15">
        <v>1.54</v>
      </c>
      <c r="N9" s="18">
        <v>4.31</v>
      </c>
      <c r="O9" s="18">
        <v>2.92</v>
      </c>
      <c r="P9" s="15">
        <v>67.9</v>
      </c>
      <c r="Q9" s="18">
        <v>0.46</v>
      </c>
      <c r="R9" s="18">
        <v>0.31</v>
      </c>
      <c r="S9" s="18">
        <v>0.15</v>
      </c>
      <c r="T9" s="18">
        <v>0.31</v>
      </c>
      <c r="U9" s="15">
        <v>33.3</v>
      </c>
      <c r="V9" s="17">
        <v>0.15</v>
      </c>
      <c r="W9" s="18">
        <v>0.15</v>
      </c>
      <c r="X9" s="19">
        <v>0.0</v>
      </c>
      <c r="Y9" s="19">
        <v>0.0</v>
      </c>
      <c r="Z9" s="21">
        <v>0.0</v>
      </c>
      <c r="AA9" s="20" t="s">
        <v>2277</v>
      </c>
    </row>
    <row r="10">
      <c r="A10" s="9">
        <v>8.0</v>
      </c>
      <c r="B10" s="10" t="s">
        <v>2278</v>
      </c>
      <c r="C10" s="11" t="s">
        <v>2279</v>
      </c>
      <c r="D10" s="12" t="s">
        <v>98</v>
      </c>
      <c r="E10" s="13" t="s">
        <v>2280</v>
      </c>
      <c r="F10" s="12">
        <v>34.0</v>
      </c>
      <c r="G10" s="12">
        <v>1990.0</v>
      </c>
      <c r="H10" s="14">
        <v>22.0</v>
      </c>
      <c r="I10" s="15">
        <v>22.0</v>
      </c>
      <c r="J10" s="16">
        <v>1980.0</v>
      </c>
      <c r="K10" s="15">
        <v>22.0</v>
      </c>
      <c r="L10" s="17">
        <v>1.23</v>
      </c>
      <c r="M10" s="15">
        <v>1.23</v>
      </c>
      <c r="N10" s="18">
        <v>4.0</v>
      </c>
      <c r="O10" s="18">
        <v>2.86</v>
      </c>
      <c r="P10" s="15">
        <v>71.6</v>
      </c>
      <c r="Q10" s="18">
        <v>0.32</v>
      </c>
      <c r="R10" s="18">
        <v>0.36</v>
      </c>
      <c r="S10" s="18">
        <v>0.32</v>
      </c>
      <c r="T10" s="18">
        <v>0.23</v>
      </c>
      <c r="U10" s="15">
        <v>22.7</v>
      </c>
      <c r="V10" s="17">
        <v>0.09</v>
      </c>
      <c r="W10" s="18">
        <v>0.09</v>
      </c>
      <c r="X10" s="19">
        <v>0.0</v>
      </c>
      <c r="Y10" s="19">
        <v>0.0</v>
      </c>
      <c r="Z10" s="21">
        <v>0.0</v>
      </c>
      <c r="AA10" s="20" t="s">
        <v>2281</v>
      </c>
    </row>
    <row r="11">
      <c r="A11" s="9">
        <v>9.0</v>
      </c>
      <c r="B11" s="10" t="s">
        <v>2282</v>
      </c>
      <c r="C11" s="11" t="s">
        <v>2283</v>
      </c>
      <c r="D11" s="12" t="s">
        <v>98</v>
      </c>
      <c r="E11" s="13" t="s">
        <v>2284</v>
      </c>
      <c r="F11" s="12">
        <v>26.0</v>
      </c>
      <c r="G11" s="12">
        <v>1999.0</v>
      </c>
      <c r="H11" s="14">
        <v>34.0</v>
      </c>
      <c r="I11" s="15">
        <v>34.0</v>
      </c>
      <c r="J11" s="16">
        <v>3060.0</v>
      </c>
      <c r="K11" s="15">
        <v>34.0</v>
      </c>
      <c r="L11" s="17">
        <v>0.85</v>
      </c>
      <c r="M11" s="15">
        <v>0.85</v>
      </c>
      <c r="N11" s="18">
        <v>3.09</v>
      </c>
      <c r="O11" s="18">
        <v>2.21</v>
      </c>
      <c r="P11" s="15">
        <v>72.4</v>
      </c>
      <c r="Q11" s="18">
        <v>0.65</v>
      </c>
      <c r="R11" s="18">
        <v>0.26</v>
      </c>
      <c r="S11" s="18">
        <v>0.09</v>
      </c>
      <c r="T11" s="18">
        <v>0.44</v>
      </c>
      <c r="U11" s="15">
        <v>44.1</v>
      </c>
      <c r="V11" s="17">
        <v>0.03</v>
      </c>
      <c r="W11" s="19">
        <v>0.0</v>
      </c>
      <c r="X11" s="18">
        <v>0.03</v>
      </c>
      <c r="Y11" s="19">
        <v>0.0</v>
      </c>
      <c r="Z11" s="15">
        <v>100.0</v>
      </c>
      <c r="AA11" s="20" t="s">
        <v>2285</v>
      </c>
    </row>
    <row r="12">
      <c r="A12" s="9">
        <v>10.0</v>
      </c>
      <c r="B12" s="10" t="s">
        <v>2286</v>
      </c>
      <c r="C12" s="11" t="s">
        <v>2287</v>
      </c>
      <c r="D12" s="12" t="s">
        <v>98</v>
      </c>
      <c r="E12" s="13" t="s">
        <v>2288</v>
      </c>
      <c r="F12" s="12">
        <v>36.0</v>
      </c>
      <c r="G12" s="12">
        <v>1989.0</v>
      </c>
      <c r="H12" s="14">
        <v>35.0</v>
      </c>
      <c r="I12" s="15">
        <v>35.0</v>
      </c>
      <c r="J12" s="16">
        <v>3150.0</v>
      </c>
      <c r="K12" s="15">
        <v>35.0</v>
      </c>
      <c r="L12" s="17">
        <v>2.03</v>
      </c>
      <c r="M12" s="15">
        <v>2.03</v>
      </c>
      <c r="N12" s="18">
        <v>5.49</v>
      </c>
      <c r="O12" s="18">
        <v>3.63</v>
      </c>
      <c r="P12" s="15">
        <v>66.1</v>
      </c>
      <c r="Q12" s="18">
        <v>0.11</v>
      </c>
      <c r="R12" s="18">
        <v>0.23</v>
      </c>
      <c r="S12" s="18">
        <v>0.66</v>
      </c>
      <c r="T12" s="18">
        <v>0.11</v>
      </c>
      <c r="U12" s="15">
        <v>11.4</v>
      </c>
      <c r="V12" s="17">
        <v>0.2</v>
      </c>
      <c r="W12" s="18">
        <v>0.17</v>
      </c>
      <c r="X12" s="19">
        <v>0.0</v>
      </c>
      <c r="Y12" s="18">
        <v>0.03</v>
      </c>
      <c r="Z12" s="21">
        <v>0.0</v>
      </c>
      <c r="AA12" s="20" t="s">
        <v>2289</v>
      </c>
    </row>
    <row r="13">
      <c r="A13" s="9">
        <v>11.0</v>
      </c>
      <c r="B13" s="10" t="s">
        <v>2290</v>
      </c>
      <c r="C13" s="11" t="s">
        <v>2291</v>
      </c>
      <c r="D13" s="12" t="s">
        <v>98</v>
      </c>
      <c r="E13" s="13" t="s">
        <v>2292</v>
      </c>
      <c r="F13" s="12">
        <v>22.0</v>
      </c>
      <c r="G13" s="12">
        <v>2003.0</v>
      </c>
      <c r="H13" s="14">
        <v>3.0</v>
      </c>
      <c r="I13" s="15">
        <v>3.0</v>
      </c>
      <c r="J13" s="15">
        <v>270.0</v>
      </c>
      <c r="K13" s="15">
        <v>3.0</v>
      </c>
      <c r="L13" s="17">
        <v>0.67</v>
      </c>
      <c r="M13" s="15">
        <v>0.67</v>
      </c>
      <c r="N13" s="18">
        <v>4.0</v>
      </c>
      <c r="O13" s="18">
        <v>3.33</v>
      </c>
      <c r="P13" s="15">
        <v>83.3</v>
      </c>
      <c r="Q13" s="18">
        <v>0.67</v>
      </c>
      <c r="R13" s="19">
        <v>0.0</v>
      </c>
      <c r="S13" s="18">
        <v>0.33</v>
      </c>
      <c r="T13" s="18">
        <v>0.33</v>
      </c>
      <c r="U13" s="15">
        <v>33.3</v>
      </c>
      <c r="V13" s="22">
        <v>0.0</v>
      </c>
      <c r="W13" s="19">
        <v>0.0</v>
      </c>
      <c r="X13" s="19">
        <v>0.0</v>
      </c>
      <c r="Y13" s="19">
        <v>0.0</v>
      </c>
      <c r="Z13" s="36"/>
      <c r="AA13" s="20" t="s">
        <v>2293</v>
      </c>
    </row>
    <row r="14">
      <c r="A14" s="9">
        <v>12.0</v>
      </c>
      <c r="B14" s="10" t="s">
        <v>2294</v>
      </c>
      <c r="C14" s="11" t="s">
        <v>2295</v>
      </c>
      <c r="D14" s="12" t="s">
        <v>98</v>
      </c>
      <c r="E14" s="13" t="s">
        <v>2296</v>
      </c>
      <c r="F14" s="12">
        <v>29.0</v>
      </c>
      <c r="G14" s="12">
        <v>1996.0</v>
      </c>
      <c r="H14" s="14">
        <v>1.0</v>
      </c>
      <c r="I14" s="21">
        <v>0.0</v>
      </c>
      <c r="J14" s="15">
        <v>45.0</v>
      </c>
      <c r="K14" s="15">
        <v>0.5</v>
      </c>
      <c r="L14" s="22">
        <v>0.0</v>
      </c>
      <c r="M14" s="21">
        <v>0.0</v>
      </c>
      <c r="N14" s="19">
        <v>0.0</v>
      </c>
      <c r="O14" s="19">
        <v>0.0</v>
      </c>
      <c r="P14" s="36"/>
      <c r="Q14" s="19">
        <v>0.0</v>
      </c>
      <c r="R14" s="19">
        <v>0.0</v>
      </c>
      <c r="S14" s="19">
        <v>0.0</v>
      </c>
      <c r="T14" s="19">
        <v>0.0</v>
      </c>
      <c r="U14" s="36"/>
      <c r="V14" s="22">
        <v>0.0</v>
      </c>
      <c r="W14" s="19">
        <v>0.0</v>
      </c>
      <c r="X14" s="19">
        <v>0.0</v>
      </c>
      <c r="Y14" s="19">
        <v>0.0</v>
      </c>
      <c r="Z14" s="36"/>
      <c r="AA14" s="20" t="s">
        <v>2297</v>
      </c>
    </row>
    <row r="15">
      <c r="A15" s="9">
        <v>13.0</v>
      </c>
      <c r="B15" s="10" t="s">
        <v>2298</v>
      </c>
      <c r="C15" s="11" t="s">
        <v>2299</v>
      </c>
      <c r="D15" s="12" t="s">
        <v>98</v>
      </c>
      <c r="E15" s="13" t="s">
        <v>2300</v>
      </c>
      <c r="F15" s="12">
        <v>28.0</v>
      </c>
      <c r="G15" s="12">
        <v>1997.0</v>
      </c>
      <c r="H15" s="14">
        <v>37.0</v>
      </c>
      <c r="I15" s="15">
        <v>37.0</v>
      </c>
      <c r="J15" s="16">
        <v>3330.0</v>
      </c>
      <c r="K15" s="15">
        <v>37.0</v>
      </c>
      <c r="L15" s="17">
        <v>1.38</v>
      </c>
      <c r="M15" s="15">
        <v>1.38</v>
      </c>
      <c r="N15" s="18">
        <v>4.05</v>
      </c>
      <c r="O15" s="18">
        <v>2.81</v>
      </c>
      <c r="P15" s="15">
        <v>69.3</v>
      </c>
      <c r="Q15" s="18">
        <v>0.3</v>
      </c>
      <c r="R15" s="18">
        <v>0.3</v>
      </c>
      <c r="S15" s="18">
        <v>0.41</v>
      </c>
      <c r="T15" s="18">
        <v>0.3</v>
      </c>
      <c r="U15" s="15">
        <v>29.7</v>
      </c>
      <c r="V15" s="17">
        <v>0.16</v>
      </c>
      <c r="W15" s="18">
        <v>0.14</v>
      </c>
      <c r="X15" s="18">
        <v>0.03</v>
      </c>
      <c r="Y15" s="19">
        <v>0.0</v>
      </c>
      <c r="Z15" s="15">
        <v>16.7</v>
      </c>
      <c r="AA15" s="20" t="s">
        <v>2301</v>
      </c>
    </row>
    <row r="16">
      <c r="A16" s="9">
        <v>14.0</v>
      </c>
      <c r="B16" s="10" t="s">
        <v>2302</v>
      </c>
      <c r="C16" s="11" t="s">
        <v>2303</v>
      </c>
      <c r="D16" s="12" t="s">
        <v>98</v>
      </c>
      <c r="E16" s="13" t="s">
        <v>2304</v>
      </c>
      <c r="F16" s="12">
        <v>25.0</v>
      </c>
      <c r="G16" s="12">
        <v>2000.0</v>
      </c>
      <c r="H16" s="14">
        <v>18.0</v>
      </c>
      <c r="I16" s="15">
        <v>18.0</v>
      </c>
      <c r="J16" s="16">
        <v>1620.0</v>
      </c>
      <c r="K16" s="15">
        <v>18.0</v>
      </c>
      <c r="L16" s="17">
        <v>1.56</v>
      </c>
      <c r="M16" s="15">
        <v>1.56</v>
      </c>
      <c r="N16" s="18">
        <v>4.5</v>
      </c>
      <c r="O16" s="18">
        <v>2.94</v>
      </c>
      <c r="P16" s="15">
        <v>66.7</v>
      </c>
      <c r="Q16" s="18">
        <v>0.33</v>
      </c>
      <c r="R16" s="18">
        <v>0.22</v>
      </c>
      <c r="S16" s="18">
        <v>0.44</v>
      </c>
      <c r="T16" s="18">
        <v>0.39</v>
      </c>
      <c r="U16" s="15">
        <v>38.9</v>
      </c>
      <c r="V16" s="17">
        <v>0.06</v>
      </c>
      <c r="W16" s="18">
        <v>0.06</v>
      </c>
      <c r="X16" s="19">
        <v>0.0</v>
      </c>
      <c r="Y16" s="19">
        <v>0.0</v>
      </c>
      <c r="Z16" s="21">
        <v>0.0</v>
      </c>
      <c r="AA16" s="20" t="s">
        <v>2305</v>
      </c>
    </row>
    <row r="17">
      <c r="A17" s="9">
        <v>15.0</v>
      </c>
      <c r="B17" s="10" t="s">
        <v>2306</v>
      </c>
      <c r="C17" s="11" t="s">
        <v>2307</v>
      </c>
      <c r="D17" s="12" t="s">
        <v>98</v>
      </c>
      <c r="E17" s="13" t="s">
        <v>2308</v>
      </c>
      <c r="F17" s="12">
        <v>29.0</v>
      </c>
      <c r="G17" s="12">
        <v>1996.0</v>
      </c>
      <c r="H17" s="14">
        <v>5.0</v>
      </c>
      <c r="I17" s="15">
        <v>5.0</v>
      </c>
      <c r="J17" s="15">
        <v>437.0</v>
      </c>
      <c r="K17" s="15">
        <v>4.9</v>
      </c>
      <c r="L17" s="17">
        <v>1.63</v>
      </c>
      <c r="M17" s="15">
        <v>1.65</v>
      </c>
      <c r="N17" s="18">
        <v>2.65</v>
      </c>
      <c r="O17" s="18">
        <v>1.22</v>
      </c>
      <c r="P17" s="15">
        <v>46.2</v>
      </c>
      <c r="Q17" s="18">
        <v>0.2</v>
      </c>
      <c r="R17" s="19">
        <v>0.0</v>
      </c>
      <c r="S17" s="18">
        <v>0.82</v>
      </c>
      <c r="T17" s="18">
        <v>0.2</v>
      </c>
      <c r="U17" s="15">
        <v>20.0</v>
      </c>
      <c r="V17" s="17">
        <v>0.2</v>
      </c>
      <c r="W17" s="18">
        <v>0.2</v>
      </c>
      <c r="X17" s="19">
        <v>0.0</v>
      </c>
      <c r="Y17" s="19">
        <v>0.0</v>
      </c>
      <c r="Z17" s="21">
        <v>0.0</v>
      </c>
      <c r="AA17" s="20" t="s">
        <v>2309</v>
      </c>
    </row>
    <row r="18">
      <c r="A18" s="9">
        <v>16.0</v>
      </c>
      <c r="B18" s="10" t="s">
        <v>2310</v>
      </c>
      <c r="C18" s="11" t="s">
        <v>2311</v>
      </c>
      <c r="D18" s="12" t="s">
        <v>98</v>
      </c>
      <c r="E18" s="13" t="s">
        <v>2312</v>
      </c>
      <c r="F18" s="12">
        <v>32.0</v>
      </c>
      <c r="G18" s="12">
        <v>1993.0</v>
      </c>
      <c r="H18" s="14">
        <v>12.0</v>
      </c>
      <c r="I18" s="15">
        <v>12.0</v>
      </c>
      <c r="J18" s="16">
        <v>1080.0</v>
      </c>
      <c r="K18" s="15">
        <v>12.0</v>
      </c>
      <c r="L18" s="17">
        <v>2.0</v>
      </c>
      <c r="M18" s="15">
        <v>2.0</v>
      </c>
      <c r="N18" s="18">
        <v>5.17</v>
      </c>
      <c r="O18" s="18">
        <v>3.25</v>
      </c>
      <c r="P18" s="15">
        <v>62.9</v>
      </c>
      <c r="Q18" s="19">
        <v>0.0</v>
      </c>
      <c r="R18" s="18">
        <v>0.17</v>
      </c>
      <c r="S18" s="18">
        <v>0.83</v>
      </c>
      <c r="T18" s="19">
        <v>0.0</v>
      </c>
      <c r="U18" s="21">
        <v>0.0</v>
      </c>
      <c r="V18" s="17">
        <v>0.08</v>
      </c>
      <c r="W18" s="18">
        <v>0.08</v>
      </c>
      <c r="X18" s="19">
        <v>0.0</v>
      </c>
      <c r="Y18" s="19">
        <v>0.0</v>
      </c>
      <c r="Z18" s="21">
        <v>0.0</v>
      </c>
      <c r="AA18" s="20" t="s">
        <v>2313</v>
      </c>
    </row>
    <row r="19">
      <c r="A19" s="9">
        <v>17.0</v>
      </c>
      <c r="B19" s="10" t="s">
        <v>2314</v>
      </c>
      <c r="C19" s="11" t="s">
        <v>2315</v>
      </c>
      <c r="D19" s="12" t="s">
        <v>98</v>
      </c>
      <c r="E19" s="13" t="s">
        <v>2316</v>
      </c>
      <c r="F19" s="12">
        <v>23.0</v>
      </c>
      <c r="G19" s="12">
        <v>2002.0</v>
      </c>
      <c r="H19" s="14">
        <v>5.0</v>
      </c>
      <c r="I19" s="15">
        <v>3.0</v>
      </c>
      <c r="J19" s="15">
        <v>379.0</v>
      </c>
      <c r="K19" s="15">
        <v>4.2</v>
      </c>
      <c r="L19" s="17">
        <v>1.19</v>
      </c>
      <c r="M19" s="15">
        <v>1.19</v>
      </c>
      <c r="N19" s="18">
        <v>3.1</v>
      </c>
      <c r="O19" s="18">
        <v>1.9</v>
      </c>
      <c r="P19" s="15">
        <v>61.5</v>
      </c>
      <c r="Q19" s="18">
        <v>0.24</v>
      </c>
      <c r="R19" s="18">
        <v>0.48</v>
      </c>
      <c r="S19" s="19">
        <v>0.0</v>
      </c>
      <c r="T19" s="19">
        <v>0.0</v>
      </c>
      <c r="U19" s="21">
        <v>0.0</v>
      </c>
      <c r="V19" s="22">
        <v>0.0</v>
      </c>
      <c r="W19" s="19">
        <v>0.0</v>
      </c>
      <c r="X19" s="19">
        <v>0.0</v>
      </c>
      <c r="Y19" s="19">
        <v>0.0</v>
      </c>
      <c r="Z19" s="36"/>
      <c r="AA19" s="20" t="s">
        <v>2317</v>
      </c>
    </row>
    <row r="20">
      <c r="A20" s="9">
        <v>18.0</v>
      </c>
      <c r="B20" s="10" t="s">
        <v>2318</v>
      </c>
      <c r="C20" s="11" t="s">
        <v>2319</v>
      </c>
      <c r="D20" s="12" t="s">
        <v>98</v>
      </c>
      <c r="E20" s="13" t="s">
        <v>2320</v>
      </c>
      <c r="F20" s="12">
        <v>26.0</v>
      </c>
      <c r="G20" s="12">
        <v>1998.0</v>
      </c>
      <c r="H20" s="14">
        <v>37.0</v>
      </c>
      <c r="I20" s="15">
        <v>37.0</v>
      </c>
      <c r="J20" s="16">
        <v>3330.0</v>
      </c>
      <c r="K20" s="15">
        <v>37.0</v>
      </c>
      <c r="L20" s="17">
        <v>1.32</v>
      </c>
      <c r="M20" s="15">
        <v>1.32</v>
      </c>
      <c r="N20" s="18">
        <v>3.95</v>
      </c>
      <c r="O20" s="18">
        <v>2.84</v>
      </c>
      <c r="P20" s="15">
        <v>69.9</v>
      </c>
      <c r="Q20" s="18">
        <v>0.35</v>
      </c>
      <c r="R20" s="18">
        <v>0.3</v>
      </c>
      <c r="S20" s="18">
        <v>0.35</v>
      </c>
      <c r="T20" s="18">
        <v>0.27</v>
      </c>
      <c r="U20" s="15">
        <v>27.0</v>
      </c>
      <c r="V20" s="17">
        <v>0.22</v>
      </c>
      <c r="W20" s="18">
        <v>0.14</v>
      </c>
      <c r="X20" s="18">
        <v>0.08</v>
      </c>
      <c r="Y20" s="19">
        <v>0.0</v>
      </c>
      <c r="Z20" s="15">
        <v>37.5</v>
      </c>
      <c r="AA20" s="20" t="s">
        <v>2321</v>
      </c>
    </row>
    <row r="21">
      <c r="A21" s="9">
        <v>19.0</v>
      </c>
      <c r="B21" s="10" t="s">
        <v>2322</v>
      </c>
      <c r="C21" s="11" t="s">
        <v>2323</v>
      </c>
      <c r="D21" s="12" t="s">
        <v>98</v>
      </c>
      <c r="E21" s="13" t="s">
        <v>2324</v>
      </c>
      <c r="F21" s="12">
        <v>22.0</v>
      </c>
      <c r="G21" s="12">
        <v>2003.0</v>
      </c>
      <c r="H21" s="14">
        <v>7.0</v>
      </c>
      <c r="I21" s="15">
        <v>7.0</v>
      </c>
      <c r="J21" s="15">
        <v>630.0</v>
      </c>
      <c r="K21" s="15">
        <v>7.0</v>
      </c>
      <c r="L21" s="17">
        <v>1.0</v>
      </c>
      <c r="M21" s="15">
        <v>1.0</v>
      </c>
      <c r="N21" s="18">
        <v>2.29</v>
      </c>
      <c r="O21" s="18">
        <v>1.43</v>
      </c>
      <c r="P21" s="15">
        <v>62.5</v>
      </c>
      <c r="Q21" s="18">
        <v>0.43</v>
      </c>
      <c r="R21" s="18">
        <v>0.29</v>
      </c>
      <c r="S21" s="18">
        <v>0.29</v>
      </c>
      <c r="T21" s="18">
        <v>0.29</v>
      </c>
      <c r="U21" s="15">
        <v>28.6</v>
      </c>
      <c r="V21" s="17">
        <v>0.14</v>
      </c>
      <c r="W21" s="18">
        <v>0.14</v>
      </c>
      <c r="X21" s="19">
        <v>0.0</v>
      </c>
      <c r="Y21" s="19">
        <v>0.0</v>
      </c>
      <c r="Z21" s="21">
        <v>0.0</v>
      </c>
      <c r="AA21" s="20" t="s">
        <v>2325</v>
      </c>
    </row>
    <row r="22">
      <c r="A22" s="9">
        <v>20.0</v>
      </c>
      <c r="B22" s="10" t="s">
        <v>2326</v>
      </c>
      <c r="C22" s="11" t="s">
        <v>2327</v>
      </c>
      <c r="D22" s="12" t="s">
        <v>98</v>
      </c>
      <c r="E22" s="13" t="s">
        <v>2328</v>
      </c>
      <c r="F22" s="12">
        <v>23.0</v>
      </c>
      <c r="G22" s="12">
        <v>2002.0</v>
      </c>
      <c r="H22" s="14">
        <v>32.0</v>
      </c>
      <c r="I22" s="15">
        <v>32.0</v>
      </c>
      <c r="J22" s="16">
        <v>2880.0</v>
      </c>
      <c r="K22" s="15">
        <v>32.0</v>
      </c>
      <c r="L22" s="17">
        <v>1.22</v>
      </c>
      <c r="M22" s="15">
        <v>1.22</v>
      </c>
      <c r="N22" s="18">
        <v>3.56</v>
      </c>
      <c r="O22" s="18">
        <v>2.44</v>
      </c>
      <c r="P22" s="15">
        <v>69.3</v>
      </c>
      <c r="Q22" s="18">
        <v>0.56</v>
      </c>
      <c r="R22" s="18">
        <v>0.31</v>
      </c>
      <c r="S22" s="18">
        <v>0.13</v>
      </c>
      <c r="T22" s="18">
        <v>0.25</v>
      </c>
      <c r="U22" s="15">
        <v>25.0</v>
      </c>
      <c r="V22" s="17">
        <v>0.13</v>
      </c>
      <c r="W22" s="18">
        <v>0.13</v>
      </c>
      <c r="X22" s="19">
        <v>0.0</v>
      </c>
      <c r="Y22" s="19">
        <v>0.0</v>
      </c>
      <c r="Z22" s="21">
        <v>0.0</v>
      </c>
      <c r="AA22" s="20" t="s">
        <v>2329</v>
      </c>
    </row>
    <row r="23">
      <c r="A23" s="9">
        <v>21.0</v>
      </c>
      <c r="B23" s="10" t="s">
        <v>2330</v>
      </c>
      <c r="C23" s="11" t="s">
        <v>2331</v>
      </c>
      <c r="D23" s="12" t="s">
        <v>98</v>
      </c>
      <c r="E23" s="13" t="s">
        <v>2332</v>
      </c>
      <c r="F23" s="12">
        <v>33.0</v>
      </c>
      <c r="G23" s="12">
        <v>1992.0</v>
      </c>
      <c r="H23" s="14">
        <v>38.0</v>
      </c>
      <c r="I23" s="15">
        <v>38.0</v>
      </c>
      <c r="J23" s="16">
        <v>3420.0</v>
      </c>
      <c r="K23" s="15">
        <v>38.0</v>
      </c>
      <c r="L23" s="17">
        <v>1.34</v>
      </c>
      <c r="M23" s="15">
        <v>1.34</v>
      </c>
      <c r="N23" s="18">
        <v>3.84</v>
      </c>
      <c r="O23" s="18">
        <v>2.58</v>
      </c>
      <c r="P23" s="15">
        <v>67.1</v>
      </c>
      <c r="Q23" s="18">
        <v>0.39</v>
      </c>
      <c r="R23" s="18">
        <v>0.18</v>
      </c>
      <c r="S23" s="18">
        <v>0.42</v>
      </c>
      <c r="T23" s="18">
        <v>0.24</v>
      </c>
      <c r="U23" s="15">
        <v>23.7</v>
      </c>
      <c r="V23" s="17">
        <v>0.11</v>
      </c>
      <c r="W23" s="18">
        <v>0.08</v>
      </c>
      <c r="X23" s="19">
        <v>0.0</v>
      </c>
      <c r="Y23" s="18">
        <v>0.03</v>
      </c>
      <c r="Z23" s="21">
        <v>0.0</v>
      </c>
      <c r="AA23" s="20" t="s">
        <v>2333</v>
      </c>
    </row>
    <row r="24">
      <c r="A24" s="9">
        <v>22.0</v>
      </c>
      <c r="B24" s="10" t="s">
        <v>2334</v>
      </c>
      <c r="C24" s="11" t="s">
        <v>2335</v>
      </c>
      <c r="D24" s="12" t="s">
        <v>98</v>
      </c>
      <c r="E24" s="13" t="s">
        <v>2336</v>
      </c>
      <c r="F24" s="12">
        <v>24.0</v>
      </c>
      <c r="G24" s="12">
        <v>2000.0</v>
      </c>
      <c r="H24" s="14">
        <v>10.0</v>
      </c>
      <c r="I24" s="15">
        <v>10.0</v>
      </c>
      <c r="J24" s="15">
        <v>867.0</v>
      </c>
      <c r="K24" s="15">
        <v>9.6</v>
      </c>
      <c r="L24" s="17">
        <v>1.88</v>
      </c>
      <c r="M24" s="15">
        <v>1.87</v>
      </c>
      <c r="N24" s="18">
        <v>5.1</v>
      </c>
      <c r="O24" s="18">
        <v>3.44</v>
      </c>
      <c r="P24" s="15">
        <v>65.3</v>
      </c>
      <c r="Q24" s="18">
        <v>0.31</v>
      </c>
      <c r="R24" s="18">
        <v>0.1</v>
      </c>
      <c r="S24" s="18">
        <v>0.63</v>
      </c>
      <c r="T24" s="18">
        <v>0.21</v>
      </c>
      <c r="U24" s="15">
        <v>20.0</v>
      </c>
      <c r="V24" s="17">
        <v>0.21</v>
      </c>
      <c r="W24" s="18">
        <v>0.1</v>
      </c>
      <c r="X24" s="18">
        <v>0.1</v>
      </c>
      <c r="Y24" s="19">
        <v>0.0</v>
      </c>
      <c r="Z24" s="15">
        <v>50.0</v>
      </c>
      <c r="AA24" s="20" t="s">
        <v>2337</v>
      </c>
    </row>
    <row r="25">
      <c r="A25" s="9">
        <v>23.0</v>
      </c>
      <c r="B25" s="10" t="s">
        <v>2338</v>
      </c>
      <c r="C25" s="11" t="s">
        <v>2339</v>
      </c>
      <c r="D25" s="12" t="s">
        <v>98</v>
      </c>
      <c r="E25" s="13" t="s">
        <v>2340</v>
      </c>
      <c r="F25" s="12">
        <v>32.0</v>
      </c>
      <c r="G25" s="12">
        <v>1992.0</v>
      </c>
      <c r="H25" s="14">
        <v>32.0</v>
      </c>
      <c r="I25" s="15">
        <v>32.0</v>
      </c>
      <c r="J25" s="16">
        <v>2835.0</v>
      </c>
      <c r="K25" s="15">
        <v>31.5</v>
      </c>
      <c r="L25" s="17">
        <v>1.24</v>
      </c>
      <c r="M25" s="15">
        <v>1.24</v>
      </c>
      <c r="N25" s="18">
        <v>4.22</v>
      </c>
      <c r="O25" s="18">
        <v>3.02</v>
      </c>
      <c r="P25" s="15">
        <v>70.7</v>
      </c>
      <c r="Q25" s="18">
        <v>0.51</v>
      </c>
      <c r="R25" s="18">
        <v>0.19</v>
      </c>
      <c r="S25" s="18">
        <v>0.32</v>
      </c>
      <c r="T25" s="18">
        <v>0.25</v>
      </c>
      <c r="U25" s="15">
        <v>25.0</v>
      </c>
      <c r="V25" s="17">
        <v>0.03</v>
      </c>
      <c r="W25" s="19">
        <v>0.0</v>
      </c>
      <c r="X25" s="18">
        <v>0.03</v>
      </c>
      <c r="Y25" s="19">
        <v>0.0</v>
      </c>
      <c r="Z25" s="15">
        <v>100.0</v>
      </c>
      <c r="AA25" s="20" t="s">
        <v>2341</v>
      </c>
    </row>
    <row r="26">
      <c r="A26" s="9">
        <v>24.0</v>
      </c>
      <c r="B26" s="10" t="s">
        <v>2342</v>
      </c>
      <c r="C26" s="11" t="s">
        <v>2343</v>
      </c>
      <c r="D26" s="12" t="s">
        <v>98</v>
      </c>
      <c r="E26" s="13" t="s">
        <v>2344</v>
      </c>
      <c r="F26" s="12">
        <v>32.0</v>
      </c>
      <c r="G26" s="12">
        <v>1992.0</v>
      </c>
      <c r="H26" s="14">
        <v>3.0</v>
      </c>
      <c r="I26" s="15">
        <v>3.0</v>
      </c>
      <c r="J26" s="15">
        <v>270.0</v>
      </c>
      <c r="K26" s="15">
        <v>3.0</v>
      </c>
      <c r="L26" s="17">
        <v>1.33</v>
      </c>
      <c r="M26" s="15">
        <v>1.33</v>
      </c>
      <c r="N26" s="18">
        <v>4.0</v>
      </c>
      <c r="O26" s="18">
        <v>2.67</v>
      </c>
      <c r="P26" s="15">
        <v>66.7</v>
      </c>
      <c r="Q26" s="19">
        <v>0.0</v>
      </c>
      <c r="R26" s="18">
        <v>0.33</v>
      </c>
      <c r="S26" s="18">
        <v>0.67</v>
      </c>
      <c r="T26" s="18">
        <v>0.33</v>
      </c>
      <c r="U26" s="15">
        <v>33.3</v>
      </c>
      <c r="V26" s="22">
        <v>0.0</v>
      </c>
      <c r="W26" s="19">
        <v>0.0</v>
      </c>
      <c r="X26" s="19">
        <v>0.0</v>
      </c>
      <c r="Y26" s="19">
        <v>0.0</v>
      </c>
      <c r="Z26" s="36"/>
      <c r="AA26" s="20" t="s">
        <v>2345</v>
      </c>
    </row>
    <row r="27">
      <c r="A27" s="9">
        <v>25.0</v>
      </c>
      <c r="B27" s="10" t="s">
        <v>2346</v>
      </c>
      <c r="C27" s="11" t="s">
        <v>2347</v>
      </c>
      <c r="D27" s="12" t="s">
        <v>98</v>
      </c>
      <c r="E27" s="13" t="s">
        <v>2348</v>
      </c>
      <c r="F27" s="12">
        <v>27.0</v>
      </c>
      <c r="G27" s="12">
        <v>1997.0</v>
      </c>
      <c r="H27" s="14">
        <v>16.0</v>
      </c>
      <c r="I27" s="15">
        <v>16.0</v>
      </c>
      <c r="J27" s="16">
        <v>1440.0</v>
      </c>
      <c r="K27" s="15">
        <v>16.0</v>
      </c>
      <c r="L27" s="17">
        <v>1.81</v>
      </c>
      <c r="M27" s="15">
        <v>1.81</v>
      </c>
      <c r="N27" s="18">
        <v>3.94</v>
      </c>
      <c r="O27" s="18">
        <v>2.38</v>
      </c>
      <c r="P27" s="15">
        <v>60.3</v>
      </c>
      <c r="Q27" s="18">
        <v>0.25</v>
      </c>
      <c r="R27" s="18">
        <v>0.38</v>
      </c>
      <c r="S27" s="18">
        <v>0.38</v>
      </c>
      <c r="T27" s="18">
        <v>0.19</v>
      </c>
      <c r="U27" s="15">
        <v>18.8</v>
      </c>
      <c r="V27" s="17">
        <v>0.25</v>
      </c>
      <c r="W27" s="18">
        <v>0.25</v>
      </c>
      <c r="X27" s="19">
        <v>0.0</v>
      </c>
      <c r="Y27" s="19">
        <v>0.0</v>
      </c>
      <c r="Z27" s="21">
        <v>0.0</v>
      </c>
      <c r="AA27" s="20" t="s">
        <v>2349</v>
      </c>
    </row>
    <row r="28">
      <c r="A28" s="37" t="s">
        <v>3</v>
      </c>
      <c r="B28" s="38" t="s">
        <v>4</v>
      </c>
      <c r="C28" s="39" t="s">
        <v>5</v>
      </c>
      <c r="D28" s="39" t="s">
        <v>6</v>
      </c>
      <c r="E28" s="39" t="s">
        <v>7</v>
      </c>
      <c r="F28" s="39" t="s">
        <v>8</v>
      </c>
      <c r="G28" s="39" t="s">
        <v>9</v>
      </c>
      <c r="H28" s="40" t="s">
        <v>10</v>
      </c>
      <c r="I28" s="39" t="s">
        <v>11</v>
      </c>
      <c r="J28" s="39" t="s">
        <v>12</v>
      </c>
      <c r="K28" s="39" t="s">
        <v>13</v>
      </c>
      <c r="L28" s="40" t="s">
        <v>2237</v>
      </c>
      <c r="M28" s="39" t="s">
        <v>2238</v>
      </c>
      <c r="N28" s="39" t="s">
        <v>2239</v>
      </c>
      <c r="O28" s="39" t="s">
        <v>2240</v>
      </c>
      <c r="P28" s="39" t="s">
        <v>2241</v>
      </c>
      <c r="Q28" s="39" t="s">
        <v>2242</v>
      </c>
      <c r="R28" s="39" t="s">
        <v>2243</v>
      </c>
      <c r="S28" s="39" t="s">
        <v>2244</v>
      </c>
      <c r="T28" s="39" t="s">
        <v>2245</v>
      </c>
      <c r="U28" s="39" t="s">
        <v>2246</v>
      </c>
      <c r="V28" s="40" t="s">
        <v>19</v>
      </c>
      <c r="W28" s="39" t="s">
        <v>2247</v>
      </c>
      <c r="X28" s="39" t="s">
        <v>2248</v>
      </c>
      <c r="Y28" s="39" t="s">
        <v>2249</v>
      </c>
      <c r="Z28" s="39" t="s">
        <v>2241</v>
      </c>
      <c r="AA28" s="40" t="s">
        <v>23</v>
      </c>
    </row>
    <row r="29">
      <c r="A29" s="9">
        <v>26.0</v>
      </c>
      <c r="B29" s="10" t="s">
        <v>2350</v>
      </c>
      <c r="C29" s="11" t="s">
        <v>2351</v>
      </c>
      <c r="D29" s="12" t="s">
        <v>98</v>
      </c>
      <c r="E29" s="13" t="s">
        <v>2352</v>
      </c>
      <c r="F29" s="12">
        <v>25.0</v>
      </c>
      <c r="G29" s="12">
        <v>1999.0</v>
      </c>
      <c r="H29" s="14">
        <v>38.0</v>
      </c>
      <c r="I29" s="15">
        <v>38.0</v>
      </c>
      <c r="J29" s="16">
        <v>3420.0</v>
      </c>
      <c r="K29" s="15">
        <v>38.0</v>
      </c>
      <c r="L29" s="17">
        <v>1.42</v>
      </c>
      <c r="M29" s="15">
        <v>1.42</v>
      </c>
      <c r="N29" s="18">
        <v>4.13</v>
      </c>
      <c r="O29" s="18">
        <v>2.87</v>
      </c>
      <c r="P29" s="15">
        <v>69.4</v>
      </c>
      <c r="Q29" s="18">
        <v>0.34</v>
      </c>
      <c r="R29" s="18">
        <v>0.47</v>
      </c>
      <c r="S29" s="18">
        <v>0.18</v>
      </c>
      <c r="T29" s="18">
        <v>0.29</v>
      </c>
      <c r="U29" s="15">
        <v>28.9</v>
      </c>
      <c r="V29" s="17">
        <v>0.16</v>
      </c>
      <c r="W29" s="18">
        <v>0.16</v>
      </c>
      <c r="X29" s="19">
        <v>0.0</v>
      </c>
      <c r="Y29" s="19">
        <v>0.0</v>
      </c>
      <c r="Z29" s="21">
        <v>0.0</v>
      </c>
      <c r="AA29" s="20" t="s">
        <v>2353</v>
      </c>
    </row>
    <row r="30">
      <c r="A30" s="9">
        <v>27.0</v>
      </c>
      <c r="B30" s="10" t="s">
        <v>2354</v>
      </c>
      <c r="C30" s="11" t="s">
        <v>2355</v>
      </c>
      <c r="D30" s="12" t="s">
        <v>98</v>
      </c>
      <c r="E30" s="13" t="s">
        <v>2356</v>
      </c>
      <c r="F30" s="12">
        <v>31.0</v>
      </c>
      <c r="G30" s="12">
        <v>1994.0</v>
      </c>
      <c r="H30" s="14">
        <v>38.0</v>
      </c>
      <c r="I30" s="15">
        <v>38.0</v>
      </c>
      <c r="J30" s="16">
        <v>3420.0</v>
      </c>
      <c r="K30" s="15">
        <v>38.0</v>
      </c>
      <c r="L30" s="17">
        <v>1.32</v>
      </c>
      <c r="M30" s="15">
        <v>1.32</v>
      </c>
      <c r="N30" s="18">
        <v>3.82</v>
      </c>
      <c r="O30" s="18">
        <v>2.61</v>
      </c>
      <c r="P30" s="15">
        <v>67.6</v>
      </c>
      <c r="Q30" s="18">
        <v>0.34</v>
      </c>
      <c r="R30" s="18">
        <v>0.26</v>
      </c>
      <c r="S30" s="18">
        <v>0.39</v>
      </c>
      <c r="T30" s="18">
        <v>0.29</v>
      </c>
      <c r="U30" s="15">
        <v>28.9</v>
      </c>
      <c r="V30" s="17">
        <v>0.11</v>
      </c>
      <c r="W30" s="18">
        <v>0.08</v>
      </c>
      <c r="X30" s="18">
        <v>0.03</v>
      </c>
      <c r="Y30" s="19">
        <v>0.0</v>
      </c>
      <c r="Z30" s="15">
        <v>25.0</v>
      </c>
      <c r="AA30" s="20" t="s">
        <v>2357</v>
      </c>
    </row>
    <row r="31">
      <c r="A31" s="9">
        <v>28.0</v>
      </c>
      <c r="B31" s="10" t="s">
        <v>2358</v>
      </c>
      <c r="C31" s="11" t="s">
        <v>2359</v>
      </c>
      <c r="D31" s="12" t="s">
        <v>98</v>
      </c>
      <c r="E31" s="13" t="s">
        <v>2360</v>
      </c>
      <c r="F31" s="12">
        <v>33.0</v>
      </c>
      <c r="G31" s="12">
        <v>1992.0</v>
      </c>
      <c r="H31" s="14">
        <v>27.0</v>
      </c>
      <c r="I31" s="15">
        <v>27.0</v>
      </c>
      <c r="J31" s="16">
        <v>2416.0</v>
      </c>
      <c r="K31" s="15">
        <v>26.8</v>
      </c>
      <c r="L31" s="17">
        <v>1.42</v>
      </c>
      <c r="M31" s="15">
        <v>1.42</v>
      </c>
      <c r="N31" s="18">
        <v>4.66</v>
      </c>
      <c r="O31" s="18">
        <v>3.32</v>
      </c>
      <c r="P31" s="15">
        <v>71.2</v>
      </c>
      <c r="Q31" s="18">
        <v>0.37</v>
      </c>
      <c r="R31" s="18">
        <v>0.19</v>
      </c>
      <c r="S31" s="18">
        <v>0.45</v>
      </c>
      <c r="T31" s="18">
        <v>0.26</v>
      </c>
      <c r="U31" s="15">
        <v>25.9</v>
      </c>
      <c r="V31" s="17">
        <v>0.07</v>
      </c>
      <c r="W31" s="18">
        <v>0.07</v>
      </c>
      <c r="X31" s="19">
        <v>0.0</v>
      </c>
      <c r="Y31" s="19">
        <v>0.0</v>
      </c>
      <c r="Z31" s="21">
        <v>0.0</v>
      </c>
      <c r="AA31" s="20" t="s">
        <v>2361</v>
      </c>
    </row>
    <row r="32">
      <c r="A32" s="9">
        <v>29.0</v>
      </c>
      <c r="B32" s="10" t="s">
        <v>2362</v>
      </c>
      <c r="C32" s="11" t="s">
        <v>2363</v>
      </c>
      <c r="D32" s="12" t="s">
        <v>98</v>
      </c>
      <c r="E32" s="13" t="s">
        <v>2364</v>
      </c>
      <c r="F32" s="12">
        <v>27.0</v>
      </c>
      <c r="G32" s="12">
        <v>1998.0</v>
      </c>
      <c r="H32" s="14">
        <v>12.0</v>
      </c>
      <c r="I32" s="15">
        <v>11.0</v>
      </c>
      <c r="J32" s="16">
        <v>1004.0</v>
      </c>
      <c r="K32" s="15">
        <v>11.2</v>
      </c>
      <c r="L32" s="17">
        <v>1.52</v>
      </c>
      <c r="M32" s="15">
        <v>1.52</v>
      </c>
      <c r="N32" s="18">
        <v>3.39</v>
      </c>
      <c r="O32" s="18">
        <v>2.14</v>
      </c>
      <c r="P32" s="15">
        <v>63.2</v>
      </c>
      <c r="Q32" s="18">
        <v>0.36</v>
      </c>
      <c r="R32" s="18">
        <v>0.18</v>
      </c>
      <c r="S32" s="18">
        <v>0.45</v>
      </c>
      <c r="T32" s="18">
        <v>0.09</v>
      </c>
      <c r="U32" s="15">
        <v>9.1</v>
      </c>
      <c r="V32" s="17">
        <v>0.27</v>
      </c>
      <c r="W32" s="18">
        <v>0.27</v>
      </c>
      <c r="X32" s="19">
        <v>0.0</v>
      </c>
      <c r="Y32" s="19">
        <v>0.0</v>
      </c>
      <c r="Z32" s="21">
        <v>0.0</v>
      </c>
      <c r="AA32" s="20" t="s">
        <v>2365</v>
      </c>
    </row>
    <row r="33">
      <c r="A33" s="9">
        <v>30.0</v>
      </c>
      <c r="B33" s="10" t="s">
        <v>2366</v>
      </c>
      <c r="C33" s="11" t="s">
        <v>2367</v>
      </c>
      <c r="D33" s="12" t="s">
        <v>98</v>
      </c>
      <c r="E33" s="13" t="s">
        <v>2368</v>
      </c>
      <c r="F33" s="12">
        <v>29.0</v>
      </c>
      <c r="G33" s="12">
        <v>1995.0</v>
      </c>
      <c r="H33" s="14">
        <v>37.0</v>
      </c>
      <c r="I33" s="15">
        <v>37.0</v>
      </c>
      <c r="J33" s="16">
        <v>3330.0</v>
      </c>
      <c r="K33" s="15">
        <v>37.0</v>
      </c>
      <c r="L33" s="17">
        <v>0.7</v>
      </c>
      <c r="M33" s="15">
        <v>0.7</v>
      </c>
      <c r="N33" s="18">
        <v>2.32</v>
      </c>
      <c r="O33" s="18">
        <v>1.59</v>
      </c>
      <c r="P33" s="15">
        <v>69.8</v>
      </c>
      <c r="Q33" s="18">
        <v>0.68</v>
      </c>
      <c r="R33" s="18">
        <v>0.19</v>
      </c>
      <c r="S33" s="18">
        <v>0.14</v>
      </c>
      <c r="T33" s="18">
        <v>0.51</v>
      </c>
      <c r="U33" s="15">
        <v>51.4</v>
      </c>
      <c r="V33" s="22">
        <v>0.0</v>
      </c>
      <c r="W33" s="19">
        <v>0.0</v>
      </c>
      <c r="X33" s="19">
        <v>0.0</v>
      </c>
      <c r="Y33" s="19">
        <v>0.0</v>
      </c>
      <c r="Z33" s="36"/>
      <c r="AA33" s="20" t="s">
        <v>2369</v>
      </c>
    </row>
    <row r="34">
      <c r="A34" s="9">
        <v>31.0</v>
      </c>
      <c r="B34" s="10" t="s">
        <v>2370</v>
      </c>
      <c r="C34" s="11" t="s">
        <v>2371</v>
      </c>
      <c r="D34" s="12" t="s">
        <v>98</v>
      </c>
      <c r="E34" s="13" t="s">
        <v>2372</v>
      </c>
      <c r="F34" s="12">
        <v>22.0</v>
      </c>
      <c r="G34" s="12">
        <v>2003.0</v>
      </c>
      <c r="H34" s="14">
        <v>35.0</v>
      </c>
      <c r="I34" s="15">
        <v>35.0</v>
      </c>
      <c r="J34" s="16">
        <v>3150.0</v>
      </c>
      <c r="K34" s="15">
        <v>35.0</v>
      </c>
      <c r="L34" s="17">
        <v>1.31</v>
      </c>
      <c r="M34" s="15">
        <v>1.31</v>
      </c>
      <c r="N34" s="18">
        <v>4.31</v>
      </c>
      <c r="O34" s="18">
        <v>3.09</v>
      </c>
      <c r="P34" s="15">
        <v>70.9</v>
      </c>
      <c r="Q34" s="18">
        <v>0.34</v>
      </c>
      <c r="R34" s="18">
        <v>0.34</v>
      </c>
      <c r="S34" s="18">
        <v>0.31</v>
      </c>
      <c r="T34" s="18">
        <v>0.29</v>
      </c>
      <c r="U34" s="15">
        <v>28.6</v>
      </c>
      <c r="V34" s="17">
        <v>0.09</v>
      </c>
      <c r="W34" s="18">
        <v>0.06</v>
      </c>
      <c r="X34" s="18">
        <v>0.03</v>
      </c>
      <c r="Y34" s="19">
        <v>0.0</v>
      </c>
      <c r="Z34" s="15">
        <v>33.3</v>
      </c>
      <c r="AA34" s="20" t="s">
        <v>2373</v>
      </c>
    </row>
    <row r="35">
      <c r="A35" s="9">
        <v>32.0</v>
      </c>
      <c r="B35" s="10" t="s">
        <v>2374</v>
      </c>
      <c r="C35" s="11" t="s">
        <v>2375</v>
      </c>
      <c r="D35" s="12" t="s">
        <v>98</v>
      </c>
      <c r="E35" s="13" t="s">
        <v>2376</v>
      </c>
      <c r="F35" s="12">
        <v>32.0</v>
      </c>
      <c r="G35" s="12">
        <v>1993.0</v>
      </c>
      <c r="H35" s="14">
        <v>23.0</v>
      </c>
      <c r="I35" s="15">
        <v>23.0</v>
      </c>
      <c r="J35" s="16">
        <v>2070.0</v>
      </c>
      <c r="K35" s="15">
        <v>23.0</v>
      </c>
      <c r="L35" s="17">
        <v>1.61</v>
      </c>
      <c r="M35" s="15">
        <v>1.61</v>
      </c>
      <c r="N35" s="18">
        <v>4.3</v>
      </c>
      <c r="O35" s="18">
        <v>2.83</v>
      </c>
      <c r="P35" s="15">
        <v>65.7</v>
      </c>
      <c r="Q35" s="18">
        <v>0.13</v>
      </c>
      <c r="R35" s="18">
        <v>0.35</v>
      </c>
      <c r="S35" s="18">
        <v>0.52</v>
      </c>
      <c r="T35" s="18">
        <v>0.17</v>
      </c>
      <c r="U35" s="15">
        <v>17.4</v>
      </c>
      <c r="V35" s="17">
        <v>0.13</v>
      </c>
      <c r="W35" s="18">
        <v>0.13</v>
      </c>
      <c r="X35" s="19">
        <v>0.0</v>
      </c>
      <c r="Y35" s="19">
        <v>0.0</v>
      </c>
      <c r="Z35" s="21">
        <v>0.0</v>
      </c>
      <c r="AA35" s="20" t="s">
        <v>2377</v>
      </c>
    </row>
    <row r="36">
      <c r="A36" s="9">
        <v>33.0</v>
      </c>
      <c r="B36" s="10" t="s">
        <v>2378</v>
      </c>
      <c r="C36" s="11" t="s">
        <v>2379</v>
      </c>
      <c r="D36" s="12" t="s">
        <v>98</v>
      </c>
      <c r="E36" s="13" t="s">
        <v>2380</v>
      </c>
      <c r="F36" s="12">
        <v>27.0</v>
      </c>
      <c r="G36" s="12">
        <v>1997.0</v>
      </c>
      <c r="H36" s="14">
        <v>35.0</v>
      </c>
      <c r="I36" s="15">
        <v>35.0</v>
      </c>
      <c r="J36" s="16">
        <v>3039.0</v>
      </c>
      <c r="K36" s="15">
        <v>33.8</v>
      </c>
      <c r="L36" s="17">
        <v>1.45</v>
      </c>
      <c r="M36" s="15">
        <v>1.45</v>
      </c>
      <c r="N36" s="18">
        <v>4.29</v>
      </c>
      <c r="O36" s="18">
        <v>2.87</v>
      </c>
      <c r="P36" s="15">
        <v>67.6</v>
      </c>
      <c r="Q36" s="18">
        <v>0.38</v>
      </c>
      <c r="R36" s="18">
        <v>0.24</v>
      </c>
      <c r="S36" s="18">
        <v>0.41</v>
      </c>
      <c r="T36" s="18">
        <v>0.27</v>
      </c>
      <c r="U36" s="15">
        <v>25.7</v>
      </c>
      <c r="V36" s="17">
        <v>0.06</v>
      </c>
      <c r="W36" s="18">
        <v>0.06</v>
      </c>
      <c r="X36" s="19">
        <v>0.0</v>
      </c>
      <c r="Y36" s="19">
        <v>0.0</v>
      </c>
      <c r="Z36" s="21">
        <v>0.0</v>
      </c>
      <c r="AA36" s="20" t="s">
        <v>2381</v>
      </c>
    </row>
    <row r="37">
      <c r="A37" s="9">
        <v>34.0</v>
      </c>
      <c r="B37" s="10" t="s">
        <v>2382</v>
      </c>
      <c r="C37" s="11" t="s">
        <v>2383</v>
      </c>
      <c r="D37" s="12" t="s">
        <v>98</v>
      </c>
      <c r="E37" s="13" t="s">
        <v>2384</v>
      </c>
      <c r="F37" s="12">
        <v>33.0</v>
      </c>
      <c r="G37" s="12">
        <v>1992.0</v>
      </c>
      <c r="H37" s="14">
        <v>31.0</v>
      </c>
      <c r="I37" s="15">
        <v>30.0</v>
      </c>
      <c r="J37" s="16">
        <v>2668.0</v>
      </c>
      <c r="K37" s="15">
        <v>29.6</v>
      </c>
      <c r="L37" s="17">
        <v>1.32</v>
      </c>
      <c r="M37" s="15">
        <v>1.32</v>
      </c>
      <c r="N37" s="18">
        <v>4.29</v>
      </c>
      <c r="O37" s="18">
        <v>3.14</v>
      </c>
      <c r="P37" s="15">
        <v>72.4</v>
      </c>
      <c r="Q37" s="18">
        <v>0.34</v>
      </c>
      <c r="R37" s="18">
        <v>0.34</v>
      </c>
      <c r="S37" s="18">
        <v>0.34</v>
      </c>
      <c r="T37" s="18">
        <v>0.24</v>
      </c>
      <c r="U37" s="15">
        <v>23.3</v>
      </c>
      <c r="V37" s="17">
        <v>0.17</v>
      </c>
      <c r="W37" s="18">
        <v>0.14</v>
      </c>
      <c r="X37" s="18">
        <v>0.03</v>
      </c>
      <c r="Y37" s="19">
        <v>0.0</v>
      </c>
      <c r="Z37" s="15">
        <v>20.0</v>
      </c>
      <c r="AA37" s="20" t="s">
        <v>2385</v>
      </c>
    </row>
    <row r="38">
      <c r="A38" s="9">
        <v>35.0</v>
      </c>
      <c r="B38" s="10" t="s">
        <v>2386</v>
      </c>
      <c r="C38" s="11" t="s">
        <v>2387</v>
      </c>
      <c r="D38" s="12" t="s">
        <v>98</v>
      </c>
      <c r="E38" s="13" t="s">
        <v>2388</v>
      </c>
      <c r="F38" s="12">
        <v>22.0</v>
      </c>
      <c r="G38" s="12">
        <v>2002.0</v>
      </c>
      <c r="H38" s="14">
        <v>4.0</v>
      </c>
      <c r="I38" s="15">
        <v>4.0</v>
      </c>
      <c r="J38" s="15">
        <v>360.0</v>
      </c>
      <c r="K38" s="15">
        <v>4.0</v>
      </c>
      <c r="L38" s="17">
        <v>1.5</v>
      </c>
      <c r="M38" s="15">
        <v>1.5</v>
      </c>
      <c r="N38" s="18">
        <v>4.75</v>
      </c>
      <c r="O38" s="18">
        <v>3.5</v>
      </c>
      <c r="P38" s="15">
        <v>73.7</v>
      </c>
      <c r="Q38" s="18">
        <v>0.25</v>
      </c>
      <c r="R38" s="19">
        <v>0.0</v>
      </c>
      <c r="S38" s="18">
        <v>0.75</v>
      </c>
      <c r="T38" s="18">
        <v>0.25</v>
      </c>
      <c r="U38" s="15">
        <v>25.0</v>
      </c>
      <c r="V38" s="17">
        <v>0.25</v>
      </c>
      <c r="W38" s="18">
        <v>0.25</v>
      </c>
      <c r="X38" s="19">
        <v>0.0</v>
      </c>
      <c r="Y38" s="19">
        <v>0.0</v>
      </c>
      <c r="Z38" s="21">
        <v>0.0</v>
      </c>
      <c r="AA38" s="20" t="s">
        <v>2389</v>
      </c>
    </row>
    <row r="39">
      <c r="A39" s="9">
        <v>36.0</v>
      </c>
      <c r="B39" s="10" t="s">
        <v>2390</v>
      </c>
      <c r="C39" s="11" t="s">
        <v>2391</v>
      </c>
      <c r="D39" s="12" t="s">
        <v>98</v>
      </c>
      <c r="E39" s="13" t="s">
        <v>2392</v>
      </c>
      <c r="F39" s="12">
        <v>23.0</v>
      </c>
      <c r="G39" s="12">
        <v>2001.0</v>
      </c>
      <c r="H39" s="14">
        <v>1.0</v>
      </c>
      <c r="I39" s="15">
        <v>1.0</v>
      </c>
      <c r="J39" s="15">
        <v>90.0</v>
      </c>
      <c r="K39" s="15">
        <v>1.0</v>
      </c>
      <c r="L39" s="17">
        <v>3.0</v>
      </c>
      <c r="M39" s="15">
        <v>3.0</v>
      </c>
      <c r="N39" s="18">
        <v>4.0</v>
      </c>
      <c r="O39" s="18">
        <v>1.0</v>
      </c>
      <c r="P39" s="15">
        <v>25.0</v>
      </c>
      <c r="Q39" s="18">
        <v>1.0</v>
      </c>
      <c r="R39" s="19">
        <v>0.0</v>
      </c>
      <c r="S39" s="19">
        <v>0.0</v>
      </c>
      <c r="T39" s="19">
        <v>0.0</v>
      </c>
      <c r="U39" s="21">
        <v>0.0</v>
      </c>
      <c r="V39" s="22">
        <v>0.0</v>
      </c>
      <c r="W39" s="19">
        <v>0.0</v>
      </c>
      <c r="X39" s="19">
        <v>0.0</v>
      </c>
      <c r="Y39" s="19">
        <v>0.0</v>
      </c>
      <c r="Z39" s="36"/>
      <c r="AA39" s="20" t="s">
        <v>2393</v>
      </c>
    </row>
    <row r="40">
      <c r="A40" s="9">
        <v>37.0</v>
      </c>
      <c r="B40" s="10" t="s">
        <v>2394</v>
      </c>
      <c r="C40" s="11" t="s">
        <v>2395</v>
      </c>
      <c r="D40" s="12" t="s">
        <v>98</v>
      </c>
      <c r="E40" s="13" t="s">
        <v>2396</v>
      </c>
      <c r="F40" s="12">
        <v>22.0</v>
      </c>
      <c r="G40" s="12">
        <v>2002.0</v>
      </c>
      <c r="H40" s="14">
        <v>38.0</v>
      </c>
      <c r="I40" s="15">
        <v>38.0</v>
      </c>
      <c r="J40" s="16">
        <v>3420.0</v>
      </c>
      <c r="K40" s="15">
        <v>38.0</v>
      </c>
      <c r="L40" s="17">
        <v>1.21</v>
      </c>
      <c r="M40" s="15">
        <v>1.21</v>
      </c>
      <c r="N40" s="18">
        <v>3.82</v>
      </c>
      <c r="O40" s="18">
        <v>2.71</v>
      </c>
      <c r="P40" s="15">
        <v>71.7</v>
      </c>
      <c r="Q40" s="18">
        <v>0.37</v>
      </c>
      <c r="R40" s="18">
        <v>0.29</v>
      </c>
      <c r="S40" s="18">
        <v>0.34</v>
      </c>
      <c r="T40" s="18">
        <v>0.26</v>
      </c>
      <c r="U40" s="15">
        <v>26.3</v>
      </c>
      <c r="V40" s="17">
        <v>0.16</v>
      </c>
      <c r="W40" s="18">
        <v>0.13</v>
      </c>
      <c r="X40" s="18">
        <v>0.03</v>
      </c>
      <c r="Y40" s="19">
        <v>0.0</v>
      </c>
      <c r="Z40" s="15">
        <v>16.7</v>
      </c>
      <c r="AA40" s="20" t="s">
        <v>2397</v>
      </c>
    </row>
    <row r="41">
      <c r="A41" s="9">
        <v>38.0</v>
      </c>
      <c r="B41" s="10" t="s">
        <v>2398</v>
      </c>
      <c r="C41" s="11" t="s">
        <v>2399</v>
      </c>
      <c r="D41" s="12" t="s">
        <v>98</v>
      </c>
      <c r="E41" s="13" t="s">
        <v>2400</v>
      </c>
      <c r="F41" s="12">
        <v>28.0</v>
      </c>
      <c r="G41" s="12">
        <v>1996.0</v>
      </c>
      <c r="H41" s="14">
        <v>31.0</v>
      </c>
      <c r="I41" s="15">
        <v>31.0</v>
      </c>
      <c r="J41" s="16">
        <v>2790.0</v>
      </c>
      <c r="K41" s="15">
        <v>31.0</v>
      </c>
      <c r="L41" s="17">
        <v>1.61</v>
      </c>
      <c r="M41" s="15">
        <v>1.61</v>
      </c>
      <c r="N41" s="18">
        <v>4.23</v>
      </c>
      <c r="O41" s="18">
        <v>2.68</v>
      </c>
      <c r="P41" s="15">
        <v>63.4</v>
      </c>
      <c r="Q41" s="18">
        <v>0.23</v>
      </c>
      <c r="R41" s="18">
        <v>0.29</v>
      </c>
      <c r="S41" s="18">
        <v>0.48</v>
      </c>
      <c r="T41" s="18">
        <v>0.23</v>
      </c>
      <c r="U41" s="15">
        <v>22.6</v>
      </c>
      <c r="V41" s="17">
        <v>0.06</v>
      </c>
      <c r="W41" s="18">
        <v>0.06</v>
      </c>
      <c r="X41" s="19">
        <v>0.0</v>
      </c>
      <c r="Y41" s="19">
        <v>0.0</v>
      </c>
      <c r="Z41" s="21">
        <v>0.0</v>
      </c>
      <c r="AA41" s="20" t="s">
        <v>2401</v>
      </c>
    </row>
    <row r="42">
      <c r="A42" s="9">
        <v>39.0</v>
      </c>
      <c r="B42" s="10" t="s">
        <v>2402</v>
      </c>
      <c r="C42" s="11" t="s">
        <v>2403</v>
      </c>
      <c r="D42" s="12" t="s">
        <v>98</v>
      </c>
      <c r="E42" s="13" t="s">
        <v>2404</v>
      </c>
      <c r="F42" s="12">
        <v>21.0</v>
      </c>
      <c r="G42" s="12">
        <v>2004.0</v>
      </c>
      <c r="H42" s="14">
        <v>3.0</v>
      </c>
      <c r="I42" s="15">
        <v>3.0</v>
      </c>
      <c r="J42" s="15">
        <v>270.0</v>
      </c>
      <c r="K42" s="15">
        <v>3.0</v>
      </c>
      <c r="L42" s="17">
        <v>1.33</v>
      </c>
      <c r="M42" s="15">
        <v>1.33</v>
      </c>
      <c r="N42" s="18">
        <v>4.33</v>
      </c>
      <c r="O42" s="18">
        <v>3.33</v>
      </c>
      <c r="P42" s="15">
        <v>76.9</v>
      </c>
      <c r="Q42" s="19">
        <v>0.0</v>
      </c>
      <c r="R42" s="18">
        <v>0.67</v>
      </c>
      <c r="S42" s="18">
        <v>0.33</v>
      </c>
      <c r="T42" s="19">
        <v>0.0</v>
      </c>
      <c r="U42" s="21">
        <v>0.0</v>
      </c>
      <c r="V42" s="17">
        <v>0.33</v>
      </c>
      <c r="W42" s="18">
        <v>0.33</v>
      </c>
      <c r="X42" s="19">
        <v>0.0</v>
      </c>
      <c r="Y42" s="19">
        <v>0.0</v>
      </c>
      <c r="Z42" s="21">
        <v>0.0</v>
      </c>
      <c r="AA42" s="20" t="s">
        <v>2405</v>
      </c>
    </row>
    <row r="43">
      <c r="A43" s="41">
        <v>40.0</v>
      </c>
      <c r="B43" s="25" t="s">
        <v>2406</v>
      </c>
      <c r="C43" s="26" t="s">
        <v>2407</v>
      </c>
      <c r="D43" s="42" t="s">
        <v>98</v>
      </c>
      <c r="E43" s="28" t="s">
        <v>2408</v>
      </c>
      <c r="F43" s="42">
        <v>28.0</v>
      </c>
      <c r="G43" s="42">
        <v>1997.0</v>
      </c>
      <c r="H43" s="43">
        <v>3.0</v>
      </c>
      <c r="I43" s="44">
        <v>2.0</v>
      </c>
      <c r="J43" s="44">
        <v>213.0</v>
      </c>
      <c r="K43" s="44">
        <v>2.4</v>
      </c>
      <c r="L43" s="43">
        <v>1.67</v>
      </c>
      <c r="M43" s="44">
        <v>1.69</v>
      </c>
      <c r="N43" s="44">
        <v>5.42</v>
      </c>
      <c r="O43" s="44">
        <v>3.75</v>
      </c>
      <c r="P43" s="44">
        <v>69.2</v>
      </c>
      <c r="Q43" s="44">
        <v>0.42</v>
      </c>
      <c r="R43" s="45">
        <v>0.0</v>
      </c>
      <c r="S43" s="44">
        <v>0.42</v>
      </c>
      <c r="T43" s="45">
        <v>0.0</v>
      </c>
      <c r="U43" s="45">
        <v>0.0</v>
      </c>
      <c r="V43" s="46">
        <v>0.0</v>
      </c>
      <c r="W43" s="45">
        <v>0.0</v>
      </c>
      <c r="X43" s="45">
        <v>0.0</v>
      </c>
      <c r="Y43" s="45">
        <v>0.0</v>
      </c>
      <c r="Z43" s="47"/>
      <c r="AA43" s="35" t="s">
        <v>2409</v>
      </c>
    </row>
  </sheetData>
  <mergeCells count="4">
    <mergeCell ref="A1:G1"/>
    <mergeCell ref="H1:K1"/>
    <mergeCell ref="L1:U1"/>
    <mergeCell ref="V1:Z1"/>
  </mergeCells>
  <hyperlinks>
    <hyperlink r:id="rId1" ref="B3"/>
    <hyperlink r:id="rId2" ref="C3"/>
    <hyperlink r:id="rId3" ref="E3"/>
    <hyperlink r:id="rId4" ref="AA3"/>
    <hyperlink r:id="rId5" ref="B4"/>
    <hyperlink r:id="rId6" ref="C4"/>
    <hyperlink r:id="rId7" ref="E4"/>
    <hyperlink r:id="rId8" ref="AA4"/>
    <hyperlink r:id="rId9" ref="B5"/>
    <hyperlink r:id="rId10" ref="C5"/>
    <hyperlink r:id="rId11" ref="E5"/>
    <hyperlink r:id="rId12" ref="AA5"/>
    <hyperlink r:id="rId13" ref="B6"/>
    <hyperlink r:id="rId14" ref="C6"/>
    <hyperlink r:id="rId15" ref="E6"/>
    <hyperlink r:id="rId16" ref="AA6"/>
    <hyperlink r:id="rId17" ref="B7"/>
    <hyperlink r:id="rId18" ref="C7"/>
    <hyperlink r:id="rId19" ref="E7"/>
    <hyperlink r:id="rId20" ref="AA7"/>
    <hyperlink r:id="rId21" ref="B8"/>
    <hyperlink r:id="rId22" ref="C8"/>
    <hyperlink r:id="rId23" ref="E8"/>
    <hyperlink r:id="rId24" ref="AA8"/>
    <hyperlink r:id="rId25" ref="B9"/>
    <hyperlink r:id="rId26" ref="C9"/>
    <hyperlink r:id="rId27" ref="E9"/>
    <hyperlink r:id="rId28" ref="AA9"/>
    <hyperlink r:id="rId29" ref="B10"/>
    <hyperlink r:id="rId30" ref="C10"/>
    <hyperlink r:id="rId31" ref="E10"/>
    <hyperlink r:id="rId32" ref="AA10"/>
    <hyperlink r:id="rId33" ref="B11"/>
    <hyperlink r:id="rId34" ref="C11"/>
    <hyperlink r:id="rId35" ref="E11"/>
    <hyperlink r:id="rId36" ref="AA11"/>
    <hyperlink r:id="rId37" ref="B12"/>
    <hyperlink r:id="rId38" ref="C12"/>
    <hyperlink r:id="rId39" ref="E12"/>
    <hyperlink r:id="rId40" ref="AA12"/>
    <hyperlink r:id="rId41" ref="B13"/>
    <hyperlink r:id="rId42" ref="C13"/>
    <hyperlink r:id="rId43" ref="E13"/>
    <hyperlink r:id="rId44" ref="AA13"/>
    <hyperlink r:id="rId45" ref="B14"/>
    <hyperlink r:id="rId46" ref="C14"/>
    <hyperlink r:id="rId47" ref="E14"/>
    <hyperlink r:id="rId48" ref="AA14"/>
    <hyperlink r:id="rId49" ref="B15"/>
    <hyperlink r:id="rId50" ref="C15"/>
    <hyperlink r:id="rId51" ref="E15"/>
    <hyperlink r:id="rId52" ref="AA15"/>
    <hyperlink r:id="rId53" ref="B16"/>
    <hyperlink r:id="rId54" ref="C16"/>
    <hyperlink r:id="rId55" ref="E16"/>
    <hyperlink r:id="rId56" ref="AA16"/>
    <hyperlink r:id="rId57" ref="B17"/>
    <hyperlink r:id="rId58" ref="C17"/>
    <hyperlink r:id="rId59" ref="E17"/>
    <hyperlink r:id="rId60" ref="AA17"/>
    <hyperlink r:id="rId61" ref="B18"/>
    <hyperlink r:id="rId62" ref="C18"/>
    <hyperlink r:id="rId63" ref="E18"/>
    <hyperlink r:id="rId64" ref="AA18"/>
    <hyperlink r:id="rId65" ref="B19"/>
    <hyperlink r:id="rId66" ref="C19"/>
    <hyperlink r:id="rId67" ref="E19"/>
    <hyperlink r:id="rId68" ref="AA19"/>
    <hyperlink r:id="rId69" ref="B20"/>
    <hyperlink r:id="rId70" ref="C20"/>
    <hyperlink r:id="rId71" ref="E20"/>
    <hyperlink r:id="rId72" ref="AA20"/>
    <hyperlink r:id="rId73" ref="B21"/>
    <hyperlink r:id="rId74" ref="C21"/>
    <hyperlink r:id="rId75" ref="E21"/>
    <hyperlink r:id="rId76" ref="AA21"/>
    <hyperlink r:id="rId77" ref="B22"/>
    <hyperlink r:id="rId78" ref="C22"/>
    <hyperlink r:id="rId79" ref="E22"/>
    <hyperlink r:id="rId80" ref="AA22"/>
    <hyperlink r:id="rId81" ref="B23"/>
    <hyperlink r:id="rId82" ref="C23"/>
    <hyperlink r:id="rId83" ref="E23"/>
    <hyperlink r:id="rId84" ref="AA23"/>
    <hyperlink r:id="rId85" ref="B24"/>
    <hyperlink r:id="rId86" ref="C24"/>
    <hyperlink r:id="rId87" ref="E24"/>
    <hyperlink r:id="rId88" ref="AA24"/>
    <hyperlink r:id="rId89" ref="B25"/>
    <hyperlink r:id="rId90" ref="C25"/>
    <hyperlink r:id="rId91" ref="E25"/>
    <hyperlink r:id="rId92" ref="AA25"/>
    <hyperlink r:id="rId93" ref="B26"/>
    <hyperlink r:id="rId94" ref="C26"/>
    <hyperlink r:id="rId95" ref="E26"/>
    <hyperlink r:id="rId96" ref="AA26"/>
    <hyperlink r:id="rId97" ref="B27"/>
    <hyperlink r:id="rId98" ref="C27"/>
    <hyperlink r:id="rId99" ref="E27"/>
    <hyperlink r:id="rId100" ref="AA27"/>
    <hyperlink r:id="rId101" ref="B29"/>
    <hyperlink r:id="rId102" ref="C29"/>
    <hyperlink r:id="rId103" ref="E29"/>
    <hyperlink r:id="rId104" ref="AA29"/>
    <hyperlink r:id="rId105" ref="B30"/>
    <hyperlink r:id="rId106" ref="C30"/>
    <hyperlink r:id="rId107" ref="E30"/>
    <hyperlink r:id="rId108" ref="AA30"/>
    <hyperlink r:id="rId109" ref="B31"/>
    <hyperlink r:id="rId110" ref="C31"/>
    <hyperlink r:id="rId111" ref="E31"/>
    <hyperlink r:id="rId112" ref="AA31"/>
    <hyperlink r:id="rId113" ref="B32"/>
    <hyperlink r:id="rId114" ref="C32"/>
    <hyperlink r:id="rId115" ref="E32"/>
    <hyperlink r:id="rId116" ref="AA32"/>
    <hyperlink r:id="rId117" ref="B33"/>
    <hyperlink r:id="rId118" ref="C33"/>
    <hyperlink r:id="rId119" ref="E33"/>
    <hyperlink r:id="rId120" ref="AA33"/>
    <hyperlink r:id="rId121" ref="B34"/>
    <hyperlink r:id="rId122" ref="C34"/>
    <hyperlink r:id="rId123" ref="E34"/>
    <hyperlink r:id="rId124" ref="AA34"/>
    <hyperlink r:id="rId125" ref="B35"/>
    <hyperlink r:id="rId126" ref="C35"/>
    <hyperlink r:id="rId127" ref="E35"/>
    <hyperlink r:id="rId128" ref="AA35"/>
    <hyperlink r:id="rId129" ref="B36"/>
    <hyperlink r:id="rId130" ref="C36"/>
    <hyperlink r:id="rId131" ref="E36"/>
    <hyperlink r:id="rId132" ref="AA36"/>
    <hyperlink r:id="rId133" ref="B37"/>
    <hyperlink r:id="rId134" ref="C37"/>
    <hyperlink r:id="rId135" ref="E37"/>
    <hyperlink r:id="rId136" ref="AA37"/>
    <hyperlink r:id="rId137" ref="B38"/>
    <hyperlink r:id="rId138" ref="C38"/>
    <hyperlink r:id="rId139" ref="E38"/>
    <hyperlink r:id="rId140" ref="AA38"/>
    <hyperlink r:id="rId141" ref="B39"/>
    <hyperlink r:id="rId142" ref="C39"/>
    <hyperlink r:id="rId143" ref="E39"/>
    <hyperlink r:id="rId144" ref="AA39"/>
    <hyperlink r:id="rId145" ref="B40"/>
    <hyperlink r:id="rId146" ref="C40"/>
    <hyperlink r:id="rId147" ref="E40"/>
    <hyperlink r:id="rId148" ref="AA40"/>
    <hyperlink r:id="rId149" ref="B41"/>
    <hyperlink r:id="rId150" ref="C41"/>
    <hyperlink r:id="rId151" ref="E41"/>
    <hyperlink r:id="rId152" ref="AA41"/>
    <hyperlink r:id="rId153" ref="B42"/>
    <hyperlink r:id="rId154" ref="C42"/>
    <hyperlink r:id="rId155" ref="E42"/>
    <hyperlink r:id="rId156" ref="AA42"/>
    <hyperlink r:id="rId157" ref="B43"/>
    <hyperlink r:id="rId158" ref="C43"/>
    <hyperlink r:id="rId159" ref="E43"/>
    <hyperlink r:id="rId160" ref="AA43"/>
  </hyperlinks>
  <drawing r:id="rId16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/>
      <c r="B1" s="2"/>
      <c r="C1" s="2"/>
      <c r="D1" s="2"/>
      <c r="E1" s="2"/>
      <c r="F1" s="2"/>
      <c r="G1" s="2"/>
      <c r="H1" s="2"/>
      <c r="I1" s="4" t="s">
        <v>2410</v>
      </c>
      <c r="J1" s="2"/>
      <c r="K1" s="2"/>
      <c r="L1" s="2"/>
      <c r="M1" s="2"/>
      <c r="N1" s="2"/>
      <c r="O1" s="2"/>
      <c r="P1" s="2"/>
      <c r="Q1" s="2"/>
      <c r="R1" s="2"/>
      <c r="S1" s="5"/>
    </row>
    <row r="2">
      <c r="A2" s="6" t="s">
        <v>3</v>
      </c>
      <c r="B2" s="49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13</v>
      </c>
      <c r="I2" s="4" t="s">
        <v>14</v>
      </c>
      <c r="J2" s="8" t="s">
        <v>2411</v>
      </c>
      <c r="K2" s="8" t="s">
        <v>2412</v>
      </c>
      <c r="L2" s="8" t="s">
        <v>2413</v>
      </c>
      <c r="M2" s="8" t="s">
        <v>2414</v>
      </c>
      <c r="N2" s="8" t="s">
        <v>2415</v>
      </c>
      <c r="O2" s="8" t="s">
        <v>2416</v>
      </c>
      <c r="P2" s="8" t="s">
        <v>2417</v>
      </c>
      <c r="Q2" s="8" t="s">
        <v>18</v>
      </c>
      <c r="R2" s="8" t="s">
        <v>19</v>
      </c>
      <c r="S2" s="4" t="s">
        <v>23</v>
      </c>
    </row>
    <row r="3">
      <c r="A3" s="50">
        <v>1.0</v>
      </c>
      <c r="B3" s="13" t="s">
        <v>2418</v>
      </c>
      <c r="C3" s="11" t="s">
        <v>2419</v>
      </c>
      <c r="D3" s="12" t="s">
        <v>26</v>
      </c>
      <c r="E3" s="13" t="s">
        <v>2420</v>
      </c>
      <c r="F3" s="12">
        <v>24.0</v>
      </c>
      <c r="G3" s="12">
        <v>2000.0</v>
      </c>
      <c r="H3" s="15">
        <v>27.2</v>
      </c>
      <c r="I3" s="17">
        <v>0.15</v>
      </c>
      <c r="J3" s="18">
        <v>1.73</v>
      </c>
      <c r="K3" s="18">
        <v>0.63</v>
      </c>
      <c r="L3" s="15">
        <v>36.2</v>
      </c>
      <c r="M3" s="15">
        <v>1.73</v>
      </c>
      <c r="N3" s="15">
        <v>0.62</v>
      </c>
      <c r="O3" s="15">
        <v>0.09</v>
      </c>
      <c r="P3" s="15">
        <v>0.24</v>
      </c>
      <c r="Q3" s="19">
        <v>0.0</v>
      </c>
      <c r="R3" s="19">
        <v>0.0</v>
      </c>
      <c r="S3" s="20" t="s">
        <v>2421</v>
      </c>
    </row>
    <row r="4">
      <c r="A4" s="50">
        <v>2.0</v>
      </c>
      <c r="B4" s="13" t="s">
        <v>2422</v>
      </c>
      <c r="C4" s="11" t="s">
        <v>2423</v>
      </c>
      <c r="D4" s="12" t="s">
        <v>31</v>
      </c>
      <c r="E4" s="13" t="s">
        <v>2424</v>
      </c>
      <c r="F4" s="12">
        <v>15.0</v>
      </c>
      <c r="G4" s="12">
        <v>2009.0</v>
      </c>
      <c r="H4" s="15">
        <v>0.2</v>
      </c>
      <c r="I4" s="22">
        <v>0.0</v>
      </c>
      <c r="J4" s="19">
        <v>0.0</v>
      </c>
      <c r="K4" s="19">
        <v>0.0</v>
      </c>
      <c r="L4" s="36"/>
      <c r="M4" s="21">
        <v>0.0</v>
      </c>
      <c r="N4" s="21">
        <v>0.0</v>
      </c>
      <c r="O4" s="36"/>
      <c r="P4" s="36"/>
      <c r="Q4" s="19">
        <v>0.0</v>
      </c>
      <c r="R4" s="19">
        <v>0.0</v>
      </c>
      <c r="S4" s="20" t="s">
        <v>2425</v>
      </c>
    </row>
    <row r="5">
      <c r="A5" s="50">
        <v>3.0</v>
      </c>
      <c r="B5" s="13" t="s">
        <v>2426</v>
      </c>
      <c r="C5" s="11" t="s">
        <v>2427</v>
      </c>
      <c r="D5" s="12" t="s">
        <v>36</v>
      </c>
      <c r="E5" s="13" t="s">
        <v>2428</v>
      </c>
      <c r="F5" s="12">
        <v>19.0</v>
      </c>
      <c r="G5" s="12">
        <v>2006.0</v>
      </c>
      <c r="H5" s="15">
        <v>1.8</v>
      </c>
      <c r="I5" s="22">
        <v>0.0</v>
      </c>
      <c r="J5" s="19">
        <v>0.0</v>
      </c>
      <c r="K5" s="19">
        <v>0.0</v>
      </c>
      <c r="L5" s="36"/>
      <c r="M5" s="21">
        <v>0.0</v>
      </c>
      <c r="N5" s="21">
        <v>0.0</v>
      </c>
      <c r="O5" s="36"/>
      <c r="P5" s="36"/>
      <c r="Q5" s="19">
        <v>0.0</v>
      </c>
      <c r="R5" s="19">
        <v>0.0</v>
      </c>
      <c r="S5" s="20" t="s">
        <v>2429</v>
      </c>
    </row>
    <row r="6">
      <c r="A6" s="50">
        <v>4.0</v>
      </c>
      <c r="B6" s="13" t="s">
        <v>2430</v>
      </c>
      <c r="C6" s="11" t="s">
        <v>2431</v>
      </c>
      <c r="D6" s="12" t="s">
        <v>41</v>
      </c>
      <c r="E6" s="13" t="s">
        <v>2432</v>
      </c>
      <c r="F6" s="12">
        <v>27.0</v>
      </c>
      <c r="G6" s="12">
        <v>1997.0</v>
      </c>
      <c r="H6" s="15">
        <v>3.2</v>
      </c>
      <c r="I6" s="17">
        <v>0.63</v>
      </c>
      <c r="J6" s="18">
        <v>2.81</v>
      </c>
      <c r="K6" s="18">
        <v>0.94</v>
      </c>
      <c r="L6" s="15">
        <v>33.3</v>
      </c>
      <c r="M6" s="15">
        <v>2.83</v>
      </c>
      <c r="N6" s="15">
        <v>0.94</v>
      </c>
      <c r="O6" s="15">
        <v>0.22</v>
      </c>
      <c r="P6" s="15">
        <v>0.67</v>
      </c>
      <c r="Q6" s="19">
        <v>0.0</v>
      </c>
      <c r="R6" s="19">
        <v>0.0</v>
      </c>
      <c r="S6" s="20" t="s">
        <v>2433</v>
      </c>
    </row>
    <row r="7">
      <c r="A7" s="50">
        <v>5.0</v>
      </c>
      <c r="B7" s="13" t="s">
        <v>2434</v>
      </c>
      <c r="C7" s="11" t="s">
        <v>2435</v>
      </c>
      <c r="D7" s="12" t="s">
        <v>36</v>
      </c>
      <c r="E7" s="13" t="s">
        <v>2436</v>
      </c>
      <c r="F7" s="12">
        <v>19.0</v>
      </c>
      <c r="G7" s="12">
        <v>2006.0</v>
      </c>
      <c r="H7" s="15">
        <v>7.4</v>
      </c>
      <c r="I7" s="17">
        <v>0.14</v>
      </c>
      <c r="J7" s="18">
        <v>0.54</v>
      </c>
      <c r="K7" s="18">
        <v>0.27</v>
      </c>
      <c r="L7" s="15">
        <v>50.0</v>
      </c>
      <c r="M7" s="15">
        <v>0.54</v>
      </c>
      <c r="N7" s="15">
        <v>0.27</v>
      </c>
      <c r="O7" s="15">
        <v>0.25</v>
      </c>
      <c r="P7" s="15">
        <v>0.5</v>
      </c>
      <c r="Q7" s="19">
        <v>0.0</v>
      </c>
      <c r="R7" s="19">
        <v>0.0</v>
      </c>
      <c r="S7" s="20" t="s">
        <v>2437</v>
      </c>
    </row>
    <row r="8">
      <c r="A8" s="50">
        <v>6.0</v>
      </c>
      <c r="B8" s="13" t="s">
        <v>2438</v>
      </c>
      <c r="C8" s="11" t="s">
        <v>2439</v>
      </c>
      <c r="D8" s="12" t="s">
        <v>31</v>
      </c>
      <c r="E8" s="13" t="s">
        <v>2440</v>
      </c>
      <c r="F8" s="12">
        <v>26.0</v>
      </c>
      <c r="G8" s="12">
        <v>1999.0</v>
      </c>
      <c r="H8" s="15">
        <v>19.7</v>
      </c>
      <c r="I8" s="17">
        <v>0.1</v>
      </c>
      <c r="J8" s="18">
        <v>0.51</v>
      </c>
      <c r="K8" s="18">
        <v>0.3</v>
      </c>
      <c r="L8" s="15">
        <v>60.0</v>
      </c>
      <c r="M8" s="15">
        <v>0.51</v>
      </c>
      <c r="N8" s="15">
        <v>0.3</v>
      </c>
      <c r="O8" s="15">
        <v>0.2</v>
      </c>
      <c r="P8" s="15">
        <v>0.33</v>
      </c>
      <c r="Q8" s="19">
        <v>0.0</v>
      </c>
      <c r="R8" s="19">
        <v>0.0</v>
      </c>
      <c r="S8" s="20" t="s">
        <v>2441</v>
      </c>
    </row>
    <row r="9">
      <c r="A9" s="50">
        <v>7.0</v>
      </c>
      <c r="B9" s="13" t="s">
        <v>2442</v>
      </c>
      <c r="C9" s="11" t="s">
        <v>2443</v>
      </c>
      <c r="D9" s="12" t="s">
        <v>36</v>
      </c>
      <c r="E9" s="13" t="s">
        <v>2444</v>
      </c>
      <c r="F9" s="12">
        <v>27.0</v>
      </c>
      <c r="G9" s="12">
        <v>1997.0</v>
      </c>
      <c r="H9" s="15">
        <v>8.8</v>
      </c>
      <c r="I9" s="22">
        <v>0.0</v>
      </c>
      <c r="J9" s="18">
        <v>0.23</v>
      </c>
      <c r="K9" s="19">
        <v>0.0</v>
      </c>
      <c r="L9" s="21">
        <v>0.0</v>
      </c>
      <c r="M9" s="15">
        <v>0.23</v>
      </c>
      <c r="N9" s="21">
        <v>0.0</v>
      </c>
      <c r="O9" s="21">
        <v>0.0</v>
      </c>
      <c r="P9" s="36"/>
      <c r="Q9" s="19">
        <v>0.0</v>
      </c>
      <c r="R9" s="19">
        <v>0.0</v>
      </c>
      <c r="S9" s="20" t="s">
        <v>2445</v>
      </c>
    </row>
    <row r="10">
      <c r="A10" s="50">
        <v>8.0</v>
      </c>
      <c r="B10" s="13" t="s">
        <v>2446</v>
      </c>
      <c r="C10" s="11" t="s">
        <v>2447</v>
      </c>
      <c r="D10" s="12" t="s">
        <v>26</v>
      </c>
      <c r="E10" s="13" t="s">
        <v>2448</v>
      </c>
      <c r="F10" s="12">
        <v>23.0</v>
      </c>
      <c r="G10" s="12">
        <v>2002.0</v>
      </c>
      <c r="H10" s="15">
        <v>7.3</v>
      </c>
      <c r="I10" s="17">
        <v>0.14</v>
      </c>
      <c r="J10" s="18">
        <v>0.82</v>
      </c>
      <c r="K10" s="18">
        <v>0.27</v>
      </c>
      <c r="L10" s="15">
        <v>33.3</v>
      </c>
      <c r="M10" s="15">
        <v>0.83</v>
      </c>
      <c r="N10" s="15">
        <v>0.28</v>
      </c>
      <c r="O10" s="15">
        <v>0.17</v>
      </c>
      <c r="P10" s="15">
        <v>0.5</v>
      </c>
      <c r="Q10" s="19">
        <v>0.0</v>
      </c>
      <c r="R10" s="19">
        <v>0.0</v>
      </c>
      <c r="S10" s="20" t="s">
        <v>2449</v>
      </c>
    </row>
    <row r="11">
      <c r="A11" s="50">
        <v>9.0</v>
      </c>
      <c r="B11" s="13" t="s">
        <v>2450</v>
      </c>
      <c r="C11" s="11" t="s">
        <v>2451</v>
      </c>
      <c r="D11" s="12" t="s">
        <v>31</v>
      </c>
      <c r="E11" s="13" t="s">
        <v>2452</v>
      </c>
      <c r="F11" s="12">
        <v>25.0</v>
      </c>
      <c r="G11" s="12">
        <v>2000.0</v>
      </c>
      <c r="H11" s="15">
        <v>12.1</v>
      </c>
      <c r="I11" s="17">
        <v>0.25</v>
      </c>
      <c r="J11" s="18">
        <v>1.65</v>
      </c>
      <c r="K11" s="18">
        <v>0.74</v>
      </c>
      <c r="L11" s="15">
        <v>45.0</v>
      </c>
      <c r="M11" s="15">
        <v>1.65</v>
      </c>
      <c r="N11" s="15">
        <v>0.74</v>
      </c>
      <c r="O11" s="15">
        <v>0.15</v>
      </c>
      <c r="P11" s="15">
        <v>0.33</v>
      </c>
      <c r="Q11" s="19">
        <v>0.0</v>
      </c>
      <c r="R11" s="19">
        <v>0.0</v>
      </c>
      <c r="S11" s="20" t="s">
        <v>2453</v>
      </c>
    </row>
    <row r="12">
      <c r="A12" s="50">
        <v>10.0</v>
      </c>
      <c r="B12" s="13" t="s">
        <v>2454</v>
      </c>
      <c r="C12" s="11" t="s">
        <v>2455</v>
      </c>
      <c r="D12" s="12" t="s">
        <v>36</v>
      </c>
      <c r="E12" s="13" t="s">
        <v>2456</v>
      </c>
      <c r="F12" s="12">
        <v>28.0</v>
      </c>
      <c r="G12" s="12">
        <v>1997.0</v>
      </c>
      <c r="H12" s="15">
        <v>12.2</v>
      </c>
      <c r="I12" s="22">
        <v>0.0</v>
      </c>
      <c r="J12" s="18">
        <v>0.82</v>
      </c>
      <c r="K12" s="18">
        <v>0.25</v>
      </c>
      <c r="L12" s="15">
        <v>30.0</v>
      </c>
      <c r="M12" s="15">
        <v>0.82</v>
      </c>
      <c r="N12" s="15">
        <v>0.25</v>
      </c>
      <c r="O12" s="21">
        <v>0.0</v>
      </c>
      <c r="P12" s="21">
        <v>0.0</v>
      </c>
      <c r="Q12" s="19">
        <v>0.0</v>
      </c>
      <c r="R12" s="19">
        <v>0.0</v>
      </c>
      <c r="S12" s="20" t="s">
        <v>2457</v>
      </c>
    </row>
    <row r="13">
      <c r="A13" s="50">
        <v>11.0</v>
      </c>
      <c r="B13" s="13" t="s">
        <v>2458</v>
      </c>
      <c r="C13" s="11" t="s">
        <v>2459</v>
      </c>
      <c r="D13" s="12" t="s">
        <v>36</v>
      </c>
      <c r="E13" s="13" t="s">
        <v>2460</v>
      </c>
      <c r="F13" s="12">
        <v>29.0</v>
      </c>
      <c r="G13" s="12">
        <v>1996.0</v>
      </c>
      <c r="H13" s="15">
        <v>2.0</v>
      </c>
      <c r="I13" s="22">
        <v>0.0</v>
      </c>
      <c r="J13" s="18">
        <v>1.0</v>
      </c>
      <c r="K13" s="19">
        <v>0.0</v>
      </c>
      <c r="L13" s="21">
        <v>0.0</v>
      </c>
      <c r="M13" s="15">
        <v>1.0</v>
      </c>
      <c r="N13" s="21">
        <v>0.0</v>
      </c>
      <c r="O13" s="21">
        <v>0.0</v>
      </c>
      <c r="P13" s="36"/>
      <c r="Q13" s="19">
        <v>0.0</v>
      </c>
      <c r="R13" s="19">
        <v>0.0</v>
      </c>
      <c r="S13" s="20" t="s">
        <v>2461</v>
      </c>
    </row>
    <row r="14">
      <c r="A14" s="50">
        <v>12.0</v>
      </c>
      <c r="B14" s="13" t="s">
        <v>2462</v>
      </c>
      <c r="C14" s="11" t="s">
        <v>2463</v>
      </c>
      <c r="D14" s="12" t="s">
        <v>36</v>
      </c>
      <c r="E14" s="13" t="s">
        <v>2464</v>
      </c>
      <c r="F14" s="12">
        <v>28.0</v>
      </c>
      <c r="G14" s="12">
        <v>1996.0</v>
      </c>
      <c r="H14" s="15">
        <v>17.6</v>
      </c>
      <c r="I14" s="22">
        <v>0.0</v>
      </c>
      <c r="J14" s="18">
        <v>0.68</v>
      </c>
      <c r="K14" s="18">
        <v>0.06</v>
      </c>
      <c r="L14" s="15">
        <v>8.3</v>
      </c>
      <c r="M14" s="15">
        <v>0.68</v>
      </c>
      <c r="N14" s="15">
        <v>0.06</v>
      </c>
      <c r="O14" s="21">
        <v>0.0</v>
      </c>
      <c r="P14" s="21">
        <v>0.0</v>
      </c>
      <c r="Q14" s="19">
        <v>0.0</v>
      </c>
      <c r="R14" s="19">
        <v>0.0</v>
      </c>
      <c r="S14" s="20" t="s">
        <v>2465</v>
      </c>
    </row>
    <row r="15">
      <c r="A15" s="50">
        <v>13.0</v>
      </c>
      <c r="B15" s="13" t="s">
        <v>2466</v>
      </c>
      <c r="C15" s="11" t="s">
        <v>2467</v>
      </c>
      <c r="D15" s="12" t="s">
        <v>36</v>
      </c>
      <c r="E15" s="13" t="s">
        <v>2468</v>
      </c>
      <c r="F15" s="12">
        <v>24.0</v>
      </c>
      <c r="G15" s="12">
        <v>2001.0</v>
      </c>
      <c r="H15" s="15">
        <v>10.8</v>
      </c>
      <c r="I15" s="22">
        <v>0.0</v>
      </c>
      <c r="J15" s="18">
        <v>0.93</v>
      </c>
      <c r="K15" s="18">
        <v>0.19</v>
      </c>
      <c r="L15" s="15">
        <v>20.0</v>
      </c>
      <c r="M15" s="15">
        <v>0.92</v>
      </c>
      <c r="N15" s="15">
        <v>0.18</v>
      </c>
      <c r="O15" s="21">
        <v>0.0</v>
      </c>
      <c r="P15" s="21">
        <v>0.0</v>
      </c>
      <c r="Q15" s="19">
        <v>0.0</v>
      </c>
      <c r="R15" s="19">
        <v>0.0</v>
      </c>
      <c r="S15" s="20" t="s">
        <v>2469</v>
      </c>
    </row>
    <row r="16">
      <c r="A16" s="50">
        <v>14.0</v>
      </c>
      <c r="B16" s="13" t="s">
        <v>2470</v>
      </c>
      <c r="C16" s="11" t="s">
        <v>2471</v>
      </c>
      <c r="D16" s="12" t="s">
        <v>36</v>
      </c>
      <c r="E16" s="13" t="s">
        <v>2472</v>
      </c>
      <c r="F16" s="12">
        <v>27.0</v>
      </c>
      <c r="G16" s="12">
        <v>1998.0</v>
      </c>
      <c r="H16" s="15">
        <v>20.1</v>
      </c>
      <c r="I16" s="22">
        <v>0.0</v>
      </c>
      <c r="J16" s="18">
        <v>0.5</v>
      </c>
      <c r="K16" s="18">
        <v>0.15</v>
      </c>
      <c r="L16" s="15">
        <v>30.0</v>
      </c>
      <c r="M16" s="15">
        <v>0.5</v>
      </c>
      <c r="N16" s="15">
        <v>0.15</v>
      </c>
      <c r="O16" s="21">
        <v>0.0</v>
      </c>
      <c r="P16" s="21">
        <v>0.0</v>
      </c>
      <c r="Q16" s="19">
        <v>0.0</v>
      </c>
      <c r="R16" s="19">
        <v>0.0</v>
      </c>
      <c r="S16" s="20" t="s">
        <v>2473</v>
      </c>
    </row>
    <row r="17">
      <c r="A17" s="50">
        <v>15.0</v>
      </c>
      <c r="B17" s="13" t="s">
        <v>2474</v>
      </c>
      <c r="C17" s="11" t="s">
        <v>2475</v>
      </c>
      <c r="D17" s="12" t="s">
        <v>36</v>
      </c>
      <c r="E17" s="13" t="s">
        <v>2476</v>
      </c>
      <c r="F17" s="12">
        <v>30.0</v>
      </c>
      <c r="G17" s="12">
        <v>1995.0</v>
      </c>
      <c r="H17" s="15">
        <v>7.7</v>
      </c>
      <c r="I17" s="22">
        <v>0.0</v>
      </c>
      <c r="J17" s="18">
        <v>0.91</v>
      </c>
      <c r="K17" s="18">
        <v>0.13</v>
      </c>
      <c r="L17" s="15">
        <v>14.3</v>
      </c>
      <c r="M17" s="15">
        <v>0.91</v>
      </c>
      <c r="N17" s="15">
        <v>0.13</v>
      </c>
      <c r="O17" s="21">
        <v>0.0</v>
      </c>
      <c r="P17" s="21">
        <v>0.0</v>
      </c>
      <c r="Q17" s="19">
        <v>0.0</v>
      </c>
      <c r="R17" s="19">
        <v>0.0</v>
      </c>
      <c r="S17" s="20" t="s">
        <v>2477</v>
      </c>
    </row>
    <row r="18">
      <c r="A18" s="50">
        <v>16.0</v>
      </c>
      <c r="B18" s="13" t="s">
        <v>2478</v>
      </c>
      <c r="C18" s="11" t="s">
        <v>2479</v>
      </c>
      <c r="D18" s="12" t="s">
        <v>31</v>
      </c>
      <c r="E18" s="13" t="s">
        <v>2480</v>
      </c>
      <c r="F18" s="12">
        <v>22.0</v>
      </c>
      <c r="G18" s="12">
        <v>2002.0</v>
      </c>
      <c r="H18" s="15">
        <v>7.7</v>
      </c>
      <c r="I18" s="22">
        <v>0.0</v>
      </c>
      <c r="J18" s="18">
        <v>2.6</v>
      </c>
      <c r="K18" s="18">
        <v>0.65</v>
      </c>
      <c r="L18" s="15">
        <v>25.0</v>
      </c>
      <c r="M18" s="15">
        <v>2.61</v>
      </c>
      <c r="N18" s="15">
        <v>0.65</v>
      </c>
      <c r="O18" s="21">
        <v>0.0</v>
      </c>
      <c r="P18" s="21">
        <v>0.0</v>
      </c>
      <c r="Q18" s="19">
        <v>0.0</v>
      </c>
      <c r="R18" s="19">
        <v>0.0</v>
      </c>
      <c r="S18" s="20" t="s">
        <v>2481</v>
      </c>
    </row>
    <row r="19">
      <c r="A19" s="50">
        <v>17.0</v>
      </c>
      <c r="B19" s="13" t="s">
        <v>2482</v>
      </c>
      <c r="C19" s="11" t="s">
        <v>2483</v>
      </c>
      <c r="D19" s="12" t="s">
        <v>36</v>
      </c>
      <c r="E19" s="13" t="s">
        <v>2484</v>
      </c>
      <c r="F19" s="12">
        <v>28.0</v>
      </c>
      <c r="G19" s="12">
        <v>1996.0</v>
      </c>
      <c r="H19" s="15">
        <v>31.1</v>
      </c>
      <c r="I19" s="17">
        <v>0.03</v>
      </c>
      <c r="J19" s="18">
        <v>0.77</v>
      </c>
      <c r="K19" s="18">
        <v>0.29</v>
      </c>
      <c r="L19" s="15">
        <v>37.5</v>
      </c>
      <c r="M19" s="15">
        <v>0.77</v>
      </c>
      <c r="N19" s="15">
        <v>0.29</v>
      </c>
      <c r="O19" s="15">
        <v>0.04</v>
      </c>
      <c r="P19" s="15">
        <v>0.11</v>
      </c>
      <c r="Q19" s="19">
        <v>0.0</v>
      </c>
      <c r="R19" s="19">
        <v>0.0</v>
      </c>
      <c r="S19" s="20" t="s">
        <v>2485</v>
      </c>
    </row>
    <row r="20">
      <c r="A20" s="50">
        <v>18.0</v>
      </c>
      <c r="B20" s="13" t="s">
        <v>2486</v>
      </c>
      <c r="C20" s="11" t="s">
        <v>2487</v>
      </c>
      <c r="D20" s="12" t="s">
        <v>98</v>
      </c>
      <c r="E20" s="13" t="s">
        <v>2488</v>
      </c>
      <c r="F20" s="12">
        <v>32.0</v>
      </c>
      <c r="G20" s="12">
        <v>1992.0</v>
      </c>
      <c r="H20" s="15">
        <v>26.0</v>
      </c>
      <c r="I20" s="22">
        <v>0.0</v>
      </c>
      <c r="J20" s="19">
        <v>0.0</v>
      </c>
      <c r="K20" s="19">
        <v>0.0</v>
      </c>
      <c r="L20" s="36"/>
      <c r="M20" s="21">
        <v>0.0</v>
      </c>
      <c r="N20" s="21">
        <v>0.0</v>
      </c>
      <c r="O20" s="36"/>
      <c r="P20" s="36"/>
      <c r="Q20" s="19">
        <v>0.0</v>
      </c>
      <c r="R20" s="19">
        <v>0.0</v>
      </c>
      <c r="S20" s="20" t="s">
        <v>2489</v>
      </c>
    </row>
    <row r="21">
      <c r="A21" s="50">
        <v>19.0</v>
      </c>
      <c r="B21" s="13" t="s">
        <v>2490</v>
      </c>
      <c r="C21" s="11" t="s">
        <v>2491</v>
      </c>
      <c r="D21" s="12" t="s">
        <v>36</v>
      </c>
      <c r="E21" s="13" t="s">
        <v>2492</v>
      </c>
      <c r="F21" s="12">
        <v>20.0</v>
      </c>
      <c r="G21" s="12">
        <v>2005.0</v>
      </c>
      <c r="H21" s="15">
        <v>1.5</v>
      </c>
      <c r="I21" s="22">
        <v>0.0</v>
      </c>
      <c r="J21" s="18">
        <v>1.33</v>
      </c>
      <c r="K21" s="18">
        <v>0.67</v>
      </c>
      <c r="L21" s="15">
        <v>50.0</v>
      </c>
      <c r="M21" s="15">
        <v>1.33</v>
      </c>
      <c r="N21" s="15">
        <v>0.67</v>
      </c>
      <c r="O21" s="21">
        <v>0.0</v>
      </c>
      <c r="P21" s="21">
        <v>0.0</v>
      </c>
      <c r="Q21" s="19">
        <v>0.0</v>
      </c>
      <c r="R21" s="19">
        <v>0.0</v>
      </c>
      <c r="S21" s="20" t="s">
        <v>2493</v>
      </c>
    </row>
    <row r="22">
      <c r="A22" s="50">
        <v>20.0</v>
      </c>
      <c r="B22" s="13" t="s">
        <v>2494</v>
      </c>
      <c r="C22" s="11" t="s">
        <v>2495</v>
      </c>
      <c r="D22" s="12" t="s">
        <v>107</v>
      </c>
      <c r="E22" s="13" t="s">
        <v>2496</v>
      </c>
      <c r="F22" s="12">
        <v>20.0</v>
      </c>
      <c r="G22" s="12">
        <v>2004.0</v>
      </c>
      <c r="H22" s="15">
        <v>0.1</v>
      </c>
      <c r="I22" s="22">
        <v>0.0</v>
      </c>
      <c r="J22" s="19">
        <v>0.0</v>
      </c>
      <c r="K22" s="19">
        <v>0.0</v>
      </c>
      <c r="L22" s="36"/>
      <c r="M22" s="21">
        <v>0.0</v>
      </c>
      <c r="N22" s="21">
        <v>0.0</v>
      </c>
      <c r="O22" s="36"/>
      <c r="P22" s="36"/>
      <c r="Q22" s="19">
        <v>0.0</v>
      </c>
      <c r="R22" s="19">
        <v>0.0</v>
      </c>
      <c r="S22" s="20" t="s">
        <v>2497</v>
      </c>
    </row>
    <row r="23">
      <c r="A23" s="50">
        <v>21.0</v>
      </c>
      <c r="B23" s="13" t="s">
        <v>2498</v>
      </c>
      <c r="C23" s="11" t="s">
        <v>2499</v>
      </c>
      <c r="D23" s="12" t="s">
        <v>107</v>
      </c>
      <c r="E23" s="13" t="s">
        <v>2500</v>
      </c>
      <c r="F23" s="12">
        <v>24.0</v>
      </c>
      <c r="G23" s="12">
        <v>2000.0</v>
      </c>
      <c r="H23" s="15">
        <v>0.8</v>
      </c>
      <c r="I23" s="22">
        <v>0.0</v>
      </c>
      <c r="J23" s="18">
        <v>3.75</v>
      </c>
      <c r="K23" s="18">
        <v>1.25</v>
      </c>
      <c r="L23" s="15">
        <v>33.3</v>
      </c>
      <c r="M23" s="15">
        <v>3.7</v>
      </c>
      <c r="N23" s="15">
        <v>1.23</v>
      </c>
      <c r="O23" s="21">
        <v>0.0</v>
      </c>
      <c r="P23" s="21">
        <v>0.0</v>
      </c>
      <c r="Q23" s="19">
        <v>0.0</v>
      </c>
      <c r="R23" s="19">
        <v>0.0</v>
      </c>
      <c r="S23" s="20" t="s">
        <v>2501</v>
      </c>
    </row>
    <row r="24">
      <c r="A24" s="50">
        <v>22.0</v>
      </c>
      <c r="B24" s="13" t="s">
        <v>2502</v>
      </c>
      <c r="C24" s="11" t="s">
        <v>2503</v>
      </c>
      <c r="D24" s="12" t="s">
        <v>31</v>
      </c>
      <c r="E24" s="13" t="s">
        <v>2504</v>
      </c>
      <c r="F24" s="12">
        <v>24.0</v>
      </c>
      <c r="G24" s="12">
        <v>2000.0</v>
      </c>
      <c r="H24" s="15">
        <v>34.7</v>
      </c>
      <c r="I24" s="17">
        <v>0.03</v>
      </c>
      <c r="J24" s="18">
        <v>0.75</v>
      </c>
      <c r="K24" s="18">
        <v>0.17</v>
      </c>
      <c r="L24" s="15">
        <v>23.1</v>
      </c>
      <c r="M24" s="15">
        <v>0.75</v>
      </c>
      <c r="N24" s="15">
        <v>0.17</v>
      </c>
      <c r="O24" s="15">
        <v>0.04</v>
      </c>
      <c r="P24" s="15">
        <v>0.17</v>
      </c>
      <c r="Q24" s="19">
        <v>0.0</v>
      </c>
      <c r="R24" s="19">
        <v>0.0</v>
      </c>
      <c r="S24" s="20" t="s">
        <v>2505</v>
      </c>
    </row>
    <row r="25">
      <c r="A25" s="50">
        <v>23.0</v>
      </c>
      <c r="B25" s="13" t="s">
        <v>2506</v>
      </c>
      <c r="C25" s="11" t="s">
        <v>2507</v>
      </c>
      <c r="D25" s="12" t="s">
        <v>36</v>
      </c>
      <c r="E25" s="13" t="s">
        <v>2508</v>
      </c>
      <c r="F25" s="12">
        <v>29.0</v>
      </c>
      <c r="G25" s="12">
        <v>1996.0</v>
      </c>
      <c r="H25" s="15">
        <v>31.9</v>
      </c>
      <c r="I25" s="22">
        <v>0.0</v>
      </c>
      <c r="J25" s="18">
        <v>0.5</v>
      </c>
      <c r="K25" s="18">
        <v>0.13</v>
      </c>
      <c r="L25" s="15">
        <v>25.0</v>
      </c>
      <c r="M25" s="15">
        <v>0.5</v>
      </c>
      <c r="N25" s="15">
        <v>0.13</v>
      </c>
      <c r="O25" s="21">
        <v>0.0</v>
      </c>
      <c r="P25" s="21">
        <v>0.0</v>
      </c>
      <c r="Q25" s="19">
        <v>0.0</v>
      </c>
      <c r="R25" s="19">
        <v>0.0</v>
      </c>
      <c r="S25" s="20" t="s">
        <v>2509</v>
      </c>
    </row>
    <row r="26">
      <c r="A26" s="50">
        <v>24.0</v>
      </c>
      <c r="B26" s="13" t="s">
        <v>2510</v>
      </c>
      <c r="C26" s="11" t="s">
        <v>2511</v>
      </c>
      <c r="D26" s="12" t="s">
        <v>31</v>
      </c>
      <c r="E26" s="13" t="s">
        <v>2512</v>
      </c>
      <c r="F26" s="12">
        <v>22.0</v>
      </c>
      <c r="G26" s="12">
        <v>2002.0</v>
      </c>
      <c r="H26" s="15">
        <v>37.0</v>
      </c>
      <c r="I26" s="17">
        <v>0.11</v>
      </c>
      <c r="J26" s="18">
        <v>1.19</v>
      </c>
      <c r="K26" s="18">
        <v>0.27</v>
      </c>
      <c r="L26" s="15">
        <v>22.7</v>
      </c>
      <c r="M26" s="15">
        <v>1.19</v>
      </c>
      <c r="N26" s="15">
        <v>0.27</v>
      </c>
      <c r="O26" s="15">
        <v>0.07</v>
      </c>
      <c r="P26" s="15">
        <v>0.3</v>
      </c>
      <c r="Q26" s="18">
        <v>0.03</v>
      </c>
      <c r="R26" s="18">
        <v>0.03</v>
      </c>
      <c r="S26" s="20" t="s">
        <v>2513</v>
      </c>
    </row>
    <row r="27">
      <c r="A27" s="50">
        <v>25.0</v>
      </c>
      <c r="B27" s="13" t="s">
        <v>2514</v>
      </c>
      <c r="C27" s="11" t="s">
        <v>2515</v>
      </c>
      <c r="D27" s="12" t="s">
        <v>31</v>
      </c>
      <c r="E27" s="13" t="s">
        <v>2516</v>
      </c>
      <c r="F27" s="12">
        <v>24.0</v>
      </c>
      <c r="G27" s="12">
        <v>2001.0</v>
      </c>
      <c r="H27" s="15">
        <v>30.7</v>
      </c>
      <c r="I27" s="17">
        <v>0.03</v>
      </c>
      <c r="J27" s="18">
        <v>0.49</v>
      </c>
      <c r="K27" s="18">
        <v>0.03</v>
      </c>
      <c r="L27" s="15">
        <v>6.7</v>
      </c>
      <c r="M27" s="15">
        <v>0.49</v>
      </c>
      <c r="N27" s="15">
        <v>0.03</v>
      </c>
      <c r="O27" s="15">
        <v>0.07</v>
      </c>
      <c r="P27" s="15">
        <v>1.0</v>
      </c>
      <c r="Q27" s="19">
        <v>0.0</v>
      </c>
      <c r="R27" s="19">
        <v>0.0</v>
      </c>
      <c r="S27" s="20" t="s">
        <v>2517</v>
      </c>
    </row>
    <row r="28">
      <c r="A28" s="37" t="s">
        <v>3</v>
      </c>
      <c r="B28" s="51" t="s">
        <v>4</v>
      </c>
      <c r="C28" s="39" t="s">
        <v>5</v>
      </c>
      <c r="D28" s="39" t="s">
        <v>6</v>
      </c>
      <c r="E28" s="39" t="s">
        <v>7</v>
      </c>
      <c r="F28" s="39" t="s">
        <v>8</v>
      </c>
      <c r="G28" s="39" t="s">
        <v>9</v>
      </c>
      <c r="H28" s="39" t="s">
        <v>13</v>
      </c>
      <c r="I28" s="40" t="s">
        <v>14</v>
      </c>
      <c r="J28" s="39" t="s">
        <v>2411</v>
      </c>
      <c r="K28" s="39" t="s">
        <v>2412</v>
      </c>
      <c r="L28" s="39" t="s">
        <v>2413</v>
      </c>
      <c r="M28" s="39" t="s">
        <v>2414</v>
      </c>
      <c r="N28" s="39" t="s">
        <v>2415</v>
      </c>
      <c r="O28" s="39" t="s">
        <v>2416</v>
      </c>
      <c r="P28" s="39" t="s">
        <v>2417</v>
      </c>
      <c r="Q28" s="39" t="s">
        <v>18</v>
      </c>
      <c r="R28" s="39" t="s">
        <v>19</v>
      </c>
      <c r="S28" s="40" t="s">
        <v>23</v>
      </c>
    </row>
    <row r="29">
      <c r="A29" s="50">
        <v>26.0</v>
      </c>
      <c r="B29" s="13" t="s">
        <v>2518</v>
      </c>
      <c r="C29" s="11" t="s">
        <v>2519</v>
      </c>
      <c r="D29" s="12" t="s">
        <v>31</v>
      </c>
      <c r="E29" s="13" t="s">
        <v>2520</v>
      </c>
      <c r="F29" s="12">
        <v>22.0</v>
      </c>
      <c r="G29" s="12">
        <v>2003.0</v>
      </c>
      <c r="H29" s="15">
        <v>4.5</v>
      </c>
      <c r="I29" s="22">
        <v>0.0</v>
      </c>
      <c r="J29" s="18">
        <v>1.56</v>
      </c>
      <c r="K29" s="18">
        <v>0.67</v>
      </c>
      <c r="L29" s="15">
        <v>42.9</v>
      </c>
      <c r="M29" s="15">
        <v>1.56</v>
      </c>
      <c r="N29" s="15">
        <v>0.67</v>
      </c>
      <c r="O29" s="21">
        <v>0.0</v>
      </c>
      <c r="P29" s="21">
        <v>0.0</v>
      </c>
      <c r="Q29" s="19">
        <v>0.0</v>
      </c>
      <c r="R29" s="19">
        <v>0.0</v>
      </c>
      <c r="S29" s="20" t="s">
        <v>2521</v>
      </c>
    </row>
    <row r="30">
      <c r="A30" s="50">
        <v>27.0</v>
      </c>
      <c r="B30" s="13" t="s">
        <v>2522</v>
      </c>
      <c r="C30" s="11" t="s">
        <v>2523</v>
      </c>
      <c r="D30" s="12" t="s">
        <v>31</v>
      </c>
      <c r="E30" s="13" t="s">
        <v>2524</v>
      </c>
      <c r="F30" s="12">
        <v>25.0</v>
      </c>
      <c r="G30" s="12">
        <v>1999.0</v>
      </c>
      <c r="H30" s="15">
        <v>30.2</v>
      </c>
      <c r="I30" s="17">
        <v>0.26</v>
      </c>
      <c r="J30" s="18">
        <v>1.82</v>
      </c>
      <c r="K30" s="18">
        <v>0.76</v>
      </c>
      <c r="L30" s="15">
        <v>41.8</v>
      </c>
      <c r="M30" s="15">
        <v>1.82</v>
      </c>
      <c r="N30" s="15">
        <v>0.76</v>
      </c>
      <c r="O30" s="15">
        <v>0.15</v>
      </c>
      <c r="P30" s="15">
        <v>0.35</v>
      </c>
      <c r="Q30" s="19">
        <v>0.0</v>
      </c>
      <c r="R30" s="19">
        <v>0.0</v>
      </c>
      <c r="S30" s="20" t="s">
        <v>2525</v>
      </c>
    </row>
    <row r="31">
      <c r="A31" s="50">
        <v>28.0</v>
      </c>
      <c r="B31" s="13" t="s">
        <v>2526</v>
      </c>
      <c r="C31" s="11" t="s">
        <v>2527</v>
      </c>
      <c r="D31" s="12" t="s">
        <v>98</v>
      </c>
      <c r="E31" s="13" t="s">
        <v>2528</v>
      </c>
      <c r="F31" s="12">
        <v>32.0</v>
      </c>
      <c r="G31" s="12">
        <v>1993.0</v>
      </c>
      <c r="H31" s="15">
        <v>20.0</v>
      </c>
      <c r="I31" s="22">
        <v>0.0</v>
      </c>
      <c r="J31" s="19">
        <v>0.0</v>
      </c>
      <c r="K31" s="19">
        <v>0.0</v>
      </c>
      <c r="L31" s="36"/>
      <c r="M31" s="21">
        <v>0.0</v>
      </c>
      <c r="N31" s="21">
        <v>0.0</v>
      </c>
      <c r="O31" s="36"/>
      <c r="P31" s="36"/>
      <c r="Q31" s="19">
        <v>0.0</v>
      </c>
      <c r="R31" s="19">
        <v>0.0</v>
      </c>
      <c r="S31" s="20" t="s">
        <v>2529</v>
      </c>
    </row>
    <row r="32">
      <c r="A32" s="50">
        <v>29.0</v>
      </c>
      <c r="B32" s="13" t="s">
        <v>2530</v>
      </c>
      <c r="C32" s="11" t="s">
        <v>2531</v>
      </c>
      <c r="D32" s="12" t="s">
        <v>107</v>
      </c>
      <c r="E32" s="13" t="s">
        <v>2532</v>
      </c>
      <c r="F32" s="12">
        <v>27.0</v>
      </c>
      <c r="G32" s="12">
        <v>1997.0</v>
      </c>
      <c r="H32" s="15">
        <v>12.5</v>
      </c>
      <c r="I32" s="17">
        <v>0.08</v>
      </c>
      <c r="J32" s="18">
        <v>1.28</v>
      </c>
      <c r="K32" s="18">
        <v>0.24</v>
      </c>
      <c r="L32" s="15">
        <v>18.8</v>
      </c>
      <c r="M32" s="15">
        <v>1.28</v>
      </c>
      <c r="N32" s="15">
        <v>0.24</v>
      </c>
      <c r="O32" s="15">
        <v>0.06</v>
      </c>
      <c r="P32" s="15">
        <v>0.33</v>
      </c>
      <c r="Q32" s="19">
        <v>0.0</v>
      </c>
      <c r="R32" s="19">
        <v>0.0</v>
      </c>
      <c r="S32" s="20" t="s">
        <v>2533</v>
      </c>
    </row>
    <row r="33">
      <c r="A33" s="50">
        <v>30.0</v>
      </c>
      <c r="B33" s="13" t="s">
        <v>2534</v>
      </c>
      <c r="C33" s="11" t="s">
        <v>2535</v>
      </c>
      <c r="D33" s="12" t="s">
        <v>107</v>
      </c>
      <c r="E33" s="13" t="s">
        <v>2536</v>
      </c>
      <c r="F33" s="12">
        <v>28.0</v>
      </c>
      <c r="G33" s="12">
        <v>1997.0</v>
      </c>
      <c r="H33" s="15">
        <v>12.7</v>
      </c>
      <c r="I33" s="17">
        <v>0.16</v>
      </c>
      <c r="J33" s="18">
        <v>1.42</v>
      </c>
      <c r="K33" s="18">
        <v>0.47</v>
      </c>
      <c r="L33" s="15">
        <v>33.3</v>
      </c>
      <c r="M33" s="15">
        <v>1.42</v>
      </c>
      <c r="N33" s="15">
        <v>0.47</v>
      </c>
      <c r="O33" s="15">
        <v>0.06</v>
      </c>
      <c r="P33" s="15">
        <v>0.17</v>
      </c>
      <c r="Q33" s="18">
        <v>0.08</v>
      </c>
      <c r="R33" s="18">
        <v>0.08</v>
      </c>
      <c r="S33" s="20" t="s">
        <v>2537</v>
      </c>
    </row>
    <row r="34">
      <c r="A34" s="50">
        <v>31.0</v>
      </c>
      <c r="B34" s="13" t="s">
        <v>2538</v>
      </c>
      <c r="C34" s="11" t="s">
        <v>2539</v>
      </c>
      <c r="D34" s="12" t="s">
        <v>31</v>
      </c>
      <c r="E34" s="13" t="s">
        <v>2540</v>
      </c>
      <c r="F34" s="12">
        <v>18.0</v>
      </c>
      <c r="G34" s="12">
        <v>2007.0</v>
      </c>
      <c r="H34" s="15">
        <v>5.9</v>
      </c>
      <c r="I34" s="22">
        <v>0.0</v>
      </c>
      <c r="J34" s="18">
        <v>0.85</v>
      </c>
      <c r="K34" s="18">
        <v>0.34</v>
      </c>
      <c r="L34" s="15">
        <v>40.0</v>
      </c>
      <c r="M34" s="15">
        <v>0.85</v>
      </c>
      <c r="N34" s="15">
        <v>0.34</v>
      </c>
      <c r="O34" s="21">
        <v>0.0</v>
      </c>
      <c r="P34" s="21">
        <v>0.0</v>
      </c>
      <c r="Q34" s="19">
        <v>0.0</v>
      </c>
      <c r="R34" s="19">
        <v>0.0</v>
      </c>
      <c r="S34" s="20" t="s">
        <v>2541</v>
      </c>
    </row>
    <row r="35">
      <c r="A35" s="50">
        <v>32.0</v>
      </c>
      <c r="B35" s="13" t="s">
        <v>2542</v>
      </c>
      <c r="C35" s="11" t="s">
        <v>2543</v>
      </c>
      <c r="D35" s="12" t="s">
        <v>41</v>
      </c>
      <c r="E35" s="13" t="s">
        <v>2544</v>
      </c>
      <c r="F35" s="12">
        <v>24.0</v>
      </c>
      <c r="G35" s="12">
        <v>2000.0</v>
      </c>
      <c r="H35" s="15">
        <v>15.8</v>
      </c>
      <c r="I35" s="17">
        <v>0.19</v>
      </c>
      <c r="J35" s="18">
        <v>2.91</v>
      </c>
      <c r="K35" s="18">
        <v>1.01</v>
      </c>
      <c r="L35" s="15">
        <v>34.8</v>
      </c>
      <c r="M35" s="15">
        <v>2.92</v>
      </c>
      <c r="N35" s="15">
        <v>1.01</v>
      </c>
      <c r="O35" s="15">
        <v>0.07</v>
      </c>
      <c r="P35" s="15">
        <v>0.19</v>
      </c>
      <c r="Q35" s="19">
        <v>0.0</v>
      </c>
      <c r="R35" s="18">
        <v>0.06</v>
      </c>
      <c r="S35" s="20" t="s">
        <v>2545</v>
      </c>
    </row>
    <row r="36">
      <c r="A36" s="50">
        <v>33.0</v>
      </c>
      <c r="B36" s="13" t="s">
        <v>2546</v>
      </c>
      <c r="C36" s="11" t="s">
        <v>2547</v>
      </c>
      <c r="D36" s="12" t="s">
        <v>98</v>
      </c>
      <c r="E36" s="13" t="s">
        <v>2548</v>
      </c>
      <c r="F36" s="12">
        <v>30.0</v>
      </c>
      <c r="G36" s="12">
        <v>1994.0</v>
      </c>
      <c r="H36" s="15">
        <v>1.0</v>
      </c>
      <c r="I36" s="22">
        <v>0.0</v>
      </c>
      <c r="J36" s="19">
        <v>0.0</v>
      </c>
      <c r="K36" s="19">
        <v>0.0</v>
      </c>
      <c r="L36" s="36"/>
      <c r="M36" s="21">
        <v>0.0</v>
      </c>
      <c r="N36" s="21">
        <v>0.0</v>
      </c>
      <c r="O36" s="36"/>
      <c r="P36" s="36"/>
      <c r="Q36" s="19">
        <v>0.0</v>
      </c>
      <c r="R36" s="19">
        <v>0.0</v>
      </c>
      <c r="S36" s="20" t="s">
        <v>2549</v>
      </c>
    </row>
    <row r="37">
      <c r="A37" s="50">
        <v>34.0</v>
      </c>
      <c r="B37" s="13" t="s">
        <v>2550</v>
      </c>
      <c r="C37" s="11" t="s">
        <v>2551</v>
      </c>
      <c r="D37" s="12" t="s">
        <v>41</v>
      </c>
      <c r="E37" s="13" t="s">
        <v>2552</v>
      </c>
      <c r="F37" s="12">
        <v>27.0</v>
      </c>
      <c r="G37" s="12">
        <v>1997.0</v>
      </c>
      <c r="H37" s="15">
        <v>5.5</v>
      </c>
      <c r="I37" s="17">
        <v>0.73</v>
      </c>
      <c r="J37" s="18">
        <v>2.73</v>
      </c>
      <c r="K37" s="18">
        <v>1.45</v>
      </c>
      <c r="L37" s="15">
        <v>53.3</v>
      </c>
      <c r="M37" s="15">
        <v>2.73</v>
      </c>
      <c r="N37" s="15">
        <v>1.46</v>
      </c>
      <c r="O37" s="15">
        <v>0.27</v>
      </c>
      <c r="P37" s="15">
        <v>0.5</v>
      </c>
      <c r="Q37" s="19">
        <v>0.0</v>
      </c>
      <c r="R37" s="19">
        <v>0.0</v>
      </c>
      <c r="S37" s="20" t="s">
        <v>2553</v>
      </c>
    </row>
    <row r="38">
      <c r="A38" s="50">
        <v>35.0</v>
      </c>
      <c r="B38" s="13" t="s">
        <v>2554</v>
      </c>
      <c r="C38" s="11" t="s">
        <v>2555</v>
      </c>
      <c r="D38" s="12" t="s">
        <v>31</v>
      </c>
      <c r="E38" s="13" t="s">
        <v>2556</v>
      </c>
      <c r="F38" s="12">
        <v>21.0</v>
      </c>
      <c r="G38" s="12">
        <v>2003.0</v>
      </c>
      <c r="H38" s="15">
        <v>21.4</v>
      </c>
      <c r="I38" s="17">
        <v>0.14</v>
      </c>
      <c r="J38" s="18">
        <v>1.92</v>
      </c>
      <c r="K38" s="18">
        <v>0.47</v>
      </c>
      <c r="L38" s="15">
        <v>24.4</v>
      </c>
      <c r="M38" s="15">
        <v>1.91</v>
      </c>
      <c r="N38" s="15">
        <v>0.47</v>
      </c>
      <c r="O38" s="15">
        <v>0.07</v>
      </c>
      <c r="P38" s="15">
        <v>0.3</v>
      </c>
      <c r="Q38" s="19">
        <v>0.0</v>
      </c>
      <c r="R38" s="19">
        <v>0.0</v>
      </c>
      <c r="S38" s="20" t="s">
        <v>2557</v>
      </c>
    </row>
    <row r="39">
      <c r="A39" s="50">
        <v>36.0</v>
      </c>
      <c r="B39" s="13" t="s">
        <v>2558</v>
      </c>
      <c r="C39" s="11" t="s">
        <v>2559</v>
      </c>
      <c r="D39" s="12" t="s">
        <v>36</v>
      </c>
      <c r="E39" s="13" t="s">
        <v>2560</v>
      </c>
      <c r="F39" s="12">
        <v>24.0</v>
      </c>
      <c r="G39" s="12">
        <v>2001.0</v>
      </c>
      <c r="H39" s="15">
        <v>5.2</v>
      </c>
      <c r="I39" s="22">
        <v>0.0</v>
      </c>
      <c r="J39" s="19">
        <v>0.0</v>
      </c>
      <c r="K39" s="19">
        <v>0.0</v>
      </c>
      <c r="L39" s="36"/>
      <c r="M39" s="21">
        <v>0.0</v>
      </c>
      <c r="N39" s="21">
        <v>0.0</v>
      </c>
      <c r="O39" s="36"/>
      <c r="P39" s="36"/>
      <c r="Q39" s="19">
        <v>0.0</v>
      </c>
      <c r="R39" s="19">
        <v>0.0</v>
      </c>
      <c r="S39" s="20" t="s">
        <v>2561</v>
      </c>
    </row>
    <row r="40">
      <c r="A40" s="50">
        <v>37.0</v>
      </c>
      <c r="B40" s="13" t="s">
        <v>2562</v>
      </c>
      <c r="C40" s="11" t="s">
        <v>2563</v>
      </c>
      <c r="D40" s="12" t="s">
        <v>31</v>
      </c>
      <c r="E40" s="13" t="s">
        <v>2564</v>
      </c>
      <c r="F40" s="12">
        <v>27.0</v>
      </c>
      <c r="G40" s="12">
        <v>1997.0</v>
      </c>
      <c r="H40" s="15">
        <v>5.1</v>
      </c>
      <c r="I40" s="22">
        <v>0.0</v>
      </c>
      <c r="J40" s="18">
        <v>1.57</v>
      </c>
      <c r="K40" s="18">
        <v>0.2</v>
      </c>
      <c r="L40" s="15">
        <v>12.5</v>
      </c>
      <c r="M40" s="15">
        <v>1.57</v>
      </c>
      <c r="N40" s="15">
        <v>0.2</v>
      </c>
      <c r="O40" s="21">
        <v>0.0</v>
      </c>
      <c r="P40" s="21">
        <v>0.0</v>
      </c>
      <c r="Q40" s="19">
        <v>0.0</v>
      </c>
      <c r="R40" s="19">
        <v>0.0</v>
      </c>
      <c r="S40" s="20" t="s">
        <v>2565</v>
      </c>
    </row>
    <row r="41">
      <c r="A41" s="50">
        <v>38.0</v>
      </c>
      <c r="B41" s="13" t="s">
        <v>2566</v>
      </c>
      <c r="C41" s="11" t="s">
        <v>2567</v>
      </c>
      <c r="D41" s="12" t="s">
        <v>31</v>
      </c>
      <c r="E41" s="13" t="s">
        <v>2568</v>
      </c>
      <c r="F41" s="12">
        <v>22.0</v>
      </c>
      <c r="G41" s="12">
        <v>2002.0</v>
      </c>
      <c r="H41" s="15">
        <v>6.1</v>
      </c>
      <c r="I41" s="22">
        <v>0.0</v>
      </c>
      <c r="J41" s="18">
        <v>1.48</v>
      </c>
      <c r="K41" s="18">
        <v>0.49</v>
      </c>
      <c r="L41" s="15">
        <v>33.3</v>
      </c>
      <c r="M41" s="15">
        <v>1.46</v>
      </c>
      <c r="N41" s="15">
        <v>0.49</v>
      </c>
      <c r="O41" s="21">
        <v>0.0</v>
      </c>
      <c r="P41" s="21">
        <v>0.0</v>
      </c>
      <c r="Q41" s="19">
        <v>0.0</v>
      </c>
      <c r="R41" s="19">
        <v>0.0</v>
      </c>
      <c r="S41" s="20" t="s">
        <v>2569</v>
      </c>
    </row>
    <row r="42">
      <c r="A42" s="50">
        <v>39.0</v>
      </c>
      <c r="B42" s="13" t="s">
        <v>2570</v>
      </c>
      <c r="C42" s="11" t="s">
        <v>2571</v>
      </c>
      <c r="D42" s="12" t="s">
        <v>31</v>
      </c>
      <c r="E42" s="13" t="s">
        <v>2572</v>
      </c>
      <c r="F42" s="12">
        <v>21.0</v>
      </c>
      <c r="G42" s="12">
        <v>2004.0</v>
      </c>
      <c r="H42" s="15">
        <v>18.4</v>
      </c>
      <c r="I42" s="22">
        <v>0.0</v>
      </c>
      <c r="J42" s="18">
        <v>1.09</v>
      </c>
      <c r="K42" s="18">
        <v>0.11</v>
      </c>
      <c r="L42" s="15">
        <v>10.0</v>
      </c>
      <c r="M42" s="15">
        <v>1.09</v>
      </c>
      <c r="N42" s="15">
        <v>0.11</v>
      </c>
      <c r="O42" s="21">
        <v>0.0</v>
      </c>
      <c r="P42" s="21">
        <v>0.0</v>
      </c>
      <c r="Q42" s="19">
        <v>0.0</v>
      </c>
      <c r="R42" s="19">
        <v>0.0</v>
      </c>
      <c r="S42" s="20" t="s">
        <v>2573</v>
      </c>
    </row>
    <row r="43">
      <c r="A43" s="50">
        <v>40.0</v>
      </c>
      <c r="B43" s="13" t="s">
        <v>2574</v>
      </c>
      <c r="C43" s="11" t="s">
        <v>2575</v>
      </c>
      <c r="D43" s="12" t="s">
        <v>36</v>
      </c>
      <c r="E43" s="13" t="s">
        <v>2576</v>
      </c>
      <c r="F43" s="12">
        <v>25.0</v>
      </c>
      <c r="G43" s="12">
        <v>1999.0</v>
      </c>
      <c r="H43" s="15">
        <v>23.9</v>
      </c>
      <c r="I43" s="17">
        <v>0.08</v>
      </c>
      <c r="J43" s="18">
        <v>1.09</v>
      </c>
      <c r="K43" s="18">
        <v>0.38</v>
      </c>
      <c r="L43" s="15">
        <v>34.6</v>
      </c>
      <c r="M43" s="15">
        <v>1.09</v>
      </c>
      <c r="N43" s="15">
        <v>0.38</v>
      </c>
      <c r="O43" s="15">
        <v>0.08</v>
      </c>
      <c r="P43" s="15">
        <v>0.22</v>
      </c>
      <c r="Q43" s="19">
        <v>0.0</v>
      </c>
      <c r="R43" s="19">
        <v>0.0</v>
      </c>
      <c r="S43" s="20" t="s">
        <v>2577</v>
      </c>
    </row>
    <row r="44">
      <c r="A44" s="50">
        <v>41.0</v>
      </c>
      <c r="B44" s="13" t="s">
        <v>2578</v>
      </c>
      <c r="C44" s="11" t="s">
        <v>2579</v>
      </c>
      <c r="D44" s="12" t="s">
        <v>31</v>
      </c>
      <c r="E44" s="13" t="s">
        <v>2580</v>
      </c>
      <c r="F44" s="12">
        <v>31.0</v>
      </c>
      <c r="G44" s="12">
        <v>1993.0</v>
      </c>
      <c r="H44" s="15">
        <v>9.5</v>
      </c>
      <c r="I44" s="17">
        <v>0.32</v>
      </c>
      <c r="J44" s="18">
        <v>1.89</v>
      </c>
      <c r="K44" s="18">
        <v>0.84</v>
      </c>
      <c r="L44" s="15">
        <v>44.4</v>
      </c>
      <c r="M44" s="15">
        <v>1.89</v>
      </c>
      <c r="N44" s="15">
        <v>0.84</v>
      </c>
      <c r="O44" s="15">
        <v>0.17</v>
      </c>
      <c r="P44" s="15">
        <v>0.38</v>
      </c>
      <c r="Q44" s="19">
        <v>0.0</v>
      </c>
      <c r="R44" s="19">
        <v>0.0</v>
      </c>
      <c r="S44" s="20" t="s">
        <v>2581</v>
      </c>
    </row>
    <row r="45">
      <c r="A45" s="50">
        <v>42.0</v>
      </c>
      <c r="B45" s="13" t="s">
        <v>2582</v>
      </c>
      <c r="C45" s="11" t="s">
        <v>2583</v>
      </c>
      <c r="D45" s="12" t="s">
        <v>107</v>
      </c>
      <c r="E45" s="13" t="s">
        <v>2584</v>
      </c>
      <c r="F45" s="12">
        <v>35.0</v>
      </c>
      <c r="G45" s="12">
        <v>1989.0</v>
      </c>
      <c r="H45" s="15">
        <v>0.5</v>
      </c>
      <c r="I45" s="22">
        <v>0.0</v>
      </c>
      <c r="J45" s="18">
        <v>4.0</v>
      </c>
      <c r="K45" s="18">
        <v>2.0</v>
      </c>
      <c r="L45" s="15">
        <v>50.0</v>
      </c>
      <c r="M45" s="15">
        <v>3.83</v>
      </c>
      <c r="N45" s="15">
        <v>1.91</v>
      </c>
      <c r="O45" s="21">
        <v>0.0</v>
      </c>
      <c r="P45" s="21">
        <v>0.0</v>
      </c>
      <c r="Q45" s="19">
        <v>0.0</v>
      </c>
      <c r="R45" s="19">
        <v>0.0</v>
      </c>
      <c r="S45" s="20" t="s">
        <v>2585</v>
      </c>
    </row>
    <row r="46">
      <c r="A46" s="50">
        <v>43.0</v>
      </c>
      <c r="B46" s="13" t="s">
        <v>2586</v>
      </c>
      <c r="C46" s="11" t="s">
        <v>2587</v>
      </c>
      <c r="D46" s="12" t="s">
        <v>107</v>
      </c>
      <c r="E46" s="13" t="s">
        <v>2588</v>
      </c>
      <c r="F46" s="12">
        <v>27.0</v>
      </c>
      <c r="G46" s="12">
        <v>1997.0</v>
      </c>
      <c r="H46" s="15">
        <v>21.8</v>
      </c>
      <c r="I46" s="17">
        <v>0.32</v>
      </c>
      <c r="J46" s="18">
        <v>2.66</v>
      </c>
      <c r="K46" s="18">
        <v>0.96</v>
      </c>
      <c r="L46" s="15">
        <v>36.2</v>
      </c>
      <c r="M46" s="15">
        <v>2.66</v>
      </c>
      <c r="N46" s="15">
        <v>0.96</v>
      </c>
      <c r="O46" s="15">
        <v>0.12</v>
      </c>
      <c r="P46" s="15">
        <v>0.33</v>
      </c>
      <c r="Q46" s="19">
        <v>0.0</v>
      </c>
      <c r="R46" s="19">
        <v>0.0</v>
      </c>
      <c r="S46" s="20" t="s">
        <v>2589</v>
      </c>
    </row>
    <row r="47">
      <c r="A47" s="50">
        <v>44.0</v>
      </c>
      <c r="B47" s="13" t="s">
        <v>2590</v>
      </c>
      <c r="C47" s="11" t="s">
        <v>2591</v>
      </c>
      <c r="D47" s="12" t="s">
        <v>41</v>
      </c>
      <c r="E47" s="13" t="s">
        <v>2592</v>
      </c>
      <c r="F47" s="12">
        <v>22.0</v>
      </c>
      <c r="G47" s="12">
        <v>2002.0</v>
      </c>
      <c r="H47" s="15">
        <v>21.3</v>
      </c>
      <c r="I47" s="17">
        <v>0.38</v>
      </c>
      <c r="J47" s="18">
        <v>1.78</v>
      </c>
      <c r="K47" s="18">
        <v>0.66</v>
      </c>
      <c r="L47" s="15">
        <v>36.8</v>
      </c>
      <c r="M47" s="15">
        <v>1.79</v>
      </c>
      <c r="N47" s="15">
        <v>0.66</v>
      </c>
      <c r="O47" s="15">
        <v>0.21</v>
      </c>
      <c r="P47" s="15">
        <v>0.57</v>
      </c>
      <c r="Q47" s="19">
        <v>0.0</v>
      </c>
      <c r="R47" s="19">
        <v>0.0</v>
      </c>
      <c r="S47" s="20" t="s">
        <v>2593</v>
      </c>
    </row>
    <row r="48">
      <c r="A48" s="50">
        <v>45.0</v>
      </c>
      <c r="B48" s="13" t="s">
        <v>2594</v>
      </c>
      <c r="C48" s="11" t="s">
        <v>2595</v>
      </c>
      <c r="D48" s="12" t="s">
        <v>36</v>
      </c>
      <c r="E48" s="13" t="s">
        <v>2596</v>
      </c>
      <c r="F48" s="12">
        <v>25.0</v>
      </c>
      <c r="G48" s="12">
        <v>1999.0</v>
      </c>
      <c r="H48" s="15">
        <v>28.2</v>
      </c>
      <c r="I48" s="17">
        <v>0.04</v>
      </c>
      <c r="J48" s="18">
        <v>0.43</v>
      </c>
      <c r="K48" s="18">
        <v>0.04</v>
      </c>
      <c r="L48" s="15">
        <v>8.3</v>
      </c>
      <c r="M48" s="15">
        <v>0.43</v>
      </c>
      <c r="N48" s="15">
        <v>0.04</v>
      </c>
      <c r="O48" s="15">
        <v>0.08</v>
      </c>
      <c r="P48" s="15">
        <v>1.0</v>
      </c>
      <c r="Q48" s="19">
        <v>0.0</v>
      </c>
      <c r="R48" s="19">
        <v>0.0</v>
      </c>
      <c r="S48" s="20" t="s">
        <v>2597</v>
      </c>
    </row>
    <row r="49">
      <c r="A49" s="50">
        <v>46.0</v>
      </c>
      <c r="B49" s="13" t="s">
        <v>2598</v>
      </c>
      <c r="C49" s="11" t="s">
        <v>2599</v>
      </c>
      <c r="D49" s="12" t="s">
        <v>98</v>
      </c>
      <c r="E49" s="13" t="s">
        <v>2600</v>
      </c>
      <c r="F49" s="12">
        <v>27.0</v>
      </c>
      <c r="G49" s="12">
        <v>1998.0</v>
      </c>
      <c r="H49" s="15">
        <v>6.0</v>
      </c>
      <c r="I49" s="22">
        <v>0.0</v>
      </c>
      <c r="J49" s="19">
        <v>0.0</v>
      </c>
      <c r="K49" s="19">
        <v>0.0</v>
      </c>
      <c r="L49" s="36"/>
      <c r="M49" s="21">
        <v>0.0</v>
      </c>
      <c r="N49" s="21">
        <v>0.0</v>
      </c>
      <c r="O49" s="36"/>
      <c r="P49" s="36"/>
      <c r="Q49" s="19">
        <v>0.0</v>
      </c>
      <c r="R49" s="19">
        <v>0.0</v>
      </c>
      <c r="S49" s="20" t="s">
        <v>2601</v>
      </c>
    </row>
    <row r="50">
      <c r="A50" s="50">
        <v>47.0</v>
      </c>
      <c r="B50" s="13" t="s">
        <v>2602</v>
      </c>
      <c r="C50" s="11" t="s">
        <v>2603</v>
      </c>
      <c r="D50" s="12" t="s">
        <v>26</v>
      </c>
      <c r="E50" s="13" t="s">
        <v>2604</v>
      </c>
      <c r="F50" s="12">
        <v>27.0</v>
      </c>
      <c r="G50" s="12">
        <v>1998.0</v>
      </c>
      <c r="H50" s="15">
        <v>13.9</v>
      </c>
      <c r="I50" s="17">
        <v>0.07</v>
      </c>
      <c r="J50" s="18">
        <v>1.51</v>
      </c>
      <c r="K50" s="18">
        <v>0.5</v>
      </c>
      <c r="L50" s="15">
        <v>33.3</v>
      </c>
      <c r="M50" s="15">
        <v>1.51</v>
      </c>
      <c r="N50" s="15">
        <v>0.5</v>
      </c>
      <c r="O50" s="15">
        <v>0.05</v>
      </c>
      <c r="P50" s="15">
        <v>0.14</v>
      </c>
      <c r="Q50" s="19">
        <v>0.0</v>
      </c>
      <c r="R50" s="19">
        <v>0.0</v>
      </c>
      <c r="S50" s="20" t="s">
        <v>2605</v>
      </c>
    </row>
    <row r="51">
      <c r="A51" s="50">
        <v>48.0</v>
      </c>
      <c r="B51" s="13" t="s">
        <v>2606</v>
      </c>
      <c r="C51" s="11" t="s">
        <v>2607</v>
      </c>
      <c r="D51" s="12" t="s">
        <v>98</v>
      </c>
      <c r="E51" s="13" t="s">
        <v>2608</v>
      </c>
      <c r="F51" s="12">
        <v>32.0</v>
      </c>
      <c r="G51" s="12">
        <v>1993.0</v>
      </c>
      <c r="H51" s="15">
        <v>1.0</v>
      </c>
      <c r="I51" s="22">
        <v>0.0</v>
      </c>
      <c r="J51" s="19">
        <v>0.0</v>
      </c>
      <c r="K51" s="19">
        <v>0.0</v>
      </c>
      <c r="L51" s="36"/>
      <c r="M51" s="21">
        <v>0.0</v>
      </c>
      <c r="N51" s="21">
        <v>0.0</v>
      </c>
      <c r="O51" s="36"/>
      <c r="P51" s="36"/>
      <c r="Q51" s="19">
        <v>0.0</v>
      </c>
      <c r="R51" s="19">
        <v>0.0</v>
      </c>
      <c r="S51" s="20" t="s">
        <v>2609</v>
      </c>
    </row>
    <row r="52">
      <c r="A52" s="50">
        <v>49.0</v>
      </c>
      <c r="B52" s="13" t="s">
        <v>2610</v>
      </c>
      <c r="C52" s="11" t="s">
        <v>2611</v>
      </c>
      <c r="D52" s="12" t="s">
        <v>31</v>
      </c>
      <c r="E52" s="13" t="s">
        <v>2612</v>
      </c>
      <c r="F52" s="12">
        <v>28.0</v>
      </c>
      <c r="G52" s="12">
        <v>1997.0</v>
      </c>
      <c r="H52" s="15">
        <v>20.9</v>
      </c>
      <c r="I52" s="17">
        <v>0.05</v>
      </c>
      <c r="J52" s="18">
        <v>0.62</v>
      </c>
      <c r="K52" s="18">
        <v>0.14</v>
      </c>
      <c r="L52" s="15">
        <v>23.1</v>
      </c>
      <c r="M52" s="15">
        <v>0.62</v>
      </c>
      <c r="N52" s="15">
        <v>0.14</v>
      </c>
      <c r="O52" s="15">
        <v>0.08</v>
      </c>
      <c r="P52" s="15">
        <v>0.33</v>
      </c>
      <c r="Q52" s="19">
        <v>0.0</v>
      </c>
      <c r="R52" s="19">
        <v>0.0</v>
      </c>
      <c r="S52" s="20" t="s">
        <v>2613</v>
      </c>
    </row>
    <row r="53">
      <c r="A53" s="50">
        <v>50.0</v>
      </c>
      <c r="B53" s="13" t="s">
        <v>2614</v>
      </c>
      <c r="C53" s="11" t="s">
        <v>2615</v>
      </c>
      <c r="D53" s="12" t="s">
        <v>98</v>
      </c>
      <c r="E53" s="13" t="s">
        <v>2616</v>
      </c>
      <c r="F53" s="12">
        <v>32.0</v>
      </c>
      <c r="G53" s="12">
        <v>1993.0</v>
      </c>
      <c r="H53" s="15">
        <v>3.0</v>
      </c>
      <c r="I53" s="22">
        <v>0.0</v>
      </c>
      <c r="J53" s="19">
        <v>0.0</v>
      </c>
      <c r="K53" s="19">
        <v>0.0</v>
      </c>
      <c r="L53" s="36"/>
      <c r="M53" s="21">
        <v>0.0</v>
      </c>
      <c r="N53" s="21">
        <v>0.0</v>
      </c>
      <c r="O53" s="36"/>
      <c r="P53" s="36"/>
      <c r="Q53" s="19">
        <v>0.0</v>
      </c>
      <c r="R53" s="19">
        <v>0.0</v>
      </c>
      <c r="S53" s="20" t="s">
        <v>2617</v>
      </c>
    </row>
    <row r="54">
      <c r="A54" s="37" t="s">
        <v>3</v>
      </c>
      <c r="B54" s="51" t="s">
        <v>4</v>
      </c>
      <c r="C54" s="39" t="s">
        <v>5</v>
      </c>
      <c r="D54" s="39" t="s">
        <v>6</v>
      </c>
      <c r="E54" s="39" t="s">
        <v>7</v>
      </c>
      <c r="F54" s="39" t="s">
        <v>8</v>
      </c>
      <c r="G54" s="39" t="s">
        <v>9</v>
      </c>
      <c r="H54" s="39" t="s">
        <v>13</v>
      </c>
      <c r="I54" s="40" t="s">
        <v>14</v>
      </c>
      <c r="J54" s="39" t="s">
        <v>2411</v>
      </c>
      <c r="K54" s="39" t="s">
        <v>2412</v>
      </c>
      <c r="L54" s="39" t="s">
        <v>2413</v>
      </c>
      <c r="M54" s="39" t="s">
        <v>2414</v>
      </c>
      <c r="N54" s="39" t="s">
        <v>2415</v>
      </c>
      <c r="O54" s="39" t="s">
        <v>2416</v>
      </c>
      <c r="P54" s="39" t="s">
        <v>2417</v>
      </c>
      <c r="Q54" s="39" t="s">
        <v>18</v>
      </c>
      <c r="R54" s="39" t="s">
        <v>19</v>
      </c>
      <c r="S54" s="40" t="s">
        <v>23</v>
      </c>
    </row>
    <row r="55">
      <c r="A55" s="50">
        <v>51.0</v>
      </c>
      <c r="B55" s="13" t="s">
        <v>2618</v>
      </c>
      <c r="C55" s="11" t="s">
        <v>2619</v>
      </c>
      <c r="D55" s="12" t="s">
        <v>31</v>
      </c>
      <c r="E55" s="13" t="s">
        <v>2620</v>
      </c>
      <c r="F55" s="12">
        <v>27.0</v>
      </c>
      <c r="G55" s="12">
        <v>1998.0</v>
      </c>
      <c r="H55" s="15">
        <v>32.3</v>
      </c>
      <c r="I55" s="22">
        <v>0.0</v>
      </c>
      <c r="J55" s="18">
        <v>0.43</v>
      </c>
      <c r="K55" s="18">
        <v>0.09</v>
      </c>
      <c r="L55" s="15">
        <v>21.4</v>
      </c>
      <c r="M55" s="15">
        <v>0.43</v>
      </c>
      <c r="N55" s="15">
        <v>0.09</v>
      </c>
      <c r="O55" s="21">
        <v>0.0</v>
      </c>
      <c r="P55" s="21">
        <v>0.0</v>
      </c>
      <c r="Q55" s="19">
        <v>0.0</v>
      </c>
      <c r="R55" s="19">
        <v>0.0</v>
      </c>
      <c r="S55" s="20" t="s">
        <v>2621</v>
      </c>
    </row>
    <row r="56">
      <c r="A56" s="50">
        <v>52.0</v>
      </c>
      <c r="B56" s="13" t="s">
        <v>2622</v>
      </c>
      <c r="C56" s="11" t="s">
        <v>2623</v>
      </c>
      <c r="D56" s="12" t="s">
        <v>31</v>
      </c>
      <c r="E56" s="13" t="s">
        <v>2624</v>
      </c>
      <c r="F56" s="12">
        <v>19.0</v>
      </c>
      <c r="G56" s="12">
        <v>2006.0</v>
      </c>
      <c r="H56" s="15">
        <v>10.7</v>
      </c>
      <c r="I56" s="17">
        <v>0.09</v>
      </c>
      <c r="J56" s="18">
        <v>1.12</v>
      </c>
      <c r="K56" s="18">
        <v>0.47</v>
      </c>
      <c r="L56" s="15">
        <v>41.7</v>
      </c>
      <c r="M56" s="15">
        <v>1.12</v>
      </c>
      <c r="N56" s="15">
        <v>0.47</v>
      </c>
      <c r="O56" s="15">
        <v>0.08</v>
      </c>
      <c r="P56" s="15">
        <v>0.2</v>
      </c>
      <c r="Q56" s="19">
        <v>0.0</v>
      </c>
      <c r="R56" s="19">
        <v>0.0</v>
      </c>
      <c r="S56" s="20" t="s">
        <v>2625</v>
      </c>
    </row>
    <row r="57">
      <c r="A57" s="50">
        <v>53.0</v>
      </c>
      <c r="B57" s="13" t="s">
        <v>2626</v>
      </c>
      <c r="C57" s="11" t="s">
        <v>2627</v>
      </c>
      <c r="D57" s="12" t="s">
        <v>41</v>
      </c>
      <c r="E57" s="13" t="s">
        <v>2628</v>
      </c>
      <c r="F57" s="12">
        <v>27.0</v>
      </c>
      <c r="G57" s="12">
        <v>1998.0</v>
      </c>
      <c r="H57" s="15">
        <v>17.4</v>
      </c>
      <c r="I57" s="17">
        <v>0.52</v>
      </c>
      <c r="J57" s="18">
        <v>2.47</v>
      </c>
      <c r="K57" s="18">
        <v>0.98</v>
      </c>
      <c r="L57" s="15">
        <v>39.5</v>
      </c>
      <c r="M57" s="15">
        <v>2.47</v>
      </c>
      <c r="N57" s="15">
        <v>0.98</v>
      </c>
      <c r="O57" s="15">
        <v>0.21</v>
      </c>
      <c r="P57" s="15">
        <v>0.53</v>
      </c>
      <c r="Q57" s="19">
        <v>0.0</v>
      </c>
      <c r="R57" s="19">
        <v>0.0</v>
      </c>
      <c r="S57" s="20" t="s">
        <v>2629</v>
      </c>
    </row>
    <row r="58">
      <c r="A58" s="50">
        <v>54.0</v>
      </c>
      <c r="B58" s="13" t="s">
        <v>2630</v>
      </c>
      <c r="C58" s="11" t="s">
        <v>2631</v>
      </c>
      <c r="D58" s="12" t="s">
        <v>36</v>
      </c>
      <c r="E58" s="13" t="s">
        <v>2632</v>
      </c>
      <c r="F58" s="12">
        <v>26.0</v>
      </c>
      <c r="G58" s="12">
        <v>1999.0</v>
      </c>
      <c r="H58" s="15">
        <v>21.0</v>
      </c>
      <c r="I58" s="17">
        <v>0.05</v>
      </c>
      <c r="J58" s="18">
        <v>0.71</v>
      </c>
      <c r="K58" s="18">
        <v>0.29</v>
      </c>
      <c r="L58" s="15">
        <v>40.0</v>
      </c>
      <c r="M58" s="15">
        <v>0.71</v>
      </c>
      <c r="N58" s="15">
        <v>0.29</v>
      </c>
      <c r="O58" s="15">
        <v>0.07</v>
      </c>
      <c r="P58" s="15">
        <v>0.17</v>
      </c>
      <c r="Q58" s="19">
        <v>0.0</v>
      </c>
      <c r="R58" s="19">
        <v>0.0</v>
      </c>
      <c r="S58" s="20" t="s">
        <v>2633</v>
      </c>
    </row>
    <row r="59">
      <c r="A59" s="50">
        <v>55.0</v>
      </c>
      <c r="B59" s="13" t="s">
        <v>2634</v>
      </c>
      <c r="C59" s="11" t="s">
        <v>2635</v>
      </c>
      <c r="D59" s="12" t="s">
        <v>31</v>
      </c>
      <c r="E59" s="13" t="s">
        <v>2636</v>
      </c>
      <c r="F59" s="12">
        <v>28.0</v>
      </c>
      <c r="G59" s="12">
        <v>1996.0</v>
      </c>
      <c r="H59" s="15">
        <v>6.7</v>
      </c>
      <c r="I59" s="22">
        <v>0.0</v>
      </c>
      <c r="J59" s="18">
        <v>0.75</v>
      </c>
      <c r="K59" s="18">
        <v>0.3</v>
      </c>
      <c r="L59" s="15">
        <v>40.0</v>
      </c>
      <c r="M59" s="15">
        <v>0.75</v>
      </c>
      <c r="N59" s="15">
        <v>0.3</v>
      </c>
      <c r="O59" s="21">
        <v>0.0</v>
      </c>
      <c r="P59" s="21">
        <v>0.0</v>
      </c>
      <c r="Q59" s="19">
        <v>0.0</v>
      </c>
      <c r="R59" s="19">
        <v>0.0</v>
      </c>
      <c r="S59" s="20" t="s">
        <v>2637</v>
      </c>
    </row>
    <row r="60">
      <c r="A60" s="50">
        <v>56.0</v>
      </c>
      <c r="B60" s="13" t="s">
        <v>2638</v>
      </c>
      <c r="C60" s="11" t="s">
        <v>2639</v>
      </c>
      <c r="D60" s="12" t="s">
        <v>98</v>
      </c>
      <c r="E60" s="13" t="s">
        <v>2640</v>
      </c>
      <c r="F60" s="12">
        <v>34.0</v>
      </c>
      <c r="G60" s="12">
        <v>1991.0</v>
      </c>
      <c r="H60" s="15">
        <v>6.5</v>
      </c>
      <c r="I60" s="22">
        <v>0.0</v>
      </c>
      <c r="J60" s="19">
        <v>0.0</v>
      </c>
      <c r="K60" s="19">
        <v>0.0</v>
      </c>
      <c r="L60" s="36"/>
      <c r="M60" s="21">
        <v>0.0</v>
      </c>
      <c r="N60" s="21">
        <v>0.0</v>
      </c>
      <c r="O60" s="36"/>
      <c r="P60" s="36"/>
      <c r="Q60" s="19">
        <v>0.0</v>
      </c>
      <c r="R60" s="19">
        <v>0.0</v>
      </c>
      <c r="S60" s="20" t="s">
        <v>2641</v>
      </c>
    </row>
    <row r="61">
      <c r="A61" s="50">
        <v>57.0</v>
      </c>
      <c r="B61" s="13" t="s">
        <v>2642</v>
      </c>
      <c r="C61" s="11" t="s">
        <v>2643</v>
      </c>
      <c r="D61" s="12" t="s">
        <v>26</v>
      </c>
      <c r="E61" s="13" t="s">
        <v>2644</v>
      </c>
      <c r="F61" s="12">
        <v>22.0</v>
      </c>
      <c r="G61" s="12">
        <v>2003.0</v>
      </c>
      <c r="H61" s="15">
        <v>5.2</v>
      </c>
      <c r="I61" s="22">
        <v>0.0</v>
      </c>
      <c r="J61" s="18">
        <v>0.77</v>
      </c>
      <c r="K61" s="19">
        <v>0.0</v>
      </c>
      <c r="L61" s="21">
        <v>0.0</v>
      </c>
      <c r="M61" s="15">
        <v>0.77</v>
      </c>
      <c r="N61" s="21">
        <v>0.0</v>
      </c>
      <c r="O61" s="21">
        <v>0.0</v>
      </c>
      <c r="P61" s="36"/>
      <c r="Q61" s="19">
        <v>0.0</v>
      </c>
      <c r="R61" s="19">
        <v>0.0</v>
      </c>
      <c r="S61" s="20" t="s">
        <v>2645</v>
      </c>
    </row>
    <row r="62">
      <c r="A62" s="50">
        <v>58.0</v>
      </c>
      <c r="B62" s="13" t="s">
        <v>2646</v>
      </c>
      <c r="C62" s="11" t="s">
        <v>2647</v>
      </c>
      <c r="D62" s="12" t="s">
        <v>31</v>
      </c>
      <c r="E62" s="13" t="s">
        <v>2648</v>
      </c>
      <c r="F62" s="12">
        <v>22.0</v>
      </c>
      <c r="G62" s="12">
        <v>2003.0</v>
      </c>
      <c r="H62" s="15">
        <v>6.3</v>
      </c>
      <c r="I62" s="22">
        <v>0.0</v>
      </c>
      <c r="J62" s="18">
        <v>1.27</v>
      </c>
      <c r="K62" s="18">
        <v>0.48</v>
      </c>
      <c r="L62" s="15">
        <v>37.5</v>
      </c>
      <c r="M62" s="15">
        <v>1.26</v>
      </c>
      <c r="N62" s="15">
        <v>0.47</v>
      </c>
      <c r="O62" s="21">
        <v>0.0</v>
      </c>
      <c r="P62" s="21">
        <v>0.0</v>
      </c>
      <c r="Q62" s="19">
        <v>0.0</v>
      </c>
      <c r="R62" s="19">
        <v>0.0</v>
      </c>
      <c r="S62" s="20" t="s">
        <v>2649</v>
      </c>
    </row>
    <row r="63">
      <c r="A63" s="50">
        <v>59.0</v>
      </c>
      <c r="B63" s="13" t="s">
        <v>2650</v>
      </c>
      <c r="C63" s="11" t="s">
        <v>2651</v>
      </c>
      <c r="D63" s="12" t="s">
        <v>264</v>
      </c>
      <c r="E63" s="13" t="s">
        <v>2652</v>
      </c>
      <c r="F63" s="12">
        <v>21.0</v>
      </c>
      <c r="G63" s="12">
        <v>2004.0</v>
      </c>
      <c r="H63" s="15">
        <v>11.7</v>
      </c>
      <c r="I63" s="22">
        <v>0.0</v>
      </c>
      <c r="J63" s="19">
        <v>0.0</v>
      </c>
      <c r="K63" s="19">
        <v>0.0</v>
      </c>
      <c r="L63" s="36"/>
      <c r="M63" s="21">
        <v>0.0</v>
      </c>
      <c r="N63" s="21">
        <v>0.0</v>
      </c>
      <c r="O63" s="36"/>
      <c r="P63" s="36"/>
      <c r="Q63" s="19">
        <v>0.0</v>
      </c>
      <c r="R63" s="19">
        <v>0.0</v>
      </c>
      <c r="S63" s="20" t="s">
        <v>2653</v>
      </c>
    </row>
    <row r="64">
      <c r="A64" s="50">
        <v>60.0</v>
      </c>
      <c r="B64" s="13" t="s">
        <v>2654</v>
      </c>
      <c r="C64" s="11" t="s">
        <v>2655</v>
      </c>
      <c r="D64" s="12" t="s">
        <v>264</v>
      </c>
      <c r="E64" s="13" t="s">
        <v>2656</v>
      </c>
      <c r="F64" s="12">
        <v>25.0</v>
      </c>
      <c r="G64" s="12">
        <v>2000.0</v>
      </c>
      <c r="H64" s="15">
        <v>31.0</v>
      </c>
      <c r="I64" s="17">
        <v>0.03</v>
      </c>
      <c r="J64" s="18">
        <v>0.58</v>
      </c>
      <c r="K64" s="18">
        <v>0.13</v>
      </c>
      <c r="L64" s="15">
        <v>22.2</v>
      </c>
      <c r="M64" s="15">
        <v>0.58</v>
      </c>
      <c r="N64" s="15">
        <v>0.13</v>
      </c>
      <c r="O64" s="15">
        <v>0.06</v>
      </c>
      <c r="P64" s="15">
        <v>0.25</v>
      </c>
      <c r="Q64" s="19">
        <v>0.0</v>
      </c>
      <c r="R64" s="19">
        <v>0.0</v>
      </c>
      <c r="S64" s="20" t="s">
        <v>2657</v>
      </c>
    </row>
    <row r="65">
      <c r="A65" s="50">
        <v>61.0</v>
      </c>
      <c r="B65" s="13" t="s">
        <v>2658</v>
      </c>
      <c r="C65" s="11" t="s">
        <v>2659</v>
      </c>
      <c r="D65" s="12" t="s">
        <v>36</v>
      </c>
      <c r="E65" s="13" t="s">
        <v>2660</v>
      </c>
      <c r="F65" s="12">
        <v>26.0</v>
      </c>
      <c r="G65" s="12">
        <v>1999.0</v>
      </c>
      <c r="H65" s="15">
        <v>4.8</v>
      </c>
      <c r="I65" s="22">
        <v>0.0</v>
      </c>
      <c r="J65" s="18">
        <v>0.21</v>
      </c>
      <c r="K65" s="19">
        <v>0.0</v>
      </c>
      <c r="L65" s="21">
        <v>0.0</v>
      </c>
      <c r="M65" s="15">
        <v>0.21</v>
      </c>
      <c r="N65" s="21">
        <v>0.0</v>
      </c>
      <c r="O65" s="21">
        <v>0.0</v>
      </c>
      <c r="P65" s="36"/>
      <c r="Q65" s="19">
        <v>0.0</v>
      </c>
      <c r="R65" s="19">
        <v>0.0</v>
      </c>
      <c r="S65" s="20" t="s">
        <v>2661</v>
      </c>
    </row>
    <row r="66">
      <c r="A66" s="50">
        <v>62.0</v>
      </c>
      <c r="B66" s="13" t="s">
        <v>2662</v>
      </c>
      <c r="C66" s="11" t="s">
        <v>2663</v>
      </c>
      <c r="D66" s="12" t="s">
        <v>36</v>
      </c>
      <c r="E66" s="13" t="s">
        <v>2664</v>
      </c>
      <c r="F66" s="12">
        <v>27.0</v>
      </c>
      <c r="G66" s="12">
        <v>1997.0</v>
      </c>
      <c r="H66" s="15">
        <v>8.9</v>
      </c>
      <c r="I66" s="22">
        <v>0.0</v>
      </c>
      <c r="J66" s="18">
        <v>0.11</v>
      </c>
      <c r="K66" s="19">
        <v>0.0</v>
      </c>
      <c r="L66" s="21">
        <v>0.0</v>
      </c>
      <c r="M66" s="15">
        <v>0.11</v>
      </c>
      <c r="N66" s="21">
        <v>0.0</v>
      </c>
      <c r="O66" s="21">
        <v>0.0</v>
      </c>
      <c r="P66" s="36"/>
      <c r="Q66" s="19">
        <v>0.0</v>
      </c>
      <c r="R66" s="19">
        <v>0.0</v>
      </c>
      <c r="S66" s="20" t="s">
        <v>2665</v>
      </c>
    </row>
    <row r="67">
      <c r="A67" s="50">
        <v>63.0</v>
      </c>
      <c r="B67" s="13" t="s">
        <v>2666</v>
      </c>
      <c r="C67" s="11" t="s">
        <v>2667</v>
      </c>
      <c r="D67" s="12" t="s">
        <v>36</v>
      </c>
      <c r="E67" s="13" t="s">
        <v>2668</v>
      </c>
      <c r="F67" s="12">
        <v>25.0</v>
      </c>
      <c r="G67" s="12">
        <v>2000.0</v>
      </c>
      <c r="H67" s="15">
        <v>20.4</v>
      </c>
      <c r="I67" s="17">
        <v>0.05</v>
      </c>
      <c r="J67" s="18">
        <v>0.74</v>
      </c>
      <c r="K67" s="18">
        <v>0.2</v>
      </c>
      <c r="L67" s="15">
        <v>26.7</v>
      </c>
      <c r="M67" s="15">
        <v>0.74</v>
      </c>
      <c r="N67" s="15">
        <v>0.2</v>
      </c>
      <c r="O67" s="15">
        <v>0.07</v>
      </c>
      <c r="P67" s="15">
        <v>0.25</v>
      </c>
      <c r="Q67" s="19">
        <v>0.0</v>
      </c>
      <c r="R67" s="19">
        <v>0.0</v>
      </c>
      <c r="S67" s="20" t="s">
        <v>2669</v>
      </c>
    </row>
    <row r="68">
      <c r="A68" s="50">
        <v>64.0</v>
      </c>
      <c r="B68" s="13" t="s">
        <v>2670</v>
      </c>
      <c r="C68" s="11" t="s">
        <v>2671</v>
      </c>
      <c r="D68" s="12" t="s">
        <v>26</v>
      </c>
      <c r="E68" s="13" t="s">
        <v>2672</v>
      </c>
      <c r="F68" s="12">
        <v>28.0</v>
      </c>
      <c r="G68" s="12">
        <v>1996.0</v>
      </c>
      <c r="H68" s="15">
        <v>37.8</v>
      </c>
      <c r="I68" s="17">
        <v>0.24</v>
      </c>
      <c r="J68" s="18">
        <v>2.09</v>
      </c>
      <c r="K68" s="18">
        <v>0.74</v>
      </c>
      <c r="L68" s="15">
        <v>35.4</v>
      </c>
      <c r="M68" s="15">
        <v>2.09</v>
      </c>
      <c r="N68" s="15">
        <v>0.74</v>
      </c>
      <c r="O68" s="15">
        <v>0.1</v>
      </c>
      <c r="P68" s="15">
        <v>0.29</v>
      </c>
      <c r="Q68" s="18">
        <v>0.03</v>
      </c>
      <c r="R68" s="18">
        <v>0.03</v>
      </c>
      <c r="S68" s="20" t="s">
        <v>2673</v>
      </c>
    </row>
    <row r="69">
      <c r="A69" s="50">
        <v>65.0</v>
      </c>
      <c r="B69" s="13" t="s">
        <v>2674</v>
      </c>
      <c r="C69" s="11" t="s">
        <v>2675</v>
      </c>
      <c r="D69" s="12" t="s">
        <v>36</v>
      </c>
      <c r="E69" s="13" t="s">
        <v>2676</v>
      </c>
      <c r="F69" s="12">
        <v>22.0</v>
      </c>
      <c r="G69" s="12">
        <v>2003.0</v>
      </c>
      <c r="H69" s="15">
        <v>10.3</v>
      </c>
      <c r="I69" s="22">
        <v>0.0</v>
      </c>
      <c r="J69" s="18">
        <v>0.58</v>
      </c>
      <c r="K69" s="19">
        <v>0.0</v>
      </c>
      <c r="L69" s="21">
        <v>0.0</v>
      </c>
      <c r="M69" s="15">
        <v>0.58</v>
      </c>
      <c r="N69" s="21">
        <v>0.0</v>
      </c>
      <c r="O69" s="21">
        <v>0.0</v>
      </c>
      <c r="P69" s="36"/>
      <c r="Q69" s="19">
        <v>0.0</v>
      </c>
      <c r="R69" s="19">
        <v>0.0</v>
      </c>
      <c r="S69" s="20" t="s">
        <v>2677</v>
      </c>
    </row>
    <row r="70">
      <c r="A70" s="50">
        <v>66.0</v>
      </c>
      <c r="B70" s="13" t="s">
        <v>2678</v>
      </c>
      <c r="C70" s="11" t="s">
        <v>2679</v>
      </c>
      <c r="D70" s="12" t="s">
        <v>36</v>
      </c>
      <c r="E70" s="13" t="s">
        <v>2680</v>
      </c>
      <c r="F70" s="12">
        <v>23.0</v>
      </c>
      <c r="G70" s="12">
        <v>2002.0</v>
      </c>
      <c r="H70" s="15">
        <v>7.6</v>
      </c>
      <c r="I70" s="17">
        <v>0.13</v>
      </c>
      <c r="J70" s="18">
        <v>0.79</v>
      </c>
      <c r="K70" s="18">
        <v>0.26</v>
      </c>
      <c r="L70" s="15">
        <v>33.3</v>
      </c>
      <c r="M70" s="15">
        <v>0.79</v>
      </c>
      <c r="N70" s="15">
        <v>0.26</v>
      </c>
      <c r="O70" s="15">
        <v>0.17</v>
      </c>
      <c r="P70" s="15">
        <v>0.5</v>
      </c>
      <c r="Q70" s="19">
        <v>0.0</v>
      </c>
      <c r="R70" s="19">
        <v>0.0</v>
      </c>
      <c r="S70" s="20" t="s">
        <v>2681</v>
      </c>
    </row>
    <row r="71">
      <c r="A71" s="50">
        <v>67.0</v>
      </c>
      <c r="B71" s="13" t="s">
        <v>2682</v>
      </c>
      <c r="C71" s="11" t="s">
        <v>2683</v>
      </c>
      <c r="D71" s="12" t="s">
        <v>41</v>
      </c>
      <c r="E71" s="13" t="s">
        <v>2684</v>
      </c>
      <c r="F71" s="12">
        <v>23.0</v>
      </c>
      <c r="G71" s="12">
        <v>2002.0</v>
      </c>
      <c r="H71" s="15">
        <v>21.4</v>
      </c>
      <c r="I71" s="17">
        <v>0.33</v>
      </c>
      <c r="J71" s="18">
        <v>1.68</v>
      </c>
      <c r="K71" s="18">
        <v>0.84</v>
      </c>
      <c r="L71" s="15">
        <v>50.0</v>
      </c>
      <c r="M71" s="15">
        <v>1.68</v>
      </c>
      <c r="N71" s="15">
        <v>0.84</v>
      </c>
      <c r="O71" s="15">
        <v>0.19</v>
      </c>
      <c r="P71" s="15">
        <v>0.39</v>
      </c>
      <c r="Q71" s="19">
        <v>0.0</v>
      </c>
      <c r="R71" s="19">
        <v>0.0</v>
      </c>
      <c r="S71" s="20" t="s">
        <v>2685</v>
      </c>
    </row>
    <row r="72">
      <c r="A72" s="50">
        <v>68.0</v>
      </c>
      <c r="B72" s="13" t="s">
        <v>2686</v>
      </c>
      <c r="C72" s="11" t="s">
        <v>2687</v>
      </c>
      <c r="D72" s="12" t="s">
        <v>41</v>
      </c>
      <c r="E72" s="13" t="s">
        <v>2688</v>
      </c>
      <c r="F72" s="12">
        <v>23.0</v>
      </c>
      <c r="G72" s="12">
        <v>2001.0</v>
      </c>
      <c r="H72" s="15">
        <v>9.6</v>
      </c>
      <c r="I72" s="17">
        <v>0.1</v>
      </c>
      <c r="J72" s="18">
        <v>1.67</v>
      </c>
      <c r="K72" s="18">
        <v>0.63</v>
      </c>
      <c r="L72" s="15">
        <v>37.5</v>
      </c>
      <c r="M72" s="15">
        <v>1.67</v>
      </c>
      <c r="N72" s="15">
        <v>0.63</v>
      </c>
      <c r="O72" s="15">
        <v>0.06</v>
      </c>
      <c r="P72" s="15">
        <v>0.17</v>
      </c>
      <c r="Q72" s="19">
        <v>0.0</v>
      </c>
      <c r="R72" s="19">
        <v>0.0</v>
      </c>
      <c r="S72" s="20" t="s">
        <v>2689</v>
      </c>
    </row>
    <row r="73">
      <c r="A73" s="50">
        <v>69.0</v>
      </c>
      <c r="B73" s="13" t="s">
        <v>2690</v>
      </c>
      <c r="C73" s="11" t="s">
        <v>2691</v>
      </c>
      <c r="D73" s="12" t="s">
        <v>31</v>
      </c>
      <c r="E73" s="13" t="s">
        <v>2692</v>
      </c>
      <c r="F73" s="12">
        <v>28.0</v>
      </c>
      <c r="G73" s="12">
        <v>1997.0</v>
      </c>
      <c r="H73" s="15">
        <v>13.4</v>
      </c>
      <c r="I73" s="17">
        <v>0.07</v>
      </c>
      <c r="J73" s="18">
        <v>3.58</v>
      </c>
      <c r="K73" s="18">
        <v>0.97</v>
      </c>
      <c r="L73" s="15">
        <v>27.1</v>
      </c>
      <c r="M73" s="15">
        <v>3.59</v>
      </c>
      <c r="N73" s="15">
        <v>0.97</v>
      </c>
      <c r="O73" s="15">
        <v>0.02</v>
      </c>
      <c r="P73" s="15">
        <v>0.08</v>
      </c>
      <c r="Q73" s="19">
        <v>0.0</v>
      </c>
      <c r="R73" s="19">
        <v>0.0</v>
      </c>
      <c r="S73" s="20" t="s">
        <v>2693</v>
      </c>
    </row>
    <row r="74">
      <c r="A74" s="50">
        <v>70.0</v>
      </c>
      <c r="B74" s="13" t="s">
        <v>2694</v>
      </c>
      <c r="C74" s="11" t="s">
        <v>2695</v>
      </c>
      <c r="D74" s="12" t="s">
        <v>26</v>
      </c>
      <c r="E74" s="13" t="s">
        <v>2696</v>
      </c>
      <c r="F74" s="12">
        <v>26.0</v>
      </c>
      <c r="G74" s="12">
        <v>1998.0</v>
      </c>
      <c r="H74" s="15">
        <v>11.4</v>
      </c>
      <c r="I74" s="22">
        <v>0.0</v>
      </c>
      <c r="J74" s="18">
        <v>1.49</v>
      </c>
      <c r="K74" s="18">
        <v>0.35</v>
      </c>
      <c r="L74" s="15">
        <v>23.5</v>
      </c>
      <c r="M74" s="15">
        <v>1.49</v>
      </c>
      <c r="N74" s="15">
        <v>0.35</v>
      </c>
      <c r="O74" s="21">
        <v>0.0</v>
      </c>
      <c r="P74" s="21">
        <v>0.0</v>
      </c>
      <c r="Q74" s="19">
        <v>0.0</v>
      </c>
      <c r="R74" s="19">
        <v>0.0</v>
      </c>
      <c r="S74" s="20" t="s">
        <v>2697</v>
      </c>
    </row>
    <row r="75">
      <c r="A75" s="50">
        <v>71.0</v>
      </c>
      <c r="B75" s="13" t="s">
        <v>2698</v>
      </c>
      <c r="C75" s="11" t="s">
        <v>2699</v>
      </c>
      <c r="D75" s="12" t="s">
        <v>31</v>
      </c>
      <c r="E75" s="13" t="s">
        <v>2700</v>
      </c>
      <c r="F75" s="12">
        <v>28.0</v>
      </c>
      <c r="G75" s="12">
        <v>1996.0</v>
      </c>
      <c r="H75" s="15">
        <v>19.5</v>
      </c>
      <c r="I75" s="17">
        <v>0.31</v>
      </c>
      <c r="J75" s="18">
        <v>2.51</v>
      </c>
      <c r="K75" s="18">
        <v>0.67</v>
      </c>
      <c r="L75" s="15">
        <v>26.5</v>
      </c>
      <c r="M75" s="15">
        <v>2.51</v>
      </c>
      <c r="N75" s="15">
        <v>0.67</v>
      </c>
      <c r="O75" s="15">
        <v>0.12</v>
      </c>
      <c r="P75" s="15">
        <v>0.46</v>
      </c>
      <c r="Q75" s="19">
        <v>0.0</v>
      </c>
      <c r="R75" s="19">
        <v>0.0</v>
      </c>
      <c r="S75" s="20" t="s">
        <v>2701</v>
      </c>
    </row>
    <row r="76">
      <c r="A76" s="50">
        <v>72.0</v>
      </c>
      <c r="B76" s="13" t="s">
        <v>2702</v>
      </c>
      <c r="C76" s="11" t="s">
        <v>2703</v>
      </c>
      <c r="D76" s="12" t="s">
        <v>264</v>
      </c>
      <c r="E76" s="13" t="s">
        <v>2704</v>
      </c>
      <c r="F76" s="12">
        <v>22.0</v>
      </c>
      <c r="G76" s="12">
        <v>2002.0</v>
      </c>
      <c r="H76" s="15">
        <v>26.3</v>
      </c>
      <c r="I76" s="17">
        <v>0.04</v>
      </c>
      <c r="J76" s="18">
        <v>0.61</v>
      </c>
      <c r="K76" s="18">
        <v>0.23</v>
      </c>
      <c r="L76" s="15">
        <v>37.5</v>
      </c>
      <c r="M76" s="15">
        <v>0.61</v>
      </c>
      <c r="N76" s="15">
        <v>0.23</v>
      </c>
      <c r="O76" s="15">
        <v>0.06</v>
      </c>
      <c r="P76" s="15">
        <v>0.17</v>
      </c>
      <c r="Q76" s="19">
        <v>0.0</v>
      </c>
      <c r="R76" s="19">
        <v>0.0</v>
      </c>
      <c r="S76" s="20" t="s">
        <v>2705</v>
      </c>
    </row>
    <row r="77">
      <c r="A77" s="50">
        <v>73.0</v>
      </c>
      <c r="B77" s="13" t="s">
        <v>2706</v>
      </c>
      <c r="C77" s="11" t="s">
        <v>2707</v>
      </c>
      <c r="D77" s="12" t="s">
        <v>36</v>
      </c>
      <c r="E77" s="13" t="s">
        <v>2708</v>
      </c>
      <c r="F77" s="12">
        <v>26.0</v>
      </c>
      <c r="G77" s="12">
        <v>1998.0</v>
      </c>
      <c r="H77" s="15">
        <v>28.4</v>
      </c>
      <c r="I77" s="17">
        <v>0.11</v>
      </c>
      <c r="J77" s="18">
        <v>0.35</v>
      </c>
      <c r="K77" s="18">
        <v>0.25</v>
      </c>
      <c r="L77" s="15">
        <v>70.0</v>
      </c>
      <c r="M77" s="15">
        <v>0.35</v>
      </c>
      <c r="N77" s="15">
        <v>0.25</v>
      </c>
      <c r="O77" s="15">
        <v>0.3</v>
      </c>
      <c r="P77" s="15">
        <v>0.43</v>
      </c>
      <c r="Q77" s="19">
        <v>0.0</v>
      </c>
      <c r="R77" s="19">
        <v>0.0</v>
      </c>
      <c r="S77" s="20" t="s">
        <v>2709</v>
      </c>
    </row>
    <row r="78">
      <c r="A78" s="50">
        <v>74.0</v>
      </c>
      <c r="B78" s="13" t="s">
        <v>2710</v>
      </c>
      <c r="C78" s="11" t="s">
        <v>2711</v>
      </c>
      <c r="D78" s="12" t="s">
        <v>31</v>
      </c>
      <c r="E78" s="13" t="s">
        <v>2712</v>
      </c>
      <c r="F78" s="12">
        <v>20.0</v>
      </c>
      <c r="G78" s="12">
        <v>2004.0</v>
      </c>
      <c r="H78" s="15">
        <v>0.5</v>
      </c>
      <c r="I78" s="22">
        <v>0.0</v>
      </c>
      <c r="J78" s="19">
        <v>0.0</v>
      </c>
      <c r="K78" s="19">
        <v>0.0</v>
      </c>
      <c r="L78" s="36"/>
      <c r="M78" s="21">
        <v>0.0</v>
      </c>
      <c r="N78" s="21">
        <v>0.0</v>
      </c>
      <c r="O78" s="36"/>
      <c r="P78" s="36"/>
      <c r="Q78" s="19">
        <v>0.0</v>
      </c>
      <c r="R78" s="19">
        <v>0.0</v>
      </c>
      <c r="S78" s="20" t="s">
        <v>2713</v>
      </c>
    </row>
    <row r="79">
      <c r="A79" s="50">
        <v>75.0</v>
      </c>
      <c r="B79" s="13" t="s">
        <v>2714</v>
      </c>
      <c r="C79" s="11" t="s">
        <v>2715</v>
      </c>
      <c r="D79" s="12" t="s">
        <v>31</v>
      </c>
      <c r="E79" s="13" t="s">
        <v>2716</v>
      </c>
      <c r="F79" s="12">
        <v>20.0</v>
      </c>
      <c r="G79" s="12">
        <v>2004.0</v>
      </c>
      <c r="H79" s="15">
        <v>0.4</v>
      </c>
      <c r="I79" s="22">
        <v>0.0</v>
      </c>
      <c r="J79" s="18">
        <v>5.0</v>
      </c>
      <c r="K79" s="19">
        <v>0.0</v>
      </c>
      <c r="L79" s="21">
        <v>0.0</v>
      </c>
      <c r="M79" s="15">
        <v>4.62</v>
      </c>
      <c r="N79" s="21">
        <v>0.0</v>
      </c>
      <c r="O79" s="21">
        <v>0.0</v>
      </c>
      <c r="P79" s="36"/>
      <c r="Q79" s="19">
        <v>0.0</v>
      </c>
      <c r="R79" s="19">
        <v>0.0</v>
      </c>
      <c r="S79" s="20" t="s">
        <v>2717</v>
      </c>
    </row>
    <row r="80">
      <c r="A80" s="37" t="s">
        <v>3</v>
      </c>
      <c r="B80" s="51" t="s">
        <v>4</v>
      </c>
      <c r="C80" s="39" t="s">
        <v>5</v>
      </c>
      <c r="D80" s="39" t="s">
        <v>6</v>
      </c>
      <c r="E80" s="39" t="s">
        <v>7</v>
      </c>
      <c r="F80" s="39" t="s">
        <v>8</v>
      </c>
      <c r="G80" s="39" t="s">
        <v>9</v>
      </c>
      <c r="H80" s="39" t="s">
        <v>13</v>
      </c>
      <c r="I80" s="40" t="s">
        <v>14</v>
      </c>
      <c r="J80" s="39" t="s">
        <v>2411</v>
      </c>
      <c r="K80" s="39" t="s">
        <v>2412</v>
      </c>
      <c r="L80" s="39" t="s">
        <v>2413</v>
      </c>
      <c r="M80" s="39" t="s">
        <v>2414</v>
      </c>
      <c r="N80" s="39" t="s">
        <v>2415</v>
      </c>
      <c r="O80" s="39" t="s">
        <v>2416</v>
      </c>
      <c r="P80" s="39" t="s">
        <v>2417</v>
      </c>
      <c r="Q80" s="39" t="s">
        <v>18</v>
      </c>
      <c r="R80" s="39" t="s">
        <v>19</v>
      </c>
      <c r="S80" s="40" t="s">
        <v>23</v>
      </c>
    </row>
    <row r="81">
      <c r="A81" s="50">
        <v>76.0</v>
      </c>
      <c r="B81" s="13" t="s">
        <v>2718</v>
      </c>
      <c r="C81" s="11" t="s">
        <v>2719</v>
      </c>
      <c r="D81" s="12" t="s">
        <v>36</v>
      </c>
      <c r="E81" s="13" t="s">
        <v>2720</v>
      </c>
      <c r="F81" s="12">
        <v>33.0</v>
      </c>
      <c r="G81" s="12">
        <v>1992.0</v>
      </c>
      <c r="H81" s="15">
        <v>24.4</v>
      </c>
      <c r="I81" s="17">
        <v>0.04</v>
      </c>
      <c r="J81" s="18">
        <v>0.41</v>
      </c>
      <c r="K81" s="18">
        <v>0.12</v>
      </c>
      <c r="L81" s="15">
        <v>30.0</v>
      </c>
      <c r="M81" s="15">
        <v>0.41</v>
      </c>
      <c r="N81" s="15">
        <v>0.12</v>
      </c>
      <c r="O81" s="15">
        <v>0.1</v>
      </c>
      <c r="P81" s="15">
        <v>0.33</v>
      </c>
      <c r="Q81" s="19">
        <v>0.0</v>
      </c>
      <c r="R81" s="19">
        <v>0.0</v>
      </c>
      <c r="S81" s="20" t="s">
        <v>2721</v>
      </c>
    </row>
    <row r="82">
      <c r="A82" s="50">
        <v>77.0</v>
      </c>
      <c r="B82" s="13" t="s">
        <v>2722</v>
      </c>
      <c r="C82" s="11" t="s">
        <v>2723</v>
      </c>
      <c r="D82" s="12" t="s">
        <v>31</v>
      </c>
      <c r="E82" s="13" t="s">
        <v>2724</v>
      </c>
      <c r="F82" s="12">
        <v>17.0</v>
      </c>
      <c r="G82" s="12">
        <v>2008.0</v>
      </c>
      <c r="H82" s="15">
        <v>0.2</v>
      </c>
      <c r="I82" s="22">
        <v>0.0</v>
      </c>
      <c r="J82" s="19">
        <v>0.0</v>
      </c>
      <c r="K82" s="19">
        <v>0.0</v>
      </c>
      <c r="L82" s="36"/>
      <c r="M82" s="21">
        <v>0.0</v>
      </c>
      <c r="N82" s="21">
        <v>0.0</v>
      </c>
      <c r="O82" s="36"/>
      <c r="P82" s="36"/>
      <c r="Q82" s="19">
        <v>0.0</v>
      </c>
      <c r="R82" s="19">
        <v>0.0</v>
      </c>
      <c r="S82" s="20" t="s">
        <v>2725</v>
      </c>
    </row>
    <row r="83">
      <c r="A83" s="50">
        <v>78.0</v>
      </c>
      <c r="B83" s="13" t="s">
        <v>2726</v>
      </c>
      <c r="C83" s="11" t="s">
        <v>2727</v>
      </c>
      <c r="D83" s="12" t="s">
        <v>36</v>
      </c>
      <c r="E83" s="13" t="s">
        <v>2728</v>
      </c>
      <c r="F83" s="12">
        <v>16.0</v>
      </c>
      <c r="G83" s="12">
        <v>2008.0</v>
      </c>
      <c r="H83" s="21">
        <v>0.0</v>
      </c>
      <c r="I83" s="23">
        <v>0.0</v>
      </c>
      <c r="J83" s="21">
        <v>0.0</v>
      </c>
      <c r="K83" s="21">
        <v>0.0</v>
      </c>
      <c r="L83" s="36"/>
      <c r="M83" s="21">
        <v>0.0</v>
      </c>
      <c r="N83" s="21">
        <v>0.0</v>
      </c>
      <c r="O83" s="36"/>
      <c r="P83" s="36"/>
      <c r="Q83" s="21">
        <v>0.0</v>
      </c>
      <c r="R83" s="21">
        <v>0.0</v>
      </c>
      <c r="S83" s="20" t="s">
        <v>2729</v>
      </c>
    </row>
    <row r="84">
      <c r="A84" s="50">
        <v>79.0</v>
      </c>
      <c r="B84" s="13" t="s">
        <v>2730</v>
      </c>
      <c r="C84" s="11" t="s">
        <v>2731</v>
      </c>
      <c r="D84" s="12" t="s">
        <v>345</v>
      </c>
      <c r="E84" s="13" t="s">
        <v>2732</v>
      </c>
      <c r="F84" s="12">
        <v>31.0</v>
      </c>
      <c r="G84" s="12">
        <v>1993.0</v>
      </c>
      <c r="H84" s="15">
        <v>0.1</v>
      </c>
      <c r="I84" s="22">
        <v>0.0</v>
      </c>
      <c r="J84" s="19">
        <v>0.0</v>
      </c>
      <c r="K84" s="19">
        <v>0.0</v>
      </c>
      <c r="L84" s="36"/>
      <c r="M84" s="21">
        <v>0.0</v>
      </c>
      <c r="N84" s="21">
        <v>0.0</v>
      </c>
      <c r="O84" s="36"/>
      <c r="P84" s="36"/>
      <c r="Q84" s="19">
        <v>0.0</v>
      </c>
      <c r="R84" s="19">
        <v>0.0</v>
      </c>
      <c r="S84" s="20" t="s">
        <v>2733</v>
      </c>
    </row>
    <row r="85">
      <c r="A85" s="50">
        <v>80.0</v>
      </c>
      <c r="B85" s="13" t="s">
        <v>2734</v>
      </c>
      <c r="C85" s="11" t="s">
        <v>2735</v>
      </c>
      <c r="D85" s="12" t="s">
        <v>31</v>
      </c>
      <c r="E85" s="13" t="s">
        <v>2736</v>
      </c>
      <c r="F85" s="12">
        <v>23.0</v>
      </c>
      <c r="G85" s="12">
        <v>2001.0</v>
      </c>
      <c r="H85" s="15">
        <v>31.1</v>
      </c>
      <c r="I85" s="17">
        <v>0.1</v>
      </c>
      <c r="J85" s="18">
        <v>0.87</v>
      </c>
      <c r="K85" s="18">
        <v>0.23</v>
      </c>
      <c r="L85" s="15">
        <v>25.9</v>
      </c>
      <c r="M85" s="15">
        <v>0.87</v>
      </c>
      <c r="N85" s="15">
        <v>0.23</v>
      </c>
      <c r="O85" s="15">
        <v>0.11</v>
      </c>
      <c r="P85" s="15">
        <v>0.43</v>
      </c>
      <c r="Q85" s="19">
        <v>0.0</v>
      </c>
      <c r="R85" s="19">
        <v>0.0</v>
      </c>
      <c r="S85" s="20" t="s">
        <v>2737</v>
      </c>
    </row>
    <row r="86">
      <c r="A86" s="50">
        <v>81.0</v>
      </c>
      <c r="B86" s="13" t="s">
        <v>2738</v>
      </c>
      <c r="C86" s="11" t="s">
        <v>2739</v>
      </c>
      <c r="D86" s="12" t="s">
        <v>31</v>
      </c>
      <c r="E86" s="13" t="s">
        <v>2740</v>
      </c>
      <c r="F86" s="12">
        <v>34.0</v>
      </c>
      <c r="G86" s="12">
        <v>1991.0</v>
      </c>
      <c r="H86" s="15">
        <v>8.6</v>
      </c>
      <c r="I86" s="17">
        <v>0.23</v>
      </c>
      <c r="J86" s="18">
        <v>1.98</v>
      </c>
      <c r="K86" s="18">
        <v>0.23</v>
      </c>
      <c r="L86" s="15">
        <v>11.8</v>
      </c>
      <c r="M86" s="15">
        <v>1.97</v>
      </c>
      <c r="N86" s="15">
        <v>0.23</v>
      </c>
      <c r="O86" s="15">
        <v>0.12</v>
      </c>
      <c r="P86" s="15">
        <v>1.0</v>
      </c>
      <c r="Q86" s="19">
        <v>0.0</v>
      </c>
      <c r="R86" s="19">
        <v>0.0</v>
      </c>
      <c r="S86" s="20" t="s">
        <v>2741</v>
      </c>
    </row>
    <row r="87">
      <c r="A87" s="50">
        <v>82.0</v>
      </c>
      <c r="B87" s="13" t="s">
        <v>2742</v>
      </c>
      <c r="C87" s="11" t="s">
        <v>2743</v>
      </c>
      <c r="D87" s="12" t="s">
        <v>36</v>
      </c>
      <c r="E87" s="13" t="s">
        <v>2744</v>
      </c>
      <c r="F87" s="12">
        <v>23.0</v>
      </c>
      <c r="G87" s="12">
        <v>2002.0</v>
      </c>
      <c r="H87" s="15">
        <v>18.9</v>
      </c>
      <c r="I87" s="17">
        <v>0.05</v>
      </c>
      <c r="J87" s="18">
        <v>1.69</v>
      </c>
      <c r="K87" s="18">
        <v>0.42</v>
      </c>
      <c r="L87" s="15">
        <v>25.0</v>
      </c>
      <c r="M87" s="15">
        <v>1.7</v>
      </c>
      <c r="N87" s="15">
        <v>0.42</v>
      </c>
      <c r="O87" s="15">
        <v>0.03</v>
      </c>
      <c r="P87" s="15">
        <v>0.13</v>
      </c>
      <c r="Q87" s="19">
        <v>0.0</v>
      </c>
      <c r="R87" s="19">
        <v>0.0</v>
      </c>
      <c r="S87" s="20" t="s">
        <v>2745</v>
      </c>
    </row>
    <row r="88">
      <c r="A88" s="50">
        <v>83.0</v>
      </c>
      <c r="B88" s="13" t="s">
        <v>2746</v>
      </c>
      <c r="C88" s="11" t="s">
        <v>2747</v>
      </c>
      <c r="D88" s="12" t="s">
        <v>41</v>
      </c>
      <c r="E88" s="13" t="s">
        <v>2748</v>
      </c>
      <c r="F88" s="12">
        <v>28.0</v>
      </c>
      <c r="G88" s="12">
        <v>1997.0</v>
      </c>
      <c r="H88" s="15">
        <v>30.2</v>
      </c>
      <c r="I88" s="17">
        <v>0.46</v>
      </c>
      <c r="J88" s="18">
        <v>2.42</v>
      </c>
      <c r="K88" s="18">
        <v>1.13</v>
      </c>
      <c r="L88" s="15">
        <v>46.6</v>
      </c>
      <c r="M88" s="15">
        <v>2.41</v>
      </c>
      <c r="N88" s="15">
        <v>1.12</v>
      </c>
      <c r="O88" s="15">
        <v>0.14</v>
      </c>
      <c r="P88" s="15">
        <v>0.29</v>
      </c>
      <c r="Q88" s="18">
        <v>0.13</v>
      </c>
      <c r="R88" s="18">
        <v>0.17</v>
      </c>
      <c r="S88" s="20" t="s">
        <v>2749</v>
      </c>
    </row>
    <row r="89">
      <c r="A89" s="50">
        <v>84.0</v>
      </c>
      <c r="B89" s="13" t="s">
        <v>2750</v>
      </c>
      <c r="C89" s="11" t="s">
        <v>2751</v>
      </c>
      <c r="D89" s="12" t="s">
        <v>36</v>
      </c>
      <c r="E89" s="13" t="s">
        <v>2752</v>
      </c>
      <c r="F89" s="12">
        <v>19.0</v>
      </c>
      <c r="G89" s="12">
        <v>2006.0</v>
      </c>
      <c r="H89" s="15">
        <v>14.8</v>
      </c>
      <c r="I89" s="22">
        <v>0.0</v>
      </c>
      <c r="J89" s="18">
        <v>0.47</v>
      </c>
      <c r="K89" s="18">
        <v>0.07</v>
      </c>
      <c r="L89" s="15">
        <v>14.3</v>
      </c>
      <c r="M89" s="15">
        <v>0.47</v>
      </c>
      <c r="N89" s="15">
        <v>0.07</v>
      </c>
      <c r="O89" s="21">
        <v>0.0</v>
      </c>
      <c r="P89" s="21">
        <v>0.0</v>
      </c>
      <c r="Q89" s="19">
        <v>0.0</v>
      </c>
      <c r="R89" s="19">
        <v>0.0</v>
      </c>
      <c r="S89" s="20" t="s">
        <v>2753</v>
      </c>
    </row>
    <row r="90">
      <c r="A90" s="50">
        <v>85.0</v>
      </c>
      <c r="B90" s="13" t="s">
        <v>2754</v>
      </c>
      <c r="C90" s="11" t="s">
        <v>2755</v>
      </c>
      <c r="D90" s="12" t="s">
        <v>31</v>
      </c>
      <c r="E90" s="13" t="s">
        <v>2756</v>
      </c>
      <c r="F90" s="12">
        <v>19.0</v>
      </c>
      <c r="G90" s="12">
        <v>2006.0</v>
      </c>
      <c r="H90" s="15">
        <v>1.0</v>
      </c>
      <c r="I90" s="22">
        <v>0.0</v>
      </c>
      <c r="J90" s="18">
        <v>1.0</v>
      </c>
      <c r="K90" s="19">
        <v>0.0</v>
      </c>
      <c r="L90" s="21">
        <v>0.0</v>
      </c>
      <c r="M90" s="15">
        <v>1.0</v>
      </c>
      <c r="N90" s="21">
        <v>0.0</v>
      </c>
      <c r="O90" s="21">
        <v>0.0</v>
      </c>
      <c r="P90" s="36"/>
      <c r="Q90" s="19">
        <v>0.0</v>
      </c>
      <c r="R90" s="19">
        <v>0.0</v>
      </c>
      <c r="S90" s="20" t="s">
        <v>2757</v>
      </c>
    </row>
    <row r="91">
      <c r="A91" s="50">
        <v>86.0</v>
      </c>
      <c r="B91" s="13" t="s">
        <v>2758</v>
      </c>
      <c r="C91" s="11" t="s">
        <v>2759</v>
      </c>
      <c r="D91" s="12" t="s">
        <v>31</v>
      </c>
      <c r="E91" s="13" t="s">
        <v>2760</v>
      </c>
      <c r="F91" s="12">
        <v>22.0</v>
      </c>
      <c r="G91" s="12">
        <v>2002.0</v>
      </c>
      <c r="H91" s="15">
        <v>1.1</v>
      </c>
      <c r="I91" s="17">
        <v>0.91</v>
      </c>
      <c r="J91" s="18">
        <v>1.82</v>
      </c>
      <c r="K91" s="18">
        <v>0.91</v>
      </c>
      <c r="L91" s="15">
        <v>50.0</v>
      </c>
      <c r="M91" s="15">
        <v>1.76</v>
      </c>
      <c r="N91" s="15">
        <v>0.88</v>
      </c>
      <c r="O91" s="15">
        <v>0.5</v>
      </c>
      <c r="P91" s="15">
        <v>1.0</v>
      </c>
      <c r="Q91" s="19">
        <v>0.0</v>
      </c>
      <c r="R91" s="19">
        <v>0.0</v>
      </c>
      <c r="S91" s="20" t="s">
        <v>2761</v>
      </c>
    </row>
    <row r="92">
      <c r="A92" s="50">
        <v>87.0</v>
      </c>
      <c r="B92" s="13" t="s">
        <v>2762</v>
      </c>
      <c r="C92" s="11" t="s">
        <v>2763</v>
      </c>
      <c r="D92" s="12" t="s">
        <v>31</v>
      </c>
      <c r="E92" s="13" t="s">
        <v>2764</v>
      </c>
      <c r="F92" s="12">
        <v>33.0</v>
      </c>
      <c r="G92" s="12">
        <v>1992.0</v>
      </c>
      <c r="H92" s="15">
        <v>28.6</v>
      </c>
      <c r="I92" s="17">
        <v>0.31</v>
      </c>
      <c r="J92" s="18">
        <v>1.82</v>
      </c>
      <c r="K92" s="18">
        <v>0.63</v>
      </c>
      <c r="L92" s="15">
        <v>34.6</v>
      </c>
      <c r="M92" s="15">
        <v>1.82</v>
      </c>
      <c r="N92" s="15">
        <v>0.63</v>
      </c>
      <c r="O92" s="15">
        <v>0.17</v>
      </c>
      <c r="P92" s="15">
        <v>0.5</v>
      </c>
      <c r="Q92" s="19">
        <v>0.0</v>
      </c>
      <c r="R92" s="19">
        <v>0.0</v>
      </c>
      <c r="S92" s="20" t="s">
        <v>2765</v>
      </c>
    </row>
    <row r="93">
      <c r="A93" s="50">
        <v>88.0</v>
      </c>
      <c r="B93" s="13" t="s">
        <v>2766</v>
      </c>
      <c r="C93" s="11" t="s">
        <v>2767</v>
      </c>
      <c r="D93" s="12" t="s">
        <v>36</v>
      </c>
      <c r="E93" s="13" t="s">
        <v>2768</v>
      </c>
      <c r="F93" s="12">
        <v>27.0</v>
      </c>
      <c r="G93" s="12">
        <v>1997.0</v>
      </c>
      <c r="H93" s="15">
        <v>33.5</v>
      </c>
      <c r="I93" s="17">
        <v>0.09</v>
      </c>
      <c r="J93" s="18">
        <v>0.9</v>
      </c>
      <c r="K93" s="18">
        <v>0.3</v>
      </c>
      <c r="L93" s="15">
        <v>33.3</v>
      </c>
      <c r="M93" s="15">
        <v>0.9</v>
      </c>
      <c r="N93" s="15">
        <v>0.3</v>
      </c>
      <c r="O93" s="15">
        <v>0.1</v>
      </c>
      <c r="P93" s="15">
        <v>0.3</v>
      </c>
      <c r="Q93" s="19">
        <v>0.0</v>
      </c>
      <c r="R93" s="19">
        <v>0.0</v>
      </c>
      <c r="S93" s="20" t="s">
        <v>2769</v>
      </c>
    </row>
    <row r="94">
      <c r="A94" s="50">
        <v>89.0</v>
      </c>
      <c r="B94" s="13" t="s">
        <v>2770</v>
      </c>
      <c r="C94" s="11" t="s">
        <v>2771</v>
      </c>
      <c r="D94" s="12" t="s">
        <v>345</v>
      </c>
      <c r="E94" s="13" t="s">
        <v>2772</v>
      </c>
      <c r="F94" s="12">
        <v>29.0</v>
      </c>
      <c r="G94" s="12">
        <v>1995.0</v>
      </c>
      <c r="H94" s="15">
        <v>20.5</v>
      </c>
      <c r="I94" s="22">
        <v>0.0</v>
      </c>
      <c r="J94" s="18">
        <v>0.68</v>
      </c>
      <c r="K94" s="18">
        <v>0.29</v>
      </c>
      <c r="L94" s="15">
        <v>42.9</v>
      </c>
      <c r="M94" s="15">
        <v>0.68</v>
      </c>
      <c r="N94" s="15">
        <v>0.29</v>
      </c>
      <c r="O94" s="21">
        <v>0.0</v>
      </c>
      <c r="P94" s="21">
        <v>0.0</v>
      </c>
      <c r="Q94" s="19">
        <v>0.0</v>
      </c>
      <c r="R94" s="19">
        <v>0.0</v>
      </c>
      <c r="S94" s="20" t="s">
        <v>2773</v>
      </c>
    </row>
    <row r="95">
      <c r="A95" s="50">
        <v>90.0</v>
      </c>
      <c r="B95" s="13" t="s">
        <v>2774</v>
      </c>
      <c r="C95" s="11" t="s">
        <v>2775</v>
      </c>
      <c r="D95" s="12" t="s">
        <v>41</v>
      </c>
      <c r="E95" s="13" t="s">
        <v>2776</v>
      </c>
      <c r="F95" s="12">
        <v>26.0</v>
      </c>
      <c r="G95" s="12">
        <v>1998.0</v>
      </c>
      <c r="H95" s="15">
        <v>15.4</v>
      </c>
      <c r="I95" s="17">
        <v>0.39</v>
      </c>
      <c r="J95" s="18">
        <v>3.25</v>
      </c>
      <c r="K95" s="18">
        <v>1.43</v>
      </c>
      <c r="L95" s="15">
        <v>44.0</v>
      </c>
      <c r="M95" s="15">
        <v>3.25</v>
      </c>
      <c r="N95" s="15">
        <v>1.43</v>
      </c>
      <c r="O95" s="15">
        <v>0.12</v>
      </c>
      <c r="P95" s="15">
        <v>0.27</v>
      </c>
      <c r="Q95" s="19">
        <v>0.0</v>
      </c>
      <c r="R95" s="19">
        <v>0.0</v>
      </c>
      <c r="S95" s="20" t="s">
        <v>2777</v>
      </c>
    </row>
    <row r="96">
      <c r="A96" s="50">
        <v>91.0</v>
      </c>
      <c r="B96" s="13" t="s">
        <v>2778</v>
      </c>
      <c r="C96" s="11" t="s">
        <v>2779</v>
      </c>
      <c r="D96" s="12" t="s">
        <v>36</v>
      </c>
      <c r="E96" s="13" t="s">
        <v>2780</v>
      </c>
      <c r="F96" s="12">
        <v>26.0</v>
      </c>
      <c r="G96" s="12">
        <v>1999.0</v>
      </c>
      <c r="H96" s="15">
        <v>30.9</v>
      </c>
      <c r="I96" s="17">
        <v>0.1</v>
      </c>
      <c r="J96" s="18">
        <v>0.52</v>
      </c>
      <c r="K96" s="18">
        <v>0.16</v>
      </c>
      <c r="L96" s="15">
        <v>31.3</v>
      </c>
      <c r="M96" s="15">
        <v>0.52</v>
      </c>
      <c r="N96" s="15">
        <v>0.16</v>
      </c>
      <c r="O96" s="15">
        <v>0.19</v>
      </c>
      <c r="P96" s="15">
        <v>0.6</v>
      </c>
      <c r="Q96" s="19">
        <v>0.0</v>
      </c>
      <c r="R96" s="19">
        <v>0.0</v>
      </c>
      <c r="S96" s="20" t="s">
        <v>2781</v>
      </c>
    </row>
    <row r="97">
      <c r="A97" s="50">
        <v>92.0</v>
      </c>
      <c r="B97" s="13" t="s">
        <v>2782</v>
      </c>
      <c r="C97" s="11" t="s">
        <v>2783</v>
      </c>
      <c r="D97" s="12" t="s">
        <v>31</v>
      </c>
      <c r="E97" s="13" t="s">
        <v>2784</v>
      </c>
      <c r="F97" s="12">
        <v>21.0</v>
      </c>
      <c r="G97" s="12">
        <v>2003.0</v>
      </c>
      <c r="H97" s="15">
        <v>19.8</v>
      </c>
      <c r="I97" s="17">
        <v>0.2</v>
      </c>
      <c r="J97" s="18">
        <v>2.78</v>
      </c>
      <c r="K97" s="18">
        <v>0.66</v>
      </c>
      <c r="L97" s="15">
        <v>23.6</v>
      </c>
      <c r="M97" s="15">
        <v>2.77</v>
      </c>
      <c r="N97" s="15">
        <v>0.66</v>
      </c>
      <c r="O97" s="15">
        <v>0.07</v>
      </c>
      <c r="P97" s="15">
        <v>0.31</v>
      </c>
      <c r="Q97" s="19">
        <v>0.0</v>
      </c>
      <c r="R97" s="19">
        <v>0.0</v>
      </c>
      <c r="S97" s="20" t="s">
        <v>2785</v>
      </c>
    </row>
    <row r="98">
      <c r="A98" s="50">
        <v>93.0</v>
      </c>
      <c r="B98" s="13" t="s">
        <v>2786</v>
      </c>
      <c r="C98" s="11" t="s">
        <v>2787</v>
      </c>
      <c r="D98" s="12" t="s">
        <v>31</v>
      </c>
      <c r="E98" s="13" t="s">
        <v>2788</v>
      </c>
      <c r="F98" s="12">
        <v>27.0</v>
      </c>
      <c r="G98" s="12">
        <v>1997.0</v>
      </c>
      <c r="H98" s="15">
        <v>3.8</v>
      </c>
      <c r="I98" s="17">
        <v>0.53</v>
      </c>
      <c r="J98" s="18">
        <v>4.47</v>
      </c>
      <c r="K98" s="18">
        <v>1.32</v>
      </c>
      <c r="L98" s="15">
        <v>29.4</v>
      </c>
      <c r="M98" s="15">
        <v>4.51</v>
      </c>
      <c r="N98" s="15">
        <v>1.33</v>
      </c>
      <c r="O98" s="15">
        <v>0.12</v>
      </c>
      <c r="P98" s="15">
        <v>0.4</v>
      </c>
      <c r="Q98" s="19">
        <v>0.0</v>
      </c>
      <c r="R98" s="19">
        <v>0.0</v>
      </c>
      <c r="S98" s="20" t="s">
        <v>2789</v>
      </c>
    </row>
    <row r="99">
      <c r="A99" s="50">
        <v>94.0</v>
      </c>
      <c r="B99" s="13" t="s">
        <v>2790</v>
      </c>
      <c r="C99" s="11" t="s">
        <v>2791</v>
      </c>
      <c r="D99" s="12" t="s">
        <v>31</v>
      </c>
      <c r="E99" s="13" t="s">
        <v>2792</v>
      </c>
      <c r="F99" s="12">
        <v>21.0</v>
      </c>
      <c r="G99" s="12">
        <v>2003.0</v>
      </c>
      <c r="H99" s="15">
        <v>0.3</v>
      </c>
      <c r="I99" s="22">
        <v>0.0</v>
      </c>
      <c r="J99" s="19">
        <v>0.0</v>
      </c>
      <c r="K99" s="19">
        <v>0.0</v>
      </c>
      <c r="L99" s="36"/>
      <c r="M99" s="21">
        <v>0.0</v>
      </c>
      <c r="N99" s="21">
        <v>0.0</v>
      </c>
      <c r="O99" s="36"/>
      <c r="P99" s="36"/>
      <c r="Q99" s="19">
        <v>0.0</v>
      </c>
      <c r="R99" s="19">
        <v>0.0</v>
      </c>
      <c r="S99" s="20" t="s">
        <v>2793</v>
      </c>
    </row>
    <row r="100">
      <c r="A100" s="50">
        <v>95.0</v>
      </c>
      <c r="B100" s="13" t="s">
        <v>2794</v>
      </c>
      <c r="C100" s="11" t="s">
        <v>2795</v>
      </c>
      <c r="D100" s="12" t="s">
        <v>31</v>
      </c>
      <c r="E100" s="13" t="s">
        <v>2796</v>
      </c>
      <c r="F100" s="12">
        <v>30.0</v>
      </c>
      <c r="G100" s="12">
        <v>1995.0</v>
      </c>
      <c r="H100" s="15">
        <v>11.0</v>
      </c>
      <c r="I100" s="17">
        <v>0.18</v>
      </c>
      <c r="J100" s="18">
        <v>2.27</v>
      </c>
      <c r="K100" s="18">
        <v>0.73</v>
      </c>
      <c r="L100" s="15">
        <v>32.0</v>
      </c>
      <c r="M100" s="15">
        <v>2.27</v>
      </c>
      <c r="N100" s="15">
        <v>0.73</v>
      </c>
      <c r="O100" s="15">
        <v>0.08</v>
      </c>
      <c r="P100" s="15">
        <v>0.25</v>
      </c>
      <c r="Q100" s="19">
        <v>0.0</v>
      </c>
      <c r="R100" s="19">
        <v>0.0</v>
      </c>
      <c r="S100" s="20" t="s">
        <v>2797</v>
      </c>
    </row>
    <row r="101">
      <c r="A101" s="50">
        <v>96.0</v>
      </c>
      <c r="B101" s="13" t="s">
        <v>2798</v>
      </c>
      <c r="C101" s="11" t="s">
        <v>2799</v>
      </c>
      <c r="D101" s="12" t="s">
        <v>31</v>
      </c>
      <c r="E101" s="13" t="s">
        <v>2800</v>
      </c>
      <c r="F101" s="12">
        <v>26.0</v>
      </c>
      <c r="G101" s="12">
        <v>1999.0</v>
      </c>
      <c r="H101" s="15">
        <v>12.0</v>
      </c>
      <c r="I101" s="17">
        <v>0.25</v>
      </c>
      <c r="J101" s="18">
        <v>2.08</v>
      </c>
      <c r="K101" s="18">
        <v>0.58</v>
      </c>
      <c r="L101" s="15">
        <v>28.0</v>
      </c>
      <c r="M101" s="15">
        <v>2.09</v>
      </c>
      <c r="N101" s="15">
        <v>0.58</v>
      </c>
      <c r="O101" s="15">
        <v>0.12</v>
      </c>
      <c r="P101" s="15">
        <v>0.43</v>
      </c>
      <c r="Q101" s="19">
        <v>0.0</v>
      </c>
      <c r="R101" s="19">
        <v>0.0</v>
      </c>
      <c r="S101" s="20" t="s">
        <v>2801</v>
      </c>
    </row>
    <row r="102">
      <c r="A102" s="50">
        <v>97.0</v>
      </c>
      <c r="B102" s="13" t="s">
        <v>2802</v>
      </c>
      <c r="C102" s="11" t="s">
        <v>2803</v>
      </c>
      <c r="D102" s="12" t="s">
        <v>36</v>
      </c>
      <c r="E102" s="13" t="s">
        <v>2804</v>
      </c>
      <c r="F102" s="12">
        <v>23.0</v>
      </c>
      <c r="G102" s="12">
        <v>2002.0</v>
      </c>
      <c r="H102" s="15">
        <v>3.6</v>
      </c>
      <c r="I102" s="22">
        <v>0.0</v>
      </c>
      <c r="J102" s="18">
        <v>0.28</v>
      </c>
      <c r="K102" s="19">
        <v>0.0</v>
      </c>
      <c r="L102" s="21">
        <v>0.0</v>
      </c>
      <c r="M102" s="15">
        <v>0.28</v>
      </c>
      <c r="N102" s="21">
        <v>0.0</v>
      </c>
      <c r="O102" s="21">
        <v>0.0</v>
      </c>
      <c r="P102" s="36"/>
      <c r="Q102" s="19">
        <v>0.0</v>
      </c>
      <c r="R102" s="19">
        <v>0.0</v>
      </c>
      <c r="S102" s="20" t="s">
        <v>2805</v>
      </c>
    </row>
    <row r="103">
      <c r="A103" s="50">
        <v>98.0</v>
      </c>
      <c r="B103" s="13" t="s">
        <v>2806</v>
      </c>
      <c r="C103" s="11" t="s">
        <v>2807</v>
      </c>
      <c r="D103" s="12" t="s">
        <v>264</v>
      </c>
      <c r="E103" s="13" t="s">
        <v>2808</v>
      </c>
      <c r="F103" s="12">
        <v>34.0</v>
      </c>
      <c r="G103" s="12">
        <v>1991.0</v>
      </c>
      <c r="H103" s="15">
        <v>6.6</v>
      </c>
      <c r="I103" s="22">
        <v>0.0</v>
      </c>
      <c r="J103" s="18">
        <v>0.45</v>
      </c>
      <c r="K103" s="19">
        <v>0.0</v>
      </c>
      <c r="L103" s="21">
        <v>0.0</v>
      </c>
      <c r="M103" s="15">
        <v>0.45</v>
      </c>
      <c r="N103" s="21">
        <v>0.0</v>
      </c>
      <c r="O103" s="21">
        <v>0.0</v>
      </c>
      <c r="P103" s="36"/>
      <c r="Q103" s="19">
        <v>0.0</v>
      </c>
      <c r="R103" s="19">
        <v>0.0</v>
      </c>
      <c r="S103" s="20" t="s">
        <v>2809</v>
      </c>
    </row>
    <row r="104">
      <c r="A104" s="50">
        <v>99.0</v>
      </c>
      <c r="B104" s="13" t="s">
        <v>2810</v>
      </c>
      <c r="C104" s="11" t="s">
        <v>2811</v>
      </c>
      <c r="D104" s="12" t="s">
        <v>36</v>
      </c>
      <c r="E104" s="13" t="s">
        <v>2812</v>
      </c>
      <c r="F104" s="12">
        <v>36.0</v>
      </c>
      <c r="G104" s="12">
        <v>1988.0</v>
      </c>
      <c r="H104" s="15">
        <v>0.2</v>
      </c>
      <c r="I104" s="22">
        <v>0.0</v>
      </c>
      <c r="J104" s="19">
        <v>0.0</v>
      </c>
      <c r="K104" s="19">
        <v>0.0</v>
      </c>
      <c r="L104" s="36"/>
      <c r="M104" s="21">
        <v>0.0</v>
      </c>
      <c r="N104" s="21">
        <v>0.0</v>
      </c>
      <c r="O104" s="36"/>
      <c r="P104" s="36"/>
      <c r="Q104" s="19">
        <v>0.0</v>
      </c>
      <c r="R104" s="19">
        <v>0.0</v>
      </c>
      <c r="S104" s="20" t="s">
        <v>2813</v>
      </c>
    </row>
    <row r="105">
      <c r="A105" s="50">
        <v>100.0</v>
      </c>
      <c r="B105" s="13" t="s">
        <v>2814</v>
      </c>
      <c r="C105" s="11" t="s">
        <v>2815</v>
      </c>
      <c r="D105" s="12" t="s">
        <v>36</v>
      </c>
      <c r="E105" s="13" t="s">
        <v>2816</v>
      </c>
      <c r="F105" s="12">
        <v>24.0</v>
      </c>
      <c r="G105" s="12">
        <v>2001.0</v>
      </c>
      <c r="H105" s="15">
        <v>33.1</v>
      </c>
      <c r="I105" s="17">
        <v>0.03</v>
      </c>
      <c r="J105" s="18">
        <v>0.6</v>
      </c>
      <c r="K105" s="18">
        <v>0.18</v>
      </c>
      <c r="L105" s="15">
        <v>30.0</v>
      </c>
      <c r="M105" s="15">
        <v>0.61</v>
      </c>
      <c r="N105" s="15">
        <v>0.18</v>
      </c>
      <c r="O105" s="15">
        <v>0.05</v>
      </c>
      <c r="P105" s="15">
        <v>0.17</v>
      </c>
      <c r="Q105" s="19">
        <v>0.0</v>
      </c>
      <c r="R105" s="19">
        <v>0.0</v>
      </c>
      <c r="S105" s="20" t="s">
        <v>2817</v>
      </c>
    </row>
    <row r="106">
      <c r="A106" s="37" t="s">
        <v>3</v>
      </c>
      <c r="B106" s="51" t="s">
        <v>4</v>
      </c>
      <c r="C106" s="39" t="s">
        <v>5</v>
      </c>
      <c r="D106" s="39" t="s">
        <v>6</v>
      </c>
      <c r="E106" s="39" t="s">
        <v>7</v>
      </c>
      <c r="F106" s="39" t="s">
        <v>8</v>
      </c>
      <c r="G106" s="39" t="s">
        <v>9</v>
      </c>
      <c r="H106" s="39" t="s">
        <v>13</v>
      </c>
      <c r="I106" s="40" t="s">
        <v>14</v>
      </c>
      <c r="J106" s="39" t="s">
        <v>2411</v>
      </c>
      <c r="K106" s="39" t="s">
        <v>2412</v>
      </c>
      <c r="L106" s="39" t="s">
        <v>2413</v>
      </c>
      <c r="M106" s="39" t="s">
        <v>2414</v>
      </c>
      <c r="N106" s="39" t="s">
        <v>2415</v>
      </c>
      <c r="O106" s="39" t="s">
        <v>2416</v>
      </c>
      <c r="P106" s="39" t="s">
        <v>2417</v>
      </c>
      <c r="Q106" s="39" t="s">
        <v>18</v>
      </c>
      <c r="R106" s="39" t="s">
        <v>19</v>
      </c>
      <c r="S106" s="40" t="s">
        <v>23</v>
      </c>
    </row>
    <row r="107">
      <c r="A107" s="50">
        <v>101.0</v>
      </c>
      <c r="B107" s="13" t="s">
        <v>2818</v>
      </c>
      <c r="C107" s="11" t="s">
        <v>2819</v>
      </c>
      <c r="D107" s="12" t="s">
        <v>36</v>
      </c>
      <c r="E107" s="13" t="s">
        <v>2820</v>
      </c>
      <c r="F107" s="12">
        <v>22.0</v>
      </c>
      <c r="G107" s="12">
        <v>2003.0</v>
      </c>
      <c r="H107" s="15">
        <v>2.5</v>
      </c>
      <c r="I107" s="22">
        <v>0.0</v>
      </c>
      <c r="J107" s="19">
        <v>0.0</v>
      </c>
      <c r="K107" s="19">
        <v>0.0</v>
      </c>
      <c r="L107" s="36"/>
      <c r="M107" s="21">
        <v>0.0</v>
      </c>
      <c r="N107" s="21">
        <v>0.0</v>
      </c>
      <c r="O107" s="36"/>
      <c r="P107" s="36"/>
      <c r="Q107" s="19">
        <v>0.0</v>
      </c>
      <c r="R107" s="19">
        <v>0.0</v>
      </c>
      <c r="S107" s="20" t="s">
        <v>2821</v>
      </c>
    </row>
    <row r="108">
      <c r="A108" s="50">
        <v>102.0</v>
      </c>
      <c r="B108" s="13" t="s">
        <v>2822</v>
      </c>
      <c r="C108" s="11" t="s">
        <v>2823</v>
      </c>
      <c r="D108" s="12" t="s">
        <v>264</v>
      </c>
      <c r="E108" s="13" t="s">
        <v>2824</v>
      </c>
      <c r="F108" s="12">
        <v>28.0</v>
      </c>
      <c r="G108" s="12">
        <v>1997.0</v>
      </c>
      <c r="H108" s="15">
        <v>9.7</v>
      </c>
      <c r="I108" s="22">
        <v>0.0</v>
      </c>
      <c r="J108" s="18">
        <v>0.31</v>
      </c>
      <c r="K108" s="19">
        <v>0.0</v>
      </c>
      <c r="L108" s="21">
        <v>0.0</v>
      </c>
      <c r="M108" s="15">
        <v>0.31</v>
      </c>
      <c r="N108" s="21">
        <v>0.0</v>
      </c>
      <c r="O108" s="21">
        <v>0.0</v>
      </c>
      <c r="P108" s="36"/>
      <c r="Q108" s="19">
        <v>0.0</v>
      </c>
      <c r="R108" s="19">
        <v>0.0</v>
      </c>
      <c r="S108" s="20" t="s">
        <v>2825</v>
      </c>
    </row>
    <row r="109">
      <c r="A109" s="50">
        <v>103.0</v>
      </c>
      <c r="B109" s="13" t="s">
        <v>2826</v>
      </c>
      <c r="C109" s="11" t="s">
        <v>2827</v>
      </c>
      <c r="D109" s="12" t="s">
        <v>36</v>
      </c>
      <c r="E109" s="13" t="s">
        <v>2828</v>
      </c>
      <c r="F109" s="12">
        <v>21.0</v>
      </c>
      <c r="G109" s="12">
        <v>2003.0</v>
      </c>
      <c r="H109" s="15">
        <v>2.2</v>
      </c>
      <c r="I109" s="22">
        <v>0.0</v>
      </c>
      <c r="J109" s="19">
        <v>0.0</v>
      </c>
      <c r="K109" s="19">
        <v>0.0</v>
      </c>
      <c r="L109" s="36"/>
      <c r="M109" s="21">
        <v>0.0</v>
      </c>
      <c r="N109" s="21">
        <v>0.0</v>
      </c>
      <c r="O109" s="36"/>
      <c r="P109" s="36"/>
      <c r="Q109" s="19">
        <v>0.0</v>
      </c>
      <c r="R109" s="19">
        <v>0.0</v>
      </c>
      <c r="S109" s="20" t="s">
        <v>2829</v>
      </c>
    </row>
    <row r="110">
      <c r="A110" s="50">
        <v>104.0</v>
      </c>
      <c r="B110" s="13" t="s">
        <v>2830</v>
      </c>
      <c r="C110" s="11" t="s">
        <v>2831</v>
      </c>
      <c r="D110" s="12" t="s">
        <v>36</v>
      </c>
      <c r="E110" s="13" t="s">
        <v>2832</v>
      </c>
      <c r="F110" s="12">
        <v>27.0</v>
      </c>
      <c r="G110" s="12">
        <v>1998.0</v>
      </c>
      <c r="H110" s="15">
        <v>30.1</v>
      </c>
      <c r="I110" s="17">
        <v>0.03</v>
      </c>
      <c r="J110" s="18">
        <v>0.66</v>
      </c>
      <c r="K110" s="18">
        <v>0.2</v>
      </c>
      <c r="L110" s="15">
        <v>30.0</v>
      </c>
      <c r="M110" s="15">
        <v>0.66</v>
      </c>
      <c r="N110" s="15">
        <v>0.2</v>
      </c>
      <c r="O110" s="15">
        <v>0.05</v>
      </c>
      <c r="P110" s="15">
        <v>0.17</v>
      </c>
      <c r="Q110" s="19">
        <v>0.0</v>
      </c>
      <c r="R110" s="19">
        <v>0.0</v>
      </c>
      <c r="S110" s="20" t="s">
        <v>2833</v>
      </c>
    </row>
    <row r="111">
      <c r="A111" s="50">
        <v>105.0</v>
      </c>
      <c r="B111" s="13" t="s">
        <v>2834</v>
      </c>
      <c r="C111" s="11" t="s">
        <v>2835</v>
      </c>
      <c r="D111" s="12" t="s">
        <v>36</v>
      </c>
      <c r="E111" s="13" t="s">
        <v>2836</v>
      </c>
      <c r="F111" s="12">
        <v>25.0</v>
      </c>
      <c r="G111" s="12">
        <v>1999.0</v>
      </c>
      <c r="H111" s="15">
        <v>10.4</v>
      </c>
      <c r="I111" s="22">
        <v>0.0</v>
      </c>
      <c r="J111" s="18">
        <v>0.1</v>
      </c>
      <c r="K111" s="19">
        <v>0.0</v>
      </c>
      <c r="L111" s="21">
        <v>0.0</v>
      </c>
      <c r="M111" s="15">
        <v>0.1</v>
      </c>
      <c r="N111" s="21">
        <v>0.0</v>
      </c>
      <c r="O111" s="21">
        <v>0.0</v>
      </c>
      <c r="P111" s="36"/>
      <c r="Q111" s="19">
        <v>0.0</v>
      </c>
      <c r="R111" s="19">
        <v>0.0</v>
      </c>
      <c r="S111" s="20" t="s">
        <v>2837</v>
      </c>
    </row>
    <row r="112">
      <c r="A112" s="50">
        <v>106.0</v>
      </c>
      <c r="B112" s="13" t="s">
        <v>2838</v>
      </c>
      <c r="C112" s="11" t="s">
        <v>2839</v>
      </c>
      <c r="D112" s="12" t="s">
        <v>31</v>
      </c>
      <c r="E112" s="13" t="s">
        <v>2840</v>
      </c>
      <c r="F112" s="12">
        <v>29.0</v>
      </c>
      <c r="G112" s="12">
        <v>1996.0</v>
      </c>
      <c r="H112" s="15">
        <v>16.8</v>
      </c>
      <c r="I112" s="17">
        <v>0.12</v>
      </c>
      <c r="J112" s="18">
        <v>0.65</v>
      </c>
      <c r="K112" s="18">
        <v>0.36</v>
      </c>
      <c r="L112" s="15">
        <v>54.5</v>
      </c>
      <c r="M112" s="15">
        <v>0.65</v>
      </c>
      <c r="N112" s="15">
        <v>0.36</v>
      </c>
      <c r="O112" s="15">
        <v>0.18</v>
      </c>
      <c r="P112" s="15">
        <v>0.33</v>
      </c>
      <c r="Q112" s="19">
        <v>0.0</v>
      </c>
      <c r="R112" s="19">
        <v>0.0</v>
      </c>
      <c r="S112" s="20" t="s">
        <v>2841</v>
      </c>
    </row>
    <row r="113">
      <c r="A113" s="50">
        <v>107.0</v>
      </c>
      <c r="B113" s="13" t="s">
        <v>2842</v>
      </c>
      <c r="C113" s="11" t="s">
        <v>2843</v>
      </c>
      <c r="D113" s="12" t="s">
        <v>36</v>
      </c>
      <c r="E113" s="13" t="s">
        <v>2844</v>
      </c>
      <c r="F113" s="12">
        <v>20.0</v>
      </c>
      <c r="G113" s="12">
        <v>2005.0</v>
      </c>
      <c r="H113" s="15">
        <v>5.7</v>
      </c>
      <c r="I113" s="22">
        <v>0.0</v>
      </c>
      <c r="J113" s="18">
        <v>0.53</v>
      </c>
      <c r="K113" s="18">
        <v>0.18</v>
      </c>
      <c r="L113" s="15">
        <v>33.3</v>
      </c>
      <c r="M113" s="15">
        <v>0.52</v>
      </c>
      <c r="N113" s="15">
        <v>0.17</v>
      </c>
      <c r="O113" s="21">
        <v>0.0</v>
      </c>
      <c r="P113" s="21">
        <v>0.0</v>
      </c>
      <c r="Q113" s="19">
        <v>0.0</v>
      </c>
      <c r="R113" s="19">
        <v>0.0</v>
      </c>
      <c r="S113" s="20" t="s">
        <v>2845</v>
      </c>
    </row>
    <row r="114">
      <c r="A114" s="50">
        <v>108.0</v>
      </c>
      <c r="B114" s="13" t="s">
        <v>2846</v>
      </c>
      <c r="C114" s="11" t="s">
        <v>2847</v>
      </c>
      <c r="D114" s="12" t="s">
        <v>26</v>
      </c>
      <c r="E114" s="13" t="s">
        <v>2848</v>
      </c>
      <c r="F114" s="12">
        <v>26.0</v>
      </c>
      <c r="G114" s="12">
        <v>1999.0</v>
      </c>
      <c r="H114" s="15">
        <v>27.7</v>
      </c>
      <c r="I114" s="17">
        <v>0.36</v>
      </c>
      <c r="J114" s="18">
        <v>3.25</v>
      </c>
      <c r="K114" s="18">
        <v>1.26</v>
      </c>
      <c r="L114" s="15">
        <v>38.9</v>
      </c>
      <c r="M114" s="15">
        <v>3.25</v>
      </c>
      <c r="N114" s="15">
        <v>1.26</v>
      </c>
      <c r="O114" s="15">
        <v>0.11</v>
      </c>
      <c r="P114" s="15">
        <v>0.29</v>
      </c>
      <c r="Q114" s="19">
        <v>0.0</v>
      </c>
      <c r="R114" s="19">
        <v>0.0</v>
      </c>
      <c r="S114" s="20" t="s">
        <v>2849</v>
      </c>
    </row>
    <row r="115">
      <c r="A115" s="50">
        <v>109.0</v>
      </c>
      <c r="B115" s="13" t="s">
        <v>2850</v>
      </c>
      <c r="C115" s="11" t="s">
        <v>2851</v>
      </c>
      <c r="D115" s="12" t="s">
        <v>345</v>
      </c>
      <c r="E115" s="13" t="s">
        <v>2852</v>
      </c>
      <c r="F115" s="12">
        <v>26.0</v>
      </c>
      <c r="G115" s="12">
        <v>1999.0</v>
      </c>
      <c r="H115" s="15">
        <v>29.0</v>
      </c>
      <c r="I115" s="17">
        <v>0.03</v>
      </c>
      <c r="J115" s="18">
        <v>0.83</v>
      </c>
      <c r="K115" s="18">
        <v>0.21</v>
      </c>
      <c r="L115" s="15">
        <v>25.0</v>
      </c>
      <c r="M115" s="15">
        <v>0.83</v>
      </c>
      <c r="N115" s="15">
        <v>0.21</v>
      </c>
      <c r="O115" s="15">
        <v>0.04</v>
      </c>
      <c r="P115" s="15">
        <v>0.17</v>
      </c>
      <c r="Q115" s="19">
        <v>0.0</v>
      </c>
      <c r="R115" s="19">
        <v>0.0</v>
      </c>
      <c r="S115" s="20" t="s">
        <v>2853</v>
      </c>
    </row>
    <row r="116">
      <c r="A116" s="50">
        <v>110.0</v>
      </c>
      <c r="B116" s="13" t="s">
        <v>2854</v>
      </c>
      <c r="C116" s="11" t="s">
        <v>2855</v>
      </c>
      <c r="D116" s="12" t="s">
        <v>31</v>
      </c>
      <c r="E116" s="13" t="s">
        <v>2856</v>
      </c>
      <c r="F116" s="12">
        <v>25.0</v>
      </c>
      <c r="G116" s="12">
        <v>2000.0</v>
      </c>
      <c r="H116" s="15">
        <v>22.8</v>
      </c>
      <c r="I116" s="17">
        <v>0.18</v>
      </c>
      <c r="J116" s="18">
        <v>1.27</v>
      </c>
      <c r="K116" s="18">
        <v>0.48</v>
      </c>
      <c r="L116" s="15">
        <v>37.9</v>
      </c>
      <c r="M116" s="15">
        <v>1.27</v>
      </c>
      <c r="N116" s="15">
        <v>0.48</v>
      </c>
      <c r="O116" s="15">
        <v>0.14</v>
      </c>
      <c r="P116" s="15">
        <v>0.36</v>
      </c>
      <c r="Q116" s="19">
        <v>0.0</v>
      </c>
      <c r="R116" s="19">
        <v>0.0</v>
      </c>
      <c r="S116" s="20" t="s">
        <v>2857</v>
      </c>
    </row>
    <row r="117">
      <c r="A117" s="50">
        <v>111.0</v>
      </c>
      <c r="B117" s="13" t="s">
        <v>2858</v>
      </c>
      <c r="C117" s="11" t="s">
        <v>2859</v>
      </c>
      <c r="D117" s="12" t="s">
        <v>36</v>
      </c>
      <c r="E117" s="13" t="s">
        <v>2860</v>
      </c>
      <c r="F117" s="12">
        <v>26.0</v>
      </c>
      <c r="G117" s="12">
        <v>1998.0</v>
      </c>
      <c r="H117" s="15">
        <v>16.6</v>
      </c>
      <c r="I117" s="22">
        <v>0.0</v>
      </c>
      <c r="J117" s="18">
        <v>0.66</v>
      </c>
      <c r="K117" s="18">
        <v>0.12</v>
      </c>
      <c r="L117" s="15">
        <v>18.2</v>
      </c>
      <c r="M117" s="15">
        <v>0.66</v>
      </c>
      <c r="N117" s="15">
        <v>0.12</v>
      </c>
      <c r="O117" s="21">
        <v>0.0</v>
      </c>
      <c r="P117" s="21">
        <v>0.0</v>
      </c>
      <c r="Q117" s="19">
        <v>0.0</v>
      </c>
      <c r="R117" s="19">
        <v>0.0</v>
      </c>
      <c r="S117" s="20" t="s">
        <v>2861</v>
      </c>
    </row>
    <row r="118">
      <c r="A118" s="50">
        <v>112.0</v>
      </c>
      <c r="B118" s="13" t="s">
        <v>2862</v>
      </c>
      <c r="C118" s="11" t="s">
        <v>2863</v>
      </c>
      <c r="D118" s="12" t="s">
        <v>98</v>
      </c>
      <c r="E118" s="13" t="s">
        <v>2864</v>
      </c>
      <c r="F118" s="12">
        <v>34.0</v>
      </c>
      <c r="G118" s="12">
        <v>1990.0</v>
      </c>
      <c r="H118" s="15">
        <v>22.0</v>
      </c>
      <c r="I118" s="22">
        <v>0.0</v>
      </c>
      <c r="J118" s="19">
        <v>0.0</v>
      </c>
      <c r="K118" s="19">
        <v>0.0</v>
      </c>
      <c r="L118" s="36"/>
      <c r="M118" s="21">
        <v>0.0</v>
      </c>
      <c r="N118" s="21">
        <v>0.0</v>
      </c>
      <c r="O118" s="36"/>
      <c r="P118" s="36"/>
      <c r="Q118" s="19">
        <v>0.0</v>
      </c>
      <c r="R118" s="19">
        <v>0.0</v>
      </c>
      <c r="S118" s="20" t="s">
        <v>2865</v>
      </c>
    </row>
    <row r="119">
      <c r="A119" s="50">
        <v>113.0</v>
      </c>
      <c r="B119" s="13" t="s">
        <v>2866</v>
      </c>
      <c r="C119" s="11" t="s">
        <v>2867</v>
      </c>
      <c r="D119" s="12" t="s">
        <v>31</v>
      </c>
      <c r="E119" s="13" t="s">
        <v>2868</v>
      </c>
      <c r="F119" s="12">
        <v>26.0</v>
      </c>
      <c r="G119" s="12">
        <v>1998.0</v>
      </c>
      <c r="H119" s="21">
        <v>0.0</v>
      </c>
      <c r="I119" s="23">
        <v>0.0</v>
      </c>
      <c r="J119" s="15">
        <v>1.0</v>
      </c>
      <c r="K119" s="21">
        <v>0.0</v>
      </c>
      <c r="L119" s="21">
        <v>0.0</v>
      </c>
      <c r="M119" s="15">
        <v>30.0</v>
      </c>
      <c r="N119" s="21">
        <v>0.0</v>
      </c>
      <c r="O119" s="21">
        <v>0.0</v>
      </c>
      <c r="P119" s="36"/>
      <c r="Q119" s="21">
        <v>0.0</v>
      </c>
      <c r="R119" s="21">
        <v>0.0</v>
      </c>
      <c r="S119" s="20" t="s">
        <v>2869</v>
      </c>
    </row>
    <row r="120">
      <c r="A120" s="50">
        <v>114.0</v>
      </c>
      <c r="B120" s="13" t="s">
        <v>2870</v>
      </c>
      <c r="C120" s="11" t="s">
        <v>2871</v>
      </c>
      <c r="D120" s="12" t="s">
        <v>36</v>
      </c>
      <c r="E120" s="13" t="s">
        <v>2872</v>
      </c>
      <c r="F120" s="12">
        <v>32.0</v>
      </c>
      <c r="G120" s="12">
        <v>1993.0</v>
      </c>
      <c r="H120" s="15">
        <v>1.5</v>
      </c>
      <c r="I120" s="17">
        <v>0.67</v>
      </c>
      <c r="J120" s="18">
        <v>1.33</v>
      </c>
      <c r="K120" s="18">
        <v>1.33</v>
      </c>
      <c r="L120" s="15">
        <v>100.0</v>
      </c>
      <c r="M120" s="15">
        <v>1.31</v>
      </c>
      <c r="N120" s="15">
        <v>1.31</v>
      </c>
      <c r="O120" s="15">
        <v>0.5</v>
      </c>
      <c r="P120" s="15">
        <v>0.5</v>
      </c>
      <c r="Q120" s="19">
        <v>0.0</v>
      </c>
      <c r="R120" s="19">
        <v>0.0</v>
      </c>
      <c r="S120" s="20" t="s">
        <v>2873</v>
      </c>
    </row>
    <row r="121">
      <c r="A121" s="50">
        <v>115.0</v>
      </c>
      <c r="B121" s="13" t="s">
        <v>2874</v>
      </c>
      <c r="C121" s="11" t="s">
        <v>2875</v>
      </c>
      <c r="D121" s="12" t="s">
        <v>345</v>
      </c>
      <c r="E121" s="13" t="s">
        <v>2876</v>
      </c>
      <c r="F121" s="12">
        <v>24.0</v>
      </c>
      <c r="G121" s="12">
        <v>2000.0</v>
      </c>
      <c r="H121" s="15">
        <v>15.7</v>
      </c>
      <c r="I121" s="17">
        <v>0.13</v>
      </c>
      <c r="J121" s="18">
        <v>0.83</v>
      </c>
      <c r="K121" s="18">
        <v>0.38</v>
      </c>
      <c r="L121" s="15">
        <v>46.2</v>
      </c>
      <c r="M121" s="15">
        <v>0.83</v>
      </c>
      <c r="N121" s="15">
        <v>0.38</v>
      </c>
      <c r="O121" s="15">
        <v>0.15</v>
      </c>
      <c r="P121" s="15">
        <v>0.33</v>
      </c>
      <c r="Q121" s="19">
        <v>0.0</v>
      </c>
      <c r="R121" s="19">
        <v>0.0</v>
      </c>
      <c r="S121" s="20" t="s">
        <v>2877</v>
      </c>
    </row>
    <row r="122">
      <c r="A122" s="50">
        <v>116.0</v>
      </c>
      <c r="B122" s="13" t="s">
        <v>2878</v>
      </c>
      <c r="C122" s="11" t="s">
        <v>2879</v>
      </c>
      <c r="D122" s="12" t="s">
        <v>41</v>
      </c>
      <c r="E122" s="13" t="s">
        <v>2880</v>
      </c>
      <c r="F122" s="12">
        <v>22.0</v>
      </c>
      <c r="G122" s="12">
        <v>2003.0</v>
      </c>
      <c r="H122" s="15">
        <v>12.3</v>
      </c>
      <c r="I122" s="17">
        <v>0.08</v>
      </c>
      <c r="J122" s="18">
        <v>2.93</v>
      </c>
      <c r="K122" s="18">
        <v>0.89</v>
      </c>
      <c r="L122" s="15">
        <v>30.6</v>
      </c>
      <c r="M122" s="15">
        <v>2.93</v>
      </c>
      <c r="N122" s="15">
        <v>0.89</v>
      </c>
      <c r="O122" s="15">
        <v>0.03</v>
      </c>
      <c r="P122" s="15">
        <v>0.09</v>
      </c>
      <c r="Q122" s="19">
        <v>0.0</v>
      </c>
      <c r="R122" s="19">
        <v>0.0</v>
      </c>
      <c r="S122" s="20" t="s">
        <v>2881</v>
      </c>
    </row>
    <row r="123">
      <c r="A123" s="50">
        <v>117.0</v>
      </c>
      <c r="B123" s="13" t="s">
        <v>2882</v>
      </c>
      <c r="C123" s="11" t="s">
        <v>2883</v>
      </c>
      <c r="D123" s="12" t="s">
        <v>36</v>
      </c>
      <c r="E123" s="13" t="s">
        <v>2884</v>
      </c>
      <c r="F123" s="12">
        <v>23.0</v>
      </c>
      <c r="G123" s="12">
        <v>2001.0</v>
      </c>
      <c r="H123" s="15">
        <v>30.7</v>
      </c>
      <c r="I123" s="22">
        <v>0.0</v>
      </c>
      <c r="J123" s="18">
        <v>0.75</v>
      </c>
      <c r="K123" s="18">
        <v>0.23</v>
      </c>
      <c r="L123" s="15">
        <v>30.4</v>
      </c>
      <c r="M123" s="15">
        <v>0.75</v>
      </c>
      <c r="N123" s="15">
        <v>0.23</v>
      </c>
      <c r="O123" s="21">
        <v>0.0</v>
      </c>
      <c r="P123" s="21">
        <v>0.0</v>
      </c>
      <c r="Q123" s="19">
        <v>0.0</v>
      </c>
      <c r="R123" s="19">
        <v>0.0</v>
      </c>
      <c r="S123" s="20" t="s">
        <v>2885</v>
      </c>
    </row>
    <row r="124">
      <c r="A124" s="50">
        <v>118.0</v>
      </c>
      <c r="B124" s="13" t="s">
        <v>2886</v>
      </c>
      <c r="C124" s="11" t="s">
        <v>2887</v>
      </c>
      <c r="D124" s="12" t="s">
        <v>31</v>
      </c>
      <c r="E124" s="13" t="s">
        <v>2888</v>
      </c>
      <c r="F124" s="12">
        <v>18.0</v>
      </c>
      <c r="G124" s="12">
        <v>2007.0</v>
      </c>
      <c r="H124" s="15">
        <v>0.5</v>
      </c>
      <c r="I124" s="22">
        <v>0.0</v>
      </c>
      <c r="J124" s="18">
        <v>4.0</v>
      </c>
      <c r="K124" s="18">
        <v>2.0</v>
      </c>
      <c r="L124" s="15">
        <v>50.0</v>
      </c>
      <c r="M124" s="15">
        <v>4.09</v>
      </c>
      <c r="N124" s="15">
        <v>2.05</v>
      </c>
      <c r="O124" s="21">
        <v>0.0</v>
      </c>
      <c r="P124" s="21">
        <v>0.0</v>
      </c>
      <c r="Q124" s="19">
        <v>0.0</v>
      </c>
      <c r="R124" s="19">
        <v>0.0</v>
      </c>
      <c r="S124" s="20" t="s">
        <v>2889</v>
      </c>
    </row>
    <row r="125">
      <c r="A125" s="50">
        <v>119.0</v>
      </c>
      <c r="B125" s="13" t="s">
        <v>2890</v>
      </c>
      <c r="C125" s="11" t="s">
        <v>2891</v>
      </c>
      <c r="D125" s="12" t="s">
        <v>26</v>
      </c>
      <c r="E125" s="13" t="s">
        <v>2892</v>
      </c>
      <c r="F125" s="12">
        <v>21.0</v>
      </c>
      <c r="G125" s="12">
        <v>2003.0</v>
      </c>
      <c r="H125" s="15">
        <v>8.8</v>
      </c>
      <c r="I125" s="17">
        <v>0.11</v>
      </c>
      <c r="J125" s="18">
        <v>1.48</v>
      </c>
      <c r="K125" s="18">
        <v>0.45</v>
      </c>
      <c r="L125" s="15">
        <v>30.8</v>
      </c>
      <c r="M125" s="15">
        <v>1.47</v>
      </c>
      <c r="N125" s="15">
        <v>0.45</v>
      </c>
      <c r="O125" s="21">
        <v>0.0</v>
      </c>
      <c r="P125" s="21">
        <v>0.0</v>
      </c>
      <c r="Q125" s="18">
        <v>0.11</v>
      </c>
      <c r="R125" s="18">
        <v>0.11</v>
      </c>
      <c r="S125" s="20" t="s">
        <v>2893</v>
      </c>
    </row>
    <row r="126">
      <c r="A126" s="50">
        <v>120.0</v>
      </c>
      <c r="B126" s="13" t="s">
        <v>2894</v>
      </c>
      <c r="C126" s="11" t="s">
        <v>2895</v>
      </c>
      <c r="D126" s="12" t="s">
        <v>31</v>
      </c>
      <c r="E126" s="13" t="s">
        <v>2896</v>
      </c>
      <c r="F126" s="12">
        <v>26.0</v>
      </c>
      <c r="G126" s="12">
        <v>1998.0</v>
      </c>
      <c r="H126" s="15">
        <v>29.2</v>
      </c>
      <c r="I126" s="17">
        <v>0.27</v>
      </c>
      <c r="J126" s="18">
        <v>1.34</v>
      </c>
      <c r="K126" s="18">
        <v>0.51</v>
      </c>
      <c r="L126" s="15">
        <v>38.5</v>
      </c>
      <c r="M126" s="15">
        <v>1.34</v>
      </c>
      <c r="N126" s="15">
        <v>0.51</v>
      </c>
      <c r="O126" s="15">
        <v>0.21</v>
      </c>
      <c r="P126" s="15">
        <v>0.53</v>
      </c>
      <c r="Q126" s="19">
        <v>0.0</v>
      </c>
      <c r="R126" s="19">
        <v>0.0</v>
      </c>
      <c r="S126" s="20" t="s">
        <v>2897</v>
      </c>
    </row>
    <row r="127">
      <c r="A127" s="50">
        <v>121.0</v>
      </c>
      <c r="B127" s="13" t="s">
        <v>2898</v>
      </c>
      <c r="C127" s="11" t="s">
        <v>2899</v>
      </c>
      <c r="D127" s="12" t="s">
        <v>36</v>
      </c>
      <c r="E127" s="13" t="s">
        <v>2900</v>
      </c>
      <c r="F127" s="12">
        <v>24.0</v>
      </c>
      <c r="G127" s="12">
        <v>2001.0</v>
      </c>
      <c r="H127" s="15">
        <v>14.2</v>
      </c>
      <c r="I127" s="22">
        <v>0.0</v>
      </c>
      <c r="J127" s="18">
        <v>0.07</v>
      </c>
      <c r="K127" s="19">
        <v>0.0</v>
      </c>
      <c r="L127" s="21">
        <v>0.0</v>
      </c>
      <c r="M127" s="15">
        <v>0.07</v>
      </c>
      <c r="N127" s="21">
        <v>0.0</v>
      </c>
      <c r="O127" s="21">
        <v>0.0</v>
      </c>
      <c r="P127" s="36"/>
      <c r="Q127" s="19">
        <v>0.0</v>
      </c>
      <c r="R127" s="19">
        <v>0.0</v>
      </c>
      <c r="S127" s="20" t="s">
        <v>2901</v>
      </c>
    </row>
    <row r="128">
      <c r="A128" s="50">
        <v>122.0</v>
      </c>
      <c r="B128" s="13" t="s">
        <v>2902</v>
      </c>
      <c r="C128" s="11" t="s">
        <v>2903</v>
      </c>
      <c r="D128" s="12" t="s">
        <v>31</v>
      </c>
      <c r="E128" s="13" t="s">
        <v>2904</v>
      </c>
      <c r="F128" s="12">
        <v>23.0</v>
      </c>
      <c r="G128" s="12">
        <v>2002.0</v>
      </c>
      <c r="H128" s="15">
        <v>26.0</v>
      </c>
      <c r="I128" s="17">
        <v>0.08</v>
      </c>
      <c r="J128" s="18">
        <v>2.04</v>
      </c>
      <c r="K128" s="18">
        <v>0.88</v>
      </c>
      <c r="L128" s="15">
        <v>43.4</v>
      </c>
      <c r="M128" s="15">
        <v>2.04</v>
      </c>
      <c r="N128" s="15">
        <v>0.88</v>
      </c>
      <c r="O128" s="15">
        <v>0.04</v>
      </c>
      <c r="P128" s="15">
        <v>0.09</v>
      </c>
      <c r="Q128" s="19">
        <v>0.0</v>
      </c>
      <c r="R128" s="19">
        <v>0.0</v>
      </c>
      <c r="S128" s="20" t="s">
        <v>2905</v>
      </c>
    </row>
    <row r="129">
      <c r="A129" s="50">
        <v>123.0</v>
      </c>
      <c r="B129" s="13" t="s">
        <v>2906</v>
      </c>
      <c r="C129" s="11" t="s">
        <v>2907</v>
      </c>
      <c r="D129" s="12" t="s">
        <v>31</v>
      </c>
      <c r="E129" s="13" t="s">
        <v>2908</v>
      </c>
      <c r="F129" s="12">
        <v>21.0</v>
      </c>
      <c r="G129" s="12">
        <v>2004.0</v>
      </c>
      <c r="H129" s="15">
        <v>15.6</v>
      </c>
      <c r="I129" s="17">
        <v>0.13</v>
      </c>
      <c r="J129" s="18">
        <v>1.67</v>
      </c>
      <c r="K129" s="18">
        <v>0.51</v>
      </c>
      <c r="L129" s="15">
        <v>30.8</v>
      </c>
      <c r="M129" s="15">
        <v>1.67</v>
      </c>
      <c r="N129" s="15">
        <v>0.51</v>
      </c>
      <c r="O129" s="15">
        <v>0.04</v>
      </c>
      <c r="P129" s="15">
        <v>0.13</v>
      </c>
      <c r="Q129" s="18">
        <v>0.06</v>
      </c>
      <c r="R129" s="18">
        <v>0.06</v>
      </c>
      <c r="S129" s="20" t="s">
        <v>2909</v>
      </c>
    </row>
    <row r="130">
      <c r="A130" s="50">
        <v>124.0</v>
      </c>
      <c r="B130" s="13" t="s">
        <v>2910</v>
      </c>
      <c r="C130" s="11" t="s">
        <v>2911</v>
      </c>
      <c r="D130" s="12" t="s">
        <v>36</v>
      </c>
      <c r="E130" s="13" t="s">
        <v>2912</v>
      </c>
      <c r="F130" s="12">
        <v>28.0</v>
      </c>
      <c r="G130" s="12">
        <v>1997.0</v>
      </c>
      <c r="H130" s="15">
        <v>23.8</v>
      </c>
      <c r="I130" s="17">
        <v>0.08</v>
      </c>
      <c r="J130" s="18">
        <v>0.42</v>
      </c>
      <c r="K130" s="18">
        <v>0.17</v>
      </c>
      <c r="L130" s="15">
        <v>40.0</v>
      </c>
      <c r="M130" s="15">
        <v>0.42</v>
      </c>
      <c r="N130" s="15">
        <v>0.17</v>
      </c>
      <c r="O130" s="15">
        <v>0.2</v>
      </c>
      <c r="P130" s="15">
        <v>0.5</v>
      </c>
      <c r="Q130" s="19">
        <v>0.0</v>
      </c>
      <c r="R130" s="19">
        <v>0.0</v>
      </c>
      <c r="S130" s="20" t="s">
        <v>2913</v>
      </c>
    </row>
    <row r="131">
      <c r="A131" s="50">
        <v>125.0</v>
      </c>
      <c r="B131" s="13" t="s">
        <v>2914</v>
      </c>
      <c r="C131" s="11" t="s">
        <v>2915</v>
      </c>
      <c r="D131" s="12" t="s">
        <v>31</v>
      </c>
      <c r="E131" s="13" t="s">
        <v>2916</v>
      </c>
      <c r="F131" s="12">
        <v>19.0</v>
      </c>
      <c r="G131" s="12">
        <v>2006.0</v>
      </c>
      <c r="H131" s="15">
        <v>4.0</v>
      </c>
      <c r="I131" s="22">
        <v>0.0</v>
      </c>
      <c r="J131" s="18">
        <v>1.0</v>
      </c>
      <c r="K131" s="19">
        <v>0.0</v>
      </c>
      <c r="L131" s="21">
        <v>0.0</v>
      </c>
      <c r="M131" s="15">
        <v>1.01</v>
      </c>
      <c r="N131" s="21">
        <v>0.0</v>
      </c>
      <c r="O131" s="21">
        <v>0.0</v>
      </c>
      <c r="P131" s="36"/>
      <c r="Q131" s="19">
        <v>0.0</v>
      </c>
      <c r="R131" s="19">
        <v>0.0</v>
      </c>
      <c r="S131" s="20" t="s">
        <v>2917</v>
      </c>
    </row>
    <row r="132">
      <c r="A132" s="37" t="s">
        <v>3</v>
      </c>
      <c r="B132" s="51" t="s">
        <v>4</v>
      </c>
      <c r="C132" s="39" t="s">
        <v>5</v>
      </c>
      <c r="D132" s="39" t="s">
        <v>6</v>
      </c>
      <c r="E132" s="39" t="s">
        <v>7</v>
      </c>
      <c r="F132" s="39" t="s">
        <v>8</v>
      </c>
      <c r="G132" s="39" t="s">
        <v>9</v>
      </c>
      <c r="H132" s="39" t="s">
        <v>13</v>
      </c>
      <c r="I132" s="40" t="s">
        <v>14</v>
      </c>
      <c r="J132" s="39" t="s">
        <v>2411</v>
      </c>
      <c r="K132" s="39" t="s">
        <v>2412</v>
      </c>
      <c r="L132" s="39" t="s">
        <v>2413</v>
      </c>
      <c r="M132" s="39" t="s">
        <v>2414</v>
      </c>
      <c r="N132" s="39" t="s">
        <v>2415</v>
      </c>
      <c r="O132" s="39" t="s">
        <v>2416</v>
      </c>
      <c r="P132" s="39" t="s">
        <v>2417</v>
      </c>
      <c r="Q132" s="39" t="s">
        <v>18</v>
      </c>
      <c r="R132" s="39" t="s">
        <v>19</v>
      </c>
      <c r="S132" s="40" t="s">
        <v>23</v>
      </c>
    </row>
    <row r="133">
      <c r="A133" s="50">
        <v>126.0</v>
      </c>
      <c r="B133" s="13" t="s">
        <v>2918</v>
      </c>
      <c r="C133" s="11" t="s">
        <v>2919</v>
      </c>
      <c r="D133" s="12" t="s">
        <v>36</v>
      </c>
      <c r="E133" s="13" t="s">
        <v>2920</v>
      </c>
      <c r="F133" s="12">
        <v>32.0</v>
      </c>
      <c r="G133" s="12">
        <v>1993.0</v>
      </c>
      <c r="H133" s="15">
        <v>20.6</v>
      </c>
      <c r="I133" s="22">
        <v>0.0</v>
      </c>
      <c r="J133" s="18">
        <v>0.68</v>
      </c>
      <c r="K133" s="18">
        <v>0.24</v>
      </c>
      <c r="L133" s="15">
        <v>35.7</v>
      </c>
      <c r="M133" s="15">
        <v>0.68</v>
      </c>
      <c r="N133" s="15">
        <v>0.24</v>
      </c>
      <c r="O133" s="21">
        <v>0.0</v>
      </c>
      <c r="P133" s="21">
        <v>0.0</v>
      </c>
      <c r="Q133" s="19">
        <v>0.0</v>
      </c>
      <c r="R133" s="19">
        <v>0.0</v>
      </c>
      <c r="S133" s="20" t="s">
        <v>2921</v>
      </c>
    </row>
    <row r="134">
      <c r="A134" s="50">
        <v>127.0</v>
      </c>
      <c r="B134" s="13" t="s">
        <v>2922</v>
      </c>
      <c r="C134" s="11" t="s">
        <v>2923</v>
      </c>
      <c r="D134" s="12" t="s">
        <v>36</v>
      </c>
      <c r="E134" s="13" t="s">
        <v>2924</v>
      </c>
      <c r="F134" s="12">
        <v>28.0</v>
      </c>
      <c r="G134" s="12">
        <v>1997.0</v>
      </c>
      <c r="H134" s="15">
        <v>9.1</v>
      </c>
      <c r="I134" s="17">
        <v>0.11</v>
      </c>
      <c r="J134" s="18">
        <v>0.22</v>
      </c>
      <c r="K134" s="18">
        <v>0.11</v>
      </c>
      <c r="L134" s="15">
        <v>50.0</v>
      </c>
      <c r="M134" s="15">
        <v>0.22</v>
      </c>
      <c r="N134" s="15">
        <v>0.11</v>
      </c>
      <c r="O134" s="15">
        <v>0.5</v>
      </c>
      <c r="P134" s="15">
        <v>1.0</v>
      </c>
      <c r="Q134" s="19">
        <v>0.0</v>
      </c>
      <c r="R134" s="19">
        <v>0.0</v>
      </c>
      <c r="S134" s="20" t="s">
        <v>2925</v>
      </c>
    </row>
    <row r="135">
      <c r="A135" s="50">
        <v>128.0</v>
      </c>
      <c r="B135" s="13" t="s">
        <v>2926</v>
      </c>
      <c r="C135" s="11" t="s">
        <v>2927</v>
      </c>
      <c r="D135" s="12" t="s">
        <v>345</v>
      </c>
      <c r="E135" s="13" t="s">
        <v>2928</v>
      </c>
      <c r="F135" s="12">
        <v>20.0</v>
      </c>
      <c r="G135" s="12">
        <v>2004.0</v>
      </c>
      <c r="H135" s="15">
        <v>30.1</v>
      </c>
      <c r="I135" s="22">
        <v>0.0</v>
      </c>
      <c r="J135" s="18">
        <v>0.6</v>
      </c>
      <c r="K135" s="18">
        <v>0.13</v>
      </c>
      <c r="L135" s="15">
        <v>22.2</v>
      </c>
      <c r="M135" s="15">
        <v>0.6</v>
      </c>
      <c r="N135" s="15">
        <v>0.13</v>
      </c>
      <c r="O135" s="21">
        <v>0.0</v>
      </c>
      <c r="P135" s="21">
        <v>0.0</v>
      </c>
      <c r="Q135" s="19">
        <v>0.0</v>
      </c>
      <c r="R135" s="19">
        <v>0.0</v>
      </c>
      <c r="S135" s="20" t="s">
        <v>2929</v>
      </c>
    </row>
    <row r="136">
      <c r="A136" s="50">
        <v>129.0</v>
      </c>
      <c r="B136" s="13" t="s">
        <v>2930</v>
      </c>
      <c r="C136" s="11" t="s">
        <v>2931</v>
      </c>
      <c r="D136" s="12" t="s">
        <v>36</v>
      </c>
      <c r="E136" s="13" t="s">
        <v>2932</v>
      </c>
      <c r="F136" s="12">
        <v>27.0</v>
      </c>
      <c r="G136" s="12">
        <v>1998.0</v>
      </c>
      <c r="H136" s="15">
        <v>13.9</v>
      </c>
      <c r="I136" s="22">
        <v>0.0</v>
      </c>
      <c r="J136" s="18">
        <v>0.36</v>
      </c>
      <c r="K136" s="18">
        <v>0.22</v>
      </c>
      <c r="L136" s="15">
        <v>60.0</v>
      </c>
      <c r="M136" s="15">
        <v>0.36</v>
      </c>
      <c r="N136" s="15">
        <v>0.22</v>
      </c>
      <c r="O136" s="21">
        <v>0.0</v>
      </c>
      <c r="P136" s="21">
        <v>0.0</v>
      </c>
      <c r="Q136" s="19">
        <v>0.0</v>
      </c>
      <c r="R136" s="19">
        <v>0.0</v>
      </c>
      <c r="S136" s="20" t="s">
        <v>2933</v>
      </c>
    </row>
    <row r="137">
      <c r="A137" s="50">
        <v>130.0</v>
      </c>
      <c r="B137" s="13" t="s">
        <v>2934</v>
      </c>
      <c r="C137" s="11" t="s">
        <v>2935</v>
      </c>
      <c r="D137" s="12" t="s">
        <v>345</v>
      </c>
      <c r="E137" s="13" t="s">
        <v>2936</v>
      </c>
      <c r="F137" s="12">
        <v>33.0</v>
      </c>
      <c r="G137" s="12">
        <v>1992.0</v>
      </c>
      <c r="H137" s="15">
        <v>8.7</v>
      </c>
      <c r="I137" s="22">
        <v>0.0</v>
      </c>
      <c r="J137" s="18">
        <v>0.34</v>
      </c>
      <c r="K137" s="19">
        <v>0.0</v>
      </c>
      <c r="L137" s="21">
        <v>0.0</v>
      </c>
      <c r="M137" s="15">
        <v>0.34</v>
      </c>
      <c r="N137" s="21">
        <v>0.0</v>
      </c>
      <c r="O137" s="21">
        <v>0.0</v>
      </c>
      <c r="P137" s="36"/>
      <c r="Q137" s="19">
        <v>0.0</v>
      </c>
      <c r="R137" s="19">
        <v>0.0</v>
      </c>
      <c r="S137" s="20" t="s">
        <v>2937</v>
      </c>
    </row>
    <row r="138">
      <c r="A138" s="50">
        <v>131.0</v>
      </c>
      <c r="B138" s="13" t="s">
        <v>2938</v>
      </c>
      <c r="C138" s="11" t="s">
        <v>2939</v>
      </c>
      <c r="D138" s="12" t="s">
        <v>26</v>
      </c>
      <c r="E138" s="13" t="s">
        <v>2940</v>
      </c>
      <c r="F138" s="12">
        <v>23.0</v>
      </c>
      <c r="G138" s="12">
        <v>2002.0</v>
      </c>
      <c r="H138" s="15">
        <v>19.8</v>
      </c>
      <c r="I138" s="17">
        <v>0.25</v>
      </c>
      <c r="J138" s="18">
        <v>1.97</v>
      </c>
      <c r="K138" s="18">
        <v>0.76</v>
      </c>
      <c r="L138" s="15">
        <v>38.5</v>
      </c>
      <c r="M138" s="15">
        <v>1.97</v>
      </c>
      <c r="N138" s="15">
        <v>0.76</v>
      </c>
      <c r="O138" s="15">
        <v>0.13</v>
      </c>
      <c r="P138" s="15">
        <v>0.33</v>
      </c>
      <c r="Q138" s="19">
        <v>0.0</v>
      </c>
      <c r="R138" s="19">
        <v>0.0</v>
      </c>
      <c r="S138" s="20" t="s">
        <v>2941</v>
      </c>
    </row>
    <row r="139">
      <c r="A139" s="50">
        <v>132.0</v>
      </c>
      <c r="B139" s="13" t="s">
        <v>2942</v>
      </c>
      <c r="C139" s="11" t="s">
        <v>2943</v>
      </c>
      <c r="D139" s="12" t="s">
        <v>31</v>
      </c>
      <c r="E139" s="13" t="s">
        <v>2944</v>
      </c>
      <c r="F139" s="12">
        <v>27.0</v>
      </c>
      <c r="G139" s="12">
        <v>1998.0</v>
      </c>
      <c r="H139" s="15">
        <v>13.1</v>
      </c>
      <c r="I139" s="17">
        <v>0.08</v>
      </c>
      <c r="J139" s="18">
        <v>1.37</v>
      </c>
      <c r="K139" s="18">
        <v>0.38</v>
      </c>
      <c r="L139" s="15">
        <v>27.8</v>
      </c>
      <c r="M139" s="15">
        <v>1.38</v>
      </c>
      <c r="N139" s="15">
        <v>0.38</v>
      </c>
      <c r="O139" s="15">
        <v>0.06</v>
      </c>
      <c r="P139" s="15">
        <v>0.2</v>
      </c>
      <c r="Q139" s="19">
        <v>0.0</v>
      </c>
      <c r="R139" s="19">
        <v>0.0</v>
      </c>
      <c r="S139" s="20" t="s">
        <v>2945</v>
      </c>
    </row>
    <row r="140">
      <c r="A140" s="50">
        <v>133.0</v>
      </c>
      <c r="B140" s="13" t="s">
        <v>2946</v>
      </c>
      <c r="C140" s="11" t="s">
        <v>2947</v>
      </c>
      <c r="D140" s="12" t="s">
        <v>98</v>
      </c>
      <c r="E140" s="13" t="s">
        <v>2948</v>
      </c>
      <c r="F140" s="12">
        <v>26.0</v>
      </c>
      <c r="G140" s="12">
        <v>1999.0</v>
      </c>
      <c r="H140" s="15">
        <v>34.0</v>
      </c>
      <c r="I140" s="22">
        <v>0.0</v>
      </c>
      <c r="J140" s="19">
        <v>0.0</v>
      </c>
      <c r="K140" s="19">
        <v>0.0</v>
      </c>
      <c r="L140" s="36"/>
      <c r="M140" s="21">
        <v>0.0</v>
      </c>
      <c r="N140" s="21">
        <v>0.0</v>
      </c>
      <c r="O140" s="36"/>
      <c r="P140" s="36"/>
      <c r="Q140" s="19">
        <v>0.0</v>
      </c>
      <c r="R140" s="19">
        <v>0.0</v>
      </c>
      <c r="S140" s="20" t="s">
        <v>2949</v>
      </c>
    </row>
    <row r="141">
      <c r="A141" s="50">
        <v>134.0</v>
      </c>
      <c r="B141" s="13" t="s">
        <v>2950</v>
      </c>
      <c r="C141" s="11" t="s">
        <v>2951</v>
      </c>
      <c r="D141" s="12" t="s">
        <v>41</v>
      </c>
      <c r="E141" s="13" t="s">
        <v>2952</v>
      </c>
      <c r="F141" s="12">
        <v>18.0</v>
      </c>
      <c r="G141" s="12">
        <v>2006.0</v>
      </c>
      <c r="H141" s="15">
        <v>0.5</v>
      </c>
      <c r="I141" s="22">
        <v>0.0</v>
      </c>
      <c r="J141" s="18">
        <v>6.0</v>
      </c>
      <c r="K141" s="18">
        <v>2.0</v>
      </c>
      <c r="L141" s="15">
        <v>33.3</v>
      </c>
      <c r="M141" s="15">
        <v>6.59</v>
      </c>
      <c r="N141" s="15">
        <v>2.2</v>
      </c>
      <c r="O141" s="21">
        <v>0.0</v>
      </c>
      <c r="P141" s="21">
        <v>0.0</v>
      </c>
      <c r="Q141" s="19">
        <v>0.0</v>
      </c>
      <c r="R141" s="19">
        <v>0.0</v>
      </c>
      <c r="S141" s="20" t="s">
        <v>2953</v>
      </c>
    </row>
    <row r="142">
      <c r="A142" s="50">
        <v>135.0</v>
      </c>
      <c r="B142" s="13" t="s">
        <v>2954</v>
      </c>
      <c r="C142" s="11" t="s">
        <v>2955</v>
      </c>
      <c r="D142" s="12" t="s">
        <v>31</v>
      </c>
      <c r="E142" s="13" t="s">
        <v>2956</v>
      </c>
      <c r="F142" s="12">
        <v>20.0</v>
      </c>
      <c r="G142" s="12">
        <v>2004.0</v>
      </c>
      <c r="H142" s="15">
        <v>16.1</v>
      </c>
      <c r="I142" s="17">
        <v>0.25</v>
      </c>
      <c r="J142" s="18">
        <v>1.55</v>
      </c>
      <c r="K142" s="18">
        <v>0.68</v>
      </c>
      <c r="L142" s="15">
        <v>44.0</v>
      </c>
      <c r="M142" s="15">
        <v>1.55</v>
      </c>
      <c r="N142" s="15">
        <v>0.68</v>
      </c>
      <c r="O142" s="15">
        <v>0.16</v>
      </c>
      <c r="P142" s="15">
        <v>0.36</v>
      </c>
      <c r="Q142" s="19">
        <v>0.0</v>
      </c>
      <c r="R142" s="19">
        <v>0.0</v>
      </c>
      <c r="S142" s="20" t="s">
        <v>2957</v>
      </c>
    </row>
    <row r="143">
      <c r="A143" s="50">
        <v>136.0</v>
      </c>
      <c r="B143" s="13" t="s">
        <v>2958</v>
      </c>
      <c r="C143" s="11" t="s">
        <v>2959</v>
      </c>
      <c r="D143" s="12" t="s">
        <v>31</v>
      </c>
      <c r="E143" s="13" t="s">
        <v>2960</v>
      </c>
      <c r="F143" s="12">
        <v>15.0</v>
      </c>
      <c r="G143" s="12">
        <v>2009.0</v>
      </c>
      <c r="H143" s="15">
        <v>1.7</v>
      </c>
      <c r="I143" s="17">
        <v>0.59</v>
      </c>
      <c r="J143" s="18">
        <v>3.53</v>
      </c>
      <c r="K143" s="18">
        <v>0.59</v>
      </c>
      <c r="L143" s="15">
        <v>16.7</v>
      </c>
      <c r="M143" s="15">
        <v>3.44</v>
      </c>
      <c r="N143" s="15">
        <v>0.57</v>
      </c>
      <c r="O143" s="15">
        <v>0.17</v>
      </c>
      <c r="P143" s="15">
        <v>1.0</v>
      </c>
      <c r="Q143" s="19">
        <v>0.0</v>
      </c>
      <c r="R143" s="19">
        <v>0.0</v>
      </c>
      <c r="S143" s="20" t="s">
        <v>2961</v>
      </c>
    </row>
    <row r="144">
      <c r="A144" s="50">
        <v>137.0</v>
      </c>
      <c r="B144" s="13" t="s">
        <v>2962</v>
      </c>
      <c r="C144" s="11" t="s">
        <v>2963</v>
      </c>
      <c r="D144" s="12" t="s">
        <v>36</v>
      </c>
      <c r="E144" s="13" t="s">
        <v>2964</v>
      </c>
      <c r="F144" s="12">
        <v>23.0</v>
      </c>
      <c r="G144" s="12">
        <v>2002.0</v>
      </c>
      <c r="H144" s="15">
        <v>5.7</v>
      </c>
      <c r="I144" s="22">
        <v>0.0</v>
      </c>
      <c r="J144" s="18">
        <v>0.7</v>
      </c>
      <c r="K144" s="19">
        <v>0.0</v>
      </c>
      <c r="L144" s="21">
        <v>0.0</v>
      </c>
      <c r="M144" s="15">
        <v>0.7</v>
      </c>
      <c r="N144" s="21">
        <v>0.0</v>
      </c>
      <c r="O144" s="21">
        <v>0.0</v>
      </c>
      <c r="P144" s="36"/>
      <c r="Q144" s="19">
        <v>0.0</v>
      </c>
      <c r="R144" s="19">
        <v>0.0</v>
      </c>
      <c r="S144" s="20" t="s">
        <v>2965</v>
      </c>
    </row>
    <row r="145">
      <c r="A145" s="50">
        <v>138.0</v>
      </c>
      <c r="B145" s="13" t="s">
        <v>2966</v>
      </c>
      <c r="C145" s="11" t="s">
        <v>2967</v>
      </c>
      <c r="D145" s="12" t="s">
        <v>31</v>
      </c>
      <c r="E145" s="13" t="s">
        <v>2968</v>
      </c>
      <c r="F145" s="12">
        <v>16.0</v>
      </c>
      <c r="G145" s="12">
        <v>2009.0</v>
      </c>
      <c r="H145" s="15">
        <v>0.1</v>
      </c>
      <c r="I145" s="22">
        <v>0.0</v>
      </c>
      <c r="J145" s="19">
        <v>0.0</v>
      </c>
      <c r="K145" s="19">
        <v>0.0</v>
      </c>
      <c r="L145" s="36"/>
      <c r="M145" s="21">
        <v>0.0</v>
      </c>
      <c r="N145" s="21">
        <v>0.0</v>
      </c>
      <c r="O145" s="36"/>
      <c r="P145" s="36"/>
      <c r="Q145" s="19">
        <v>0.0</v>
      </c>
      <c r="R145" s="19">
        <v>0.0</v>
      </c>
      <c r="S145" s="20" t="s">
        <v>2969</v>
      </c>
    </row>
    <row r="146">
      <c r="A146" s="50">
        <v>139.0</v>
      </c>
      <c r="B146" s="13" t="s">
        <v>2970</v>
      </c>
      <c r="C146" s="11" t="s">
        <v>2971</v>
      </c>
      <c r="D146" s="12" t="s">
        <v>98</v>
      </c>
      <c r="E146" s="13" t="s">
        <v>2972</v>
      </c>
      <c r="F146" s="12">
        <v>36.0</v>
      </c>
      <c r="G146" s="12">
        <v>1989.0</v>
      </c>
      <c r="H146" s="15">
        <v>35.0</v>
      </c>
      <c r="I146" s="22">
        <v>0.0</v>
      </c>
      <c r="J146" s="19">
        <v>0.0</v>
      </c>
      <c r="K146" s="19">
        <v>0.0</v>
      </c>
      <c r="L146" s="36"/>
      <c r="M146" s="21">
        <v>0.0</v>
      </c>
      <c r="N146" s="21">
        <v>0.0</v>
      </c>
      <c r="O146" s="36"/>
      <c r="P146" s="36"/>
      <c r="Q146" s="19">
        <v>0.0</v>
      </c>
      <c r="R146" s="19">
        <v>0.0</v>
      </c>
      <c r="S146" s="20" t="s">
        <v>2973</v>
      </c>
    </row>
    <row r="147">
      <c r="A147" s="50">
        <v>140.0</v>
      </c>
      <c r="B147" s="13" t="s">
        <v>2974</v>
      </c>
      <c r="C147" s="11" t="s">
        <v>2975</v>
      </c>
      <c r="D147" s="12" t="s">
        <v>36</v>
      </c>
      <c r="E147" s="13" t="s">
        <v>2976</v>
      </c>
      <c r="F147" s="12">
        <v>33.0</v>
      </c>
      <c r="G147" s="12">
        <v>1991.0</v>
      </c>
      <c r="H147" s="15">
        <v>31.5</v>
      </c>
      <c r="I147" s="17">
        <v>0.03</v>
      </c>
      <c r="J147" s="18">
        <v>0.73</v>
      </c>
      <c r="K147" s="18">
        <v>0.1</v>
      </c>
      <c r="L147" s="15">
        <v>13.0</v>
      </c>
      <c r="M147" s="15">
        <v>0.73</v>
      </c>
      <c r="N147" s="15">
        <v>0.1</v>
      </c>
      <c r="O147" s="15">
        <v>0.04</v>
      </c>
      <c r="P147" s="15">
        <v>0.33</v>
      </c>
      <c r="Q147" s="19">
        <v>0.0</v>
      </c>
      <c r="R147" s="19">
        <v>0.0</v>
      </c>
      <c r="S147" s="20" t="s">
        <v>2977</v>
      </c>
    </row>
    <row r="148">
      <c r="A148" s="50">
        <v>141.0</v>
      </c>
      <c r="B148" s="13" t="s">
        <v>2978</v>
      </c>
      <c r="C148" s="11" t="s">
        <v>2979</v>
      </c>
      <c r="D148" s="12" t="s">
        <v>31</v>
      </c>
      <c r="E148" s="13" t="s">
        <v>2980</v>
      </c>
      <c r="F148" s="12">
        <v>20.0</v>
      </c>
      <c r="G148" s="12">
        <v>2004.0</v>
      </c>
      <c r="H148" s="15">
        <v>0.1</v>
      </c>
      <c r="I148" s="22">
        <v>0.0</v>
      </c>
      <c r="J148" s="19">
        <v>0.0</v>
      </c>
      <c r="K148" s="19">
        <v>0.0</v>
      </c>
      <c r="L148" s="36"/>
      <c r="M148" s="21">
        <v>0.0</v>
      </c>
      <c r="N148" s="21">
        <v>0.0</v>
      </c>
      <c r="O148" s="36"/>
      <c r="P148" s="36"/>
      <c r="Q148" s="19">
        <v>0.0</v>
      </c>
      <c r="R148" s="19">
        <v>0.0</v>
      </c>
      <c r="S148" s="20" t="s">
        <v>2981</v>
      </c>
    </row>
    <row r="149">
      <c r="A149" s="50">
        <v>142.0</v>
      </c>
      <c r="B149" s="13" t="s">
        <v>2982</v>
      </c>
      <c r="C149" s="11" t="s">
        <v>2983</v>
      </c>
      <c r="D149" s="12" t="s">
        <v>41</v>
      </c>
      <c r="E149" s="13" t="s">
        <v>2984</v>
      </c>
      <c r="F149" s="12">
        <v>27.0</v>
      </c>
      <c r="G149" s="12">
        <v>1998.0</v>
      </c>
      <c r="H149" s="21">
        <v>0.0</v>
      </c>
      <c r="I149" s="23">
        <v>0.0</v>
      </c>
      <c r="J149" s="21">
        <v>0.0</v>
      </c>
      <c r="K149" s="21">
        <v>0.0</v>
      </c>
      <c r="L149" s="36"/>
      <c r="M149" s="21">
        <v>0.0</v>
      </c>
      <c r="N149" s="21">
        <v>0.0</v>
      </c>
      <c r="O149" s="36"/>
      <c r="P149" s="36"/>
      <c r="Q149" s="21">
        <v>0.0</v>
      </c>
      <c r="R149" s="21">
        <v>0.0</v>
      </c>
      <c r="S149" s="20" t="s">
        <v>2985</v>
      </c>
    </row>
    <row r="150">
      <c r="A150" s="50">
        <v>143.0</v>
      </c>
      <c r="B150" s="13" t="s">
        <v>2986</v>
      </c>
      <c r="C150" s="11" t="s">
        <v>2987</v>
      </c>
      <c r="D150" s="12" t="s">
        <v>31</v>
      </c>
      <c r="E150" s="13" t="s">
        <v>2988</v>
      </c>
      <c r="F150" s="12">
        <v>19.0</v>
      </c>
      <c r="G150" s="12">
        <v>2006.0</v>
      </c>
      <c r="H150" s="15">
        <v>0.2</v>
      </c>
      <c r="I150" s="17">
        <v>5.0</v>
      </c>
      <c r="J150" s="18">
        <v>10.0</v>
      </c>
      <c r="K150" s="18">
        <v>5.0</v>
      </c>
      <c r="L150" s="15">
        <v>50.0</v>
      </c>
      <c r="M150" s="15">
        <v>12.86</v>
      </c>
      <c r="N150" s="15">
        <v>6.43</v>
      </c>
      <c r="O150" s="15">
        <v>0.5</v>
      </c>
      <c r="P150" s="15">
        <v>1.0</v>
      </c>
      <c r="Q150" s="19">
        <v>0.0</v>
      </c>
      <c r="R150" s="19">
        <v>0.0</v>
      </c>
      <c r="S150" s="20" t="s">
        <v>2989</v>
      </c>
    </row>
    <row r="151">
      <c r="A151" s="50">
        <v>144.0</v>
      </c>
      <c r="B151" s="13" t="s">
        <v>2990</v>
      </c>
      <c r="C151" s="11" t="s">
        <v>2991</v>
      </c>
      <c r="D151" s="12" t="s">
        <v>31</v>
      </c>
      <c r="E151" s="13" t="s">
        <v>2992</v>
      </c>
      <c r="F151" s="12">
        <v>19.0</v>
      </c>
      <c r="G151" s="12">
        <v>2006.0</v>
      </c>
      <c r="H151" s="15">
        <v>0.5</v>
      </c>
      <c r="I151" s="22">
        <v>0.0</v>
      </c>
      <c r="J151" s="18">
        <v>2.0</v>
      </c>
      <c r="K151" s="19">
        <v>0.0</v>
      </c>
      <c r="L151" s="21">
        <v>0.0</v>
      </c>
      <c r="M151" s="15">
        <v>1.84</v>
      </c>
      <c r="N151" s="21">
        <v>0.0</v>
      </c>
      <c r="O151" s="21">
        <v>0.0</v>
      </c>
      <c r="P151" s="36"/>
      <c r="Q151" s="19">
        <v>0.0</v>
      </c>
      <c r="R151" s="19">
        <v>0.0</v>
      </c>
      <c r="S151" s="20" t="s">
        <v>2993</v>
      </c>
    </row>
    <row r="152">
      <c r="A152" s="50">
        <v>145.0</v>
      </c>
      <c r="B152" s="13" t="s">
        <v>2994</v>
      </c>
      <c r="C152" s="11" t="s">
        <v>2995</v>
      </c>
      <c r="D152" s="12" t="s">
        <v>26</v>
      </c>
      <c r="E152" s="13" t="s">
        <v>2996</v>
      </c>
      <c r="F152" s="12">
        <v>26.0</v>
      </c>
      <c r="G152" s="12">
        <v>1998.0</v>
      </c>
      <c r="H152" s="15">
        <v>11.9</v>
      </c>
      <c r="I152" s="17">
        <v>0.08</v>
      </c>
      <c r="J152" s="18">
        <v>1.93</v>
      </c>
      <c r="K152" s="18">
        <v>0.5</v>
      </c>
      <c r="L152" s="15">
        <v>26.1</v>
      </c>
      <c r="M152" s="15">
        <v>1.94</v>
      </c>
      <c r="N152" s="15">
        <v>0.51</v>
      </c>
      <c r="O152" s="15">
        <v>0.04</v>
      </c>
      <c r="P152" s="15">
        <v>0.17</v>
      </c>
      <c r="Q152" s="19">
        <v>0.0</v>
      </c>
      <c r="R152" s="19">
        <v>0.0</v>
      </c>
      <c r="S152" s="20" t="s">
        <v>2997</v>
      </c>
    </row>
    <row r="153">
      <c r="A153" s="50">
        <v>146.0</v>
      </c>
      <c r="B153" s="13" t="s">
        <v>2998</v>
      </c>
      <c r="C153" s="11" t="s">
        <v>2999</v>
      </c>
      <c r="D153" s="12" t="s">
        <v>36</v>
      </c>
      <c r="E153" s="13" t="s">
        <v>3000</v>
      </c>
      <c r="F153" s="12">
        <v>26.0</v>
      </c>
      <c r="G153" s="12">
        <v>1998.0</v>
      </c>
      <c r="H153" s="15">
        <v>17.1</v>
      </c>
      <c r="I153" s="22">
        <v>0.0</v>
      </c>
      <c r="J153" s="18">
        <v>0.35</v>
      </c>
      <c r="K153" s="18">
        <v>0.06</v>
      </c>
      <c r="L153" s="15">
        <v>16.7</v>
      </c>
      <c r="M153" s="15">
        <v>0.35</v>
      </c>
      <c r="N153" s="15">
        <v>0.06</v>
      </c>
      <c r="O153" s="21">
        <v>0.0</v>
      </c>
      <c r="P153" s="21">
        <v>0.0</v>
      </c>
      <c r="Q153" s="19">
        <v>0.0</v>
      </c>
      <c r="R153" s="19">
        <v>0.0</v>
      </c>
      <c r="S153" s="20" t="s">
        <v>3001</v>
      </c>
    </row>
    <row r="154">
      <c r="A154" s="50">
        <v>147.0</v>
      </c>
      <c r="B154" s="13" t="s">
        <v>3002</v>
      </c>
      <c r="C154" s="11" t="s">
        <v>3003</v>
      </c>
      <c r="D154" s="12" t="s">
        <v>41</v>
      </c>
      <c r="E154" s="13" t="s">
        <v>3004</v>
      </c>
      <c r="F154" s="12">
        <v>23.0</v>
      </c>
      <c r="G154" s="12">
        <v>2002.0</v>
      </c>
      <c r="H154" s="15">
        <v>20.0</v>
      </c>
      <c r="I154" s="17">
        <v>0.55</v>
      </c>
      <c r="J154" s="18">
        <v>3.25</v>
      </c>
      <c r="K154" s="18">
        <v>0.95</v>
      </c>
      <c r="L154" s="15">
        <v>29.2</v>
      </c>
      <c r="M154" s="15">
        <v>3.24</v>
      </c>
      <c r="N154" s="15">
        <v>0.95</v>
      </c>
      <c r="O154" s="15">
        <v>0.17</v>
      </c>
      <c r="P154" s="15">
        <v>0.58</v>
      </c>
      <c r="Q154" s="19">
        <v>0.0</v>
      </c>
      <c r="R154" s="19">
        <v>0.0</v>
      </c>
      <c r="S154" s="20" t="s">
        <v>3005</v>
      </c>
    </row>
    <row r="155">
      <c r="A155" s="50">
        <v>148.0</v>
      </c>
      <c r="B155" s="13" t="s">
        <v>3006</v>
      </c>
      <c r="C155" s="11" t="s">
        <v>3007</v>
      </c>
      <c r="D155" s="12" t="s">
        <v>107</v>
      </c>
      <c r="E155" s="13" t="s">
        <v>3008</v>
      </c>
      <c r="F155" s="12">
        <v>23.0</v>
      </c>
      <c r="G155" s="12">
        <v>2002.0</v>
      </c>
      <c r="H155" s="15">
        <v>14.7</v>
      </c>
      <c r="I155" s="22">
        <v>0.0</v>
      </c>
      <c r="J155" s="18">
        <v>1.16</v>
      </c>
      <c r="K155" s="18">
        <v>0.27</v>
      </c>
      <c r="L155" s="15">
        <v>23.5</v>
      </c>
      <c r="M155" s="15">
        <v>1.16</v>
      </c>
      <c r="N155" s="15">
        <v>0.27</v>
      </c>
      <c r="O155" s="21">
        <v>0.0</v>
      </c>
      <c r="P155" s="21">
        <v>0.0</v>
      </c>
      <c r="Q155" s="19">
        <v>0.0</v>
      </c>
      <c r="R155" s="19">
        <v>0.0</v>
      </c>
      <c r="S155" s="20" t="s">
        <v>3009</v>
      </c>
    </row>
    <row r="156">
      <c r="A156" s="50">
        <v>149.0</v>
      </c>
      <c r="B156" s="13" t="s">
        <v>3010</v>
      </c>
      <c r="C156" s="11" t="s">
        <v>3011</v>
      </c>
      <c r="D156" s="12" t="s">
        <v>98</v>
      </c>
      <c r="E156" s="13" t="s">
        <v>3012</v>
      </c>
      <c r="F156" s="12">
        <v>22.0</v>
      </c>
      <c r="G156" s="12">
        <v>2003.0</v>
      </c>
      <c r="H156" s="15">
        <v>3.0</v>
      </c>
      <c r="I156" s="22">
        <v>0.0</v>
      </c>
      <c r="J156" s="19">
        <v>0.0</v>
      </c>
      <c r="K156" s="19">
        <v>0.0</v>
      </c>
      <c r="L156" s="36"/>
      <c r="M156" s="21">
        <v>0.0</v>
      </c>
      <c r="N156" s="21">
        <v>0.0</v>
      </c>
      <c r="O156" s="36"/>
      <c r="P156" s="36"/>
      <c r="Q156" s="19">
        <v>0.0</v>
      </c>
      <c r="R156" s="19">
        <v>0.0</v>
      </c>
      <c r="S156" s="20" t="s">
        <v>3013</v>
      </c>
    </row>
    <row r="157">
      <c r="A157" s="50">
        <v>150.0</v>
      </c>
      <c r="B157" s="13" t="s">
        <v>3014</v>
      </c>
      <c r="C157" s="11" t="s">
        <v>3015</v>
      </c>
      <c r="D157" s="12" t="s">
        <v>107</v>
      </c>
      <c r="E157" s="13" t="s">
        <v>3016</v>
      </c>
      <c r="F157" s="12">
        <v>22.0</v>
      </c>
      <c r="G157" s="12">
        <v>2003.0</v>
      </c>
      <c r="H157" s="21">
        <v>0.0</v>
      </c>
      <c r="I157" s="23">
        <v>0.0</v>
      </c>
      <c r="J157" s="21">
        <v>0.0</v>
      </c>
      <c r="K157" s="21">
        <v>0.0</v>
      </c>
      <c r="L157" s="36"/>
      <c r="M157" s="21">
        <v>0.0</v>
      </c>
      <c r="N157" s="21">
        <v>0.0</v>
      </c>
      <c r="O157" s="36"/>
      <c r="P157" s="36"/>
      <c r="Q157" s="21">
        <v>0.0</v>
      </c>
      <c r="R157" s="21">
        <v>0.0</v>
      </c>
      <c r="S157" s="20" t="s">
        <v>3017</v>
      </c>
    </row>
    <row r="158">
      <c r="A158" s="37" t="s">
        <v>3</v>
      </c>
      <c r="B158" s="51" t="s">
        <v>4</v>
      </c>
      <c r="C158" s="39" t="s">
        <v>5</v>
      </c>
      <c r="D158" s="39" t="s">
        <v>6</v>
      </c>
      <c r="E158" s="39" t="s">
        <v>7</v>
      </c>
      <c r="F158" s="39" t="s">
        <v>8</v>
      </c>
      <c r="G158" s="39" t="s">
        <v>9</v>
      </c>
      <c r="H158" s="39" t="s">
        <v>13</v>
      </c>
      <c r="I158" s="40" t="s">
        <v>14</v>
      </c>
      <c r="J158" s="39" t="s">
        <v>2411</v>
      </c>
      <c r="K158" s="39" t="s">
        <v>2412</v>
      </c>
      <c r="L158" s="39" t="s">
        <v>2413</v>
      </c>
      <c r="M158" s="39" t="s">
        <v>2414</v>
      </c>
      <c r="N158" s="39" t="s">
        <v>2415</v>
      </c>
      <c r="O158" s="39" t="s">
        <v>2416</v>
      </c>
      <c r="P158" s="39" t="s">
        <v>2417</v>
      </c>
      <c r="Q158" s="39" t="s">
        <v>18</v>
      </c>
      <c r="R158" s="39" t="s">
        <v>19</v>
      </c>
      <c r="S158" s="40" t="s">
        <v>23</v>
      </c>
    </row>
    <row r="159">
      <c r="A159" s="50">
        <v>151.0</v>
      </c>
      <c r="B159" s="13" t="s">
        <v>3018</v>
      </c>
      <c r="C159" s="11" t="s">
        <v>3019</v>
      </c>
      <c r="D159" s="12" t="s">
        <v>31</v>
      </c>
      <c r="E159" s="13" t="s">
        <v>3020</v>
      </c>
      <c r="F159" s="12">
        <v>22.0</v>
      </c>
      <c r="G159" s="12">
        <v>2003.0</v>
      </c>
      <c r="H159" s="15">
        <v>1.2</v>
      </c>
      <c r="I159" s="22">
        <v>0.0</v>
      </c>
      <c r="J159" s="18">
        <v>4.17</v>
      </c>
      <c r="K159" s="19">
        <v>0.0</v>
      </c>
      <c r="L159" s="21">
        <v>0.0</v>
      </c>
      <c r="M159" s="15">
        <v>4.02</v>
      </c>
      <c r="N159" s="21">
        <v>0.0</v>
      </c>
      <c r="O159" s="21">
        <v>0.0</v>
      </c>
      <c r="P159" s="36"/>
      <c r="Q159" s="19">
        <v>0.0</v>
      </c>
      <c r="R159" s="19">
        <v>0.0</v>
      </c>
      <c r="S159" s="20" t="s">
        <v>3021</v>
      </c>
    </row>
    <row r="160">
      <c r="A160" s="50">
        <v>152.0</v>
      </c>
      <c r="B160" s="13" t="s">
        <v>3022</v>
      </c>
      <c r="C160" s="11" t="s">
        <v>3023</v>
      </c>
      <c r="D160" s="12" t="s">
        <v>36</v>
      </c>
      <c r="E160" s="13" t="s">
        <v>3024</v>
      </c>
      <c r="F160" s="12">
        <v>32.0</v>
      </c>
      <c r="G160" s="12">
        <v>1993.0</v>
      </c>
      <c r="H160" s="15">
        <v>1.9</v>
      </c>
      <c r="I160" s="22">
        <v>0.0</v>
      </c>
      <c r="J160" s="18">
        <v>0.53</v>
      </c>
      <c r="K160" s="19">
        <v>0.0</v>
      </c>
      <c r="L160" s="21">
        <v>0.0</v>
      </c>
      <c r="M160" s="15">
        <v>0.51</v>
      </c>
      <c r="N160" s="21">
        <v>0.0</v>
      </c>
      <c r="O160" s="21">
        <v>0.0</v>
      </c>
      <c r="P160" s="36"/>
      <c r="Q160" s="19">
        <v>0.0</v>
      </c>
      <c r="R160" s="19">
        <v>0.0</v>
      </c>
      <c r="S160" s="20" t="s">
        <v>3025</v>
      </c>
    </row>
    <row r="161">
      <c r="A161" s="50">
        <v>153.0</v>
      </c>
      <c r="B161" s="13" t="s">
        <v>3026</v>
      </c>
      <c r="C161" s="11" t="s">
        <v>3027</v>
      </c>
      <c r="D161" s="12" t="s">
        <v>31</v>
      </c>
      <c r="E161" s="13" t="s">
        <v>3028</v>
      </c>
      <c r="F161" s="12">
        <v>20.0</v>
      </c>
      <c r="G161" s="12">
        <v>2005.0</v>
      </c>
      <c r="H161" s="15">
        <v>0.5</v>
      </c>
      <c r="I161" s="22">
        <v>0.0</v>
      </c>
      <c r="J161" s="19">
        <v>0.0</v>
      </c>
      <c r="K161" s="19">
        <v>0.0</v>
      </c>
      <c r="L161" s="36"/>
      <c r="M161" s="21">
        <v>0.0</v>
      </c>
      <c r="N161" s="21">
        <v>0.0</v>
      </c>
      <c r="O161" s="36"/>
      <c r="P161" s="36"/>
      <c r="Q161" s="19">
        <v>0.0</v>
      </c>
      <c r="R161" s="19">
        <v>0.0</v>
      </c>
      <c r="S161" s="20" t="s">
        <v>3029</v>
      </c>
    </row>
    <row r="162">
      <c r="A162" s="50">
        <v>154.0</v>
      </c>
      <c r="B162" s="13" t="s">
        <v>3030</v>
      </c>
      <c r="C162" s="11" t="s">
        <v>3031</v>
      </c>
      <c r="D162" s="12" t="s">
        <v>31</v>
      </c>
      <c r="E162" s="13" t="s">
        <v>3032</v>
      </c>
      <c r="F162" s="12">
        <v>20.0</v>
      </c>
      <c r="G162" s="12">
        <v>2005.0</v>
      </c>
      <c r="H162" s="15">
        <v>0.3</v>
      </c>
      <c r="I162" s="22">
        <v>0.0</v>
      </c>
      <c r="J162" s="19">
        <v>0.0</v>
      </c>
      <c r="K162" s="19">
        <v>0.0</v>
      </c>
      <c r="L162" s="36"/>
      <c r="M162" s="21">
        <v>0.0</v>
      </c>
      <c r="N162" s="21">
        <v>0.0</v>
      </c>
      <c r="O162" s="36"/>
      <c r="P162" s="36"/>
      <c r="Q162" s="19">
        <v>0.0</v>
      </c>
      <c r="R162" s="19">
        <v>0.0</v>
      </c>
      <c r="S162" s="20" t="s">
        <v>3033</v>
      </c>
    </row>
    <row r="163">
      <c r="A163" s="50">
        <v>155.0</v>
      </c>
      <c r="B163" s="13" t="s">
        <v>3034</v>
      </c>
      <c r="C163" s="11" t="s">
        <v>3035</v>
      </c>
      <c r="D163" s="12" t="s">
        <v>36</v>
      </c>
      <c r="E163" s="13" t="s">
        <v>3036</v>
      </c>
      <c r="F163" s="12">
        <v>23.0</v>
      </c>
      <c r="G163" s="12">
        <v>2002.0</v>
      </c>
      <c r="H163" s="15">
        <v>32.6</v>
      </c>
      <c r="I163" s="22">
        <v>0.0</v>
      </c>
      <c r="J163" s="18">
        <v>0.31</v>
      </c>
      <c r="K163" s="18">
        <v>0.03</v>
      </c>
      <c r="L163" s="15">
        <v>10.0</v>
      </c>
      <c r="M163" s="15">
        <v>0.31</v>
      </c>
      <c r="N163" s="15">
        <v>0.03</v>
      </c>
      <c r="O163" s="21">
        <v>0.0</v>
      </c>
      <c r="P163" s="21">
        <v>0.0</v>
      </c>
      <c r="Q163" s="19">
        <v>0.0</v>
      </c>
      <c r="R163" s="19">
        <v>0.0</v>
      </c>
      <c r="S163" s="20" t="s">
        <v>3037</v>
      </c>
    </row>
    <row r="164">
      <c r="A164" s="50">
        <v>156.0</v>
      </c>
      <c r="B164" s="13" t="s">
        <v>3038</v>
      </c>
      <c r="C164" s="11" t="s">
        <v>3039</v>
      </c>
      <c r="D164" s="12" t="s">
        <v>41</v>
      </c>
      <c r="E164" s="13" t="s">
        <v>3040</v>
      </c>
      <c r="F164" s="12">
        <v>25.0</v>
      </c>
      <c r="G164" s="12">
        <v>1999.0</v>
      </c>
      <c r="H164" s="15">
        <v>30.5</v>
      </c>
      <c r="I164" s="17">
        <v>0.2</v>
      </c>
      <c r="J164" s="18">
        <v>2.36</v>
      </c>
      <c r="K164" s="18">
        <v>0.75</v>
      </c>
      <c r="L164" s="15">
        <v>31.9</v>
      </c>
      <c r="M164" s="15">
        <v>2.36</v>
      </c>
      <c r="N164" s="15">
        <v>0.75</v>
      </c>
      <c r="O164" s="15">
        <v>0.08</v>
      </c>
      <c r="P164" s="15">
        <v>0.26</v>
      </c>
      <c r="Q164" s="19">
        <v>0.0</v>
      </c>
      <c r="R164" s="19">
        <v>0.0</v>
      </c>
      <c r="S164" s="20" t="s">
        <v>3041</v>
      </c>
    </row>
    <row r="165">
      <c r="A165" s="50">
        <v>157.0</v>
      </c>
      <c r="B165" s="13" t="s">
        <v>3042</v>
      </c>
      <c r="C165" s="11" t="s">
        <v>3043</v>
      </c>
      <c r="D165" s="12" t="s">
        <v>31</v>
      </c>
      <c r="E165" s="13" t="s">
        <v>3044</v>
      </c>
      <c r="F165" s="12">
        <v>27.0</v>
      </c>
      <c r="G165" s="12">
        <v>1998.0</v>
      </c>
      <c r="H165" s="15">
        <v>0.9</v>
      </c>
      <c r="I165" s="22">
        <v>0.0</v>
      </c>
      <c r="J165" s="18">
        <v>6.67</v>
      </c>
      <c r="K165" s="18">
        <v>2.22</v>
      </c>
      <c r="L165" s="15">
        <v>33.3</v>
      </c>
      <c r="M165" s="15">
        <v>6.51</v>
      </c>
      <c r="N165" s="15">
        <v>2.17</v>
      </c>
      <c r="O165" s="21">
        <v>0.0</v>
      </c>
      <c r="P165" s="21">
        <v>0.0</v>
      </c>
      <c r="Q165" s="19">
        <v>0.0</v>
      </c>
      <c r="R165" s="19">
        <v>0.0</v>
      </c>
      <c r="S165" s="20" t="s">
        <v>3045</v>
      </c>
    </row>
    <row r="166">
      <c r="A166" s="50">
        <v>158.0</v>
      </c>
      <c r="B166" s="13" t="s">
        <v>3046</v>
      </c>
      <c r="C166" s="11" t="s">
        <v>3047</v>
      </c>
      <c r="D166" s="12" t="s">
        <v>26</v>
      </c>
      <c r="E166" s="13" t="s">
        <v>3048</v>
      </c>
      <c r="F166" s="12">
        <v>27.0</v>
      </c>
      <c r="G166" s="12">
        <v>1998.0</v>
      </c>
      <c r="H166" s="15">
        <v>20.1</v>
      </c>
      <c r="I166" s="17">
        <v>0.35</v>
      </c>
      <c r="J166" s="18">
        <v>2.84</v>
      </c>
      <c r="K166" s="18">
        <v>0.9</v>
      </c>
      <c r="L166" s="15">
        <v>31.6</v>
      </c>
      <c r="M166" s="15">
        <v>2.83</v>
      </c>
      <c r="N166" s="15">
        <v>0.89</v>
      </c>
      <c r="O166" s="15">
        <v>0.12</v>
      </c>
      <c r="P166" s="15">
        <v>0.39</v>
      </c>
      <c r="Q166" s="19">
        <v>0.0</v>
      </c>
      <c r="R166" s="19">
        <v>0.0</v>
      </c>
      <c r="S166" s="20" t="s">
        <v>3049</v>
      </c>
    </row>
    <row r="167">
      <c r="A167" s="50">
        <v>159.0</v>
      </c>
      <c r="B167" s="13" t="s">
        <v>3050</v>
      </c>
      <c r="C167" s="11" t="s">
        <v>3051</v>
      </c>
      <c r="D167" s="12" t="s">
        <v>31</v>
      </c>
      <c r="E167" s="13" t="s">
        <v>3052</v>
      </c>
      <c r="F167" s="12">
        <v>30.0</v>
      </c>
      <c r="G167" s="12">
        <v>1994.0</v>
      </c>
      <c r="H167" s="15">
        <v>34.0</v>
      </c>
      <c r="I167" s="17">
        <v>0.26</v>
      </c>
      <c r="J167" s="18">
        <v>2.5</v>
      </c>
      <c r="K167" s="18">
        <v>0.71</v>
      </c>
      <c r="L167" s="15">
        <v>28.2</v>
      </c>
      <c r="M167" s="15">
        <v>2.5</v>
      </c>
      <c r="N167" s="15">
        <v>0.71</v>
      </c>
      <c r="O167" s="15">
        <v>0.06</v>
      </c>
      <c r="P167" s="15">
        <v>0.21</v>
      </c>
      <c r="Q167" s="18">
        <v>0.12</v>
      </c>
      <c r="R167" s="18">
        <v>0.18</v>
      </c>
      <c r="S167" s="20" t="s">
        <v>3053</v>
      </c>
    </row>
    <row r="168">
      <c r="A168" s="50">
        <v>160.0</v>
      </c>
      <c r="B168" s="13" t="s">
        <v>3054</v>
      </c>
      <c r="C168" s="11" t="s">
        <v>3055</v>
      </c>
      <c r="D168" s="12" t="s">
        <v>31</v>
      </c>
      <c r="E168" s="13" t="s">
        <v>3056</v>
      </c>
      <c r="F168" s="12">
        <v>21.0</v>
      </c>
      <c r="G168" s="12">
        <v>2004.0</v>
      </c>
      <c r="H168" s="15">
        <v>33.5</v>
      </c>
      <c r="I168" s="17">
        <v>0.09</v>
      </c>
      <c r="J168" s="18">
        <v>0.84</v>
      </c>
      <c r="K168" s="18">
        <v>0.24</v>
      </c>
      <c r="L168" s="15">
        <v>28.6</v>
      </c>
      <c r="M168" s="15">
        <v>0.84</v>
      </c>
      <c r="N168" s="15">
        <v>0.24</v>
      </c>
      <c r="O168" s="15">
        <v>0.11</v>
      </c>
      <c r="P168" s="15">
        <v>0.38</v>
      </c>
      <c r="Q168" s="19">
        <v>0.0</v>
      </c>
      <c r="R168" s="19">
        <v>0.0</v>
      </c>
      <c r="S168" s="20" t="s">
        <v>3057</v>
      </c>
    </row>
    <row r="169">
      <c r="A169" s="50">
        <v>161.0</v>
      </c>
      <c r="B169" s="13" t="s">
        <v>3058</v>
      </c>
      <c r="C169" s="11" t="s">
        <v>3059</v>
      </c>
      <c r="D169" s="12" t="s">
        <v>31</v>
      </c>
      <c r="E169" s="13" t="s">
        <v>3060</v>
      </c>
      <c r="F169" s="12">
        <v>24.0</v>
      </c>
      <c r="G169" s="12">
        <v>2001.0</v>
      </c>
      <c r="H169" s="15">
        <v>34.6</v>
      </c>
      <c r="I169" s="17">
        <v>0.29</v>
      </c>
      <c r="J169" s="18">
        <v>2.08</v>
      </c>
      <c r="K169" s="18">
        <v>0.9</v>
      </c>
      <c r="L169" s="15">
        <v>43.1</v>
      </c>
      <c r="M169" s="15">
        <v>2.08</v>
      </c>
      <c r="N169" s="15">
        <v>0.9</v>
      </c>
      <c r="O169" s="15">
        <v>0.11</v>
      </c>
      <c r="P169" s="15">
        <v>0.26</v>
      </c>
      <c r="Q169" s="18">
        <v>0.06</v>
      </c>
      <c r="R169" s="18">
        <v>0.06</v>
      </c>
      <c r="S169" s="20" t="s">
        <v>3061</v>
      </c>
    </row>
    <row r="170">
      <c r="A170" s="50">
        <v>162.0</v>
      </c>
      <c r="B170" s="13" t="s">
        <v>3062</v>
      </c>
      <c r="C170" s="11" t="s">
        <v>3063</v>
      </c>
      <c r="D170" s="12" t="s">
        <v>41</v>
      </c>
      <c r="E170" s="13" t="s">
        <v>3064</v>
      </c>
      <c r="F170" s="12">
        <v>26.0</v>
      </c>
      <c r="G170" s="12">
        <v>1998.0</v>
      </c>
      <c r="H170" s="15">
        <v>19.6</v>
      </c>
      <c r="I170" s="17">
        <v>0.56</v>
      </c>
      <c r="J170" s="18">
        <v>2.65</v>
      </c>
      <c r="K170" s="18">
        <v>1.07</v>
      </c>
      <c r="L170" s="15">
        <v>40.4</v>
      </c>
      <c r="M170" s="15">
        <v>2.65</v>
      </c>
      <c r="N170" s="15">
        <v>1.07</v>
      </c>
      <c r="O170" s="15">
        <v>0.17</v>
      </c>
      <c r="P170" s="15">
        <v>0.43</v>
      </c>
      <c r="Q170" s="18">
        <v>0.1</v>
      </c>
      <c r="R170" s="18">
        <v>0.1</v>
      </c>
      <c r="S170" s="20" t="s">
        <v>3065</v>
      </c>
    </row>
    <row r="171">
      <c r="A171" s="50">
        <v>163.0</v>
      </c>
      <c r="B171" s="13" t="s">
        <v>3066</v>
      </c>
      <c r="C171" s="11" t="s">
        <v>3067</v>
      </c>
      <c r="D171" s="12" t="s">
        <v>31</v>
      </c>
      <c r="E171" s="13" t="s">
        <v>3068</v>
      </c>
      <c r="F171" s="12">
        <v>18.0</v>
      </c>
      <c r="G171" s="12">
        <v>2007.0</v>
      </c>
      <c r="H171" s="15">
        <v>1.2</v>
      </c>
      <c r="I171" s="22">
        <v>0.0</v>
      </c>
      <c r="J171" s="18">
        <v>0.83</v>
      </c>
      <c r="K171" s="19">
        <v>0.0</v>
      </c>
      <c r="L171" s="21">
        <v>0.0</v>
      </c>
      <c r="M171" s="15">
        <v>0.83</v>
      </c>
      <c r="N171" s="21">
        <v>0.0</v>
      </c>
      <c r="O171" s="21">
        <v>0.0</v>
      </c>
      <c r="P171" s="36"/>
      <c r="Q171" s="19">
        <v>0.0</v>
      </c>
      <c r="R171" s="19">
        <v>0.0</v>
      </c>
      <c r="S171" s="20" t="s">
        <v>3069</v>
      </c>
    </row>
    <row r="172">
      <c r="A172" s="50">
        <v>164.0</v>
      </c>
      <c r="B172" s="13" t="s">
        <v>3070</v>
      </c>
      <c r="C172" s="11" t="s">
        <v>3071</v>
      </c>
      <c r="D172" s="12" t="s">
        <v>31</v>
      </c>
      <c r="E172" s="13" t="s">
        <v>3072</v>
      </c>
      <c r="F172" s="12">
        <v>18.0</v>
      </c>
      <c r="G172" s="12">
        <v>2007.0</v>
      </c>
      <c r="H172" s="15">
        <v>0.2</v>
      </c>
      <c r="I172" s="22">
        <v>0.0</v>
      </c>
      <c r="J172" s="19">
        <v>0.0</v>
      </c>
      <c r="K172" s="19">
        <v>0.0</v>
      </c>
      <c r="L172" s="36"/>
      <c r="M172" s="21">
        <v>0.0</v>
      </c>
      <c r="N172" s="21">
        <v>0.0</v>
      </c>
      <c r="O172" s="36"/>
      <c r="P172" s="36"/>
      <c r="Q172" s="19">
        <v>0.0</v>
      </c>
      <c r="R172" s="19">
        <v>0.0</v>
      </c>
      <c r="S172" s="20" t="s">
        <v>3073</v>
      </c>
    </row>
    <row r="173">
      <c r="A173" s="50">
        <v>165.0</v>
      </c>
      <c r="B173" s="13" t="s">
        <v>3074</v>
      </c>
      <c r="C173" s="11" t="s">
        <v>3075</v>
      </c>
      <c r="D173" s="12" t="s">
        <v>31</v>
      </c>
      <c r="E173" s="13" t="s">
        <v>3076</v>
      </c>
      <c r="F173" s="12">
        <v>25.0</v>
      </c>
      <c r="G173" s="12">
        <v>2000.0</v>
      </c>
      <c r="H173" s="15">
        <v>23.2</v>
      </c>
      <c r="I173" s="17">
        <v>0.3</v>
      </c>
      <c r="J173" s="18">
        <v>2.37</v>
      </c>
      <c r="K173" s="18">
        <v>0.82</v>
      </c>
      <c r="L173" s="15">
        <v>34.5</v>
      </c>
      <c r="M173" s="15">
        <v>2.37</v>
      </c>
      <c r="N173" s="15">
        <v>0.82</v>
      </c>
      <c r="O173" s="15">
        <v>0.13</v>
      </c>
      <c r="P173" s="15">
        <v>0.37</v>
      </c>
      <c r="Q173" s="19">
        <v>0.0</v>
      </c>
      <c r="R173" s="19">
        <v>0.0</v>
      </c>
      <c r="S173" s="20" t="s">
        <v>3077</v>
      </c>
    </row>
    <row r="174">
      <c r="A174" s="50">
        <v>166.0</v>
      </c>
      <c r="B174" s="13" t="s">
        <v>3078</v>
      </c>
      <c r="C174" s="11" t="s">
        <v>3079</v>
      </c>
      <c r="D174" s="12" t="s">
        <v>36</v>
      </c>
      <c r="E174" s="13" t="s">
        <v>3080</v>
      </c>
      <c r="F174" s="12">
        <v>24.0</v>
      </c>
      <c r="G174" s="12">
        <v>2000.0</v>
      </c>
      <c r="H174" s="15">
        <v>19.1</v>
      </c>
      <c r="I174" s="22">
        <v>0.0</v>
      </c>
      <c r="J174" s="18">
        <v>0.42</v>
      </c>
      <c r="K174" s="18">
        <v>0.05</v>
      </c>
      <c r="L174" s="15">
        <v>12.5</v>
      </c>
      <c r="M174" s="15">
        <v>0.42</v>
      </c>
      <c r="N174" s="15">
        <v>0.05</v>
      </c>
      <c r="O174" s="21">
        <v>0.0</v>
      </c>
      <c r="P174" s="21">
        <v>0.0</v>
      </c>
      <c r="Q174" s="19">
        <v>0.0</v>
      </c>
      <c r="R174" s="19">
        <v>0.0</v>
      </c>
      <c r="S174" s="20" t="s">
        <v>3081</v>
      </c>
    </row>
    <row r="175">
      <c r="A175" s="50">
        <v>167.0</v>
      </c>
      <c r="B175" s="13" t="s">
        <v>3082</v>
      </c>
      <c r="C175" s="11" t="s">
        <v>3083</v>
      </c>
      <c r="D175" s="12" t="s">
        <v>107</v>
      </c>
      <c r="E175" s="13" t="s">
        <v>3084</v>
      </c>
      <c r="F175" s="12">
        <v>24.0</v>
      </c>
      <c r="G175" s="12">
        <v>2000.0</v>
      </c>
      <c r="H175" s="15">
        <v>15.2</v>
      </c>
      <c r="I175" s="17">
        <v>0.2</v>
      </c>
      <c r="J175" s="18">
        <v>1.32</v>
      </c>
      <c r="K175" s="18">
        <v>0.39</v>
      </c>
      <c r="L175" s="15">
        <v>30.0</v>
      </c>
      <c r="M175" s="15">
        <v>1.31</v>
      </c>
      <c r="N175" s="15">
        <v>0.39</v>
      </c>
      <c r="O175" s="15">
        <v>0.15</v>
      </c>
      <c r="P175" s="15">
        <v>0.5</v>
      </c>
      <c r="Q175" s="19">
        <v>0.0</v>
      </c>
      <c r="R175" s="19">
        <v>0.0</v>
      </c>
      <c r="S175" s="20" t="s">
        <v>3085</v>
      </c>
    </row>
    <row r="176">
      <c r="A176" s="50">
        <v>168.0</v>
      </c>
      <c r="B176" s="13" t="s">
        <v>3086</v>
      </c>
      <c r="C176" s="11" t="s">
        <v>3087</v>
      </c>
      <c r="D176" s="12" t="s">
        <v>36</v>
      </c>
      <c r="E176" s="13" t="s">
        <v>3088</v>
      </c>
      <c r="F176" s="12">
        <v>20.0</v>
      </c>
      <c r="G176" s="12">
        <v>2005.0</v>
      </c>
      <c r="H176" s="21">
        <v>0.0</v>
      </c>
      <c r="I176" s="23">
        <v>0.0</v>
      </c>
      <c r="J176" s="21">
        <v>0.0</v>
      </c>
      <c r="K176" s="21">
        <v>0.0</v>
      </c>
      <c r="L176" s="36"/>
      <c r="M176" s="21">
        <v>0.0</v>
      </c>
      <c r="N176" s="21">
        <v>0.0</v>
      </c>
      <c r="O176" s="36"/>
      <c r="P176" s="36"/>
      <c r="Q176" s="21">
        <v>0.0</v>
      </c>
      <c r="R176" s="21">
        <v>0.0</v>
      </c>
      <c r="S176" s="20" t="s">
        <v>3089</v>
      </c>
    </row>
    <row r="177">
      <c r="A177" s="50">
        <v>169.0</v>
      </c>
      <c r="B177" s="13" t="s">
        <v>3090</v>
      </c>
      <c r="C177" s="11" t="s">
        <v>3091</v>
      </c>
      <c r="D177" s="12" t="s">
        <v>345</v>
      </c>
      <c r="E177" s="13" t="s">
        <v>3092</v>
      </c>
      <c r="F177" s="12">
        <v>24.0</v>
      </c>
      <c r="G177" s="12">
        <v>2000.0</v>
      </c>
      <c r="H177" s="15">
        <v>11.6</v>
      </c>
      <c r="I177" s="22">
        <v>0.0</v>
      </c>
      <c r="J177" s="18">
        <v>0.86</v>
      </c>
      <c r="K177" s="18">
        <v>0.17</v>
      </c>
      <c r="L177" s="15">
        <v>20.0</v>
      </c>
      <c r="M177" s="15">
        <v>0.87</v>
      </c>
      <c r="N177" s="15">
        <v>0.17</v>
      </c>
      <c r="O177" s="21">
        <v>0.0</v>
      </c>
      <c r="P177" s="21">
        <v>0.0</v>
      </c>
      <c r="Q177" s="19">
        <v>0.0</v>
      </c>
      <c r="R177" s="19">
        <v>0.0</v>
      </c>
      <c r="S177" s="20" t="s">
        <v>3093</v>
      </c>
    </row>
    <row r="178">
      <c r="A178" s="50">
        <v>170.0</v>
      </c>
      <c r="B178" s="13" t="s">
        <v>3094</v>
      </c>
      <c r="C178" s="11" t="s">
        <v>3095</v>
      </c>
      <c r="D178" s="12" t="s">
        <v>41</v>
      </c>
      <c r="E178" s="13" t="s">
        <v>3096</v>
      </c>
      <c r="F178" s="12">
        <v>32.0</v>
      </c>
      <c r="G178" s="12">
        <v>1993.0</v>
      </c>
      <c r="H178" s="15">
        <v>4.5</v>
      </c>
      <c r="I178" s="22">
        <v>0.0</v>
      </c>
      <c r="J178" s="18">
        <v>2.0</v>
      </c>
      <c r="K178" s="18">
        <v>0.67</v>
      </c>
      <c r="L178" s="15">
        <v>33.3</v>
      </c>
      <c r="M178" s="15">
        <v>1.98</v>
      </c>
      <c r="N178" s="15">
        <v>0.66</v>
      </c>
      <c r="O178" s="21">
        <v>0.0</v>
      </c>
      <c r="P178" s="21">
        <v>0.0</v>
      </c>
      <c r="Q178" s="19">
        <v>0.0</v>
      </c>
      <c r="R178" s="19">
        <v>0.0</v>
      </c>
      <c r="S178" s="20" t="s">
        <v>3097</v>
      </c>
    </row>
    <row r="179">
      <c r="A179" s="50">
        <v>171.0</v>
      </c>
      <c r="B179" s="13" t="s">
        <v>3098</v>
      </c>
      <c r="C179" s="11" t="s">
        <v>3099</v>
      </c>
      <c r="D179" s="12" t="s">
        <v>41</v>
      </c>
      <c r="E179" s="13" t="s">
        <v>3100</v>
      </c>
      <c r="F179" s="12">
        <v>18.0</v>
      </c>
      <c r="G179" s="12">
        <v>2007.0</v>
      </c>
      <c r="H179" s="21">
        <v>0.0</v>
      </c>
      <c r="I179" s="23">
        <v>0.0</v>
      </c>
      <c r="J179" s="21">
        <v>0.0</v>
      </c>
      <c r="K179" s="21">
        <v>0.0</v>
      </c>
      <c r="L179" s="36"/>
      <c r="M179" s="21">
        <v>0.0</v>
      </c>
      <c r="N179" s="21">
        <v>0.0</v>
      </c>
      <c r="O179" s="36"/>
      <c r="P179" s="36"/>
      <c r="Q179" s="21">
        <v>0.0</v>
      </c>
      <c r="R179" s="21">
        <v>0.0</v>
      </c>
      <c r="S179" s="20" t="s">
        <v>3101</v>
      </c>
    </row>
    <row r="180">
      <c r="A180" s="50">
        <v>172.0</v>
      </c>
      <c r="B180" s="13" t="s">
        <v>3102</v>
      </c>
      <c r="C180" s="11" t="s">
        <v>3103</v>
      </c>
      <c r="D180" s="12" t="s">
        <v>26</v>
      </c>
      <c r="E180" s="13" t="s">
        <v>3104</v>
      </c>
      <c r="F180" s="12">
        <v>26.0</v>
      </c>
      <c r="G180" s="12">
        <v>1999.0</v>
      </c>
      <c r="H180" s="15">
        <v>30.4</v>
      </c>
      <c r="I180" s="17">
        <v>0.23</v>
      </c>
      <c r="J180" s="18">
        <v>2.86</v>
      </c>
      <c r="K180" s="18">
        <v>0.69</v>
      </c>
      <c r="L180" s="15">
        <v>24.1</v>
      </c>
      <c r="M180" s="15">
        <v>2.86</v>
      </c>
      <c r="N180" s="15">
        <v>0.69</v>
      </c>
      <c r="O180" s="15">
        <v>0.08</v>
      </c>
      <c r="P180" s="15">
        <v>0.33</v>
      </c>
      <c r="Q180" s="19">
        <v>0.0</v>
      </c>
      <c r="R180" s="19">
        <v>0.0</v>
      </c>
      <c r="S180" s="20" t="s">
        <v>3105</v>
      </c>
    </row>
    <row r="181">
      <c r="A181" s="50">
        <v>173.0</v>
      </c>
      <c r="B181" s="13" t="s">
        <v>3106</v>
      </c>
      <c r="C181" s="11" t="s">
        <v>3107</v>
      </c>
      <c r="D181" s="12" t="s">
        <v>31</v>
      </c>
      <c r="E181" s="13" t="s">
        <v>3108</v>
      </c>
      <c r="F181" s="12">
        <v>25.0</v>
      </c>
      <c r="G181" s="12">
        <v>2000.0</v>
      </c>
      <c r="H181" s="15">
        <v>13.2</v>
      </c>
      <c r="I181" s="17">
        <v>0.08</v>
      </c>
      <c r="J181" s="18">
        <v>0.83</v>
      </c>
      <c r="K181" s="18">
        <v>0.3</v>
      </c>
      <c r="L181" s="15">
        <v>36.4</v>
      </c>
      <c r="M181" s="15">
        <v>0.84</v>
      </c>
      <c r="N181" s="15">
        <v>0.3</v>
      </c>
      <c r="O181" s="15">
        <v>0.09</v>
      </c>
      <c r="P181" s="15">
        <v>0.25</v>
      </c>
      <c r="Q181" s="19">
        <v>0.0</v>
      </c>
      <c r="R181" s="19">
        <v>0.0</v>
      </c>
      <c r="S181" s="20" t="s">
        <v>3109</v>
      </c>
    </row>
    <row r="182">
      <c r="A182" s="50">
        <v>174.0</v>
      </c>
      <c r="B182" s="13" t="s">
        <v>3110</v>
      </c>
      <c r="C182" s="11" t="s">
        <v>3111</v>
      </c>
      <c r="D182" s="12" t="s">
        <v>31</v>
      </c>
      <c r="E182" s="13" t="s">
        <v>3112</v>
      </c>
      <c r="F182" s="12">
        <v>35.0</v>
      </c>
      <c r="G182" s="12">
        <v>1989.0</v>
      </c>
      <c r="H182" s="15">
        <v>23.3</v>
      </c>
      <c r="I182" s="17">
        <v>0.09</v>
      </c>
      <c r="J182" s="18">
        <v>1.24</v>
      </c>
      <c r="K182" s="18">
        <v>0.3</v>
      </c>
      <c r="L182" s="15">
        <v>24.1</v>
      </c>
      <c r="M182" s="15">
        <v>1.25</v>
      </c>
      <c r="N182" s="15">
        <v>0.3</v>
      </c>
      <c r="O182" s="15">
        <v>0.07</v>
      </c>
      <c r="P182" s="15">
        <v>0.29</v>
      </c>
      <c r="Q182" s="19">
        <v>0.0</v>
      </c>
      <c r="R182" s="19">
        <v>0.0</v>
      </c>
      <c r="S182" s="20" t="s">
        <v>3113</v>
      </c>
    </row>
    <row r="183">
      <c r="A183" s="50">
        <v>175.0</v>
      </c>
      <c r="B183" s="13" t="s">
        <v>3114</v>
      </c>
      <c r="C183" s="11" t="s">
        <v>3115</v>
      </c>
      <c r="D183" s="12" t="s">
        <v>31</v>
      </c>
      <c r="E183" s="13" t="s">
        <v>3116</v>
      </c>
      <c r="F183" s="12">
        <v>19.0</v>
      </c>
      <c r="G183" s="12">
        <v>2005.0</v>
      </c>
      <c r="H183" s="15">
        <v>1.3</v>
      </c>
      <c r="I183" s="22">
        <v>0.0</v>
      </c>
      <c r="J183" s="18">
        <v>2.31</v>
      </c>
      <c r="K183" s="18">
        <v>0.77</v>
      </c>
      <c r="L183" s="15">
        <v>33.3</v>
      </c>
      <c r="M183" s="15">
        <v>2.39</v>
      </c>
      <c r="N183" s="15">
        <v>0.8</v>
      </c>
      <c r="O183" s="21">
        <v>0.0</v>
      </c>
      <c r="P183" s="21">
        <v>0.0</v>
      </c>
      <c r="Q183" s="19">
        <v>0.0</v>
      </c>
      <c r="R183" s="19">
        <v>0.0</v>
      </c>
      <c r="S183" s="20" t="s">
        <v>3117</v>
      </c>
    </row>
    <row r="184">
      <c r="A184" s="37" t="s">
        <v>3</v>
      </c>
      <c r="B184" s="51" t="s">
        <v>4</v>
      </c>
      <c r="C184" s="39" t="s">
        <v>5</v>
      </c>
      <c r="D184" s="39" t="s">
        <v>6</v>
      </c>
      <c r="E184" s="39" t="s">
        <v>7</v>
      </c>
      <c r="F184" s="39" t="s">
        <v>8</v>
      </c>
      <c r="G184" s="39" t="s">
        <v>9</v>
      </c>
      <c r="H184" s="39" t="s">
        <v>13</v>
      </c>
      <c r="I184" s="40" t="s">
        <v>14</v>
      </c>
      <c r="J184" s="39" t="s">
        <v>2411</v>
      </c>
      <c r="K184" s="39" t="s">
        <v>2412</v>
      </c>
      <c r="L184" s="39" t="s">
        <v>2413</v>
      </c>
      <c r="M184" s="39" t="s">
        <v>2414</v>
      </c>
      <c r="N184" s="39" t="s">
        <v>2415</v>
      </c>
      <c r="O184" s="39" t="s">
        <v>2416</v>
      </c>
      <c r="P184" s="39" t="s">
        <v>2417</v>
      </c>
      <c r="Q184" s="39" t="s">
        <v>18</v>
      </c>
      <c r="R184" s="39" t="s">
        <v>19</v>
      </c>
      <c r="S184" s="40" t="s">
        <v>23</v>
      </c>
    </row>
    <row r="185">
      <c r="A185" s="50">
        <v>176.0</v>
      </c>
      <c r="B185" s="13" t="s">
        <v>3118</v>
      </c>
      <c r="C185" s="11" t="s">
        <v>3119</v>
      </c>
      <c r="D185" s="12" t="s">
        <v>36</v>
      </c>
      <c r="E185" s="13" t="s">
        <v>3120</v>
      </c>
      <c r="F185" s="12">
        <v>22.0</v>
      </c>
      <c r="G185" s="12">
        <v>2003.0</v>
      </c>
      <c r="H185" s="15">
        <v>1.0</v>
      </c>
      <c r="I185" s="22">
        <v>0.0</v>
      </c>
      <c r="J185" s="19">
        <v>0.0</v>
      </c>
      <c r="K185" s="19">
        <v>0.0</v>
      </c>
      <c r="L185" s="36"/>
      <c r="M185" s="21">
        <v>0.0</v>
      </c>
      <c r="N185" s="21">
        <v>0.0</v>
      </c>
      <c r="O185" s="36"/>
      <c r="P185" s="36"/>
      <c r="Q185" s="19">
        <v>0.0</v>
      </c>
      <c r="R185" s="19">
        <v>0.0</v>
      </c>
      <c r="S185" s="20" t="s">
        <v>3121</v>
      </c>
    </row>
    <row r="186">
      <c r="A186" s="50">
        <v>177.0</v>
      </c>
      <c r="B186" s="13" t="s">
        <v>3122</v>
      </c>
      <c r="C186" s="11" t="s">
        <v>3123</v>
      </c>
      <c r="D186" s="12" t="s">
        <v>31</v>
      </c>
      <c r="E186" s="13" t="s">
        <v>3124</v>
      </c>
      <c r="F186" s="12">
        <v>21.0</v>
      </c>
      <c r="G186" s="12">
        <v>2004.0</v>
      </c>
      <c r="H186" s="15">
        <v>14.1</v>
      </c>
      <c r="I186" s="17">
        <v>0.07</v>
      </c>
      <c r="J186" s="18">
        <v>2.34</v>
      </c>
      <c r="K186" s="18">
        <v>0.5</v>
      </c>
      <c r="L186" s="15">
        <v>21.2</v>
      </c>
      <c r="M186" s="15">
        <v>2.34</v>
      </c>
      <c r="N186" s="15">
        <v>0.5</v>
      </c>
      <c r="O186" s="15">
        <v>0.03</v>
      </c>
      <c r="P186" s="15">
        <v>0.14</v>
      </c>
      <c r="Q186" s="19">
        <v>0.0</v>
      </c>
      <c r="R186" s="19">
        <v>0.0</v>
      </c>
      <c r="S186" s="20" t="s">
        <v>3125</v>
      </c>
    </row>
    <row r="187">
      <c r="A187" s="50">
        <v>178.0</v>
      </c>
      <c r="B187" s="13" t="s">
        <v>3126</v>
      </c>
      <c r="C187" s="11" t="s">
        <v>3127</v>
      </c>
      <c r="D187" s="12" t="s">
        <v>264</v>
      </c>
      <c r="E187" s="13" t="s">
        <v>3128</v>
      </c>
      <c r="F187" s="12">
        <v>24.0</v>
      </c>
      <c r="G187" s="12">
        <v>2001.0</v>
      </c>
      <c r="H187" s="15">
        <v>37.9</v>
      </c>
      <c r="I187" s="17">
        <v>0.05</v>
      </c>
      <c r="J187" s="18">
        <v>1.19</v>
      </c>
      <c r="K187" s="18">
        <v>0.37</v>
      </c>
      <c r="L187" s="15">
        <v>31.1</v>
      </c>
      <c r="M187" s="15">
        <v>1.19</v>
      </c>
      <c r="N187" s="15">
        <v>0.37</v>
      </c>
      <c r="O187" s="15">
        <v>0.04</v>
      </c>
      <c r="P187" s="15">
        <v>0.14</v>
      </c>
      <c r="Q187" s="19">
        <v>0.0</v>
      </c>
      <c r="R187" s="19">
        <v>0.0</v>
      </c>
      <c r="S187" s="20" t="s">
        <v>3129</v>
      </c>
    </row>
    <row r="188">
      <c r="A188" s="50">
        <v>179.0</v>
      </c>
      <c r="B188" s="13" t="s">
        <v>3130</v>
      </c>
      <c r="C188" s="11" t="s">
        <v>3131</v>
      </c>
      <c r="D188" s="12" t="s">
        <v>345</v>
      </c>
      <c r="E188" s="13" t="s">
        <v>3132</v>
      </c>
      <c r="F188" s="12">
        <v>25.0</v>
      </c>
      <c r="G188" s="12">
        <v>2000.0</v>
      </c>
      <c r="H188" s="15">
        <v>18.8</v>
      </c>
      <c r="I188" s="22">
        <v>0.0</v>
      </c>
      <c r="J188" s="18">
        <v>0.59</v>
      </c>
      <c r="K188" s="18">
        <v>0.16</v>
      </c>
      <c r="L188" s="15">
        <v>27.3</v>
      </c>
      <c r="M188" s="15">
        <v>0.58</v>
      </c>
      <c r="N188" s="15">
        <v>0.16</v>
      </c>
      <c r="O188" s="21">
        <v>0.0</v>
      </c>
      <c r="P188" s="21">
        <v>0.0</v>
      </c>
      <c r="Q188" s="19">
        <v>0.0</v>
      </c>
      <c r="R188" s="19">
        <v>0.0</v>
      </c>
      <c r="S188" s="20" t="s">
        <v>3133</v>
      </c>
    </row>
    <row r="189">
      <c r="A189" s="50">
        <v>180.0</v>
      </c>
      <c r="B189" s="13" t="s">
        <v>3134</v>
      </c>
      <c r="C189" s="11" t="s">
        <v>3135</v>
      </c>
      <c r="D189" s="12" t="s">
        <v>41</v>
      </c>
      <c r="E189" s="13" t="s">
        <v>3136</v>
      </c>
      <c r="F189" s="12">
        <v>19.0</v>
      </c>
      <c r="G189" s="12">
        <v>2006.0</v>
      </c>
      <c r="H189" s="15">
        <v>1.6</v>
      </c>
      <c r="I189" s="22">
        <v>0.0</v>
      </c>
      <c r="J189" s="18">
        <v>1.88</v>
      </c>
      <c r="K189" s="18">
        <v>1.25</v>
      </c>
      <c r="L189" s="15">
        <v>66.7</v>
      </c>
      <c r="M189" s="15">
        <v>1.86</v>
      </c>
      <c r="N189" s="15">
        <v>1.24</v>
      </c>
      <c r="O189" s="21">
        <v>0.0</v>
      </c>
      <c r="P189" s="21">
        <v>0.0</v>
      </c>
      <c r="Q189" s="19">
        <v>0.0</v>
      </c>
      <c r="R189" s="19">
        <v>0.0</v>
      </c>
      <c r="S189" s="20" t="s">
        <v>3137</v>
      </c>
    </row>
    <row r="190">
      <c r="A190" s="50">
        <v>181.0</v>
      </c>
      <c r="B190" s="13" t="s">
        <v>3138</v>
      </c>
      <c r="C190" s="11" t="s">
        <v>3139</v>
      </c>
      <c r="D190" s="12" t="s">
        <v>31</v>
      </c>
      <c r="E190" s="13" t="s">
        <v>3140</v>
      </c>
      <c r="F190" s="12">
        <v>19.0</v>
      </c>
      <c r="G190" s="12">
        <v>2006.0</v>
      </c>
      <c r="H190" s="15">
        <v>2.4</v>
      </c>
      <c r="I190" s="22">
        <v>0.0</v>
      </c>
      <c r="J190" s="18">
        <v>2.92</v>
      </c>
      <c r="K190" s="18">
        <v>1.25</v>
      </c>
      <c r="L190" s="15">
        <v>42.9</v>
      </c>
      <c r="M190" s="15">
        <v>2.89</v>
      </c>
      <c r="N190" s="15">
        <v>1.24</v>
      </c>
      <c r="O190" s="21">
        <v>0.0</v>
      </c>
      <c r="P190" s="21">
        <v>0.0</v>
      </c>
      <c r="Q190" s="19">
        <v>0.0</v>
      </c>
      <c r="R190" s="19">
        <v>0.0</v>
      </c>
      <c r="S190" s="20" t="s">
        <v>3141</v>
      </c>
    </row>
    <row r="191">
      <c r="A191" s="50">
        <v>182.0</v>
      </c>
      <c r="B191" s="13" t="s">
        <v>3142</v>
      </c>
      <c r="C191" s="11" t="s">
        <v>3143</v>
      </c>
      <c r="D191" s="12" t="s">
        <v>31</v>
      </c>
      <c r="E191" s="13" t="s">
        <v>3144</v>
      </c>
      <c r="F191" s="12">
        <v>25.0</v>
      </c>
      <c r="G191" s="12">
        <v>2000.0</v>
      </c>
      <c r="H191" s="15">
        <v>34.4</v>
      </c>
      <c r="I191" s="17">
        <v>0.44</v>
      </c>
      <c r="J191" s="18">
        <v>2.41</v>
      </c>
      <c r="K191" s="18">
        <v>0.93</v>
      </c>
      <c r="L191" s="15">
        <v>38.6</v>
      </c>
      <c r="M191" s="15">
        <v>2.41</v>
      </c>
      <c r="N191" s="15">
        <v>0.93</v>
      </c>
      <c r="O191" s="15">
        <v>0.17</v>
      </c>
      <c r="P191" s="15">
        <v>0.44</v>
      </c>
      <c r="Q191" s="18">
        <v>0.03</v>
      </c>
      <c r="R191" s="18">
        <v>0.03</v>
      </c>
      <c r="S191" s="20" t="s">
        <v>3145</v>
      </c>
    </row>
    <row r="192">
      <c r="A192" s="50">
        <v>183.0</v>
      </c>
      <c r="B192" s="13" t="s">
        <v>3146</v>
      </c>
      <c r="C192" s="11" t="s">
        <v>3147</v>
      </c>
      <c r="D192" s="12" t="s">
        <v>31</v>
      </c>
      <c r="E192" s="13" t="s">
        <v>3148</v>
      </c>
      <c r="F192" s="12">
        <v>20.0</v>
      </c>
      <c r="G192" s="12">
        <v>2004.0</v>
      </c>
      <c r="H192" s="15">
        <v>5.5</v>
      </c>
      <c r="I192" s="22">
        <v>0.0</v>
      </c>
      <c r="J192" s="18">
        <v>1.82</v>
      </c>
      <c r="K192" s="18">
        <v>0.36</v>
      </c>
      <c r="L192" s="15">
        <v>20.0</v>
      </c>
      <c r="M192" s="15">
        <v>1.82</v>
      </c>
      <c r="N192" s="15">
        <v>0.36</v>
      </c>
      <c r="O192" s="21">
        <v>0.0</v>
      </c>
      <c r="P192" s="21">
        <v>0.0</v>
      </c>
      <c r="Q192" s="19">
        <v>0.0</v>
      </c>
      <c r="R192" s="19">
        <v>0.0</v>
      </c>
      <c r="S192" s="20" t="s">
        <v>3149</v>
      </c>
    </row>
    <row r="193">
      <c r="A193" s="50">
        <v>184.0</v>
      </c>
      <c r="B193" s="13" t="s">
        <v>3150</v>
      </c>
      <c r="C193" s="11" t="s">
        <v>3151</v>
      </c>
      <c r="D193" s="12" t="s">
        <v>41</v>
      </c>
      <c r="E193" s="13" t="s">
        <v>3152</v>
      </c>
      <c r="F193" s="12">
        <v>21.0</v>
      </c>
      <c r="G193" s="12">
        <v>2003.0</v>
      </c>
      <c r="H193" s="15">
        <v>6.0</v>
      </c>
      <c r="I193" s="22">
        <v>0.0</v>
      </c>
      <c r="J193" s="18">
        <v>1.67</v>
      </c>
      <c r="K193" s="19">
        <v>0.0</v>
      </c>
      <c r="L193" s="21">
        <v>0.0</v>
      </c>
      <c r="M193" s="15">
        <v>1.68</v>
      </c>
      <c r="N193" s="21">
        <v>0.0</v>
      </c>
      <c r="O193" s="21">
        <v>0.0</v>
      </c>
      <c r="P193" s="36"/>
      <c r="Q193" s="19">
        <v>0.0</v>
      </c>
      <c r="R193" s="19">
        <v>0.0</v>
      </c>
      <c r="S193" s="20" t="s">
        <v>3153</v>
      </c>
    </row>
    <row r="194">
      <c r="A194" s="50">
        <v>185.0</v>
      </c>
      <c r="B194" s="13" t="s">
        <v>3154</v>
      </c>
      <c r="C194" s="11" t="s">
        <v>3155</v>
      </c>
      <c r="D194" s="12" t="s">
        <v>26</v>
      </c>
      <c r="E194" s="13" t="s">
        <v>3156</v>
      </c>
      <c r="F194" s="12">
        <v>24.0</v>
      </c>
      <c r="G194" s="12">
        <v>2000.0</v>
      </c>
      <c r="H194" s="15">
        <v>5.1</v>
      </c>
      <c r="I194" s="22">
        <v>0.0</v>
      </c>
      <c r="J194" s="18">
        <v>1.18</v>
      </c>
      <c r="K194" s="18">
        <v>0.39</v>
      </c>
      <c r="L194" s="15">
        <v>33.3</v>
      </c>
      <c r="M194" s="15">
        <v>1.17</v>
      </c>
      <c r="N194" s="15">
        <v>0.39</v>
      </c>
      <c r="O194" s="21">
        <v>0.0</v>
      </c>
      <c r="P194" s="21">
        <v>0.0</v>
      </c>
      <c r="Q194" s="19">
        <v>0.0</v>
      </c>
      <c r="R194" s="19">
        <v>0.0</v>
      </c>
      <c r="S194" s="20" t="s">
        <v>3157</v>
      </c>
    </row>
    <row r="195">
      <c r="A195" s="50">
        <v>186.0</v>
      </c>
      <c r="B195" s="13" t="s">
        <v>3158</v>
      </c>
      <c r="C195" s="11" t="s">
        <v>3159</v>
      </c>
      <c r="D195" s="12" t="s">
        <v>31</v>
      </c>
      <c r="E195" s="13" t="s">
        <v>3160</v>
      </c>
      <c r="F195" s="12">
        <v>24.0</v>
      </c>
      <c r="G195" s="12">
        <v>2001.0</v>
      </c>
      <c r="H195" s="15">
        <v>31.4</v>
      </c>
      <c r="I195" s="17">
        <v>0.03</v>
      </c>
      <c r="J195" s="18">
        <v>0.61</v>
      </c>
      <c r="K195" s="18">
        <v>0.22</v>
      </c>
      <c r="L195" s="15">
        <v>36.8</v>
      </c>
      <c r="M195" s="15">
        <v>0.6</v>
      </c>
      <c r="N195" s="15">
        <v>0.22</v>
      </c>
      <c r="O195" s="15">
        <v>0.05</v>
      </c>
      <c r="P195" s="15">
        <v>0.14</v>
      </c>
      <c r="Q195" s="19">
        <v>0.0</v>
      </c>
      <c r="R195" s="19">
        <v>0.0</v>
      </c>
      <c r="S195" s="20" t="s">
        <v>3161</v>
      </c>
    </row>
    <row r="196">
      <c r="A196" s="50">
        <v>187.0</v>
      </c>
      <c r="B196" s="13" t="s">
        <v>3162</v>
      </c>
      <c r="C196" s="11" t="s">
        <v>3163</v>
      </c>
      <c r="D196" s="12" t="s">
        <v>26</v>
      </c>
      <c r="E196" s="13" t="s">
        <v>3164</v>
      </c>
      <c r="F196" s="12">
        <v>22.0</v>
      </c>
      <c r="G196" s="12">
        <v>2003.0</v>
      </c>
      <c r="H196" s="15">
        <v>10.7</v>
      </c>
      <c r="I196" s="17">
        <v>0.28</v>
      </c>
      <c r="J196" s="18">
        <v>1.87</v>
      </c>
      <c r="K196" s="18">
        <v>0.56</v>
      </c>
      <c r="L196" s="15">
        <v>30.0</v>
      </c>
      <c r="M196" s="15">
        <v>1.87</v>
      </c>
      <c r="N196" s="15">
        <v>0.56</v>
      </c>
      <c r="O196" s="15">
        <v>0.15</v>
      </c>
      <c r="P196" s="15">
        <v>0.5</v>
      </c>
      <c r="Q196" s="19">
        <v>0.0</v>
      </c>
      <c r="R196" s="19">
        <v>0.0</v>
      </c>
      <c r="S196" s="20" t="s">
        <v>3165</v>
      </c>
    </row>
    <row r="197">
      <c r="A197" s="50">
        <v>188.0</v>
      </c>
      <c r="B197" s="13" t="s">
        <v>3166</v>
      </c>
      <c r="C197" s="11" t="s">
        <v>3167</v>
      </c>
      <c r="D197" s="12" t="s">
        <v>36</v>
      </c>
      <c r="E197" s="13" t="s">
        <v>3168</v>
      </c>
      <c r="F197" s="12">
        <v>26.0</v>
      </c>
      <c r="G197" s="12">
        <v>1999.0</v>
      </c>
      <c r="H197" s="15">
        <v>15.8</v>
      </c>
      <c r="I197" s="22">
        <v>0.0</v>
      </c>
      <c r="J197" s="18">
        <v>0.32</v>
      </c>
      <c r="K197" s="18">
        <v>0.13</v>
      </c>
      <c r="L197" s="15">
        <v>40.0</v>
      </c>
      <c r="M197" s="15">
        <v>0.32</v>
      </c>
      <c r="N197" s="15">
        <v>0.13</v>
      </c>
      <c r="O197" s="21">
        <v>0.0</v>
      </c>
      <c r="P197" s="21">
        <v>0.0</v>
      </c>
      <c r="Q197" s="19">
        <v>0.0</v>
      </c>
      <c r="R197" s="19">
        <v>0.0</v>
      </c>
      <c r="S197" s="20" t="s">
        <v>3169</v>
      </c>
    </row>
    <row r="198">
      <c r="A198" s="50">
        <v>189.0</v>
      </c>
      <c r="B198" s="13" t="s">
        <v>3170</v>
      </c>
      <c r="C198" s="11" t="s">
        <v>3171</v>
      </c>
      <c r="D198" s="12" t="s">
        <v>26</v>
      </c>
      <c r="E198" s="13" t="s">
        <v>3172</v>
      </c>
      <c r="F198" s="12">
        <v>22.0</v>
      </c>
      <c r="G198" s="12">
        <v>2003.0</v>
      </c>
      <c r="H198" s="15">
        <v>23.6</v>
      </c>
      <c r="I198" s="17">
        <v>0.21</v>
      </c>
      <c r="J198" s="18">
        <v>1.78</v>
      </c>
      <c r="K198" s="18">
        <v>0.59</v>
      </c>
      <c r="L198" s="15">
        <v>33.3</v>
      </c>
      <c r="M198" s="15">
        <v>1.78</v>
      </c>
      <c r="N198" s="15">
        <v>0.59</v>
      </c>
      <c r="O198" s="15">
        <v>0.12</v>
      </c>
      <c r="P198" s="15">
        <v>0.36</v>
      </c>
      <c r="Q198" s="19">
        <v>0.0</v>
      </c>
      <c r="R198" s="19">
        <v>0.0</v>
      </c>
      <c r="S198" s="20" t="s">
        <v>3173</v>
      </c>
    </row>
    <row r="199">
      <c r="A199" s="50">
        <v>190.0</v>
      </c>
      <c r="B199" s="13" t="s">
        <v>3174</v>
      </c>
      <c r="C199" s="11" t="s">
        <v>3175</v>
      </c>
      <c r="D199" s="12" t="s">
        <v>36</v>
      </c>
      <c r="E199" s="13" t="s">
        <v>3176</v>
      </c>
      <c r="F199" s="12">
        <v>28.0</v>
      </c>
      <c r="G199" s="12">
        <v>1997.0</v>
      </c>
      <c r="H199" s="15">
        <v>6.7</v>
      </c>
      <c r="I199" s="22">
        <v>0.0</v>
      </c>
      <c r="J199" s="18">
        <v>0.75</v>
      </c>
      <c r="K199" s="18">
        <v>0.15</v>
      </c>
      <c r="L199" s="15">
        <v>20.0</v>
      </c>
      <c r="M199" s="15">
        <v>0.74</v>
      </c>
      <c r="N199" s="15">
        <v>0.15</v>
      </c>
      <c r="O199" s="21">
        <v>0.0</v>
      </c>
      <c r="P199" s="21">
        <v>0.0</v>
      </c>
      <c r="Q199" s="19">
        <v>0.0</v>
      </c>
      <c r="R199" s="19">
        <v>0.0</v>
      </c>
      <c r="S199" s="20" t="s">
        <v>3177</v>
      </c>
    </row>
    <row r="200">
      <c r="A200" s="50">
        <v>191.0</v>
      </c>
      <c r="B200" s="13" t="s">
        <v>3178</v>
      </c>
      <c r="C200" s="11" t="s">
        <v>3179</v>
      </c>
      <c r="D200" s="12" t="s">
        <v>31</v>
      </c>
      <c r="E200" s="13" t="s">
        <v>3180</v>
      </c>
      <c r="F200" s="12">
        <v>23.0</v>
      </c>
      <c r="G200" s="12">
        <v>2002.0</v>
      </c>
      <c r="H200" s="15">
        <v>17.4</v>
      </c>
      <c r="I200" s="17">
        <v>0.06</v>
      </c>
      <c r="J200" s="18">
        <v>0.8</v>
      </c>
      <c r="K200" s="18">
        <v>0.11</v>
      </c>
      <c r="L200" s="15">
        <v>14.3</v>
      </c>
      <c r="M200" s="15">
        <v>0.8</v>
      </c>
      <c r="N200" s="15">
        <v>0.11</v>
      </c>
      <c r="O200" s="15">
        <v>0.07</v>
      </c>
      <c r="P200" s="15">
        <v>0.5</v>
      </c>
      <c r="Q200" s="19">
        <v>0.0</v>
      </c>
      <c r="R200" s="19">
        <v>0.0</v>
      </c>
      <c r="S200" s="20" t="s">
        <v>3181</v>
      </c>
    </row>
    <row r="201">
      <c r="A201" s="50">
        <v>192.0</v>
      </c>
      <c r="B201" s="13" t="s">
        <v>3182</v>
      </c>
      <c r="C201" s="11" t="s">
        <v>3183</v>
      </c>
      <c r="D201" s="12" t="s">
        <v>41</v>
      </c>
      <c r="E201" s="13" t="s">
        <v>3184</v>
      </c>
      <c r="F201" s="12">
        <v>24.0</v>
      </c>
      <c r="G201" s="12">
        <v>2001.0</v>
      </c>
      <c r="H201" s="15">
        <v>19.9</v>
      </c>
      <c r="I201" s="17">
        <v>0.3</v>
      </c>
      <c r="J201" s="18">
        <v>2.41</v>
      </c>
      <c r="K201" s="18">
        <v>1.01</v>
      </c>
      <c r="L201" s="15">
        <v>41.7</v>
      </c>
      <c r="M201" s="15">
        <v>2.41</v>
      </c>
      <c r="N201" s="15">
        <v>1.0</v>
      </c>
      <c r="O201" s="15">
        <v>0.06</v>
      </c>
      <c r="P201" s="15">
        <v>0.15</v>
      </c>
      <c r="Q201" s="18">
        <v>0.15</v>
      </c>
      <c r="R201" s="18">
        <v>0.15</v>
      </c>
      <c r="S201" s="20" t="s">
        <v>3185</v>
      </c>
    </row>
    <row r="202">
      <c r="A202" s="50">
        <v>193.0</v>
      </c>
      <c r="B202" s="13" t="s">
        <v>3186</v>
      </c>
      <c r="C202" s="11" t="s">
        <v>3187</v>
      </c>
      <c r="D202" s="12" t="s">
        <v>31</v>
      </c>
      <c r="E202" s="13" t="s">
        <v>3188</v>
      </c>
      <c r="F202" s="12">
        <v>23.0</v>
      </c>
      <c r="G202" s="12">
        <v>2002.0</v>
      </c>
      <c r="H202" s="15">
        <v>33.2</v>
      </c>
      <c r="I202" s="17">
        <v>0.15</v>
      </c>
      <c r="J202" s="18">
        <v>1.14</v>
      </c>
      <c r="K202" s="18">
        <v>0.39</v>
      </c>
      <c r="L202" s="15">
        <v>34.2</v>
      </c>
      <c r="M202" s="15">
        <v>1.14</v>
      </c>
      <c r="N202" s="15">
        <v>0.39</v>
      </c>
      <c r="O202" s="15">
        <v>0.13</v>
      </c>
      <c r="P202" s="15">
        <v>0.38</v>
      </c>
      <c r="Q202" s="19">
        <v>0.0</v>
      </c>
      <c r="R202" s="19">
        <v>0.0</v>
      </c>
      <c r="S202" s="20" t="s">
        <v>3189</v>
      </c>
    </row>
    <row r="203">
      <c r="A203" s="50">
        <v>194.0</v>
      </c>
      <c r="B203" s="13" t="s">
        <v>3190</v>
      </c>
      <c r="C203" s="11" t="s">
        <v>3191</v>
      </c>
      <c r="D203" s="12" t="s">
        <v>264</v>
      </c>
      <c r="E203" s="13" t="s">
        <v>3192</v>
      </c>
      <c r="F203" s="12">
        <v>19.0</v>
      </c>
      <c r="G203" s="12">
        <v>2006.0</v>
      </c>
      <c r="H203" s="15">
        <v>16.4</v>
      </c>
      <c r="I203" s="17">
        <v>0.12</v>
      </c>
      <c r="J203" s="18">
        <v>0.67</v>
      </c>
      <c r="K203" s="18">
        <v>0.3</v>
      </c>
      <c r="L203" s="15">
        <v>45.5</v>
      </c>
      <c r="M203" s="15">
        <v>0.67</v>
      </c>
      <c r="N203" s="15">
        <v>0.3</v>
      </c>
      <c r="O203" s="15">
        <v>0.18</v>
      </c>
      <c r="P203" s="15">
        <v>0.4</v>
      </c>
      <c r="Q203" s="19">
        <v>0.0</v>
      </c>
      <c r="R203" s="19">
        <v>0.0</v>
      </c>
      <c r="S203" s="20" t="s">
        <v>3193</v>
      </c>
    </row>
    <row r="204">
      <c r="A204" s="50">
        <v>195.0</v>
      </c>
      <c r="B204" s="13" t="s">
        <v>3194</v>
      </c>
      <c r="C204" s="11" t="s">
        <v>3195</v>
      </c>
      <c r="D204" s="12" t="s">
        <v>31</v>
      </c>
      <c r="E204" s="13" t="s">
        <v>3196</v>
      </c>
      <c r="F204" s="12">
        <v>29.0</v>
      </c>
      <c r="G204" s="12">
        <v>1995.0</v>
      </c>
      <c r="H204" s="15">
        <v>18.1</v>
      </c>
      <c r="I204" s="17">
        <v>0.11</v>
      </c>
      <c r="J204" s="18">
        <v>1.44</v>
      </c>
      <c r="K204" s="18">
        <v>0.44</v>
      </c>
      <c r="L204" s="15">
        <v>30.8</v>
      </c>
      <c r="M204" s="15">
        <v>1.44</v>
      </c>
      <c r="N204" s="15">
        <v>0.44</v>
      </c>
      <c r="O204" s="15">
        <v>0.08</v>
      </c>
      <c r="P204" s="15">
        <v>0.25</v>
      </c>
      <c r="Q204" s="19">
        <v>0.0</v>
      </c>
      <c r="R204" s="19">
        <v>0.0</v>
      </c>
      <c r="S204" s="20" t="s">
        <v>3197</v>
      </c>
    </row>
    <row r="205">
      <c r="A205" s="50">
        <v>196.0</v>
      </c>
      <c r="B205" s="13" t="s">
        <v>3198</v>
      </c>
      <c r="C205" s="11" t="s">
        <v>3199</v>
      </c>
      <c r="D205" s="12" t="s">
        <v>31</v>
      </c>
      <c r="E205" s="13" t="s">
        <v>3200</v>
      </c>
      <c r="F205" s="12">
        <v>34.0</v>
      </c>
      <c r="G205" s="12">
        <v>1991.0</v>
      </c>
      <c r="H205" s="15">
        <v>18.2</v>
      </c>
      <c r="I205" s="17">
        <v>0.05</v>
      </c>
      <c r="J205" s="18">
        <v>0.99</v>
      </c>
      <c r="K205" s="18">
        <v>0.49</v>
      </c>
      <c r="L205" s="15">
        <v>50.0</v>
      </c>
      <c r="M205" s="15">
        <v>0.99</v>
      </c>
      <c r="N205" s="15">
        <v>0.5</v>
      </c>
      <c r="O205" s="15">
        <v>0.06</v>
      </c>
      <c r="P205" s="15">
        <v>0.11</v>
      </c>
      <c r="Q205" s="19">
        <v>0.0</v>
      </c>
      <c r="R205" s="19">
        <v>0.0</v>
      </c>
      <c r="S205" s="20" t="s">
        <v>3201</v>
      </c>
    </row>
    <row r="206">
      <c r="A206" s="50">
        <v>197.0</v>
      </c>
      <c r="B206" s="13" t="s">
        <v>3202</v>
      </c>
      <c r="C206" s="11" t="s">
        <v>3203</v>
      </c>
      <c r="D206" s="12" t="s">
        <v>31</v>
      </c>
      <c r="E206" s="13" t="s">
        <v>3204</v>
      </c>
      <c r="F206" s="12">
        <v>21.0</v>
      </c>
      <c r="G206" s="12">
        <v>2004.0</v>
      </c>
      <c r="H206" s="15">
        <v>8.0</v>
      </c>
      <c r="I206" s="17">
        <v>0.13</v>
      </c>
      <c r="J206" s="18">
        <v>2.0</v>
      </c>
      <c r="K206" s="18">
        <v>0.75</v>
      </c>
      <c r="L206" s="15">
        <v>37.5</v>
      </c>
      <c r="M206" s="15">
        <v>2.0</v>
      </c>
      <c r="N206" s="15">
        <v>0.75</v>
      </c>
      <c r="O206" s="15">
        <v>0.06</v>
      </c>
      <c r="P206" s="15">
        <v>0.17</v>
      </c>
      <c r="Q206" s="19">
        <v>0.0</v>
      </c>
      <c r="R206" s="19">
        <v>0.0</v>
      </c>
      <c r="S206" s="20" t="s">
        <v>3205</v>
      </c>
    </row>
    <row r="207">
      <c r="A207" s="50">
        <v>198.0</v>
      </c>
      <c r="B207" s="13" t="s">
        <v>3206</v>
      </c>
      <c r="C207" s="11" t="s">
        <v>3207</v>
      </c>
      <c r="D207" s="12" t="s">
        <v>31</v>
      </c>
      <c r="E207" s="13" t="s">
        <v>3208</v>
      </c>
      <c r="F207" s="12">
        <v>25.0</v>
      </c>
      <c r="G207" s="12">
        <v>2000.0</v>
      </c>
      <c r="H207" s="15">
        <v>14.7</v>
      </c>
      <c r="I207" s="22">
        <v>0.0</v>
      </c>
      <c r="J207" s="18">
        <v>0.48</v>
      </c>
      <c r="K207" s="18">
        <v>0.07</v>
      </c>
      <c r="L207" s="15">
        <v>14.3</v>
      </c>
      <c r="M207" s="15">
        <v>0.48</v>
      </c>
      <c r="N207" s="15">
        <v>0.07</v>
      </c>
      <c r="O207" s="21">
        <v>0.0</v>
      </c>
      <c r="P207" s="21">
        <v>0.0</v>
      </c>
      <c r="Q207" s="19">
        <v>0.0</v>
      </c>
      <c r="R207" s="19">
        <v>0.0</v>
      </c>
      <c r="S207" s="20" t="s">
        <v>3209</v>
      </c>
    </row>
    <row r="208">
      <c r="A208" s="50">
        <v>199.0</v>
      </c>
      <c r="B208" s="13" t="s">
        <v>3210</v>
      </c>
      <c r="C208" s="11" t="s">
        <v>3211</v>
      </c>
      <c r="D208" s="12" t="s">
        <v>345</v>
      </c>
      <c r="E208" s="13" t="s">
        <v>3212</v>
      </c>
      <c r="F208" s="12">
        <v>26.0</v>
      </c>
      <c r="G208" s="12">
        <v>1999.0</v>
      </c>
      <c r="H208" s="15">
        <v>29.2</v>
      </c>
      <c r="I208" s="22">
        <v>0.0</v>
      </c>
      <c r="J208" s="18">
        <v>0.62</v>
      </c>
      <c r="K208" s="18">
        <v>0.1</v>
      </c>
      <c r="L208" s="15">
        <v>16.7</v>
      </c>
      <c r="M208" s="15">
        <v>0.62</v>
      </c>
      <c r="N208" s="15">
        <v>0.1</v>
      </c>
      <c r="O208" s="21">
        <v>0.0</v>
      </c>
      <c r="P208" s="21">
        <v>0.0</v>
      </c>
      <c r="Q208" s="19">
        <v>0.0</v>
      </c>
      <c r="R208" s="19">
        <v>0.0</v>
      </c>
      <c r="S208" s="20" t="s">
        <v>3213</v>
      </c>
    </row>
    <row r="209">
      <c r="A209" s="50">
        <v>200.0</v>
      </c>
      <c r="B209" s="13" t="s">
        <v>3214</v>
      </c>
      <c r="C209" s="11" t="s">
        <v>3215</v>
      </c>
      <c r="D209" s="12" t="s">
        <v>36</v>
      </c>
      <c r="E209" s="13" t="s">
        <v>3216</v>
      </c>
      <c r="F209" s="12">
        <v>25.0</v>
      </c>
      <c r="G209" s="12">
        <v>2000.0</v>
      </c>
      <c r="H209" s="15">
        <v>20.0</v>
      </c>
      <c r="I209" s="17">
        <v>0.1</v>
      </c>
      <c r="J209" s="18">
        <v>0.75</v>
      </c>
      <c r="K209" s="18">
        <v>0.2</v>
      </c>
      <c r="L209" s="15">
        <v>26.7</v>
      </c>
      <c r="M209" s="15">
        <v>0.75</v>
      </c>
      <c r="N209" s="15">
        <v>0.2</v>
      </c>
      <c r="O209" s="15">
        <v>0.13</v>
      </c>
      <c r="P209" s="15">
        <v>0.5</v>
      </c>
      <c r="Q209" s="19">
        <v>0.0</v>
      </c>
      <c r="R209" s="19">
        <v>0.0</v>
      </c>
      <c r="S209" s="20" t="s">
        <v>3217</v>
      </c>
    </row>
    <row r="210">
      <c r="A210" s="37" t="s">
        <v>3</v>
      </c>
      <c r="B210" s="51" t="s">
        <v>4</v>
      </c>
      <c r="C210" s="39" t="s">
        <v>5</v>
      </c>
      <c r="D210" s="39" t="s">
        <v>6</v>
      </c>
      <c r="E210" s="39" t="s">
        <v>7</v>
      </c>
      <c r="F210" s="39" t="s">
        <v>8</v>
      </c>
      <c r="G210" s="39" t="s">
        <v>9</v>
      </c>
      <c r="H210" s="39" t="s">
        <v>13</v>
      </c>
      <c r="I210" s="40" t="s">
        <v>14</v>
      </c>
      <c r="J210" s="39" t="s">
        <v>2411</v>
      </c>
      <c r="K210" s="39" t="s">
        <v>2412</v>
      </c>
      <c r="L210" s="39" t="s">
        <v>2413</v>
      </c>
      <c r="M210" s="39" t="s">
        <v>2414</v>
      </c>
      <c r="N210" s="39" t="s">
        <v>2415</v>
      </c>
      <c r="O210" s="39" t="s">
        <v>2416</v>
      </c>
      <c r="P210" s="39" t="s">
        <v>2417</v>
      </c>
      <c r="Q210" s="39" t="s">
        <v>18</v>
      </c>
      <c r="R210" s="39" t="s">
        <v>19</v>
      </c>
      <c r="S210" s="40" t="s">
        <v>23</v>
      </c>
    </row>
    <row r="211">
      <c r="A211" s="50">
        <v>201.0</v>
      </c>
      <c r="B211" s="13" t="s">
        <v>3218</v>
      </c>
      <c r="C211" s="11" t="s">
        <v>3219</v>
      </c>
      <c r="D211" s="12" t="s">
        <v>36</v>
      </c>
      <c r="E211" s="13" t="s">
        <v>3220</v>
      </c>
      <c r="F211" s="12">
        <v>25.0</v>
      </c>
      <c r="G211" s="12">
        <v>2000.0</v>
      </c>
      <c r="H211" s="15">
        <v>15.0</v>
      </c>
      <c r="I211" s="17">
        <v>0.07</v>
      </c>
      <c r="J211" s="18">
        <v>1.13</v>
      </c>
      <c r="K211" s="18">
        <v>0.33</v>
      </c>
      <c r="L211" s="15">
        <v>29.4</v>
      </c>
      <c r="M211" s="15">
        <v>1.13</v>
      </c>
      <c r="N211" s="15">
        <v>0.33</v>
      </c>
      <c r="O211" s="15">
        <v>0.06</v>
      </c>
      <c r="P211" s="15">
        <v>0.2</v>
      </c>
      <c r="Q211" s="19">
        <v>0.0</v>
      </c>
      <c r="R211" s="19">
        <v>0.0</v>
      </c>
      <c r="S211" s="20" t="s">
        <v>3221</v>
      </c>
    </row>
    <row r="212">
      <c r="A212" s="50">
        <v>202.0</v>
      </c>
      <c r="B212" s="13" t="s">
        <v>3222</v>
      </c>
      <c r="C212" s="11" t="s">
        <v>3223</v>
      </c>
      <c r="D212" s="12" t="s">
        <v>31</v>
      </c>
      <c r="E212" s="13" t="s">
        <v>3224</v>
      </c>
      <c r="F212" s="12">
        <v>24.0</v>
      </c>
      <c r="G212" s="12">
        <v>2001.0</v>
      </c>
      <c r="H212" s="15">
        <v>3.7</v>
      </c>
      <c r="I212" s="17">
        <v>0.27</v>
      </c>
      <c r="J212" s="18">
        <v>0.81</v>
      </c>
      <c r="K212" s="18">
        <v>0.27</v>
      </c>
      <c r="L212" s="15">
        <v>33.3</v>
      </c>
      <c r="M212" s="15">
        <v>0.82</v>
      </c>
      <c r="N212" s="15">
        <v>0.27</v>
      </c>
      <c r="O212" s="15">
        <v>0.33</v>
      </c>
      <c r="P212" s="15">
        <v>1.0</v>
      </c>
      <c r="Q212" s="19">
        <v>0.0</v>
      </c>
      <c r="R212" s="19">
        <v>0.0</v>
      </c>
      <c r="S212" s="20" t="s">
        <v>3225</v>
      </c>
    </row>
    <row r="213">
      <c r="A213" s="50">
        <v>203.0</v>
      </c>
      <c r="B213" s="13" t="s">
        <v>3226</v>
      </c>
      <c r="C213" s="11" t="s">
        <v>3227</v>
      </c>
      <c r="D213" s="12" t="s">
        <v>31</v>
      </c>
      <c r="E213" s="13" t="s">
        <v>3228</v>
      </c>
      <c r="F213" s="12">
        <v>24.0</v>
      </c>
      <c r="G213" s="12">
        <v>2001.0</v>
      </c>
      <c r="H213" s="15">
        <v>6.5</v>
      </c>
      <c r="I213" s="22">
        <v>0.0</v>
      </c>
      <c r="J213" s="18">
        <v>1.23</v>
      </c>
      <c r="K213" s="18">
        <v>0.77</v>
      </c>
      <c r="L213" s="15">
        <v>62.5</v>
      </c>
      <c r="M213" s="15">
        <v>1.22</v>
      </c>
      <c r="N213" s="15">
        <v>0.77</v>
      </c>
      <c r="O213" s="21">
        <v>0.0</v>
      </c>
      <c r="P213" s="21">
        <v>0.0</v>
      </c>
      <c r="Q213" s="19">
        <v>0.0</v>
      </c>
      <c r="R213" s="19">
        <v>0.0</v>
      </c>
      <c r="S213" s="20" t="s">
        <v>3229</v>
      </c>
    </row>
    <row r="214">
      <c r="A214" s="50">
        <v>204.0</v>
      </c>
      <c r="B214" s="13" t="s">
        <v>3230</v>
      </c>
      <c r="C214" s="11" t="s">
        <v>3231</v>
      </c>
      <c r="D214" s="12" t="s">
        <v>41</v>
      </c>
      <c r="E214" s="13" t="s">
        <v>3232</v>
      </c>
      <c r="F214" s="12">
        <v>19.0</v>
      </c>
      <c r="G214" s="12">
        <v>2006.0</v>
      </c>
      <c r="H214" s="15">
        <v>1.4</v>
      </c>
      <c r="I214" s="22">
        <v>0.0</v>
      </c>
      <c r="J214" s="18">
        <v>0.71</v>
      </c>
      <c r="K214" s="19">
        <v>0.0</v>
      </c>
      <c r="L214" s="21">
        <v>0.0</v>
      </c>
      <c r="M214" s="15">
        <v>0.72</v>
      </c>
      <c r="N214" s="21">
        <v>0.0</v>
      </c>
      <c r="O214" s="21">
        <v>0.0</v>
      </c>
      <c r="P214" s="36"/>
      <c r="Q214" s="19">
        <v>0.0</v>
      </c>
      <c r="R214" s="19">
        <v>0.0</v>
      </c>
      <c r="S214" s="20" t="s">
        <v>3233</v>
      </c>
    </row>
    <row r="215">
      <c r="A215" s="50">
        <v>205.0</v>
      </c>
      <c r="B215" s="13" t="s">
        <v>3234</v>
      </c>
      <c r="C215" s="11" t="s">
        <v>3235</v>
      </c>
      <c r="D215" s="12" t="s">
        <v>31</v>
      </c>
      <c r="E215" s="13" t="s">
        <v>3236</v>
      </c>
      <c r="F215" s="12">
        <v>27.0</v>
      </c>
      <c r="G215" s="12">
        <v>1997.0</v>
      </c>
      <c r="H215" s="15">
        <v>27.3</v>
      </c>
      <c r="I215" s="17">
        <v>0.33</v>
      </c>
      <c r="J215" s="18">
        <v>1.54</v>
      </c>
      <c r="K215" s="18">
        <v>0.84</v>
      </c>
      <c r="L215" s="15">
        <v>54.8</v>
      </c>
      <c r="M215" s="15">
        <v>1.54</v>
      </c>
      <c r="N215" s="15">
        <v>0.84</v>
      </c>
      <c r="O215" s="15">
        <v>0.17</v>
      </c>
      <c r="P215" s="15">
        <v>0.3</v>
      </c>
      <c r="Q215" s="18">
        <v>0.07</v>
      </c>
      <c r="R215" s="18">
        <v>0.07</v>
      </c>
      <c r="S215" s="20" t="s">
        <v>3237</v>
      </c>
    </row>
    <row r="216">
      <c r="A216" s="50">
        <v>206.0</v>
      </c>
      <c r="B216" s="13" t="s">
        <v>3238</v>
      </c>
      <c r="C216" s="11" t="s">
        <v>3239</v>
      </c>
      <c r="D216" s="12" t="s">
        <v>41</v>
      </c>
      <c r="E216" s="13" t="s">
        <v>3240</v>
      </c>
      <c r="F216" s="12">
        <v>19.0</v>
      </c>
      <c r="G216" s="12">
        <v>2006.0</v>
      </c>
      <c r="H216" s="15">
        <v>0.2</v>
      </c>
      <c r="I216" s="22">
        <v>0.0</v>
      </c>
      <c r="J216" s="18">
        <v>5.0</v>
      </c>
      <c r="K216" s="19">
        <v>0.0</v>
      </c>
      <c r="L216" s="21">
        <v>0.0</v>
      </c>
      <c r="M216" s="15">
        <v>6.0</v>
      </c>
      <c r="N216" s="21">
        <v>0.0</v>
      </c>
      <c r="O216" s="21">
        <v>0.0</v>
      </c>
      <c r="P216" s="36"/>
      <c r="Q216" s="19">
        <v>0.0</v>
      </c>
      <c r="R216" s="19">
        <v>0.0</v>
      </c>
      <c r="S216" s="20" t="s">
        <v>3241</v>
      </c>
    </row>
    <row r="217">
      <c r="A217" s="50">
        <v>207.0</v>
      </c>
      <c r="B217" s="13" t="s">
        <v>3242</v>
      </c>
      <c r="C217" s="11" t="s">
        <v>3243</v>
      </c>
      <c r="D217" s="12" t="s">
        <v>41</v>
      </c>
      <c r="E217" s="13" t="s">
        <v>3244</v>
      </c>
      <c r="F217" s="12">
        <v>19.0</v>
      </c>
      <c r="G217" s="12">
        <v>2006.0</v>
      </c>
      <c r="H217" s="15">
        <v>2.9</v>
      </c>
      <c r="I217" s="22">
        <v>0.0</v>
      </c>
      <c r="J217" s="18">
        <v>4.14</v>
      </c>
      <c r="K217" s="18">
        <v>0.69</v>
      </c>
      <c r="L217" s="15">
        <v>16.7</v>
      </c>
      <c r="M217" s="15">
        <v>4.2</v>
      </c>
      <c r="N217" s="15">
        <v>0.7</v>
      </c>
      <c r="O217" s="21">
        <v>0.0</v>
      </c>
      <c r="P217" s="21">
        <v>0.0</v>
      </c>
      <c r="Q217" s="19">
        <v>0.0</v>
      </c>
      <c r="R217" s="19">
        <v>0.0</v>
      </c>
      <c r="S217" s="20" t="s">
        <v>3245</v>
      </c>
    </row>
    <row r="218">
      <c r="A218" s="50">
        <v>208.0</v>
      </c>
      <c r="B218" s="13" t="s">
        <v>3246</v>
      </c>
      <c r="C218" s="11" t="s">
        <v>3247</v>
      </c>
      <c r="D218" s="12" t="s">
        <v>98</v>
      </c>
      <c r="E218" s="13" t="s">
        <v>3248</v>
      </c>
      <c r="F218" s="12">
        <v>29.0</v>
      </c>
      <c r="G218" s="12">
        <v>1996.0</v>
      </c>
      <c r="H218" s="15">
        <v>0.5</v>
      </c>
      <c r="I218" s="22">
        <v>0.0</v>
      </c>
      <c r="J218" s="19">
        <v>0.0</v>
      </c>
      <c r="K218" s="19">
        <v>0.0</v>
      </c>
      <c r="L218" s="36"/>
      <c r="M218" s="21">
        <v>0.0</v>
      </c>
      <c r="N218" s="21">
        <v>0.0</v>
      </c>
      <c r="O218" s="36"/>
      <c r="P218" s="36"/>
      <c r="Q218" s="19">
        <v>0.0</v>
      </c>
      <c r="R218" s="19">
        <v>0.0</v>
      </c>
      <c r="S218" s="20" t="s">
        <v>3249</v>
      </c>
    </row>
    <row r="219">
      <c r="A219" s="50">
        <v>209.0</v>
      </c>
      <c r="B219" s="13" t="s">
        <v>3250</v>
      </c>
      <c r="C219" s="11" t="s">
        <v>3251</v>
      </c>
      <c r="D219" s="12" t="s">
        <v>345</v>
      </c>
      <c r="E219" s="13" t="s">
        <v>3252</v>
      </c>
      <c r="F219" s="12">
        <v>22.0</v>
      </c>
      <c r="G219" s="12">
        <v>2003.0</v>
      </c>
      <c r="H219" s="15">
        <v>25.1</v>
      </c>
      <c r="I219" s="17">
        <v>0.08</v>
      </c>
      <c r="J219" s="18">
        <v>0.48</v>
      </c>
      <c r="K219" s="18">
        <v>0.24</v>
      </c>
      <c r="L219" s="15">
        <v>50.0</v>
      </c>
      <c r="M219" s="15">
        <v>0.48</v>
      </c>
      <c r="N219" s="15">
        <v>0.24</v>
      </c>
      <c r="O219" s="15">
        <v>0.17</v>
      </c>
      <c r="P219" s="15">
        <v>0.33</v>
      </c>
      <c r="Q219" s="19">
        <v>0.0</v>
      </c>
      <c r="R219" s="19">
        <v>0.0</v>
      </c>
      <c r="S219" s="20" t="s">
        <v>3253</v>
      </c>
    </row>
    <row r="220">
      <c r="A220" s="50">
        <v>210.0</v>
      </c>
      <c r="B220" s="13" t="s">
        <v>3254</v>
      </c>
      <c r="C220" s="11" t="s">
        <v>3255</v>
      </c>
      <c r="D220" s="12" t="s">
        <v>36</v>
      </c>
      <c r="E220" s="13" t="s">
        <v>3256</v>
      </c>
      <c r="F220" s="12">
        <v>23.0</v>
      </c>
      <c r="G220" s="12">
        <v>2002.0</v>
      </c>
      <c r="H220" s="15">
        <v>15.2</v>
      </c>
      <c r="I220" s="17">
        <v>0.13</v>
      </c>
      <c r="J220" s="18">
        <v>1.12</v>
      </c>
      <c r="K220" s="18">
        <v>0.39</v>
      </c>
      <c r="L220" s="15">
        <v>35.3</v>
      </c>
      <c r="M220" s="15">
        <v>1.12</v>
      </c>
      <c r="N220" s="15">
        <v>0.39</v>
      </c>
      <c r="O220" s="15">
        <v>0.12</v>
      </c>
      <c r="P220" s="15">
        <v>0.33</v>
      </c>
      <c r="Q220" s="19">
        <v>0.0</v>
      </c>
      <c r="R220" s="19">
        <v>0.0</v>
      </c>
      <c r="S220" s="20" t="s">
        <v>3257</v>
      </c>
    </row>
    <row r="221">
      <c r="A221" s="50">
        <v>211.0</v>
      </c>
      <c r="B221" s="13" t="s">
        <v>3258</v>
      </c>
      <c r="C221" s="11" t="s">
        <v>3259</v>
      </c>
      <c r="D221" s="12" t="s">
        <v>41</v>
      </c>
      <c r="E221" s="13" t="s">
        <v>3260</v>
      </c>
      <c r="F221" s="12">
        <v>27.0</v>
      </c>
      <c r="G221" s="12">
        <v>1998.0</v>
      </c>
      <c r="H221" s="15">
        <v>24.7</v>
      </c>
      <c r="I221" s="17">
        <v>0.57</v>
      </c>
      <c r="J221" s="18">
        <v>2.23</v>
      </c>
      <c r="K221" s="18">
        <v>0.89</v>
      </c>
      <c r="L221" s="15">
        <v>40.0</v>
      </c>
      <c r="M221" s="15">
        <v>2.23</v>
      </c>
      <c r="N221" s="15">
        <v>0.89</v>
      </c>
      <c r="O221" s="15">
        <v>0.2</v>
      </c>
      <c r="P221" s="15">
        <v>0.5</v>
      </c>
      <c r="Q221" s="18">
        <v>0.12</v>
      </c>
      <c r="R221" s="18">
        <v>0.12</v>
      </c>
      <c r="S221" s="20" t="s">
        <v>3261</v>
      </c>
    </row>
    <row r="222">
      <c r="A222" s="50">
        <v>212.0</v>
      </c>
      <c r="B222" s="13" t="s">
        <v>3262</v>
      </c>
      <c r="C222" s="11" t="s">
        <v>3263</v>
      </c>
      <c r="D222" s="12" t="s">
        <v>41</v>
      </c>
      <c r="E222" s="13" t="s">
        <v>3264</v>
      </c>
      <c r="F222" s="12">
        <v>25.0</v>
      </c>
      <c r="G222" s="12">
        <v>2000.0</v>
      </c>
      <c r="H222" s="15">
        <v>32.8</v>
      </c>
      <c r="I222" s="17">
        <v>0.82</v>
      </c>
      <c r="J222" s="18">
        <v>3.84</v>
      </c>
      <c r="K222" s="18">
        <v>1.8</v>
      </c>
      <c r="L222" s="15">
        <v>46.8</v>
      </c>
      <c r="M222" s="15">
        <v>3.84</v>
      </c>
      <c r="N222" s="15">
        <v>1.8</v>
      </c>
      <c r="O222" s="15">
        <v>0.19</v>
      </c>
      <c r="P222" s="15">
        <v>0.41</v>
      </c>
      <c r="Q222" s="18">
        <v>0.09</v>
      </c>
      <c r="R222" s="18">
        <v>0.12</v>
      </c>
      <c r="S222" s="20" t="s">
        <v>3265</v>
      </c>
    </row>
    <row r="223">
      <c r="A223" s="50">
        <v>213.0</v>
      </c>
      <c r="B223" s="13" t="s">
        <v>3266</v>
      </c>
      <c r="C223" s="11" t="s">
        <v>3267</v>
      </c>
      <c r="D223" s="12" t="s">
        <v>36</v>
      </c>
      <c r="E223" s="13" t="s">
        <v>3268</v>
      </c>
      <c r="F223" s="12">
        <v>20.0</v>
      </c>
      <c r="G223" s="12">
        <v>2004.0</v>
      </c>
      <c r="H223" s="15">
        <v>24.2</v>
      </c>
      <c r="I223" s="17">
        <v>0.04</v>
      </c>
      <c r="J223" s="18">
        <v>1.03</v>
      </c>
      <c r="K223" s="18">
        <v>0.25</v>
      </c>
      <c r="L223" s="15">
        <v>24.0</v>
      </c>
      <c r="M223" s="15">
        <v>1.03</v>
      </c>
      <c r="N223" s="15">
        <v>0.25</v>
      </c>
      <c r="O223" s="15">
        <v>0.04</v>
      </c>
      <c r="P223" s="15">
        <v>0.17</v>
      </c>
      <c r="Q223" s="19">
        <v>0.0</v>
      </c>
      <c r="R223" s="19">
        <v>0.0</v>
      </c>
      <c r="S223" s="20" t="s">
        <v>3269</v>
      </c>
    </row>
    <row r="224">
      <c r="A224" s="50">
        <v>214.0</v>
      </c>
      <c r="B224" s="13" t="s">
        <v>3270</v>
      </c>
      <c r="C224" s="11" t="s">
        <v>3271</v>
      </c>
      <c r="D224" s="12" t="s">
        <v>41</v>
      </c>
      <c r="E224" s="13" t="s">
        <v>3272</v>
      </c>
      <c r="F224" s="12">
        <v>28.0</v>
      </c>
      <c r="G224" s="12">
        <v>1996.0</v>
      </c>
      <c r="H224" s="15">
        <v>3.0</v>
      </c>
      <c r="I224" s="22">
        <v>0.0</v>
      </c>
      <c r="J224" s="18">
        <v>2.0</v>
      </c>
      <c r="K224" s="18">
        <v>0.67</v>
      </c>
      <c r="L224" s="15">
        <v>33.3</v>
      </c>
      <c r="M224" s="15">
        <v>2.01</v>
      </c>
      <c r="N224" s="15">
        <v>0.67</v>
      </c>
      <c r="O224" s="21">
        <v>0.0</v>
      </c>
      <c r="P224" s="21">
        <v>0.0</v>
      </c>
      <c r="Q224" s="19">
        <v>0.0</v>
      </c>
      <c r="R224" s="19">
        <v>0.0</v>
      </c>
      <c r="S224" s="20" t="s">
        <v>3273</v>
      </c>
    </row>
    <row r="225">
      <c r="A225" s="50">
        <v>215.0</v>
      </c>
      <c r="B225" s="13" t="s">
        <v>3274</v>
      </c>
      <c r="C225" s="11" t="s">
        <v>3275</v>
      </c>
      <c r="D225" s="12" t="s">
        <v>36</v>
      </c>
      <c r="E225" s="13" t="s">
        <v>3276</v>
      </c>
      <c r="F225" s="12">
        <v>23.0</v>
      </c>
      <c r="G225" s="12">
        <v>2001.0</v>
      </c>
      <c r="H225" s="15">
        <v>20.3</v>
      </c>
      <c r="I225" s="22">
        <v>0.0</v>
      </c>
      <c r="J225" s="18">
        <v>0.44</v>
      </c>
      <c r="K225" s="18">
        <v>0.15</v>
      </c>
      <c r="L225" s="15">
        <v>33.3</v>
      </c>
      <c r="M225" s="15">
        <v>0.44</v>
      </c>
      <c r="N225" s="15">
        <v>0.15</v>
      </c>
      <c r="O225" s="21">
        <v>0.0</v>
      </c>
      <c r="P225" s="21">
        <v>0.0</v>
      </c>
      <c r="Q225" s="19">
        <v>0.0</v>
      </c>
      <c r="R225" s="19">
        <v>0.0</v>
      </c>
      <c r="S225" s="20" t="s">
        <v>3277</v>
      </c>
    </row>
    <row r="226">
      <c r="A226" s="50">
        <v>216.0</v>
      </c>
      <c r="B226" s="13" t="s">
        <v>3278</v>
      </c>
      <c r="C226" s="11" t="s">
        <v>3279</v>
      </c>
      <c r="D226" s="12" t="s">
        <v>36</v>
      </c>
      <c r="E226" s="13" t="s">
        <v>3280</v>
      </c>
      <c r="F226" s="12">
        <v>19.0</v>
      </c>
      <c r="G226" s="12">
        <v>2006.0</v>
      </c>
      <c r="H226" s="15">
        <v>12.8</v>
      </c>
      <c r="I226" s="22">
        <v>0.0</v>
      </c>
      <c r="J226" s="18">
        <v>0.31</v>
      </c>
      <c r="K226" s="19">
        <v>0.0</v>
      </c>
      <c r="L226" s="21">
        <v>0.0</v>
      </c>
      <c r="M226" s="15">
        <v>0.31</v>
      </c>
      <c r="N226" s="21">
        <v>0.0</v>
      </c>
      <c r="O226" s="21">
        <v>0.0</v>
      </c>
      <c r="P226" s="36"/>
      <c r="Q226" s="19">
        <v>0.0</v>
      </c>
      <c r="R226" s="19">
        <v>0.0</v>
      </c>
      <c r="S226" s="20" t="s">
        <v>3281</v>
      </c>
    </row>
    <row r="227">
      <c r="A227" s="50">
        <v>217.0</v>
      </c>
      <c r="B227" s="13" t="s">
        <v>3282</v>
      </c>
      <c r="C227" s="11" t="s">
        <v>3283</v>
      </c>
      <c r="D227" s="12" t="s">
        <v>107</v>
      </c>
      <c r="E227" s="13" t="s">
        <v>3284</v>
      </c>
      <c r="F227" s="12">
        <v>26.0</v>
      </c>
      <c r="G227" s="12">
        <v>1999.0</v>
      </c>
      <c r="H227" s="15">
        <v>6.5</v>
      </c>
      <c r="I227" s="17">
        <v>0.31</v>
      </c>
      <c r="J227" s="18">
        <v>2.77</v>
      </c>
      <c r="K227" s="18">
        <v>0.62</v>
      </c>
      <c r="L227" s="15">
        <v>22.2</v>
      </c>
      <c r="M227" s="15">
        <v>2.79</v>
      </c>
      <c r="N227" s="15">
        <v>0.62</v>
      </c>
      <c r="O227" s="15">
        <v>0.11</v>
      </c>
      <c r="P227" s="15">
        <v>0.5</v>
      </c>
      <c r="Q227" s="19">
        <v>0.0</v>
      </c>
      <c r="R227" s="19">
        <v>0.0</v>
      </c>
      <c r="S227" s="20" t="s">
        <v>3285</v>
      </c>
    </row>
    <row r="228">
      <c r="A228" s="50">
        <v>218.0</v>
      </c>
      <c r="B228" s="13" t="s">
        <v>3286</v>
      </c>
      <c r="C228" s="11" t="s">
        <v>3287</v>
      </c>
      <c r="D228" s="12" t="s">
        <v>36</v>
      </c>
      <c r="E228" s="13" t="s">
        <v>3288</v>
      </c>
      <c r="F228" s="12">
        <v>18.0</v>
      </c>
      <c r="G228" s="12">
        <v>2006.0</v>
      </c>
      <c r="H228" s="15">
        <v>10.3</v>
      </c>
      <c r="I228" s="22">
        <v>0.0</v>
      </c>
      <c r="J228" s="18">
        <v>0.29</v>
      </c>
      <c r="K228" s="19">
        <v>0.0</v>
      </c>
      <c r="L228" s="21">
        <v>0.0</v>
      </c>
      <c r="M228" s="15">
        <v>0.29</v>
      </c>
      <c r="N228" s="21">
        <v>0.0</v>
      </c>
      <c r="O228" s="21">
        <v>0.0</v>
      </c>
      <c r="P228" s="36"/>
      <c r="Q228" s="19">
        <v>0.0</v>
      </c>
      <c r="R228" s="19">
        <v>0.0</v>
      </c>
      <c r="S228" s="20" t="s">
        <v>3289</v>
      </c>
    </row>
    <row r="229">
      <c r="A229" s="50">
        <v>219.0</v>
      </c>
      <c r="B229" s="13" t="s">
        <v>3290</v>
      </c>
      <c r="C229" s="11" t="s">
        <v>3291</v>
      </c>
      <c r="D229" s="12" t="s">
        <v>36</v>
      </c>
      <c r="E229" s="13" t="s">
        <v>3292</v>
      </c>
      <c r="F229" s="12">
        <v>25.0</v>
      </c>
      <c r="G229" s="12">
        <v>2000.0</v>
      </c>
      <c r="H229" s="15">
        <v>35.7</v>
      </c>
      <c r="I229" s="17">
        <v>0.08</v>
      </c>
      <c r="J229" s="18">
        <v>0.64</v>
      </c>
      <c r="K229" s="18">
        <v>0.28</v>
      </c>
      <c r="L229" s="15">
        <v>43.5</v>
      </c>
      <c r="M229" s="15">
        <v>0.64</v>
      </c>
      <c r="N229" s="15">
        <v>0.28</v>
      </c>
      <c r="O229" s="15">
        <v>0.13</v>
      </c>
      <c r="P229" s="15">
        <v>0.3</v>
      </c>
      <c r="Q229" s="19">
        <v>0.0</v>
      </c>
      <c r="R229" s="19">
        <v>0.0</v>
      </c>
      <c r="S229" s="20" t="s">
        <v>3293</v>
      </c>
    </row>
    <row r="230">
      <c r="A230" s="50">
        <v>220.0</v>
      </c>
      <c r="B230" s="13" t="s">
        <v>3294</v>
      </c>
      <c r="C230" s="11" t="s">
        <v>3295</v>
      </c>
      <c r="D230" s="12" t="s">
        <v>107</v>
      </c>
      <c r="E230" s="13" t="s">
        <v>3296</v>
      </c>
      <c r="F230" s="12">
        <v>29.0</v>
      </c>
      <c r="G230" s="12">
        <v>1996.0</v>
      </c>
      <c r="H230" s="15">
        <v>16.1</v>
      </c>
      <c r="I230" s="17">
        <v>0.12</v>
      </c>
      <c r="J230" s="18">
        <v>1.18</v>
      </c>
      <c r="K230" s="18">
        <v>0.37</v>
      </c>
      <c r="L230" s="15">
        <v>31.6</v>
      </c>
      <c r="M230" s="15">
        <v>1.18</v>
      </c>
      <c r="N230" s="15">
        <v>0.37</v>
      </c>
      <c r="O230" s="15">
        <v>0.05</v>
      </c>
      <c r="P230" s="15">
        <v>0.17</v>
      </c>
      <c r="Q230" s="18">
        <v>0.06</v>
      </c>
      <c r="R230" s="18">
        <v>0.06</v>
      </c>
      <c r="S230" s="20" t="s">
        <v>3297</v>
      </c>
    </row>
    <row r="231">
      <c r="A231" s="50">
        <v>221.0</v>
      </c>
      <c r="B231" s="13" t="s">
        <v>3298</v>
      </c>
      <c r="C231" s="11" t="s">
        <v>3299</v>
      </c>
      <c r="D231" s="12" t="s">
        <v>31</v>
      </c>
      <c r="E231" s="13" t="s">
        <v>3300</v>
      </c>
      <c r="F231" s="12">
        <v>18.0</v>
      </c>
      <c r="G231" s="12">
        <v>2007.0</v>
      </c>
      <c r="H231" s="15">
        <v>0.3</v>
      </c>
      <c r="I231" s="22">
        <v>0.0</v>
      </c>
      <c r="J231" s="18">
        <v>3.33</v>
      </c>
      <c r="K231" s="19">
        <v>0.0</v>
      </c>
      <c r="L231" s="21">
        <v>0.0</v>
      </c>
      <c r="M231" s="15">
        <v>3.33</v>
      </c>
      <c r="N231" s="21">
        <v>0.0</v>
      </c>
      <c r="O231" s="21">
        <v>0.0</v>
      </c>
      <c r="P231" s="36"/>
      <c r="Q231" s="19">
        <v>0.0</v>
      </c>
      <c r="R231" s="19">
        <v>0.0</v>
      </c>
      <c r="S231" s="20" t="s">
        <v>3301</v>
      </c>
    </row>
    <row r="232">
      <c r="A232" s="50">
        <v>222.0</v>
      </c>
      <c r="B232" s="13" t="s">
        <v>3302</v>
      </c>
      <c r="C232" s="11" t="s">
        <v>3303</v>
      </c>
      <c r="D232" s="12" t="s">
        <v>98</v>
      </c>
      <c r="E232" s="13" t="s">
        <v>3304</v>
      </c>
      <c r="F232" s="12">
        <v>28.0</v>
      </c>
      <c r="G232" s="12">
        <v>1997.0</v>
      </c>
      <c r="H232" s="15">
        <v>37.0</v>
      </c>
      <c r="I232" s="22">
        <v>0.0</v>
      </c>
      <c r="J232" s="19">
        <v>0.0</v>
      </c>
      <c r="K232" s="19">
        <v>0.0</v>
      </c>
      <c r="L232" s="36"/>
      <c r="M232" s="21">
        <v>0.0</v>
      </c>
      <c r="N232" s="21">
        <v>0.0</v>
      </c>
      <c r="O232" s="36"/>
      <c r="P232" s="36"/>
      <c r="Q232" s="19">
        <v>0.0</v>
      </c>
      <c r="R232" s="19">
        <v>0.0</v>
      </c>
      <c r="S232" s="20" t="s">
        <v>3305</v>
      </c>
    </row>
    <row r="233">
      <c r="A233" s="50">
        <v>223.0</v>
      </c>
      <c r="B233" s="13" t="s">
        <v>3306</v>
      </c>
      <c r="C233" s="11" t="s">
        <v>3307</v>
      </c>
      <c r="D233" s="12" t="s">
        <v>31</v>
      </c>
      <c r="E233" s="13" t="s">
        <v>3308</v>
      </c>
      <c r="F233" s="12">
        <v>35.0</v>
      </c>
      <c r="G233" s="12">
        <v>1990.0</v>
      </c>
      <c r="H233" s="15">
        <v>21.3</v>
      </c>
      <c r="I233" s="17">
        <v>0.05</v>
      </c>
      <c r="J233" s="18">
        <v>0.28</v>
      </c>
      <c r="K233" s="18">
        <v>0.05</v>
      </c>
      <c r="L233" s="15">
        <v>16.7</v>
      </c>
      <c r="M233" s="15">
        <v>0.28</v>
      </c>
      <c r="N233" s="15">
        <v>0.05</v>
      </c>
      <c r="O233" s="15">
        <v>0.17</v>
      </c>
      <c r="P233" s="15">
        <v>1.0</v>
      </c>
      <c r="Q233" s="19">
        <v>0.0</v>
      </c>
      <c r="R233" s="19">
        <v>0.0</v>
      </c>
      <c r="S233" s="20" t="s">
        <v>3309</v>
      </c>
    </row>
    <row r="234">
      <c r="A234" s="50">
        <v>224.0</v>
      </c>
      <c r="B234" s="13" t="s">
        <v>3310</v>
      </c>
      <c r="C234" s="11" t="s">
        <v>3311</v>
      </c>
      <c r="D234" s="12" t="s">
        <v>36</v>
      </c>
      <c r="E234" s="13" t="s">
        <v>3312</v>
      </c>
      <c r="F234" s="12">
        <v>28.0</v>
      </c>
      <c r="G234" s="12">
        <v>1997.0</v>
      </c>
      <c r="H234" s="15">
        <v>14.8</v>
      </c>
      <c r="I234" s="22">
        <v>0.0</v>
      </c>
      <c r="J234" s="18">
        <v>0.34</v>
      </c>
      <c r="K234" s="19">
        <v>0.0</v>
      </c>
      <c r="L234" s="21">
        <v>0.0</v>
      </c>
      <c r="M234" s="15">
        <v>0.34</v>
      </c>
      <c r="N234" s="21">
        <v>0.0</v>
      </c>
      <c r="O234" s="21">
        <v>0.0</v>
      </c>
      <c r="P234" s="36"/>
      <c r="Q234" s="19">
        <v>0.0</v>
      </c>
      <c r="R234" s="19">
        <v>0.0</v>
      </c>
      <c r="S234" s="20" t="s">
        <v>3313</v>
      </c>
    </row>
    <row r="235">
      <c r="A235" s="50">
        <v>225.0</v>
      </c>
      <c r="B235" s="13" t="s">
        <v>3314</v>
      </c>
      <c r="C235" s="11" t="s">
        <v>3315</v>
      </c>
      <c r="D235" s="12" t="s">
        <v>98</v>
      </c>
      <c r="E235" s="13" t="s">
        <v>3316</v>
      </c>
      <c r="F235" s="12">
        <v>25.0</v>
      </c>
      <c r="G235" s="12">
        <v>2000.0</v>
      </c>
      <c r="H235" s="15">
        <v>18.0</v>
      </c>
      <c r="I235" s="22">
        <v>0.0</v>
      </c>
      <c r="J235" s="19">
        <v>0.0</v>
      </c>
      <c r="K235" s="19">
        <v>0.0</v>
      </c>
      <c r="L235" s="36"/>
      <c r="M235" s="21">
        <v>0.0</v>
      </c>
      <c r="N235" s="21">
        <v>0.0</v>
      </c>
      <c r="O235" s="36"/>
      <c r="P235" s="36"/>
      <c r="Q235" s="19">
        <v>0.0</v>
      </c>
      <c r="R235" s="19">
        <v>0.0</v>
      </c>
      <c r="S235" s="20" t="s">
        <v>3317</v>
      </c>
    </row>
    <row r="236">
      <c r="A236" s="37" t="s">
        <v>3</v>
      </c>
      <c r="B236" s="51" t="s">
        <v>4</v>
      </c>
      <c r="C236" s="39" t="s">
        <v>5</v>
      </c>
      <c r="D236" s="39" t="s">
        <v>6</v>
      </c>
      <c r="E236" s="39" t="s">
        <v>7</v>
      </c>
      <c r="F236" s="39" t="s">
        <v>8</v>
      </c>
      <c r="G236" s="39" t="s">
        <v>9</v>
      </c>
      <c r="H236" s="39" t="s">
        <v>13</v>
      </c>
      <c r="I236" s="40" t="s">
        <v>14</v>
      </c>
      <c r="J236" s="39" t="s">
        <v>2411</v>
      </c>
      <c r="K236" s="39" t="s">
        <v>2412</v>
      </c>
      <c r="L236" s="39" t="s">
        <v>2413</v>
      </c>
      <c r="M236" s="39" t="s">
        <v>2414</v>
      </c>
      <c r="N236" s="39" t="s">
        <v>2415</v>
      </c>
      <c r="O236" s="39" t="s">
        <v>2416</v>
      </c>
      <c r="P236" s="39" t="s">
        <v>2417</v>
      </c>
      <c r="Q236" s="39" t="s">
        <v>18</v>
      </c>
      <c r="R236" s="39" t="s">
        <v>19</v>
      </c>
      <c r="S236" s="40" t="s">
        <v>23</v>
      </c>
    </row>
    <row r="237">
      <c r="A237" s="50">
        <v>226.0</v>
      </c>
      <c r="B237" s="13" t="s">
        <v>3318</v>
      </c>
      <c r="C237" s="11" t="s">
        <v>3319</v>
      </c>
      <c r="D237" s="12" t="s">
        <v>345</v>
      </c>
      <c r="E237" s="13" t="s">
        <v>3320</v>
      </c>
      <c r="F237" s="12">
        <v>23.0</v>
      </c>
      <c r="G237" s="12">
        <v>2002.0</v>
      </c>
      <c r="H237" s="15">
        <v>7.7</v>
      </c>
      <c r="I237" s="22">
        <v>0.0</v>
      </c>
      <c r="J237" s="18">
        <v>0.78</v>
      </c>
      <c r="K237" s="18">
        <v>0.13</v>
      </c>
      <c r="L237" s="15">
        <v>16.7</v>
      </c>
      <c r="M237" s="15">
        <v>0.78</v>
      </c>
      <c r="N237" s="15">
        <v>0.13</v>
      </c>
      <c r="O237" s="21">
        <v>0.0</v>
      </c>
      <c r="P237" s="21">
        <v>0.0</v>
      </c>
      <c r="Q237" s="19">
        <v>0.0</v>
      </c>
      <c r="R237" s="19">
        <v>0.0</v>
      </c>
      <c r="S237" s="20" t="s">
        <v>3321</v>
      </c>
    </row>
    <row r="238">
      <c r="A238" s="50">
        <v>227.0</v>
      </c>
      <c r="B238" s="13" t="s">
        <v>3322</v>
      </c>
      <c r="C238" s="11" t="s">
        <v>3323</v>
      </c>
      <c r="D238" s="12" t="s">
        <v>36</v>
      </c>
      <c r="E238" s="13" t="s">
        <v>3324</v>
      </c>
      <c r="F238" s="12">
        <v>23.0</v>
      </c>
      <c r="G238" s="12">
        <v>2002.0</v>
      </c>
      <c r="H238" s="15">
        <v>23.4</v>
      </c>
      <c r="I238" s="22">
        <v>0.0</v>
      </c>
      <c r="J238" s="18">
        <v>0.51</v>
      </c>
      <c r="K238" s="18">
        <v>0.09</v>
      </c>
      <c r="L238" s="15">
        <v>16.7</v>
      </c>
      <c r="M238" s="15">
        <v>0.51</v>
      </c>
      <c r="N238" s="15">
        <v>0.09</v>
      </c>
      <c r="O238" s="21">
        <v>0.0</v>
      </c>
      <c r="P238" s="21">
        <v>0.0</v>
      </c>
      <c r="Q238" s="19">
        <v>0.0</v>
      </c>
      <c r="R238" s="19">
        <v>0.0</v>
      </c>
      <c r="S238" s="20" t="s">
        <v>3325</v>
      </c>
    </row>
    <row r="239">
      <c r="A239" s="50">
        <v>228.0</v>
      </c>
      <c r="B239" s="13" t="s">
        <v>3326</v>
      </c>
      <c r="C239" s="11" t="s">
        <v>3327</v>
      </c>
      <c r="D239" s="12" t="s">
        <v>36</v>
      </c>
      <c r="E239" s="13" t="s">
        <v>3328</v>
      </c>
      <c r="F239" s="12">
        <v>23.0</v>
      </c>
      <c r="G239" s="12">
        <v>2002.0</v>
      </c>
      <c r="H239" s="15">
        <v>19.9</v>
      </c>
      <c r="I239" s="17">
        <v>0.05</v>
      </c>
      <c r="J239" s="18">
        <v>0.15</v>
      </c>
      <c r="K239" s="18">
        <v>0.1</v>
      </c>
      <c r="L239" s="15">
        <v>66.7</v>
      </c>
      <c r="M239" s="15">
        <v>0.15</v>
      </c>
      <c r="N239" s="15">
        <v>0.1</v>
      </c>
      <c r="O239" s="15">
        <v>0.33</v>
      </c>
      <c r="P239" s="15">
        <v>0.5</v>
      </c>
      <c r="Q239" s="19">
        <v>0.0</v>
      </c>
      <c r="R239" s="19">
        <v>0.0</v>
      </c>
      <c r="S239" s="20" t="s">
        <v>3329</v>
      </c>
    </row>
    <row r="240">
      <c r="A240" s="50">
        <v>229.0</v>
      </c>
      <c r="B240" s="13" t="s">
        <v>3330</v>
      </c>
      <c r="C240" s="11" t="s">
        <v>3331</v>
      </c>
      <c r="D240" s="12" t="s">
        <v>31</v>
      </c>
      <c r="E240" s="13" t="s">
        <v>3332</v>
      </c>
      <c r="F240" s="12">
        <v>20.0</v>
      </c>
      <c r="G240" s="12">
        <v>2005.0</v>
      </c>
      <c r="H240" s="15">
        <v>19.3</v>
      </c>
      <c r="I240" s="17">
        <v>0.21</v>
      </c>
      <c r="J240" s="18">
        <v>1.92</v>
      </c>
      <c r="K240" s="18">
        <v>0.78</v>
      </c>
      <c r="L240" s="15">
        <v>40.5</v>
      </c>
      <c r="M240" s="15">
        <v>1.91</v>
      </c>
      <c r="N240" s="15">
        <v>0.78</v>
      </c>
      <c r="O240" s="15">
        <v>0.11</v>
      </c>
      <c r="P240" s="15">
        <v>0.27</v>
      </c>
      <c r="Q240" s="19">
        <v>0.0</v>
      </c>
      <c r="R240" s="19">
        <v>0.0</v>
      </c>
      <c r="S240" s="20" t="s">
        <v>3333</v>
      </c>
    </row>
    <row r="241">
      <c r="A241" s="50">
        <v>230.0</v>
      </c>
      <c r="B241" s="13" t="s">
        <v>3334</v>
      </c>
      <c r="C241" s="11" t="s">
        <v>3335</v>
      </c>
      <c r="D241" s="12" t="s">
        <v>264</v>
      </c>
      <c r="E241" s="13" t="s">
        <v>3336</v>
      </c>
      <c r="F241" s="12">
        <v>23.0</v>
      </c>
      <c r="G241" s="12">
        <v>2002.0</v>
      </c>
      <c r="H241" s="15">
        <v>4.7</v>
      </c>
      <c r="I241" s="22">
        <v>0.0</v>
      </c>
      <c r="J241" s="18">
        <v>0.21</v>
      </c>
      <c r="K241" s="18">
        <v>0.21</v>
      </c>
      <c r="L241" s="15">
        <v>100.0</v>
      </c>
      <c r="M241" s="15">
        <v>0.21</v>
      </c>
      <c r="N241" s="15">
        <v>0.21</v>
      </c>
      <c r="O241" s="21">
        <v>0.0</v>
      </c>
      <c r="P241" s="21">
        <v>0.0</v>
      </c>
      <c r="Q241" s="19">
        <v>0.0</v>
      </c>
      <c r="R241" s="19">
        <v>0.0</v>
      </c>
      <c r="S241" s="20" t="s">
        <v>3337</v>
      </c>
    </row>
    <row r="242">
      <c r="A242" s="50">
        <v>231.0</v>
      </c>
      <c r="B242" s="13" t="s">
        <v>3338</v>
      </c>
      <c r="C242" s="11" t="s">
        <v>3339</v>
      </c>
      <c r="D242" s="12" t="s">
        <v>31</v>
      </c>
      <c r="E242" s="13" t="s">
        <v>3340</v>
      </c>
      <c r="F242" s="12">
        <v>17.0</v>
      </c>
      <c r="G242" s="12">
        <v>2008.0</v>
      </c>
      <c r="H242" s="15">
        <v>1.0</v>
      </c>
      <c r="I242" s="22">
        <v>0.0</v>
      </c>
      <c r="J242" s="19">
        <v>0.0</v>
      </c>
      <c r="K242" s="19">
        <v>0.0</v>
      </c>
      <c r="L242" s="36"/>
      <c r="M242" s="21">
        <v>0.0</v>
      </c>
      <c r="N242" s="21">
        <v>0.0</v>
      </c>
      <c r="O242" s="36"/>
      <c r="P242" s="36"/>
      <c r="Q242" s="19">
        <v>0.0</v>
      </c>
      <c r="R242" s="19">
        <v>0.0</v>
      </c>
      <c r="S242" s="20" t="s">
        <v>3341</v>
      </c>
    </row>
    <row r="243">
      <c r="A243" s="50">
        <v>232.0</v>
      </c>
      <c r="B243" s="13" t="s">
        <v>3342</v>
      </c>
      <c r="C243" s="11" t="s">
        <v>3343</v>
      </c>
      <c r="D243" s="12" t="s">
        <v>31</v>
      </c>
      <c r="E243" s="13" t="s">
        <v>3344</v>
      </c>
      <c r="F243" s="12">
        <v>24.0</v>
      </c>
      <c r="G243" s="12">
        <v>2000.0</v>
      </c>
      <c r="H243" s="15">
        <v>20.5</v>
      </c>
      <c r="I243" s="17">
        <v>0.15</v>
      </c>
      <c r="J243" s="18">
        <v>1.46</v>
      </c>
      <c r="K243" s="18">
        <v>0.49</v>
      </c>
      <c r="L243" s="15">
        <v>33.3</v>
      </c>
      <c r="M243" s="15">
        <v>1.47</v>
      </c>
      <c r="N243" s="15">
        <v>0.49</v>
      </c>
      <c r="O243" s="15">
        <v>0.1</v>
      </c>
      <c r="P243" s="15">
        <v>0.3</v>
      </c>
      <c r="Q243" s="19">
        <v>0.0</v>
      </c>
      <c r="R243" s="19">
        <v>0.0</v>
      </c>
      <c r="S243" s="20" t="s">
        <v>3345</v>
      </c>
    </row>
    <row r="244">
      <c r="A244" s="50">
        <v>233.0</v>
      </c>
      <c r="B244" s="13" t="s">
        <v>3346</v>
      </c>
      <c r="C244" s="11" t="s">
        <v>3347</v>
      </c>
      <c r="D244" s="12" t="s">
        <v>31</v>
      </c>
      <c r="E244" s="13" t="s">
        <v>3348</v>
      </c>
      <c r="F244" s="12">
        <v>30.0</v>
      </c>
      <c r="G244" s="12">
        <v>1995.0</v>
      </c>
      <c r="H244" s="15">
        <v>17.5</v>
      </c>
      <c r="I244" s="22">
        <v>0.0</v>
      </c>
      <c r="J244" s="18">
        <v>0.97</v>
      </c>
      <c r="K244" s="19">
        <v>0.0</v>
      </c>
      <c r="L244" s="21">
        <v>0.0</v>
      </c>
      <c r="M244" s="15">
        <v>0.97</v>
      </c>
      <c r="N244" s="21">
        <v>0.0</v>
      </c>
      <c r="O244" s="21">
        <v>0.0</v>
      </c>
      <c r="P244" s="36"/>
      <c r="Q244" s="19">
        <v>0.0</v>
      </c>
      <c r="R244" s="19">
        <v>0.0</v>
      </c>
      <c r="S244" s="20" t="s">
        <v>3349</v>
      </c>
    </row>
    <row r="245">
      <c r="A245" s="50">
        <v>234.0</v>
      </c>
      <c r="B245" s="13" t="s">
        <v>3350</v>
      </c>
      <c r="C245" s="11" t="s">
        <v>3351</v>
      </c>
      <c r="D245" s="12" t="s">
        <v>345</v>
      </c>
      <c r="E245" s="13" t="s">
        <v>3352</v>
      </c>
      <c r="F245" s="12">
        <v>23.0</v>
      </c>
      <c r="G245" s="12">
        <v>2002.0</v>
      </c>
      <c r="H245" s="15">
        <v>33.7</v>
      </c>
      <c r="I245" s="17">
        <v>0.06</v>
      </c>
      <c r="J245" s="18">
        <v>1.01</v>
      </c>
      <c r="K245" s="18">
        <v>0.21</v>
      </c>
      <c r="L245" s="15">
        <v>20.6</v>
      </c>
      <c r="M245" s="15">
        <v>1.01</v>
      </c>
      <c r="N245" s="15">
        <v>0.21</v>
      </c>
      <c r="O245" s="15">
        <v>0.06</v>
      </c>
      <c r="P245" s="15">
        <v>0.29</v>
      </c>
      <c r="Q245" s="19">
        <v>0.0</v>
      </c>
      <c r="R245" s="19">
        <v>0.0</v>
      </c>
      <c r="S245" s="20" t="s">
        <v>3353</v>
      </c>
    </row>
    <row r="246">
      <c r="A246" s="50">
        <v>235.0</v>
      </c>
      <c r="B246" s="13" t="s">
        <v>3354</v>
      </c>
      <c r="C246" s="11" t="s">
        <v>3355</v>
      </c>
      <c r="D246" s="12" t="s">
        <v>345</v>
      </c>
      <c r="E246" s="13" t="s">
        <v>3356</v>
      </c>
      <c r="F246" s="12">
        <v>22.0</v>
      </c>
      <c r="G246" s="12">
        <v>2003.0</v>
      </c>
      <c r="H246" s="15">
        <v>17.5</v>
      </c>
      <c r="I246" s="22">
        <v>0.0</v>
      </c>
      <c r="J246" s="18">
        <v>0.51</v>
      </c>
      <c r="K246" s="18">
        <v>0.17</v>
      </c>
      <c r="L246" s="15">
        <v>33.3</v>
      </c>
      <c r="M246" s="15">
        <v>0.51</v>
      </c>
      <c r="N246" s="15">
        <v>0.17</v>
      </c>
      <c r="O246" s="21">
        <v>0.0</v>
      </c>
      <c r="P246" s="21">
        <v>0.0</v>
      </c>
      <c r="Q246" s="19">
        <v>0.0</v>
      </c>
      <c r="R246" s="19">
        <v>0.0</v>
      </c>
      <c r="S246" s="20" t="s">
        <v>3357</v>
      </c>
    </row>
    <row r="247">
      <c r="A247" s="50">
        <v>236.0</v>
      </c>
      <c r="B247" s="13" t="s">
        <v>3358</v>
      </c>
      <c r="C247" s="11" t="s">
        <v>3359</v>
      </c>
      <c r="D247" s="12" t="s">
        <v>31</v>
      </c>
      <c r="E247" s="13" t="s">
        <v>3360</v>
      </c>
      <c r="F247" s="12">
        <v>21.0</v>
      </c>
      <c r="G247" s="12">
        <v>2003.0</v>
      </c>
      <c r="H247" s="15">
        <v>18.8</v>
      </c>
      <c r="I247" s="17">
        <v>0.05</v>
      </c>
      <c r="J247" s="18">
        <v>1.33</v>
      </c>
      <c r="K247" s="18">
        <v>0.59</v>
      </c>
      <c r="L247" s="15">
        <v>44.0</v>
      </c>
      <c r="M247" s="15">
        <v>1.33</v>
      </c>
      <c r="N247" s="15">
        <v>0.59</v>
      </c>
      <c r="O247" s="15">
        <v>0.04</v>
      </c>
      <c r="P247" s="15">
        <v>0.09</v>
      </c>
      <c r="Q247" s="19">
        <v>0.0</v>
      </c>
      <c r="R247" s="19">
        <v>0.0</v>
      </c>
      <c r="S247" s="20" t="s">
        <v>3361</v>
      </c>
    </row>
    <row r="248">
      <c r="A248" s="50">
        <v>237.0</v>
      </c>
      <c r="B248" s="13" t="s">
        <v>3362</v>
      </c>
      <c r="C248" s="11" t="s">
        <v>3363</v>
      </c>
      <c r="D248" s="12" t="s">
        <v>36</v>
      </c>
      <c r="E248" s="13" t="s">
        <v>3364</v>
      </c>
      <c r="F248" s="12">
        <v>27.0</v>
      </c>
      <c r="G248" s="12">
        <v>1998.0</v>
      </c>
      <c r="H248" s="15">
        <v>1.2</v>
      </c>
      <c r="I248" s="22">
        <v>0.0</v>
      </c>
      <c r="J248" s="19">
        <v>0.0</v>
      </c>
      <c r="K248" s="19">
        <v>0.0</v>
      </c>
      <c r="L248" s="36"/>
      <c r="M248" s="21">
        <v>0.0</v>
      </c>
      <c r="N248" s="21">
        <v>0.0</v>
      </c>
      <c r="O248" s="36"/>
      <c r="P248" s="36"/>
      <c r="Q248" s="19">
        <v>0.0</v>
      </c>
      <c r="R248" s="19">
        <v>0.0</v>
      </c>
      <c r="S248" s="20" t="s">
        <v>3365</v>
      </c>
    </row>
    <row r="249">
      <c r="A249" s="50">
        <v>238.0</v>
      </c>
      <c r="B249" s="13" t="s">
        <v>3366</v>
      </c>
      <c r="C249" s="11" t="s">
        <v>3367</v>
      </c>
      <c r="D249" s="12" t="s">
        <v>31</v>
      </c>
      <c r="E249" s="13" t="s">
        <v>3368</v>
      </c>
      <c r="F249" s="12">
        <v>22.0</v>
      </c>
      <c r="G249" s="12">
        <v>2003.0</v>
      </c>
      <c r="H249" s="15">
        <v>16.5</v>
      </c>
      <c r="I249" s="22">
        <v>0.0</v>
      </c>
      <c r="J249" s="18">
        <v>0.73</v>
      </c>
      <c r="K249" s="18">
        <v>0.06</v>
      </c>
      <c r="L249" s="15">
        <v>8.3</v>
      </c>
      <c r="M249" s="15">
        <v>0.73</v>
      </c>
      <c r="N249" s="15">
        <v>0.06</v>
      </c>
      <c r="O249" s="21">
        <v>0.0</v>
      </c>
      <c r="P249" s="21">
        <v>0.0</v>
      </c>
      <c r="Q249" s="19">
        <v>0.0</v>
      </c>
      <c r="R249" s="19">
        <v>0.0</v>
      </c>
      <c r="S249" s="20" t="s">
        <v>3369</v>
      </c>
    </row>
    <row r="250">
      <c r="A250" s="50">
        <v>239.0</v>
      </c>
      <c r="B250" s="13" t="s">
        <v>3370</v>
      </c>
      <c r="C250" s="11" t="s">
        <v>3371</v>
      </c>
      <c r="D250" s="12" t="s">
        <v>31</v>
      </c>
      <c r="E250" s="13" t="s">
        <v>3372</v>
      </c>
      <c r="F250" s="12">
        <v>25.0</v>
      </c>
      <c r="G250" s="12">
        <v>2000.0</v>
      </c>
      <c r="H250" s="15">
        <v>1.8</v>
      </c>
      <c r="I250" s="22">
        <v>0.0</v>
      </c>
      <c r="J250" s="19">
        <v>0.0</v>
      </c>
      <c r="K250" s="19">
        <v>0.0</v>
      </c>
      <c r="L250" s="36"/>
      <c r="M250" s="21">
        <v>0.0</v>
      </c>
      <c r="N250" s="21">
        <v>0.0</v>
      </c>
      <c r="O250" s="36"/>
      <c r="P250" s="36"/>
      <c r="Q250" s="19">
        <v>0.0</v>
      </c>
      <c r="R250" s="19">
        <v>0.0</v>
      </c>
      <c r="S250" s="20" t="s">
        <v>3373</v>
      </c>
    </row>
    <row r="251">
      <c r="A251" s="50">
        <v>240.0</v>
      </c>
      <c r="B251" s="13" t="s">
        <v>3374</v>
      </c>
      <c r="C251" s="11" t="s">
        <v>3375</v>
      </c>
      <c r="D251" s="12" t="s">
        <v>41</v>
      </c>
      <c r="E251" s="13" t="s">
        <v>3376</v>
      </c>
      <c r="F251" s="12">
        <v>25.0</v>
      </c>
      <c r="G251" s="12">
        <v>1999.0</v>
      </c>
      <c r="H251" s="15">
        <v>7.8</v>
      </c>
      <c r="I251" s="17">
        <v>0.38</v>
      </c>
      <c r="J251" s="18">
        <v>2.18</v>
      </c>
      <c r="K251" s="18">
        <v>0.77</v>
      </c>
      <c r="L251" s="15">
        <v>35.3</v>
      </c>
      <c r="M251" s="15">
        <v>2.19</v>
      </c>
      <c r="N251" s="15">
        <v>0.77</v>
      </c>
      <c r="O251" s="15">
        <v>0.18</v>
      </c>
      <c r="P251" s="15">
        <v>0.5</v>
      </c>
      <c r="Q251" s="19">
        <v>0.0</v>
      </c>
      <c r="R251" s="19">
        <v>0.0</v>
      </c>
      <c r="S251" s="20" t="s">
        <v>3377</v>
      </c>
    </row>
    <row r="252">
      <c r="A252" s="50">
        <v>241.0</v>
      </c>
      <c r="B252" s="13" t="s">
        <v>3378</v>
      </c>
      <c r="C252" s="11" t="s">
        <v>3379</v>
      </c>
      <c r="D252" s="12" t="s">
        <v>41</v>
      </c>
      <c r="E252" s="13" t="s">
        <v>3380</v>
      </c>
      <c r="F252" s="12">
        <v>24.0</v>
      </c>
      <c r="G252" s="12">
        <v>2000.0</v>
      </c>
      <c r="H252" s="15">
        <v>12.9</v>
      </c>
      <c r="I252" s="17">
        <v>0.47</v>
      </c>
      <c r="J252" s="18">
        <v>3.33</v>
      </c>
      <c r="K252" s="18">
        <v>1.32</v>
      </c>
      <c r="L252" s="15">
        <v>39.5</v>
      </c>
      <c r="M252" s="15">
        <v>3.32</v>
      </c>
      <c r="N252" s="15">
        <v>1.31</v>
      </c>
      <c r="O252" s="15">
        <v>0.14</v>
      </c>
      <c r="P252" s="15">
        <v>0.35</v>
      </c>
      <c r="Q252" s="19">
        <v>0.0</v>
      </c>
      <c r="R252" s="19">
        <v>0.0</v>
      </c>
      <c r="S252" s="20" t="s">
        <v>3381</v>
      </c>
    </row>
    <row r="253">
      <c r="A253" s="50">
        <v>242.0</v>
      </c>
      <c r="B253" s="13" t="s">
        <v>3382</v>
      </c>
      <c r="C253" s="11" t="s">
        <v>3383</v>
      </c>
      <c r="D253" s="12" t="s">
        <v>31</v>
      </c>
      <c r="E253" s="13" t="s">
        <v>3384</v>
      </c>
      <c r="F253" s="12">
        <v>29.0</v>
      </c>
      <c r="G253" s="12">
        <v>1996.0</v>
      </c>
      <c r="H253" s="15">
        <v>26.9</v>
      </c>
      <c r="I253" s="17">
        <v>0.15</v>
      </c>
      <c r="J253" s="18">
        <v>1.45</v>
      </c>
      <c r="K253" s="18">
        <v>0.56</v>
      </c>
      <c r="L253" s="15">
        <v>38.5</v>
      </c>
      <c r="M253" s="15">
        <v>1.45</v>
      </c>
      <c r="N253" s="15">
        <v>0.56</v>
      </c>
      <c r="O253" s="15">
        <v>0.1</v>
      </c>
      <c r="P253" s="15">
        <v>0.27</v>
      </c>
      <c r="Q253" s="19">
        <v>0.0</v>
      </c>
      <c r="R253" s="19">
        <v>0.0</v>
      </c>
      <c r="S253" s="20" t="s">
        <v>3385</v>
      </c>
    </row>
    <row r="254">
      <c r="A254" s="50">
        <v>243.0</v>
      </c>
      <c r="B254" s="13" t="s">
        <v>3386</v>
      </c>
      <c r="C254" s="11" t="s">
        <v>3387</v>
      </c>
      <c r="D254" s="12" t="s">
        <v>107</v>
      </c>
      <c r="E254" s="13" t="s">
        <v>3388</v>
      </c>
      <c r="F254" s="12">
        <v>27.0</v>
      </c>
      <c r="G254" s="12">
        <v>1997.0</v>
      </c>
      <c r="H254" s="15">
        <v>6.2</v>
      </c>
      <c r="I254" s="22">
        <v>0.0</v>
      </c>
      <c r="J254" s="18">
        <v>2.26</v>
      </c>
      <c r="K254" s="18">
        <v>0.48</v>
      </c>
      <c r="L254" s="15">
        <v>21.4</v>
      </c>
      <c r="M254" s="15">
        <v>2.25</v>
      </c>
      <c r="N254" s="15">
        <v>0.48</v>
      </c>
      <c r="O254" s="21">
        <v>0.0</v>
      </c>
      <c r="P254" s="21">
        <v>0.0</v>
      </c>
      <c r="Q254" s="19">
        <v>0.0</v>
      </c>
      <c r="R254" s="19">
        <v>0.0</v>
      </c>
      <c r="S254" s="20" t="s">
        <v>3389</v>
      </c>
    </row>
    <row r="255">
      <c r="A255" s="50">
        <v>244.0</v>
      </c>
      <c r="B255" s="13" t="s">
        <v>3390</v>
      </c>
      <c r="C255" s="11" t="s">
        <v>3391</v>
      </c>
      <c r="D255" s="12" t="s">
        <v>345</v>
      </c>
      <c r="E255" s="13" t="s">
        <v>3392</v>
      </c>
      <c r="F255" s="12">
        <v>25.0</v>
      </c>
      <c r="G255" s="12">
        <v>1999.0</v>
      </c>
      <c r="H255" s="15">
        <v>21.8</v>
      </c>
      <c r="I255" s="17">
        <v>0.09</v>
      </c>
      <c r="J255" s="18">
        <v>1.01</v>
      </c>
      <c r="K255" s="18">
        <v>0.32</v>
      </c>
      <c r="L255" s="15">
        <v>31.8</v>
      </c>
      <c r="M255" s="15">
        <v>1.01</v>
      </c>
      <c r="N255" s="15">
        <v>0.32</v>
      </c>
      <c r="O255" s="15">
        <v>0.09</v>
      </c>
      <c r="P255" s="15">
        <v>0.29</v>
      </c>
      <c r="Q255" s="19">
        <v>0.0</v>
      </c>
      <c r="R255" s="19">
        <v>0.0</v>
      </c>
      <c r="S255" s="20" t="s">
        <v>3393</v>
      </c>
    </row>
    <row r="256">
      <c r="A256" s="50">
        <v>245.0</v>
      </c>
      <c r="B256" s="13" t="s">
        <v>3394</v>
      </c>
      <c r="C256" s="11" t="s">
        <v>3395</v>
      </c>
      <c r="D256" s="12" t="s">
        <v>31</v>
      </c>
      <c r="E256" s="13" t="s">
        <v>3396</v>
      </c>
      <c r="F256" s="12">
        <v>27.0</v>
      </c>
      <c r="G256" s="12">
        <v>1998.0</v>
      </c>
      <c r="H256" s="15">
        <v>16.0</v>
      </c>
      <c r="I256" s="17">
        <v>0.06</v>
      </c>
      <c r="J256" s="18">
        <v>0.75</v>
      </c>
      <c r="K256" s="18">
        <v>0.19</v>
      </c>
      <c r="L256" s="15">
        <v>25.0</v>
      </c>
      <c r="M256" s="15">
        <v>0.75</v>
      </c>
      <c r="N256" s="15">
        <v>0.19</v>
      </c>
      <c r="O256" s="15">
        <v>0.08</v>
      </c>
      <c r="P256" s="15">
        <v>0.33</v>
      </c>
      <c r="Q256" s="19">
        <v>0.0</v>
      </c>
      <c r="R256" s="19">
        <v>0.0</v>
      </c>
      <c r="S256" s="20" t="s">
        <v>3397</v>
      </c>
    </row>
    <row r="257">
      <c r="A257" s="50">
        <v>246.0</v>
      </c>
      <c r="B257" s="13" t="s">
        <v>3398</v>
      </c>
      <c r="C257" s="11" t="s">
        <v>3399</v>
      </c>
      <c r="D257" s="12" t="s">
        <v>31</v>
      </c>
      <c r="E257" s="13" t="s">
        <v>3400</v>
      </c>
      <c r="F257" s="12">
        <v>29.0</v>
      </c>
      <c r="G257" s="12">
        <v>1996.0</v>
      </c>
      <c r="H257" s="15">
        <v>25.0</v>
      </c>
      <c r="I257" s="17">
        <v>0.12</v>
      </c>
      <c r="J257" s="18">
        <v>1.16</v>
      </c>
      <c r="K257" s="18">
        <v>0.32</v>
      </c>
      <c r="L257" s="15">
        <v>27.6</v>
      </c>
      <c r="M257" s="15">
        <v>1.16</v>
      </c>
      <c r="N257" s="15">
        <v>0.32</v>
      </c>
      <c r="O257" s="15">
        <v>0.1</v>
      </c>
      <c r="P257" s="15">
        <v>0.38</v>
      </c>
      <c r="Q257" s="19">
        <v>0.0</v>
      </c>
      <c r="R257" s="19">
        <v>0.0</v>
      </c>
      <c r="S257" s="20" t="s">
        <v>3401</v>
      </c>
    </row>
    <row r="258">
      <c r="A258" s="50">
        <v>247.0</v>
      </c>
      <c r="B258" s="13" t="s">
        <v>3402</v>
      </c>
      <c r="C258" s="11" t="s">
        <v>3403</v>
      </c>
      <c r="D258" s="12" t="s">
        <v>41</v>
      </c>
      <c r="E258" s="13" t="s">
        <v>3404</v>
      </c>
      <c r="F258" s="12">
        <v>28.0</v>
      </c>
      <c r="G258" s="12">
        <v>1997.0</v>
      </c>
      <c r="H258" s="15">
        <v>4.8</v>
      </c>
      <c r="I258" s="17">
        <v>0.63</v>
      </c>
      <c r="J258" s="18">
        <v>3.96</v>
      </c>
      <c r="K258" s="18">
        <v>2.5</v>
      </c>
      <c r="L258" s="15">
        <v>63.2</v>
      </c>
      <c r="M258" s="15">
        <v>3.99</v>
      </c>
      <c r="N258" s="15">
        <v>2.52</v>
      </c>
      <c r="O258" s="15">
        <v>0.16</v>
      </c>
      <c r="P258" s="15">
        <v>0.25</v>
      </c>
      <c r="Q258" s="19">
        <v>0.0</v>
      </c>
      <c r="R258" s="19">
        <v>0.0</v>
      </c>
      <c r="S258" s="20" t="s">
        <v>3405</v>
      </c>
    </row>
    <row r="259">
      <c r="A259" s="50">
        <v>248.0</v>
      </c>
      <c r="B259" s="13" t="s">
        <v>3406</v>
      </c>
      <c r="C259" s="11" t="s">
        <v>3407</v>
      </c>
      <c r="D259" s="12" t="s">
        <v>41</v>
      </c>
      <c r="E259" s="13" t="s">
        <v>3408</v>
      </c>
      <c r="F259" s="12">
        <v>24.0</v>
      </c>
      <c r="G259" s="12">
        <v>2001.0</v>
      </c>
      <c r="H259" s="15">
        <v>25.5</v>
      </c>
      <c r="I259" s="17">
        <v>0.24</v>
      </c>
      <c r="J259" s="18">
        <v>2.75</v>
      </c>
      <c r="K259" s="18">
        <v>0.82</v>
      </c>
      <c r="L259" s="15">
        <v>30.0</v>
      </c>
      <c r="M259" s="15">
        <v>2.74</v>
      </c>
      <c r="N259" s="15">
        <v>0.82</v>
      </c>
      <c r="O259" s="15">
        <v>0.07</v>
      </c>
      <c r="P259" s="15">
        <v>0.24</v>
      </c>
      <c r="Q259" s="18">
        <v>0.04</v>
      </c>
      <c r="R259" s="18">
        <v>0.04</v>
      </c>
      <c r="S259" s="20" t="s">
        <v>3409</v>
      </c>
    </row>
    <row r="260">
      <c r="A260" s="50">
        <v>249.0</v>
      </c>
      <c r="B260" s="13" t="s">
        <v>3410</v>
      </c>
      <c r="C260" s="11" t="s">
        <v>3411</v>
      </c>
      <c r="D260" s="12" t="s">
        <v>345</v>
      </c>
      <c r="E260" s="13" t="s">
        <v>3412</v>
      </c>
      <c r="F260" s="12">
        <v>20.0</v>
      </c>
      <c r="G260" s="12">
        <v>2005.0</v>
      </c>
      <c r="H260" s="15">
        <v>25.7</v>
      </c>
      <c r="I260" s="17">
        <v>0.04</v>
      </c>
      <c r="J260" s="18">
        <v>0.82</v>
      </c>
      <c r="K260" s="18">
        <v>0.16</v>
      </c>
      <c r="L260" s="15">
        <v>19.0</v>
      </c>
      <c r="M260" s="15">
        <v>0.82</v>
      </c>
      <c r="N260" s="15">
        <v>0.16</v>
      </c>
      <c r="O260" s="15">
        <v>0.05</v>
      </c>
      <c r="P260" s="15">
        <v>0.25</v>
      </c>
      <c r="Q260" s="19">
        <v>0.0</v>
      </c>
      <c r="R260" s="19">
        <v>0.0</v>
      </c>
      <c r="S260" s="20" t="s">
        <v>3413</v>
      </c>
    </row>
    <row r="261">
      <c r="A261" s="50">
        <v>250.0</v>
      </c>
      <c r="B261" s="13" t="s">
        <v>3414</v>
      </c>
      <c r="C261" s="11" t="s">
        <v>3415</v>
      </c>
      <c r="D261" s="12" t="s">
        <v>41</v>
      </c>
      <c r="E261" s="13" t="s">
        <v>3416</v>
      </c>
      <c r="F261" s="12">
        <v>34.0</v>
      </c>
      <c r="G261" s="12">
        <v>1991.0</v>
      </c>
      <c r="H261" s="15">
        <v>24.3</v>
      </c>
      <c r="I261" s="17">
        <v>0.37</v>
      </c>
      <c r="J261" s="18">
        <v>3.0</v>
      </c>
      <c r="K261" s="18">
        <v>0.74</v>
      </c>
      <c r="L261" s="15">
        <v>24.7</v>
      </c>
      <c r="M261" s="15">
        <v>3.0</v>
      </c>
      <c r="N261" s="15">
        <v>0.74</v>
      </c>
      <c r="O261" s="15">
        <v>0.07</v>
      </c>
      <c r="P261" s="15">
        <v>0.28</v>
      </c>
      <c r="Q261" s="18">
        <v>0.16</v>
      </c>
      <c r="R261" s="18">
        <v>0.16</v>
      </c>
      <c r="S261" s="20" t="s">
        <v>3417</v>
      </c>
    </row>
    <row r="262">
      <c r="A262" s="37" t="s">
        <v>3</v>
      </c>
      <c r="B262" s="51" t="s">
        <v>4</v>
      </c>
      <c r="C262" s="39" t="s">
        <v>5</v>
      </c>
      <c r="D262" s="39" t="s">
        <v>6</v>
      </c>
      <c r="E262" s="39" t="s">
        <v>7</v>
      </c>
      <c r="F262" s="39" t="s">
        <v>8</v>
      </c>
      <c r="G262" s="39" t="s">
        <v>9</v>
      </c>
      <c r="H262" s="39" t="s">
        <v>13</v>
      </c>
      <c r="I262" s="40" t="s">
        <v>14</v>
      </c>
      <c r="J262" s="39" t="s">
        <v>2411</v>
      </c>
      <c r="K262" s="39" t="s">
        <v>2412</v>
      </c>
      <c r="L262" s="39" t="s">
        <v>2413</v>
      </c>
      <c r="M262" s="39" t="s">
        <v>2414</v>
      </c>
      <c r="N262" s="39" t="s">
        <v>2415</v>
      </c>
      <c r="O262" s="39" t="s">
        <v>2416</v>
      </c>
      <c r="P262" s="39" t="s">
        <v>2417</v>
      </c>
      <c r="Q262" s="39" t="s">
        <v>18</v>
      </c>
      <c r="R262" s="39" t="s">
        <v>19</v>
      </c>
      <c r="S262" s="40" t="s">
        <v>23</v>
      </c>
    </row>
    <row r="263">
      <c r="A263" s="50">
        <v>251.0</v>
      </c>
      <c r="B263" s="13" t="s">
        <v>3418</v>
      </c>
      <c r="C263" s="11" t="s">
        <v>3419</v>
      </c>
      <c r="D263" s="12" t="s">
        <v>31</v>
      </c>
      <c r="E263" s="13" t="s">
        <v>3420</v>
      </c>
      <c r="F263" s="12">
        <v>18.0</v>
      </c>
      <c r="G263" s="12">
        <v>2006.0</v>
      </c>
      <c r="H263" s="15">
        <v>0.1</v>
      </c>
      <c r="I263" s="22">
        <v>0.0</v>
      </c>
      <c r="J263" s="19">
        <v>0.0</v>
      </c>
      <c r="K263" s="19">
        <v>0.0</v>
      </c>
      <c r="L263" s="36"/>
      <c r="M263" s="21">
        <v>0.0</v>
      </c>
      <c r="N263" s="21">
        <v>0.0</v>
      </c>
      <c r="O263" s="36"/>
      <c r="P263" s="36"/>
      <c r="Q263" s="19">
        <v>0.0</v>
      </c>
      <c r="R263" s="19">
        <v>0.0</v>
      </c>
      <c r="S263" s="20" t="s">
        <v>3421</v>
      </c>
    </row>
    <row r="264">
      <c r="A264" s="50">
        <v>252.0</v>
      </c>
      <c r="B264" s="13" t="s">
        <v>3422</v>
      </c>
      <c r="C264" s="11" t="s">
        <v>3423</v>
      </c>
      <c r="D264" s="12" t="s">
        <v>107</v>
      </c>
      <c r="E264" s="13" t="s">
        <v>3424</v>
      </c>
      <c r="F264" s="12">
        <v>23.0</v>
      </c>
      <c r="G264" s="12">
        <v>2001.0</v>
      </c>
      <c r="H264" s="15">
        <v>29.6</v>
      </c>
      <c r="I264" s="17">
        <v>0.51</v>
      </c>
      <c r="J264" s="18">
        <v>2.47</v>
      </c>
      <c r="K264" s="18">
        <v>0.95</v>
      </c>
      <c r="L264" s="15">
        <v>38.4</v>
      </c>
      <c r="M264" s="15">
        <v>2.47</v>
      </c>
      <c r="N264" s="15">
        <v>0.95</v>
      </c>
      <c r="O264" s="15">
        <v>0.21</v>
      </c>
      <c r="P264" s="15">
        <v>0.54</v>
      </c>
      <c r="Q264" s="19">
        <v>0.0</v>
      </c>
      <c r="R264" s="19">
        <v>0.0</v>
      </c>
      <c r="S264" s="20" t="s">
        <v>3425</v>
      </c>
    </row>
    <row r="265">
      <c r="A265" s="50">
        <v>253.0</v>
      </c>
      <c r="B265" s="13" t="s">
        <v>3426</v>
      </c>
      <c r="C265" s="11" t="s">
        <v>3427</v>
      </c>
      <c r="D265" s="12" t="s">
        <v>31</v>
      </c>
      <c r="E265" s="13" t="s">
        <v>3428</v>
      </c>
      <c r="F265" s="12">
        <v>28.0</v>
      </c>
      <c r="G265" s="12">
        <v>1996.0</v>
      </c>
      <c r="H265" s="15">
        <v>21.7</v>
      </c>
      <c r="I265" s="17">
        <v>0.09</v>
      </c>
      <c r="J265" s="18">
        <v>1.47</v>
      </c>
      <c r="K265" s="18">
        <v>0.51</v>
      </c>
      <c r="L265" s="15">
        <v>34.4</v>
      </c>
      <c r="M265" s="15">
        <v>1.48</v>
      </c>
      <c r="N265" s="15">
        <v>0.51</v>
      </c>
      <c r="O265" s="15">
        <v>0.06</v>
      </c>
      <c r="P265" s="15">
        <v>0.18</v>
      </c>
      <c r="Q265" s="19">
        <v>0.0</v>
      </c>
      <c r="R265" s="19">
        <v>0.0</v>
      </c>
      <c r="S265" s="20" t="s">
        <v>3429</v>
      </c>
    </row>
    <row r="266">
      <c r="A266" s="50">
        <v>254.0</v>
      </c>
      <c r="B266" s="13" t="s">
        <v>3430</v>
      </c>
      <c r="C266" s="11" t="s">
        <v>3431</v>
      </c>
      <c r="D266" s="12" t="s">
        <v>98</v>
      </c>
      <c r="E266" s="13" t="s">
        <v>3432</v>
      </c>
      <c r="F266" s="12">
        <v>29.0</v>
      </c>
      <c r="G266" s="12">
        <v>1996.0</v>
      </c>
      <c r="H266" s="15">
        <v>4.9</v>
      </c>
      <c r="I266" s="22">
        <v>0.0</v>
      </c>
      <c r="J266" s="19">
        <v>0.0</v>
      </c>
      <c r="K266" s="19">
        <v>0.0</v>
      </c>
      <c r="L266" s="36"/>
      <c r="M266" s="21">
        <v>0.0</v>
      </c>
      <c r="N266" s="21">
        <v>0.0</v>
      </c>
      <c r="O266" s="36"/>
      <c r="P266" s="36"/>
      <c r="Q266" s="19">
        <v>0.0</v>
      </c>
      <c r="R266" s="19">
        <v>0.0</v>
      </c>
      <c r="S266" s="20" t="s">
        <v>3433</v>
      </c>
    </row>
    <row r="267">
      <c r="A267" s="50">
        <v>255.0</v>
      </c>
      <c r="B267" s="13" t="s">
        <v>3434</v>
      </c>
      <c r="C267" s="11" t="s">
        <v>3435</v>
      </c>
      <c r="D267" s="12" t="s">
        <v>26</v>
      </c>
      <c r="E267" s="13" t="s">
        <v>3436</v>
      </c>
      <c r="F267" s="12">
        <v>24.0</v>
      </c>
      <c r="G267" s="12">
        <v>2001.0</v>
      </c>
      <c r="H267" s="15">
        <v>6.8</v>
      </c>
      <c r="I267" s="17">
        <v>0.29</v>
      </c>
      <c r="J267" s="18">
        <v>0.88</v>
      </c>
      <c r="K267" s="18">
        <v>0.29</v>
      </c>
      <c r="L267" s="15">
        <v>33.3</v>
      </c>
      <c r="M267" s="15">
        <v>0.89</v>
      </c>
      <c r="N267" s="15">
        <v>0.3</v>
      </c>
      <c r="O267" s="15">
        <v>0.33</v>
      </c>
      <c r="P267" s="15">
        <v>1.0</v>
      </c>
      <c r="Q267" s="19">
        <v>0.0</v>
      </c>
      <c r="R267" s="19">
        <v>0.0</v>
      </c>
      <c r="S267" s="20" t="s">
        <v>3437</v>
      </c>
    </row>
    <row r="268">
      <c r="A268" s="50">
        <v>256.0</v>
      </c>
      <c r="B268" s="13" t="s">
        <v>3438</v>
      </c>
      <c r="C268" s="11" t="s">
        <v>3439</v>
      </c>
      <c r="D268" s="12" t="s">
        <v>26</v>
      </c>
      <c r="E268" s="13" t="s">
        <v>3440</v>
      </c>
      <c r="F268" s="12">
        <v>24.0</v>
      </c>
      <c r="G268" s="12">
        <v>2001.0</v>
      </c>
      <c r="H268" s="15">
        <v>12.4</v>
      </c>
      <c r="I268" s="22">
        <v>0.0</v>
      </c>
      <c r="J268" s="18">
        <v>1.37</v>
      </c>
      <c r="K268" s="18">
        <v>0.24</v>
      </c>
      <c r="L268" s="15">
        <v>17.6</v>
      </c>
      <c r="M268" s="15">
        <v>1.38</v>
      </c>
      <c r="N268" s="15">
        <v>0.24</v>
      </c>
      <c r="O268" s="21">
        <v>0.0</v>
      </c>
      <c r="P268" s="21">
        <v>0.0</v>
      </c>
      <c r="Q268" s="19">
        <v>0.0</v>
      </c>
      <c r="R268" s="19">
        <v>0.0</v>
      </c>
      <c r="S268" s="20" t="s">
        <v>3441</v>
      </c>
    </row>
    <row r="269">
      <c r="A269" s="50">
        <v>257.0</v>
      </c>
      <c r="B269" s="13" t="s">
        <v>3442</v>
      </c>
      <c r="C269" s="11" t="s">
        <v>3443</v>
      </c>
      <c r="D269" s="12" t="s">
        <v>98</v>
      </c>
      <c r="E269" s="13" t="s">
        <v>3444</v>
      </c>
      <c r="F269" s="12">
        <v>32.0</v>
      </c>
      <c r="G269" s="12">
        <v>1993.0</v>
      </c>
      <c r="H269" s="15">
        <v>12.0</v>
      </c>
      <c r="I269" s="22">
        <v>0.0</v>
      </c>
      <c r="J269" s="19">
        <v>0.0</v>
      </c>
      <c r="K269" s="19">
        <v>0.0</v>
      </c>
      <c r="L269" s="36"/>
      <c r="M269" s="21">
        <v>0.0</v>
      </c>
      <c r="N269" s="21">
        <v>0.0</v>
      </c>
      <c r="O269" s="36"/>
      <c r="P269" s="36"/>
      <c r="Q269" s="19">
        <v>0.0</v>
      </c>
      <c r="R269" s="19">
        <v>0.0</v>
      </c>
      <c r="S269" s="20" t="s">
        <v>3445</v>
      </c>
    </row>
    <row r="270">
      <c r="A270" s="50">
        <v>258.0</v>
      </c>
      <c r="B270" s="13" t="s">
        <v>3446</v>
      </c>
      <c r="C270" s="11" t="s">
        <v>3447</v>
      </c>
      <c r="D270" s="12" t="s">
        <v>264</v>
      </c>
      <c r="E270" s="13" t="s">
        <v>3448</v>
      </c>
      <c r="F270" s="12">
        <v>24.0</v>
      </c>
      <c r="G270" s="12">
        <v>2001.0</v>
      </c>
      <c r="H270" s="15">
        <v>21.5</v>
      </c>
      <c r="I270" s="17">
        <v>0.05</v>
      </c>
      <c r="J270" s="18">
        <v>1.02</v>
      </c>
      <c r="K270" s="18">
        <v>0.33</v>
      </c>
      <c r="L270" s="15">
        <v>31.8</v>
      </c>
      <c r="M270" s="15">
        <v>1.02</v>
      </c>
      <c r="N270" s="15">
        <v>0.33</v>
      </c>
      <c r="O270" s="15">
        <v>0.05</v>
      </c>
      <c r="P270" s="15">
        <v>0.14</v>
      </c>
      <c r="Q270" s="19">
        <v>0.0</v>
      </c>
      <c r="R270" s="19">
        <v>0.0</v>
      </c>
      <c r="S270" s="20" t="s">
        <v>3449</v>
      </c>
    </row>
    <row r="271">
      <c r="A271" s="50">
        <v>259.0</v>
      </c>
      <c r="B271" s="13" t="s">
        <v>3450</v>
      </c>
      <c r="C271" s="11" t="s">
        <v>3451</v>
      </c>
      <c r="D271" s="12" t="s">
        <v>26</v>
      </c>
      <c r="E271" s="13" t="s">
        <v>3452</v>
      </c>
      <c r="F271" s="12">
        <v>19.0</v>
      </c>
      <c r="G271" s="12">
        <v>2006.0</v>
      </c>
      <c r="H271" s="15">
        <v>18.6</v>
      </c>
      <c r="I271" s="17">
        <v>0.7</v>
      </c>
      <c r="J271" s="18">
        <v>2.8</v>
      </c>
      <c r="K271" s="18">
        <v>1.18</v>
      </c>
      <c r="L271" s="15">
        <v>42.3</v>
      </c>
      <c r="M271" s="15">
        <v>2.8</v>
      </c>
      <c r="N271" s="15">
        <v>1.18</v>
      </c>
      <c r="O271" s="15">
        <v>0.21</v>
      </c>
      <c r="P271" s="15">
        <v>0.5</v>
      </c>
      <c r="Q271" s="18">
        <v>0.11</v>
      </c>
      <c r="R271" s="18">
        <v>0.11</v>
      </c>
      <c r="S271" s="20" t="s">
        <v>3453</v>
      </c>
    </row>
    <row r="272">
      <c r="A272" s="50">
        <v>260.0</v>
      </c>
      <c r="B272" s="13" t="s">
        <v>3454</v>
      </c>
      <c r="C272" s="11" t="s">
        <v>3455</v>
      </c>
      <c r="D272" s="12" t="s">
        <v>31</v>
      </c>
      <c r="E272" s="13" t="s">
        <v>3456</v>
      </c>
      <c r="F272" s="12">
        <v>25.0</v>
      </c>
      <c r="G272" s="12">
        <v>2000.0</v>
      </c>
      <c r="H272" s="15">
        <v>0.2</v>
      </c>
      <c r="I272" s="22">
        <v>0.0</v>
      </c>
      <c r="J272" s="19">
        <v>0.0</v>
      </c>
      <c r="K272" s="19">
        <v>0.0</v>
      </c>
      <c r="L272" s="36"/>
      <c r="M272" s="21">
        <v>0.0</v>
      </c>
      <c r="N272" s="21">
        <v>0.0</v>
      </c>
      <c r="O272" s="36"/>
      <c r="P272" s="36"/>
      <c r="Q272" s="19">
        <v>0.0</v>
      </c>
      <c r="R272" s="19">
        <v>0.0</v>
      </c>
      <c r="S272" s="20" t="s">
        <v>3457</v>
      </c>
    </row>
    <row r="273">
      <c r="A273" s="50">
        <v>261.0</v>
      </c>
      <c r="B273" s="13" t="s">
        <v>3458</v>
      </c>
      <c r="C273" s="11" t="s">
        <v>3459</v>
      </c>
      <c r="D273" s="12" t="s">
        <v>345</v>
      </c>
      <c r="E273" s="13" t="s">
        <v>3460</v>
      </c>
      <c r="F273" s="12">
        <v>27.0</v>
      </c>
      <c r="G273" s="12">
        <v>1998.0</v>
      </c>
      <c r="H273" s="15">
        <v>21.1</v>
      </c>
      <c r="I273" s="17">
        <v>0.09</v>
      </c>
      <c r="J273" s="18">
        <v>1.14</v>
      </c>
      <c r="K273" s="18">
        <v>0.28</v>
      </c>
      <c r="L273" s="15">
        <v>25.0</v>
      </c>
      <c r="M273" s="15">
        <v>1.14</v>
      </c>
      <c r="N273" s="15">
        <v>0.28</v>
      </c>
      <c r="O273" s="15">
        <v>0.08</v>
      </c>
      <c r="P273" s="15">
        <v>0.33</v>
      </c>
      <c r="Q273" s="19">
        <v>0.0</v>
      </c>
      <c r="R273" s="19">
        <v>0.0</v>
      </c>
      <c r="S273" s="20" t="s">
        <v>3461</v>
      </c>
    </row>
    <row r="274">
      <c r="A274" s="50">
        <v>262.0</v>
      </c>
      <c r="B274" s="13" t="s">
        <v>3462</v>
      </c>
      <c r="C274" s="11" t="s">
        <v>3463</v>
      </c>
      <c r="D274" s="12" t="s">
        <v>98</v>
      </c>
      <c r="E274" s="13" t="s">
        <v>3464</v>
      </c>
      <c r="F274" s="12">
        <v>23.0</v>
      </c>
      <c r="G274" s="12">
        <v>2002.0</v>
      </c>
      <c r="H274" s="15">
        <v>4.2</v>
      </c>
      <c r="I274" s="22">
        <v>0.0</v>
      </c>
      <c r="J274" s="19">
        <v>0.0</v>
      </c>
      <c r="K274" s="19">
        <v>0.0</v>
      </c>
      <c r="L274" s="36"/>
      <c r="M274" s="21">
        <v>0.0</v>
      </c>
      <c r="N274" s="21">
        <v>0.0</v>
      </c>
      <c r="O274" s="36"/>
      <c r="P274" s="36"/>
      <c r="Q274" s="19">
        <v>0.0</v>
      </c>
      <c r="R274" s="19">
        <v>0.0</v>
      </c>
      <c r="S274" s="20" t="s">
        <v>3465</v>
      </c>
    </row>
    <row r="275">
      <c r="A275" s="50">
        <v>263.0</v>
      </c>
      <c r="B275" s="13" t="s">
        <v>3466</v>
      </c>
      <c r="C275" s="11" t="s">
        <v>3467</v>
      </c>
      <c r="D275" s="12" t="s">
        <v>345</v>
      </c>
      <c r="E275" s="13" t="s">
        <v>3468</v>
      </c>
      <c r="F275" s="12">
        <v>25.0</v>
      </c>
      <c r="G275" s="12">
        <v>1999.0</v>
      </c>
      <c r="H275" s="15">
        <v>34.8</v>
      </c>
      <c r="I275" s="17">
        <v>0.03</v>
      </c>
      <c r="J275" s="18">
        <v>0.8</v>
      </c>
      <c r="K275" s="18">
        <v>0.37</v>
      </c>
      <c r="L275" s="15">
        <v>46.4</v>
      </c>
      <c r="M275" s="15">
        <v>0.8</v>
      </c>
      <c r="N275" s="15">
        <v>0.37</v>
      </c>
      <c r="O275" s="15">
        <v>0.04</v>
      </c>
      <c r="P275" s="15">
        <v>0.08</v>
      </c>
      <c r="Q275" s="19">
        <v>0.0</v>
      </c>
      <c r="R275" s="19">
        <v>0.0</v>
      </c>
      <c r="S275" s="20" t="s">
        <v>3469</v>
      </c>
    </row>
    <row r="276">
      <c r="A276" s="50">
        <v>264.0</v>
      </c>
      <c r="B276" s="13" t="s">
        <v>3470</v>
      </c>
      <c r="C276" s="11" t="s">
        <v>3471</v>
      </c>
      <c r="D276" s="12" t="s">
        <v>107</v>
      </c>
      <c r="E276" s="13" t="s">
        <v>3472</v>
      </c>
      <c r="F276" s="12">
        <v>28.0</v>
      </c>
      <c r="G276" s="12">
        <v>1997.0</v>
      </c>
      <c r="H276" s="15">
        <v>0.2</v>
      </c>
      <c r="I276" s="22">
        <v>0.0</v>
      </c>
      <c r="J276" s="19">
        <v>0.0</v>
      </c>
      <c r="K276" s="19">
        <v>0.0</v>
      </c>
      <c r="L276" s="36"/>
      <c r="M276" s="21">
        <v>0.0</v>
      </c>
      <c r="N276" s="21">
        <v>0.0</v>
      </c>
      <c r="O276" s="36"/>
      <c r="P276" s="36"/>
      <c r="Q276" s="19">
        <v>0.0</v>
      </c>
      <c r="R276" s="19">
        <v>0.0</v>
      </c>
      <c r="S276" s="20" t="s">
        <v>3473</v>
      </c>
    </row>
    <row r="277">
      <c r="A277" s="50">
        <v>265.0</v>
      </c>
      <c r="B277" s="13" t="s">
        <v>3474</v>
      </c>
      <c r="C277" s="11" t="s">
        <v>3475</v>
      </c>
      <c r="D277" s="12" t="s">
        <v>41</v>
      </c>
      <c r="E277" s="13" t="s">
        <v>3476</v>
      </c>
      <c r="F277" s="12">
        <v>23.0</v>
      </c>
      <c r="G277" s="12">
        <v>2002.0</v>
      </c>
      <c r="H277" s="15">
        <v>1.1</v>
      </c>
      <c r="I277" s="22">
        <v>0.0</v>
      </c>
      <c r="J277" s="18">
        <v>3.64</v>
      </c>
      <c r="K277" s="18">
        <v>0.91</v>
      </c>
      <c r="L277" s="15">
        <v>25.0</v>
      </c>
      <c r="M277" s="15">
        <v>3.75</v>
      </c>
      <c r="N277" s="15">
        <v>0.94</v>
      </c>
      <c r="O277" s="21">
        <v>0.0</v>
      </c>
      <c r="P277" s="21">
        <v>0.0</v>
      </c>
      <c r="Q277" s="19">
        <v>0.0</v>
      </c>
      <c r="R277" s="19">
        <v>0.0</v>
      </c>
      <c r="S277" s="20" t="s">
        <v>3477</v>
      </c>
    </row>
    <row r="278">
      <c r="A278" s="50">
        <v>266.0</v>
      </c>
      <c r="B278" s="13" t="s">
        <v>3478</v>
      </c>
      <c r="C278" s="11" t="s">
        <v>3479</v>
      </c>
      <c r="D278" s="12" t="s">
        <v>31</v>
      </c>
      <c r="E278" s="13" t="s">
        <v>3480</v>
      </c>
      <c r="F278" s="12">
        <v>28.0</v>
      </c>
      <c r="G278" s="12">
        <v>1996.0</v>
      </c>
      <c r="H278" s="15">
        <v>21.1</v>
      </c>
      <c r="I278" s="22">
        <v>0.0</v>
      </c>
      <c r="J278" s="18">
        <v>0.9</v>
      </c>
      <c r="K278" s="18">
        <v>0.19</v>
      </c>
      <c r="L278" s="15">
        <v>21.1</v>
      </c>
      <c r="M278" s="15">
        <v>0.9</v>
      </c>
      <c r="N278" s="15">
        <v>0.19</v>
      </c>
      <c r="O278" s="21">
        <v>0.0</v>
      </c>
      <c r="P278" s="21">
        <v>0.0</v>
      </c>
      <c r="Q278" s="19">
        <v>0.0</v>
      </c>
      <c r="R278" s="19">
        <v>0.0</v>
      </c>
      <c r="S278" s="20" t="s">
        <v>3481</v>
      </c>
    </row>
    <row r="279">
      <c r="A279" s="50">
        <v>267.0</v>
      </c>
      <c r="B279" s="13" t="s">
        <v>3482</v>
      </c>
      <c r="C279" s="11" t="s">
        <v>3483</v>
      </c>
      <c r="D279" s="12" t="s">
        <v>31</v>
      </c>
      <c r="E279" s="13" t="s">
        <v>3484</v>
      </c>
      <c r="F279" s="12">
        <v>25.0</v>
      </c>
      <c r="G279" s="12">
        <v>1999.0</v>
      </c>
      <c r="H279" s="15">
        <v>15.7</v>
      </c>
      <c r="I279" s="17">
        <v>0.06</v>
      </c>
      <c r="J279" s="18">
        <v>0.45</v>
      </c>
      <c r="K279" s="18">
        <v>0.25</v>
      </c>
      <c r="L279" s="15">
        <v>57.1</v>
      </c>
      <c r="M279" s="15">
        <v>0.45</v>
      </c>
      <c r="N279" s="15">
        <v>0.26</v>
      </c>
      <c r="O279" s="15">
        <v>0.14</v>
      </c>
      <c r="P279" s="15">
        <v>0.25</v>
      </c>
      <c r="Q279" s="19">
        <v>0.0</v>
      </c>
      <c r="R279" s="19">
        <v>0.0</v>
      </c>
      <c r="S279" s="20" t="s">
        <v>3485</v>
      </c>
    </row>
    <row r="280">
      <c r="A280" s="50">
        <v>268.0</v>
      </c>
      <c r="B280" s="13" t="s">
        <v>3486</v>
      </c>
      <c r="C280" s="11" t="s">
        <v>3487</v>
      </c>
      <c r="D280" s="12" t="s">
        <v>31</v>
      </c>
      <c r="E280" s="13" t="s">
        <v>3488</v>
      </c>
      <c r="F280" s="12">
        <v>19.0</v>
      </c>
      <c r="G280" s="12">
        <v>2005.0</v>
      </c>
      <c r="H280" s="15">
        <v>0.8</v>
      </c>
      <c r="I280" s="22">
        <v>0.0</v>
      </c>
      <c r="J280" s="18">
        <v>2.5</v>
      </c>
      <c r="K280" s="19">
        <v>0.0</v>
      </c>
      <c r="L280" s="21">
        <v>0.0</v>
      </c>
      <c r="M280" s="15">
        <v>2.4</v>
      </c>
      <c r="N280" s="21">
        <v>0.0</v>
      </c>
      <c r="O280" s="21">
        <v>0.0</v>
      </c>
      <c r="P280" s="36"/>
      <c r="Q280" s="19">
        <v>0.0</v>
      </c>
      <c r="R280" s="19">
        <v>0.0</v>
      </c>
      <c r="S280" s="20" t="s">
        <v>3489</v>
      </c>
    </row>
    <row r="281">
      <c r="A281" s="50">
        <v>269.0</v>
      </c>
      <c r="B281" s="13" t="s">
        <v>3490</v>
      </c>
      <c r="C281" s="11" t="s">
        <v>3491</v>
      </c>
      <c r="D281" s="12" t="s">
        <v>36</v>
      </c>
      <c r="E281" s="13" t="s">
        <v>3492</v>
      </c>
      <c r="F281" s="12">
        <v>21.0</v>
      </c>
      <c r="G281" s="12">
        <v>2004.0</v>
      </c>
      <c r="H281" s="15">
        <v>36.2</v>
      </c>
      <c r="I281" s="17">
        <v>0.03</v>
      </c>
      <c r="J281" s="18">
        <v>0.25</v>
      </c>
      <c r="K281" s="18">
        <v>0.08</v>
      </c>
      <c r="L281" s="15">
        <v>33.3</v>
      </c>
      <c r="M281" s="15">
        <v>0.25</v>
      </c>
      <c r="N281" s="15">
        <v>0.08</v>
      </c>
      <c r="O281" s="15">
        <v>0.11</v>
      </c>
      <c r="P281" s="15">
        <v>0.33</v>
      </c>
      <c r="Q281" s="19">
        <v>0.0</v>
      </c>
      <c r="R281" s="19">
        <v>0.0</v>
      </c>
      <c r="S281" s="20" t="s">
        <v>3493</v>
      </c>
    </row>
    <row r="282">
      <c r="A282" s="50">
        <v>270.0</v>
      </c>
      <c r="B282" s="13" t="s">
        <v>3494</v>
      </c>
      <c r="C282" s="11" t="s">
        <v>3495</v>
      </c>
      <c r="D282" s="12" t="s">
        <v>36</v>
      </c>
      <c r="E282" s="13" t="s">
        <v>3496</v>
      </c>
      <c r="F282" s="12">
        <v>32.0</v>
      </c>
      <c r="G282" s="12">
        <v>1993.0</v>
      </c>
      <c r="H282" s="15">
        <v>28.8</v>
      </c>
      <c r="I282" s="17">
        <v>0.1</v>
      </c>
      <c r="J282" s="18">
        <v>0.94</v>
      </c>
      <c r="K282" s="18">
        <v>0.24</v>
      </c>
      <c r="L282" s="15">
        <v>25.9</v>
      </c>
      <c r="M282" s="15">
        <v>0.94</v>
      </c>
      <c r="N282" s="15">
        <v>0.24</v>
      </c>
      <c r="O282" s="15">
        <v>0.11</v>
      </c>
      <c r="P282" s="15">
        <v>0.43</v>
      </c>
      <c r="Q282" s="19">
        <v>0.0</v>
      </c>
      <c r="R282" s="19">
        <v>0.0</v>
      </c>
      <c r="S282" s="20" t="s">
        <v>3497</v>
      </c>
    </row>
    <row r="283">
      <c r="A283" s="50">
        <v>271.0</v>
      </c>
      <c r="B283" s="13" t="s">
        <v>3498</v>
      </c>
      <c r="C283" s="11" t="s">
        <v>3499</v>
      </c>
      <c r="D283" s="12" t="s">
        <v>98</v>
      </c>
      <c r="E283" s="13" t="s">
        <v>3500</v>
      </c>
      <c r="F283" s="12">
        <v>26.0</v>
      </c>
      <c r="G283" s="12">
        <v>1998.0</v>
      </c>
      <c r="H283" s="15">
        <v>37.0</v>
      </c>
      <c r="I283" s="22">
        <v>0.0</v>
      </c>
      <c r="J283" s="19">
        <v>0.0</v>
      </c>
      <c r="K283" s="19">
        <v>0.0</v>
      </c>
      <c r="L283" s="36"/>
      <c r="M283" s="21">
        <v>0.0</v>
      </c>
      <c r="N283" s="21">
        <v>0.0</v>
      </c>
      <c r="O283" s="36"/>
      <c r="P283" s="36"/>
      <c r="Q283" s="19">
        <v>0.0</v>
      </c>
      <c r="R283" s="19">
        <v>0.0</v>
      </c>
      <c r="S283" s="20" t="s">
        <v>3501</v>
      </c>
    </row>
    <row r="284">
      <c r="A284" s="50">
        <v>272.0</v>
      </c>
      <c r="B284" s="13" t="s">
        <v>3502</v>
      </c>
      <c r="C284" s="11" t="s">
        <v>3503</v>
      </c>
      <c r="D284" s="12" t="s">
        <v>36</v>
      </c>
      <c r="E284" s="13" t="s">
        <v>3504</v>
      </c>
      <c r="F284" s="12">
        <v>21.0</v>
      </c>
      <c r="G284" s="12">
        <v>2003.0</v>
      </c>
      <c r="H284" s="15">
        <v>25.1</v>
      </c>
      <c r="I284" s="17">
        <v>0.08</v>
      </c>
      <c r="J284" s="18">
        <v>0.36</v>
      </c>
      <c r="K284" s="18">
        <v>0.08</v>
      </c>
      <c r="L284" s="15">
        <v>22.2</v>
      </c>
      <c r="M284" s="15">
        <v>0.36</v>
      </c>
      <c r="N284" s="15">
        <v>0.08</v>
      </c>
      <c r="O284" s="15">
        <v>0.22</v>
      </c>
      <c r="P284" s="15">
        <v>1.0</v>
      </c>
      <c r="Q284" s="19">
        <v>0.0</v>
      </c>
      <c r="R284" s="19">
        <v>0.0</v>
      </c>
      <c r="S284" s="20" t="s">
        <v>3505</v>
      </c>
    </row>
    <row r="285">
      <c r="A285" s="50">
        <v>273.0</v>
      </c>
      <c r="B285" s="13" t="s">
        <v>3506</v>
      </c>
      <c r="C285" s="11" t="s">
        <v>3507</v>
      </c>
      <c r="D285" s="12" t="s">
        <v>31</v>
      </c>
      <c r="E285" s="13" t="s">
        <v>3508</v>
      </c>
      <c r="F285" s="12">
        <v>22.0</v>
      </c>
      <c r="G285" s="12">
        <v>2003.0</v>
      </c>
      <c r="H285" s="15">
        <v>11.6</v>
      </c>
      <c r="I285" s="17">
        <v>0.09</v>
      </c>
      <c r="J285" s="18">
        <v>2.16</v>
      </c>
      <c r="K285" s="18">
        <v>0.86</v>
      </c>
      <c r="L285" s="15">
        <v>40.0</v>
      </c>
      <c r="M285" s="15">
        <v>2.16</v>
      </c>
      <c r="N285" s="15">
        <v>0.86</v>
      </c>
      <c r="O285" s="15">
        <v>0.04</v>
      </c>
      <c r="P285" s="15">
        <v>0.1</v>
      </c>
      <c r="Q285" s="19">
        <v>0.0</v>
      </c>
      <c r="R285" s="19">
        <v>0.0</v>
      </c>
      <c r="S285" s="20" t="s">
        <v>3509</v>
      </c>
    </row>
    <row r="286">
      <c r="A286" s="50">
        <v>274.0</v>
      </c>
      <c r="B286" s="13" t="s">
        <v>3510</v>
      </c>
      <c r="C286" s="11" t="s">
        <v>3511</v>
      </c>
      <c r="D286" s="12" t="s">
        <v>36</v>
      </c>
      <c r="E286" s="13" t="s">
        <v>3512</v>
      </c>
      <c r="F286" s="12">
        <v>21.0</v>
      </c>
      <c r="G286" s="12">
        <v>2004.0</v>
      </c>
      <c r="H286" s="15">
        <v>15.9</v>
      </c>
      <c r="I286" s="22">
        <v>0.0</v>
      </c>
      <c r="J286" s="18">
        <v>0.44</v>
      </c>
      <c r="K286" s="18">
        <v>0.06</v>
      </c>
      <c r="L286" s="15">
        <v>14.3</v>
      </c>
      <c r="M286" s="15">
        <v>0.44</v>
      </c>
      <c r="N286" s="15">
        <v>0.06</v>
      </c>
      <c r="O286" s="21">
        <v>0.0</v>
      </c>
      <c r="P286" s="21">
        <v>0.0</v>
      </c>
      <c r="Q286" s="19">
        <v>0.0</v>
      </c>
      <c r="R286" s="19">
        <v>0.0</v>
      </c>
      <c r="S286" s="20" t="s">
        <v>3513</v>
      </c>
    </row>
    <row r="287">
      <c r="A287" s="50">
        <v>275.0</v>
      </c>
      <c r="B287" s="13" t="s">
        <v>3514</v>
      </c>
      <c r="C287" s="11" t="s">
        <v>3515</v>
      </c>
      <c r="D287" s="12" t="s">
        <v>36</v>
      </c>
      <c r="E287" s="13" t="s">
        <v>3516</v>
      </c>
      <c r="F287" s="12">
        <v>28.0</v>
      </c>
      <c r="G287" s="12">
        <v>1997.0</v>
      </c>
      <c r="H287" s="15">
        <v>17.3</v>
      </c>
      <c r="I287" s="22">
        <v>0.0</v>
      </c>
      <c r="J287" s="18">
        <v>0.4</v>
      </c>
      <c r="K287" s="18">
        <v>0.06</v>
      </c>
      <c r="L287" s="15">
        <v>14.3</v>
      </c>
      <c r="M287" s="15">
        <v>0.4</v>
      </c>
      <c r="N287" s="15">
        <v>0.06</v>
      </c>
      <c r="O287" s="21">
        <v>0.0</v>
      </c>
      <c r="P287" s="21">
        <v>0.0</v>
      </c>
      <c r="Q287" s="19">
        <v>0.0</v>
      </c>
      <c r="R287" s="19">
        <v>0.0</v>
      </c>
      <c r="S287" s="20" t="s">
        <v>3517</v>
      </c>
    </row>
    <row r="288">
      <c r="A288" s="37" t="s">
        <v>3</v>
      </c>
      <c r="B288" s="51" t="s">
        <v>4</v>
      </c>
      <c r="C288" s="39" t="s">
        <v>5</v>
      </c>
      <c r="D288" s="39" t="s">
        <v>6</v>
      </c>
      <c r="E288" s="39" t="s">
        <v>7</v>
      </c>
      <c r="F288" s="39" t="s">
        <v>8</v>
      </c>
      <c r="G288" s="39" t="s">
        <v>9</v>
      </c>
      <c r="H288" s="39" t="s">
        <v>13</v>
      </c>
      <c r="I288" s="40" t="s">
        <v>14</v>
      </c>
      <c r="J288" s="39" t="s">
        <v>2411</v>
      </c>
      <c r="K288" s="39" t="s">
        <v>2412</v>
      </c>
      <c r="L288" s="39" t="s">
        <v>2413</v>
      </c>
      <c r="M288" s="39" t="s">
        <v>2414</v>
      </c>
      <c r="N288" s="39" t="s">
        <v>2415</v>
      </c>
      <c r="O288" s="39" t="s">
        <v>2416</v>
      </c>
      <c r="P288" s="39" t="s">
        <v>2417</v>
      </c>
      <c r="Q288" s="39" t="s">
        <v>18</v>
      </c>
      <c r="R288" s="39" t="s">
        <v>19</v>
      </c>
      <c r="S288" s="40" t="s">
        <v>23</v>
      </c>
    </row>
    <row r="289">
      <c r="A289" s="50">
        <v>276.0</v>
      </c>
      <c r="B289" s="13" t="s">
        <v>3518</v>
      </c>
      <c r="C289" s="11" t="s">
        <v>3519</v>
      </c>
      <c r="D289" s="12" t="s">
        <v>31</v>
      </c>
      <c r="E289" s="13" t="s">
        <v>3520</v>
      </c>
      <c r="F289" s="12">
        <v>18.0</v>
      </c>
      <c r="G289" s="12">
        <v>2007.0</v>
      </c>
      <c r="H289" s="15">
        <v>14.5</v>
      </c>
      <c r="I289" s="17">
        <v>0.07</v>
      </c>
      <c r="J289" s="18">
        <v>1.79</v>
      </c>
      <c r="K289" s="18">
        <v>0.76</v>
      </c>
      <c r="L289" s="15">
        <v>42.3</v>
      </c>
      <c r="M289" s="15">
        <v>1.79</v>
      </c>
      <c r="N289" s="15">
        <v>0.76</v>
      </c>
      <c r="O289" s="15">
        <v>0.04</v>
      </c>
      <c r="P289" s="15">
        <v>0.09</v>
      </c>
      <c r="Q289" s="19">
        <v>0.0</v>
      </c>
      <c r="R289" s="19">
        <v>0.0</v>
      </c>
      <c r="S289" s="20" t="s">
        <v>3521</v>
      </c>
    </row>
    <row r="290">
      <c r="A290" s="50">
        <v>277.0</v>
      </c>
      <c r="B290" s="13" t="s">
        <v>3522</v>
      </c>
      <c r="C290" s="11" t="s">
        <v>3523</v>
      </c>
      <c r="D290" s="12" t="s">
        <v>98</v>
      </c>
      <c r="E290" s="13" t="s">
        <v>3524</v>
      </c>
      <c r="F290" s="12">
        <v>22.0</v>
      </c>
      <c r="G290" s="12">
        <v>2003.0</v>
      </c>
      <c r="H290" s="15">
        <v>7.0</v>
      </c>
      <c r="I290" s="22">
        <v>0.0</v>
      </c>
      <c r="J290" s="19">
        <v>0.0</v>
      </c>
      <c r="K290" s="19">
        <v>0.0</v>
      </c>
      <c r="L290" s="36"/>
      <c r="M290" s="21">
        <v>0.0</v>
      </c>
      <c r="N290" s="21">
        <v>0.0</v>
      </c>
      <c r="O290" s="36"/>
      <c r="P290" s="36"/>
      <c r="Q290" s="19">
        <v>0.0</v>
      </c>
      <c r="R290" s="19">
        <v>0.0</v>
      </c>
      <c r="S290" s="20" t="s">
        <v>3525</v>
      </c>
    </row>
    <row r="291">
      <c r="A291" s="50">
        <v>278.0</v>
      </c>
      <c r="B291" s="13" t="s">
        <v>3526</v>
      </c>
      <c r="C291" s="11" t="s">
        <v>3527</v>
      </c>
      <c r="D291" s="12" t="s">
        <v>31</v>
      </c>
      <c r="E291" s="13" t="s">
        <v>3528</v>
      </c>
      <c r="F291" s="12">
        <v>26.0</v>
      </c>
      <c r="G291" s="12">
        <v>1999.0</v>
      </c>
      <c r="H291" s="15">
        <v>10.6</v>
      </c>
      <c r="I291" s="17">
        <v>0.19</v>
      </c>
      <c r="J291" s="18">
        <v>1.6</v>
      </c>
      <c r="K291" s="18">
        <v>0.38</v>
      </c>
      <c r="L291" s="15">
        <v>23.5</v>
      </c>
      <c r="M291" s="15">
        <v>1.61</v>
      </c>
      <c r="N291" s="15">
        <v>0.38</v>
      </c>
      <c r="O291" s="15">
        <v>0.12</v>
      </c>
      <c r="P291" s="15">
        <v>0.5</v>
      </c>
      <c r="Q291" s="19">
        <v>0.0</v>
      </c>
      <c r="R291" s="19">
        <v>0.0</v>
      </c>
      <c r="S291" s="20" t="s">
        <v>3529</v>
      </c>
    </row>
    <row r="292">
      <c r="A292" s="50">
        <v>279.0</v>
      </c>
      <c r="B292" s="13" t="s">
        <v>3530</v>
      </c>
      <c r="C292" s="11" t="s">
        <v>3531</v>
      </c>
      <c r="D292" s="12" t="s">
        <v>31</v>
      </c>
      <c r="E292" s="13" t="s">
        <v>3532</v>
      </c>
      <c r="F292" s="12">
        <v>19.0</v>
      </c>
      <c r="G292" s="12">
        <v>2005.0</v>
      </c>
      <c r="H292" s="21">
        <v>0.0</v>
      </c>
      <c r="I292" s="23">
        <v>0.0</v>
      </c>
      <c r="J292" s="21">
        <v>0.0</v>
      </c>
      <c r="K292" s="21">
        <v>0.0</v>
      </c>
      <c r="L292" s="36"/>
      <c r="M292" s="21">
        <v>0.0</v>
      </c>
      <c r="N292" s="21">
        <v>0.0</v>
      </c>
      <c r="O292" s="36"/>
      <c r="P292" s="36"/>
      <c r="Q292" s="21">
        <v>0.0</v>
      </c>
      <c r="R292" s="21">
        <v>0.0</v>
      </c>
      <c r="S292" s="20" t="s">
        <v>3533</v>
      </c>
    </row>
    <row r="293">
      <c r="A293" s="50">
        <v>280.0</v>
      </c>
      <c r="B293" s="13" t="s">
        <v>3534</v>
      </c>
      <c r="C293" s="11" t="s">
        <v>3535</v>
      </c>
      <c r="D293" s="12" t="s">
        <v>107</v>
      </c>
      <c r="E293" s="13" t="s">
        <v>3536</v>
      </c>
      <c r="F293" s="12">
        <v>26.0</v>
      </c>
      <c r="G293" s="12">
        <v>1998.0</v>
      </c>
      <c r="H293" s="15">
        <v>18.5</v>
      </c>
      <c r="I293" s="17">
        <v>0.05</v>
      </c>
      <c r="J293" s="18">
        <v>1.08</v>
      </c>
      <c r="K293" s="18">
        <v>0.22</v>
      </c>
      <c r="L293" s="15">
        <v>20.0</v>
      </c>
      <c r="M293" s="15">
        <v>1.08</v>
      </c>
      <c r="N293" s="15">
        <v>0.22</v>
      </c>
      <c r="O293" s="15">
        <v>0.05</v>
      </c>
      <c r="P293" s="15">
        <v>0.25</v>
      </c>
      <c r="Q293" s="19">
        <v>0.0</v>
      </c>
      <c r="R293" s="19">
        <v>0.0</v>
      </c>
      <c r="S293" s="20" t="s">
        <v>3537</v>
      </c>
    </row>
    <row r="294">
      <c r="A294" s="50">
        <v>281.0</v>
      </c>
      <c r="B294" s="13" t="s">
        <v>3538</v>
      </c>
      <c r="C294" s="11" t="s">
        <v>3539</v>
      </c>
      <c r="D294" s="12" t="s">
        <v>36</v>
      </c>
      <c r="E294" s="13" t="s">
        <v>3540</v>
      </c>
      <c r="F294" s="12">
        <v>26.0</v>
      </c>
      <c r="G294" s="12">
        <v>1999.0</v>
      </c>
      <c r="H294" s="15">
        <v>34.3</v>
      </c>
      <c r="I294" s="17">
        <v>0.03</v>
      </c>
      <c r="J294" s="18">
        <v>0.35</v>
      </c>
      <c r="K294" s="18">
        <v>0.12</v>
      </c>
      <c r="L294" s="15">
        <v>33.3</v>
      </c>
      <c r="M294" s="15">
        <v>0.35</v>
      </c>
      <c r="N294" s="15">
        <v>0.12</v>
      </c>
      <c r="O294" s="15">
        <v>0.08</v>
      </c>
      <c r="P294" s="15">
        <v>0.25</v>
      </c>
      <c r="Q294" s="19">
        <v>0.0</v>
      </c>
      <c r="R294" s="19">
        <v>0.0</v>
      </c>
      <c r="S294" s="20" t="s">
        <v>3541</v>
      </c>
    </row>
    <row r="295">
      <c r="A295" s="50">
        <v>282.0</v>
      </c>
      <c r="B295" s="13" t="s">
        <v>3542</v>
      </c>
      <c r="C295" s="11" t="s">
        <v>3543</v>
      </c>
      <c r="D295" s="12" t="s">
        <v>36</v>
      </c>
      <c r="E295" s="13" t="s">
        <v>3544</v>
      </c>
      <c r="F295" s="12">
        <v>27.0</v>
      </c>
      <c r="G295" s="12">
        <v>1997.0</v>
      </c>
      <c r="H295" s="15">
        <v>33.7</v>
      </c>
      <c r="I295" s="22">
        <v>0.0</v>
      </c>
      <c r="J295" s="18">
        <v>0.33</v>
      </c>
      <c r="K295" s="18">
        <v>0.06</v>
      </c>
      <c r="L295" s="15">
        <v>18.2</v>
      </c>
      <c r="M295" s="15">
        <v>0.33</v>
      </c>
      <c r="N295" s="15">
        <v>0.06</v>
      </c>
      <c r="O295" s="21">
        <v>0.0</v>
      </c>
      <c r="P295" s="21">
        <v>0.0</v>
      </c>
      <c r="Q295" s="19">
        <v>0.0</v>
      </c>
      <c r="R295" s="19">
        <v>0.0</v>
      </c>
      <c r="S295" s="20" t="s">
        <v>3545</v>
      </c>
    </row>
    <row r="296">
      <c r="A296" s="50">
        <v>283.0</v>
      </c>
      <c r="B296" s="13" t="s">
        <v>3546</v>
      </c>
      <c r="C296" s="11" t="s">
        <v>3547</v>
      </c>
      <c r="D296" s="12" t="s">
        <v>41</v>
      </c>
      <c r="E296" s="13" t="s">
        <v>3548</v>
      </c>
      <c r="F296" s="12">
        <v>18.0</v>
      </c>
      <c r="G296" s="12">
        <v>2007.0</v>
      </c>
      <c r="H296" s="15">
        <v>4.1</v>
      </c>
      <c r="I296" s="17">
        <v>0.49</v>
      </c>
      <c r="J296" s="18">
        <v>5.12</v>
      </c>
      <c r="K296" s="18">
        <v>1.95</v>
      </c>
      <c r="L296" s="15">
        <v>38.1</v>
      </c>
      <c r="M296" s="15">
        <v>5.12</v>
      </c>
      <c r="N296" s="15">
        <v>1.95</v>
      </c>
      <c r="O296" s="15">
        <v>0.1</v>
      </c>
      <c r="P296" s="15">
        <v>0.25</v>
      </c>
      <c r="Q296" s="19">
        <v>0.0</v>
      </c>
      <c r="R296" s="19">
        <v>0.0</v>
      </c>
      <c r="S296" s="20" t="s">
        <v>3549</v>
      </c>
    </row>
    <row r="297">
      <c r="A297" s="50">
        <v>284.0</v>
      </c>
      <c r="B297" s="13" t="s">
        <v>3550</v>
      </c>
      <c r="C297" s="11" t="s">
        <v>3551</v>
      </c>
      <c r="D297" s="12" t="s">
        <v>31</v>
      </c>
      <c r="E297" s="13" t="s">
        <v>3552</v>
      </c>
      <c r="F297" s="12">
        <v>31.0</v>
      </c>
      <c r="G297" s="12">
        <v>1994.0</v>
      </c>
      <c r="H297" s="15">
        <v>1.4</v>
      </c>
      <c r="I297" s="22">
        <v>0.0</v>
      </c>
      <c r="J297" s="18">
        <v>1.43</v>
      </c>
      <c r="K297" s="19">
        <v>0.0</v>
      </c>
      <c r="L297" s="21">
        <v>0.0</v>
      </c>
      <c r="M297" s="15">
        <v>1.38</v>
      </c>
      <c r="N297" s="21">
        <v>0.0</v>
      </c>
      <c r="O297" s="21">
        <v>0.0</v>
      </c>
      <c r="P297" s="36"/>
      <c r="Q297" s="19">
        <v>0.0</v>
      </c>
      <c r="R297" s="19">
        <v>0.0</v>
      </c>
      <c r="S297" s="20" t="s">
        <v>3553</v>
      </c>
    </row>
    <row r="298">
      <c r="A298" s="50">
        <v>285.0</v>
      </c>
      <c r="B298" s="13" t="s">
        <v>3554</v>
      </c>
      <c r="C298" s="11" t="s">
        <v>3555</v>
      </c>
      <c r="D298" s="12" t="s">
        <v>36</v>
      </c>
      <c r="E298" s="13" t="s">
        <v>3556</v>
      </c>
      <c r="F298" s="12">
        <v>30.0</v>
      </c>
      <c r="G298" s="12">
        <v>1994.0</v>
      </c>
      <c r="H298" s="15">
        <v>0.5</v>
      </c>
      <c r="I298" s="22">
        <v>0.0</v>
      </c>
      <c r="J298" s="19">
        <v>0.0</v>
      </c>
      <c r="K298" s="19">
        <v>0.0</v>
      </c>
      <c r="L298" s="36"/>
      <c r="M298" s="21">
        <v>0.0</v>
      </c>
      <c r="N298" s="21">
        <v>0.0</v>
      </c>
      <c r="O298" s="36"/>
      <c r="P298" s="36"/>
      <c r="Q298" s="19">
        <v>0.0</v>
      </c>
      <c r="R298" s="19">
        <v>0.0</v>
      </c>
      <c r="S298" s="20" t="s">
        <v>3557</v>
      </c>
    </row>
    <row r="299">
      <c r="A299" s="50">
        <v>286.0</v>
      </c>
      <c r="B299" s="13" t="s">
        <v>3558</v>
      </c>
      <c r="C299" s="11" t="s">
        <v>3559</v>
      </c>
      <c r="D299" s="12" t="s">
        <v>345</v>
      </c>
      <c r="E299" s="13" t="s">
        <v>3560</v>
      </c>
      <c r="F299" s="12">
        <v>26.0</v>
      </c>
      <c r="G299" s="12">
        <v>1999.0</v>
      </c>
      <c r="H299" s="15">
        <v>26.2</v>
      </c>
      <c r="I299" s="17">
        <v>0.08</v>
      </c>
      <c r="J299" s="18">
        <v>0.8</v>
      </c>
      <c r="K299" s="18">
        <v>0.38</v>
      </c>
      <c r="L299" s="15">
        <v>47.6</v>
      </c>
      <c r="M299" s="15">
        <v>0.8</v>
      </c>
      <c r="N299" s="15">
        <v>0.38</v>
      </c>
      <c r="O299" s="15">
        <v>0.1</v>
      </c>
      <c r="P299" s="15">
        <v>0.2</v>
      </c>
      <c r="Q299" s="19">
        <v>0.0</v>
      </c>
      <c r="R299" s="19">
        <v>0.0</v>
      </c>
      <c r="S299" s="20" t="s">
        <v>3561</v>
      </c>
    </row>
    <row r="300">
      <c r="A300" s="50">
        <v>287.0</v>
      </c>
      <c r="B300" s="13" t="s">
        <v>3562</v>
      </c>
      <c r="C300" s="11" t="s">
        <v>3563</v>
      </c>
      <c r="D300" s="12" t="s">
        <v>26</v>
      </c>
      <c r="E300" s="13" t="s">
        <v>3564</v>
      </c>
      <c r="F300" s="12">
        <v>24.0</v>
      </c>
      <c r="G300" s="12">
        <v>2000.0</v>
      </c>
      <c r="H300" s="15">
        <v>17.1</v>
      </c>
      <c r="I300" s="17">
        <v>0.12</v>
      </c>
      <c r="J300" s="18">
        <v>1.52</v>
      </c>
      <c r="K300" s="18">
        <v>0.53</v>
      </c>
      <c r="L300" s="15">
        <v>34.6</v>
      </c>
      <c r="M300" s="15">
        <v>1.52</v>
      </c>
      <c r="N300" s="15">
        <v>0.53</v>
      </c>
      <c r="O300" s="15">
        <v>0.08</v>
      </c>
      <c r="P300" s="15">
        <v>0.22</v>
      </c>
      <c r="Q300" s="19">
        <v>0.0</v>
      </c>
      <c r="R300" s="19">
        <v>0.0</v>
      </c>
      <c r="S300" s="20" t="s">
        <v>3565</v>
      </c>
    </row>
    <row r="301">
      <c r="A301" s="50">
        <v>288.0</v>
      </c>
      <c r="B301" s="13" t="s">
        <v>3566</v>
      </c>
      <c r="C301" s="11" t="s">
        <v>3567</v>
      </c>
      <c r="D301" s="12" t="s">
        <v>41</v>
      </c>
      <c r="E301" s="13" t="s">
        <v>3568</v>
      </c>
      <c r="F301" s="12">
        <v>18.0</v>
      </c>
      <c r="G301" s="12">
        <v>2007.0</v>
      </c>
      <c r="H301" s="15">
        <v>0.6</v>
      </c>
      <c r="I301" s="22">
        <v>0.0</v>
      </c>
      <c r="J301" s="19">
        <v>0.0</v>
      </c>
      <c r="K301" s="19">
        <v>0.0</v>
      </c>
      <c r="L301" s="36"/>
      <c r="M301" s="21">
        <v>0.0</v>
      </c>
      <c r="N301" s="21">
        <v>0.0</v>
      </c>
      <c r="O301" s="36"/>
      <c r="P301" s="36"/>
      <c r="Q301" s="19">
        <v>0.0</v>
      </c>
      <c r="R301" s="19">
        <v>0.0</v>
      </c>
      <c r="S301" s="20" t="s">
        <v>3569</v>
      </c>
    </row>
    <row r="302">
      <c r="A302" s="50">
        <v>289.0</v>
      </c>
      <c r="B302" s="13" t="s">
        <v>3570</v>
      </c>
      <c r="C302" s="11" t="s">
        <v>3571</v>
      </c>
      <c r="D302" s="12" t="s">
        <v>41</v>
      </c>
      <c r="E302" s="13" t="s">
        <v>3572</v>
      </c>
      <c r="F302" s="12">
        <v>18.0</v>
      </c>
      <c r="G302" s="12">
        <v>2007.0</v>
      </c>
      <c r="H302" s="15">
        <v>0.5</v>
      </c>
      <c r="I302" s="22">
        <v>0.0</v>
      </c>
      <c r="J302" s="18">
        <v>8.0</v>
      </c>
      <c r="K302" s="18">
        <v>2.0</v>
      </c>
      <c r="L302" s="15">
        <v>25.0</v>
      </c>
      <c r="M302" s="15">
        <v>8.37</v>
      </c>
      <c r="N302" s="15">
        <v>2.09</v>
      </c>
      <c r="O302" s="21">
        <v>0.0</v>
      </c>
      <c r="P302" s="21">
        <v>0.0</v>
      </c>
      <c r="Q302" s="19">
        <v>0.0</v>
      </c>
      <c r="R302" s="19">
        <v>0.0</v>
      </c>
      <c r="S302" s="20" t="s">
        <v>3573</v>
      </c>
    </row>
    <row r="303">
      <c r="A303" s="50">
        <v>290.0</v>
      </c>
      <c r="B303" s="13" t="s">
        <v>3574</v>
      </c>
      <c r="C303" s="11" t="s">
        <v>3575</v>
      </c>
      <c r="D303" s="12" t="s">
        <v>36</v>
      </c>
      <c r="E303" s="13" t="s">
        <v>3576</v>
      </c>
      <c r="F303" s="12">
        <v>25.0</v>
      </c>
      <c r="G303" s="12">
        <v>2000.0</v>
      </c>
      <c r="H303" s="15">
        <v>34.3</v>
      </c>
      <c r="I303" s="17">
        <v>0.03</v>
      </c>
      <c r="J303" s="18">
        <v>0.73</v>
      </c>
      <c r="K303" s="18">
        <v>0.2</v>
      </c>
      <c r="L303" s="15">
        <v>28.0</v>
      </c>
      <c r="M303" s="15">
        <v>0.73</v>
      </c>
      <c r="N303" s="15">
        <v>0.2</v>
      </c>
      <c r="O303" s="15">
        <v>0.04</v>
      </c>
      <c r="P303" s="15">
        <v>0.14</v>
      </c>
      <c r="Q303" s="19">
        <v>0.0</v>
      </c>
      <c r="R303" s="19">
        <v>0.0</v>
      </c>
      <c r="S303" s="20" t="s">
        <v>3577</v>
      </c>
    </row>
    <row r="304">
      <c r="A304" s="50">
        <v>291.0</v>
      </c>
      <c r="B304" s="13" t="s">
        <v>3578</v>
      </c>
      <c r="C304" s="11" t="s">
        <v>3579</v>
      </c>
      <c r="D304" s="12" t="s">
        <v>98</v>
      </c>
      <c r="E304" s="13" t="s">
        <v>3580</v>
      </c>
      <c r="F304" s="12">
        <v>23.0</v>
      </c>
      <c r="G304" s="12">
        <v>2002.0</v>
      </c>
      <c r="H304" s="15">
        <v>32.0</v>
      </c>
      <c r="I304" s="22">
        <v>0.0</v>
      </c>
      <c r="J304" s="19">
        <v>0.0</v>
      </c>
      <c r="K304" s="19">
        <v>0.0</v>
      </c>
      <c r="L304" s="36"/>
      <c r="M304" s="21">
        <v>0.0</v>
      </c>
      <c r="N304" s="21">
        <v>0.0</v>
      </c>
      <c r="O304" s="36"/>
      <c r="P304" s="36"/>
      <c r="Q304" s="19">
        <v>0.0</v>
      </c>
      <c r="R304" s="19">
        <v>0.0</v>
      </c>
      <c r="S304" s="20" t="s">
        <v>3581</v>
      </c>
    </row>
    <row r="305">
      <c r="A305" s="50">
        <v>292.0</v>
      </c>
      <c r="B305" s="13" t="s">
        <v>3582</v>
      </c>
      <c r="C305" s="11" t="s">
        <v>3583</v>
      </c>
      <c r="D305" s="12" t="s">
        <v>36</v>
      </c>
      <c r="E305" s="13" t="s">
        <v>3584</v>
      </c>
      <c r="F305" s="12">
        <v>31.0</v>
      </c>
      <c r="G305" s="12">
        <v>1993.0</v>
      </c>
      <c r="H305" s="15">
        <v>0.2</v>
      </c>
      <c r="I305" s="22">
        <v>0.0</v>
      </c>
      <c r="J305" s="18">
        <v>5.0</v>
      </c>
      <c r="K305" s="19">
        <v>0.0</v>
      </c>
      <c r="L305" s="21">
        <v>0.0</v>
      </c>
      <c r="M305" s="15">
        <v>4.29</v>
      </c>
      <c r="N305" s="21">
        <v>0.0</v>
      </c>
      <c r="O305" s="21">
        <v>0.0</v>
      </c>
      <c r="P305" s="36"/>
      <c r="Q305" s="19">
        <v>0.0</v>
      </c>
      <c r="R305" s="19">
        <v>0.0</v>
      </c>
      <c r="S305" s="20" t="s">
        <v>3585</v>
      </c>
    </row>
    <row r="306">
      <c r="A306" s="50">
        <v>293.0</v>
      </c>
      <c r="B306" s="13" t="s">
        <v>3586</v>
      </c>
      <c r="C306" s="11" t="s">
        <v>3587</v>
      </c>
      <c r="D306" s="12" t="s">
        <v>345</v>
      </c>
      <c r="E306" s="13" t="s">
        <v>3588</v>
      </c>
      <c r="F306" s="12">
        <v>30.0</v>
      </c>
      <c r="G306" s="12">
        <v>1995.0</v>
      </c>
      <c r="H306" s="15">
        <v>19.6</v>
      </c>
      <c r="I306" s="17">
        <v>0.05</v>
      </c>
      <c r="J306" s="18">
        <v>0.77</v>
      </c>
      <c r="K306" s="18">
        <v>0.2</v>
      </c>
      <c r="L306" s="15">
        <v>26.7</v>
      </c>
      <c r="M306" s="15">
        <v>0.77</v>
      </c>
      <c r="N306" s="15">
        <v>0.2</v>
      </c>
      <c r="O306" s="15">
        <v>0.07</v>
      </c>
      <c r="P306" s="15">
        <v>0.25</v>
      </c>
      <c r="Q306" s="19">
        <v>0.0</v>
      </c>
      <c r="R306" s="19">
        <v>0.0</v>
      </c>
      <c r="S306" s="20" t="s">
        <v>3589</v>
      </c>
    </row>
    <row r="307">
      <c r="A307" s="50">
        <v>294.0</v>
      </c>
      <c r="B307" s="13" t="s">
        <v>3590</v>
      </c>
      <c r="C307" s="11" t="s">
        <v>3591</v>
      </c>
      <c r="D307" s="12" t="s">
        <v>31</v>
      </c>
      <c r="E307" s="13" t="s">
        <v>3592</v>
      </c>
      <c r="F307" s="12">
        <v>21.0</v>
      </c>
      <c r="G307" s="12">
        <v>2004.0</v>
      </c>
      <c r="H307" s="15">
        <v>4.2</v>
      </c>
      <c r="I307" s="22">
        <v>0.0</v>
      </c>
      <c r="J307" s="18">
        <v>0.71</v>
      </c>
      <c r="K307" s="19">
        <v>0.0</v>
      </c>
      <c r="L307" s="21">
        <v>0.0</v>
      </c>
      <c r="M307" s="15">
        <v>0.71</v>
      </c>
      <c r="N307" s="21">
        <v>0.0</v>
      </c>
      <c r="O307" s="21">
        <v>0.0</v>
      </c>
      <c r="P307" s="36"/>
      <c r="Q307" s="19">
        <v>0.0</v>
      </c>
      <c r="R307" s="19">
        <v>0.0</v>
      </c>
      <c r="S307" s="20" t="s">
        <v>3593</v>
      </c>
    </row>
    <row r="308">
      <c r="A308" s="50">
        <v>295.0</v>
      </c>
      <c r="B308" s="13" t="s">
        <v>3594</v>
      </c>
      <c r="C308" s="11" t="s">
        <v>3595</v>
      </c>
      <c r="D308" s="12" t="s">
        <v>26</v>
      </c>
      <c r="E308" s="13" t="s">
        <v>3596</v>
      </c>
      <c r="F308" s="12">
        <v>25.0</v>
      </c>
      <c r="G308" s="12">
        <v>2000.0</v>
      </c>
      <c r="H308" s="15">
        <v>32.6</v>
      </c>
      <c r="I308" s="17">
        <v>0.15</v>
      </c>
      <c r="J308" s="18">
        <v>1.1</v>
      </c>
      <c r="K308" s="18">
        <v>0.37</v>
      </c>
      <c r="L308" s="15">
        <v>33.3</v>
      </c>
      <c r="M308" s="15">
        <v>1.11</v>
      </c>
      <c r="N308" s="15">
        <v>0.37</v>
      </c>
      <c r="O308" s="15">
        <v>0.06</v>
      </c>
      <c r="P308" s="15">
        <v>0.17</v>
      </c>
      <c r="Q308" s="18">
        <v>0.09</v>
      </c>
      <c r="R308" s="18">
        <v>0.12</v>
      </c>
      <c r="S308" s="20" t="s">
        <v>3597</v>
      </c>
    </row>
    <row r="309">
      <c r="A309" s="50">
        <v>296.0</v>
      </c>
      <c r="B309" s="13" t="s">
        <v>3598</v>
      </c>
      <c r="C309" s="11" t="s">
        <v>3599</v>
      </c>
      <c r="D309" s="12" t="s">
        <v>98</v>
      </c>
      <c r="E309" s="13" t="s">
        <v>3600</v>
      </c>
      <c r="F309" s="12">
        <v>33.0</v>
      </c>
      <c r="G309" s="12">
        <v>1992.0</v>
      </c>
      <c r="H309" s="15">
        <v>38.0</v>
      </c>
      <c r="I309" s="22">
        <v>0.0</v>
      </c>
      <c r="J309" s="19">
        <v>0.0</v>
      </c>
      <c r="K309" s="19">
        <v>0.0</v>
      </c>
      <c r="L309" s="36"/>
      <c r="M309" s="21">
        <v>0.0</v>
      </c>
      <c r="N309" s="21">
        <v>0.0</v>
      </c>
      <c r="O309" s="36"/>
      <c r="P309" s="36"/>
      <c r="Q309" s="19">
        <v>0.0</v>
      </c>
      <c r="R309" s="19">
        <v>0.0</v>
      </c>
      <c r="S309" s="20" t="s">
        <v>3601</v>
      </c>
    </row>
    <row r="310">
      <c r="A310" s="50">
        <v>297.0</v>
      </c>
      <c r="B310" s="13" t="s">
        <v>3602</v>
      </c>
      <c r="C310" s="11" t="s">
        <v>3603</v>
      </c>
      <c r="D310" s="12" t="s">
        <v>264</v>
      </c>
      <c r="E310" s="13" t="s">
        <v>3604</v>
      </c>
      <c r="F310" s="12">
        <v>30.0</v>
      </c>
      <c r="G310" s="12">
        <v>1994.0</v>
      </c>
      <c r="H310" s="15">
        <v>19.3</v>
      </c>
      <c r="I310" s="22">
        <v>0.0</v>
      </c>
      <c r="J310" s="18">
        <v>0.98</v>
      </c>
      <c r="K310" s="18">
        <v>0.36</v>
      </c>
      <c r="L310" s="15">
        <v>36.8</v>
      </c>
      <c r="M310" s="15">
        <v>0.99</v>
      </c>
      <c r="N310" s="15">
        <v>0.36</v>
      </c>
      <c r="O310" s="21">
        <v>0.0</v>
      </c>
      <c r="P310" s="21">
        <v>0.0</v>
      </c>
      <c r="Q310" s="19">
        <v>0.0</v>
      </c>
      <c r="R310" s="19">
        <v>0.0</v>
      </c>
      <c r="S310" s="20" t="s">
        <v>3605</v>
      </c>
    </row>
    <row r="311">
      <c r="A311" s="50">
        <v>298.0</v>
      </c>
      <c r="B311" s="13" t="s">
        <v>3606</v>
      </c>
      <c r="C311" s="11" t="s">
        <v>3607</v>
      </c>
      <c r="D311" s="12" t="s">
        <v>36</v>
      </c>
      <c r="E311" s="13" t="s">
        <v>3608</v>
      </c>
      <c r="F311" s="12">
        <v>20.0</v>
      </c>
      <c r="G311" s="12">
        <v>2004.0</v>
      </c>
      <c r="H311" s="15">
        <v>4.5</v>
      </c>
      <c r="I311" s="22">
        <v>0.0</v>
      </c>
      <c r="J311" s="18">
        <v>0.67</v>
      </c>
      <c r="K311" s="19">
        <v>0.0</v>
      </c>
      <c r="L311" s="21">
        <v>0.0</v>
      </c>
      <c r="M311" s="15">
        <v>0.66</v>
      </c>
      <c r="N311" s="21">
        <v>0.0</v>
      </c>
      <c r="O311" s="21">
        <v>0.0</v>
      </c>
      <c r="P311" s="36"/>
      <c r="Q311" s="19">
        <v>0.0</v>
      </c>
      <c r="R311" s="19">
        <v>0.0</v>
      </c>
      <c r="S311" s="20" t="s">
        <v>3609</v>
      </c>
    </row>
    <row r="312">
      <c r="A312" s="50">
        <v>299.0</v>
      </c>
      <c r="B312" s="13" t="s">
        <v>3610</v>
      </c>
      <c r="C312" s="11" t="s">
        <v>3611</v>
      </c>
      <c r="D312" s="12" t="s">
        <v>345</v>
      </c>
      <c r="E312" s="13" t="s">
        <v>3612</v>
      </c>
      <c r="F312" s="12">
        <v>24.0</v>
      </c>
      <c r="G312" s="12">
        <v>2001.0</v>
      </c>
      <c r="H312" s="15">
        <v>21.9</v>
      </c>
      <c r="I312" s="17">
        <v>0.14</v>
      </c>
      <c r="J312" s="18">
        <v>1.42</v>
      </c>
      <c r="K312" s="18">
        <v>0.41</v>
      </c>
      <c r="L312" s="15">
        <v>29.0</v>
      </c>
      <c r="M312" s="15">
        <v>1.41</v>
      </c>
      <c r="N312" s="15">
        <v>0.41</v>
      </c>
      <c r="O312" s="15">
        <v>0.1</v>
      </c>
      <c r="P312" s="15">
        <v>0.33</v>
      </c>
      <c r="Q312" s="19">
        <v>0.0</v>
      </c>
      <c r="R312" s="19">
        <v>0.0</v>
      </c>
      <c r="S312" s="20" t="s">
        <v>3613</v>
      </c>
    </row>
    <row r="313">
      <c r="A313" s="50">
        <v>300.0</v>
      </c>
      <c r="B313" s="13" t="s">
        <v>3614</v>
      </c>
      <c r="C313" s="11" t="s">
        <v>3615</v>
      </c>
      <c r="D313" s="12" t="s">
        <v>264</v>
      </c>
      <c r="E313" s="13" t="s">
        <v>3616</v>
      </c>
      <c r="F313" s="12">
        <v>18.0</v>
      </c>
      <c r="G313" s="12">
        <v>2006.0</v>
      </c>
      <c r="H313" s="15">
        <v>7.9</v>
      </c>
      <c r="I313" s="22">
        <v>0.0</v>
      </c>
      <c r="J313" s="18">
        <v>0.25</v>
      </c>
      <c r="K313" s="19">
        <v>0.0</v>
      </c>
      <c r="L313" s="21">
        <v>0.0</v>
      </c>
      <c r="M313" s="15">
        <v>0.25</v>
      </c>
      <c r="N313" s="21">
        <v>0.0</v>
      </c>
      <c r="O313" s="21">
        <v>0.0</v>
      </c>
      <c r="P313" s="36"/>
      <c r="Q313" s="19">
        <v>0.0</v>
      </c>
      <c r="R313" s="19">
        <v>0.0</v>
      </c>
      <c r="S313" s="20" t="s">
        <v>3617</v>
      </c>
    </row>
    <row r="314">
      <c r="A314" s="37" t="s">
        <v>3</v>
      </c>
      <c r="B314" s="51" t="s">
        <v>4</v>
      </c>
      <c r="C314" s="39" t="s">
        <v>5</v>
      </c>
      <c r="D314" s="39" t="s">
        <v>6</v>
      </c>
      <c r="E314" s="39" t="s">
        <v>7</v>
      </c>
      <c r="F314" s="39" t="s">
        <v>8</v>
      </c>
      <c r="G314" s="39" t="s">
        <v>9</v>
      </c>
      <c r="H314" s="39" t="s">
        <v>13</v>
      </c>
      <c r="I314" s="40" t="s">
        <v>14</v>
      </c>
      <c r="J314" s="39" t="s">
        <v>2411</v>
      </c>
      <c r="K314" s="39" t="s">
        <v>2412</v>
      </c>
      <c r="L314" s="39" t="s">
        <v>2413</v>
      </c>
      <c r="M314" s="39" t="s">
        <v>2414</v>
      </c>
      <c r="N314" s="39" t="s">
        <v>2415</v>
      </c>
      <c r="O314" s="39" t="s">
        <v>2416</v>
      </c>
      <c r="P314" s="39" t="s">
        <v>2417</v>
      </c>
      <c r="Q314" s="39" t="s">
        <v>18</v>
      </c>
      <c r="R314" s="39" t="s">
        <v>19</v>
      </c>
      <c r="S314" s="40" t="s">
        <v>23</v>
      </c>
    </row>
    <row r="315">
      <c r="A315" s="50">
        <v>301.0</v>
      </c>
      <c r="B315" s="13" t="s">
        <v>3618</v>
      </c>
      <c r="C315" s="11" t="s">
        <v>3619</v>
      </c>
      <c r="D315" s="12" t="s">
        <v>36</v>
      </c>
      <c r="E315" s="13" t="s">
        <v>3620</v>
      </c>
      <c r="F315" s="12">
        <v>25.0</v>
      </c>
      <c r="G315" s="12">
        <v>1999.0</v>
      </c>
      <c r="H315" s="15">
        <v>13.0</v>
      </c>
      <c r="I315" s="17">
        <v>0.08</v>
      </c>
      <c r="J315" s="18">
        <v>0.85</v>
      </c>
      <c r="K315" s="18">
        <v>0.23</v>
      </c>
      <c r="L315" s="15">
        <v>27.3</v>
      </c>
      <c r="M315" s="15">
        <v>0.85</v>
      </c>
      <c r="N315" s="15">
        <v>0.23</v>
      </c>
      <c r="O315" s="15">
        <v>0.09</v>
      </c>
      <c r="P315" s="15">
        <v>0.33</v>
      </c>
      <c r="Q315" s="19">
        <v>0.0</v>
      </c>
      <c r="R315" s="19">
        <v>0.0</v>
      </c>
      <c r="S315" s="20" t="s">
        <v>3621</v>
      </c>
    </row>
    <row r="316">
      <c r="A316" s="50">
        <v>302.0</v>
      </c>
      <c r="B316" s="13" t="s">
        <v>3622</v>
      </c>
      <c r="C316" s="11" t="s">
        <v>3623</v>
      </c>
      <c r="D316" s="12" t="s">
        <v>31</v>
      </c>
      <c r="E316" s="13" t="s">
        <v>3624</v>
      </c>
      <c r="F316" s="12">
        <v>19.0</v>
      </c>
      <c r="G316" s="12">
        <v>2006.0</v>
      </c>
      <c r="H316" s="15">
        <v>2.9</v>
      </c>
      <c r="I316" s="22">
        <v>0.0</v>
      </c>
      <c r="J316" s="18">
        <v>1.38</v>
      </c>
      <c r="K316" s="18">
        <v>0.34</v>
      </c>
      <c r="L316" s="15">
        <v>25.0</v>
      </c>
      <c r="M316" s="15">
        <v>1.38</v>
      </c>
      <c r="N316" s="15">
        <v>0.35</v>
      </c>
      <c r="O316" s="21">
        <v>0.0</v>
      </c>
      <c r="P316" s="21">
        <v>0.0</v>
      </c>
      <c r="Q316" s="19">
        <v>0.0</v>
      </c>
      <c r="R316" s="19">
        <v>0.0</v>
      </c>
      <c r="S316" s="20" t="s">
        <v>3625</v>
      </c>
    </row>
    <row r="317">
      <c r="A317" s="50">
        <v>303.0</v>
      </c>
      <c r="B317" s="13" t="s">
        <v>3626</v>
      </c>
      <c r="C317" s="11" t="s">
        <v>3627</v>
      </c>
      <c r="D317" s="12" t="s">
        <v>345</v>
      </c>
      <c r="E317" s="13" t="s">
        <v>3628</v>
      </c>
      <c r="F317" s="12">
        <v>31.0</v>
      </c>
      <c r="G317" s="12">
        <v>1994.0</v>
      </c>
      <c r="H317" s="15">
        <v>10.5</v>
      </c>
      <c r="I317" s="22">
        <v>0.0</v>
      </c>
      <c r="J317" s="18">
        <v>0.29</v>
      </c>
      <c r="K317" s="19">
        <v>0.0</v>
      </c>
      <c r="L317" s="21">
        <v>0.0</v>
      </c>
      <c r="M317" s="15">
        <v>0.28</v>
      </c>
      <c r="N317" s="21">
        <v>0.0</v>
      </c>
      <c r="O317" s="21">
        <v>0.0</v>
      </c>
      <c r="P317" s="36"/>
      <c r="Q317" s="19">
        <v>0.0</v>
      </c>
      <c r="R317" s="19">
        <v>0.0</v>
      </c>
      <c r="S317" s="20" t="s">
        <v>3629</v>
      </c>
    </row>
    <row r="318">
      <c r="A318" s="50">
        <v>304.0</v>
      </c>
      <c r="B318" s="13" t="s">
        <v>3630</v>
      </c>
      <c r="C318" s="11" t="s">
        <v>3631</v>
      </c>
      <c r="D318" s="12" t="s">
        <v>36</v>
      </c>
      <c r="E318" s="13" t="s">
        <v>3632</v>
      </c>
      <c r="F318" s="12">
        <v>22.0</v>
      </c>
      <c r="G318" s="12">
        <v>2002.0</v>
      </c>
      <c r="H318" s="15">
        <v>14.8</v>
      </c>
      <c r="I318" s="22">
        <v>0.0</v>
      </c>
      <c r="J318" s="18">
        <v>0.2</v>
      </c>
      <c r="K318" s="19">
        <v>0.0</v>
      </c>
      <c r="L318" s="21">
        <v>0.0</v>
      </c>
      <c r="M318" s="15">
        <v>0.2</v>
      </c>
      <c r="N318" s="21">
        <v>0.0</v>
      </c>
      <c r="O318" s="21">
        <v>0.0</v>
      </c>
      <c r="P318" s="36"/>
      <c r="Q318" s="19">
        <v>0.0</v>
      </c>
      <c r="R318" s="19">
        <v>0.0</v>
      </c>
      <c r="S318" s="20" t="s">
        <v>3633</v>
      </c>
    </row>
    <row r="319">
      <c r="A319" s="50">
        <v>305.0</v>
      </c>
      <c r="B319" s="13" t="s">
        <v>3634</v>
      </c>
      <c r="C319" s="11" t="s">
        <v>3635</v>
      </c>
      <c r="D319" s="12" t="s">
        <v>31</v>
      </c>
      <c r="E319" s="13" t="s">
        <v>3636</v>
      </c>
      <c r="F319" s="12">
        <v>27.0</v>
      </c>
      <c r="G319" s="12">
        <v>1997.0</v>
      </c>
      <c r="H319" s="15">
        <v>11.2</v>
      </c>
      <c r="I319" s="17">
        <v>0.18</v>
      </c>
      <c r="J319" s="18">
        <v>1.43</v>
      </c>
      <c r="K319" s="18">
        <v>0.36</v>
      </c>
      <c r="L319" s="15">
        <v>25.0</v>
      </c>
      <c r="M319" s="15">
        <v>1.42</v>
      </c>
      <c r="N319" s="15">
        <v>0.36</v>
      </c>
      <c r="O319" s="15">
        <v>0.13</v>
      </c>
      <c r="P319" s="15">
        <v>0.5</v>
      </c>
      <c r="Q319" s="19">
        <v>0.0</v>
      </c>
      <c r="R319" s="19">
        <v>0.0</v>
      </c>
      <c r="S319" s="20" t="s">
        <v>3637</v>
      </c>
    </row>
    <row r="320">
      <c r="A320" s="50">
        <v>306.0</v>
      </c>
      <c r="B320" s="13" t="s">
        <v>3638</v>
      </c>
      <c r="C320" s="11" t="s">
        <v>3639</v>
      </c>
      <c r="D320" s="12" t="s">
        <v>31</v>
      </c>
      <c r="E320" s="13" t="s">
        <v>3640</v>
      </c>
      <c r="F320" s="12">
        <v>21.0</v>
      </c>
      <c r="G320" s="12">
        <v>2004.0</v>
      </c>
      <c r="H320" s="15">
        <v>2.6</v>
      </c>
      <c r="I320" s="22">
        <v>0.0</v>
      </c>
      <c r="J320" s="18">
        <v>1.92</v>
      </c>
      <c r="K320" s="18">
        <v>0.38</v>
      </c>
      <c r="L320" s="15">
        <v>20.0</v>
      </c>
      <c r="M320" s="15">
        <v>1.91</v>
      </c>
      <c r="N320" s="15">
        <v>0.38</v>
      </c>
      <c r="O320" s="21">
        <v>0.0</v>
      </c>
      <c r="P320" s="21">
        <v>0.0</v>
      </c>
      <c r="Q320" s="19">
        <v>0.0</v>
      </c>
      <c r="R320" s="19">
        <v>0.0</v>
      </c>
      <c r="S320" s="20" t="s">
        <v>3641</v>
      </c>
    </row>
    <row r="321">
      <c r="A321" s="50">
        <v>307.0</v>
      </c>
      <c r="B321" s="13" t="s">
        <v>3642</v>
      </c>
      <c r="C321" s="11" t="s">
        <v>3643</v>
      </c>
      <c r="D321" s="12" t="s">
        <v>264</v>
      </c>
      <c r="E321" s="13" t="s">
        <v>3644</v>
      </c>
      <c r="F321" s="12">
        <v>24.0</v>
      </c>
      <c r="G321" s="12">
        <v>2001.0</v>
      </c>
      <c r="H321" s="15">
        <v>15.7</v>
      </c>
      <c r="I321" s="22">
        <v>0.0</v>
      </c>
      <c r="J321" s="18">
        <v>1.02</v>
      </c>
      <c r="K321" s="18">
        <v>0.25</v>
      </c>
      <c r="L321" s="15">
        <v>25.0</v>
      </c>
      <c r="M321" s="15">
        <v>1.02</v>
      </c>
      <c r="N321" s="15">
        <v>0.26</v>
      </c>
      <c r="O321" s="21">
        <v>0.0</v>
      </c>
      <c r="P321" s="21">
        <v>0.0</v>
      </c>
      <c r="Q321" s="19">
        <v>0.0</v>
      </c>
      <c r="R321" s="19">
        <v>0.0</v>
      </c>
      <c r="S321" s="20" t="s">
        <v>3645</v>
      </c>
    </row>
    <row r="322">
      <c r="A322" s="50">
        <v>308.0</v>
      </c>
      <c r="B322" s="13" t="s">
        <v>3646</v>
      </c>
      <c r="C322" s="11" t="s">
        <v>3647</v>
      </c>
      <c r="D322" s="12" t="s">
        <v>41</v>
      </c>
      <c r="E322" s="13" t="s">
        <v>3648</v>
      </c>
      <c r="F322" s="12">
        <v>24.0</v>
      </c>
      <c r="G322" s="12">
        <v>2000.0</v>
      </c>
      <c r="H322" s="15">
        <v>1.4</v>
      </c>
      <c r="I322" s="17">
        <v>0.71</v>
      </c>
      <c r="J322" s="18">
        <v>2.86</v>
      </c>
      <c r="K322" s="18">
        <v>0.71</v>
      </c>
      <c r="L322" s="15">
        <v>25.0</v>
      </c>
      <c r="M322" s="15">
        <v>2.79</v>
      </c>
      <c r="N322" s="15">
        <v>0.7</v>
      </c>
      <c r="O322" s="15">
        <v>0.25</v>
      </c>
      <c r="P322" s="15">
        <v>1.0</v>
      </c>
      <c r="Q322" s="19">
        <v>0.0</v>
      </c>
      <c r="R322" s="19">
        <v>0.0</v>
      </c>
      <c r="S322" s="20" t="s">
        <v>3649</v>
      </c>
    </row>
    <row r="323">
      <c r="A323" s="50">
        <v>309.0</v>
      </c>
      <c r="B323" s="13" t="s">
        <v>3650</v>
      </c>
      <c r="C323" s="11" t="s">
        <v>3651</v>
      </c>
      <c r="D323" s="12" t="s">
        <v>31</v>
      </c>
      <c r="E323" s="13" t="s">
        <v>3652</v>
      </c>
      <c r="F323" s="12">
        <v>25.0</v>
      </c>
      <c r="G323" s="12">
        <v>1999.0</v>
      </c>
      <c r="H323" s="15">
        <v>23.4</v>
      </c>
      <c r="I323" s="22">
        <v>0.0</v>
      </c>
      <c r="J323" s="18">
        <v>0.56</v>
      </c>
      <c r="K323" s="18">
        <v>0.09</v>
      </c>
      <c r="L323" s="15">
        <v>15.4</v>
      </c>
      <c r="M323" s="15">
        <v>0.56</v>
      </c>
      <c r="N323" s="15">
        <v>0.09</v>
      </c>
      <c r="O323" s="21">
        <v>0.0</v>
      </c>
      <c r="P323" s="21">
        <v>0.0</v>
      </c>
      <c r="Q323" s="19">
        <v>0.0</v>
      </c>
      <c r="R323" s="19">
        <v>0.0</v>
      </c>
      <c r="S323" s="20" t="s">
        <v>3653</v>
      </c>
    </row>
    <row r="324">
      <c r="A324" s="50">
        <v>310.0</v>
      </c>
      <c r="B324" s="13" t="s">
        <v>3654</v>
      </c>
      <c r="C324" s="11" t="s">
        <v>3655</v>
      </c>
      <c r="D324" s="12" t="s">
        <v>31</v>
      </c>
      <c r="E324" s="13" t="s">
        <v>3656</v>
      </c>
      <c r="F324" s="12">
        <v>27.0</v>
      </c>
      <c r="G324" s="12">
        <v>1998.0</v>
      </c>
      <c r="H324" s="15">
        <v>6.7</v>
      </c>
      <c r="I324" s="17">
        <v>0.15</v>
      </c>
      <c r="J324" s="18">
        <v>0.9</v>
      </c>
      <c r="K324" s="18">
        <v>0.6</v>
      </c>
      <c r="L324" s="15">
        <v>66.7</v>
      </c>
      <c r="M324" s="15">
        <v>0.89</v>
      </c>
      <c r="N324" s="15">
        <v>0.6</v>
      </c>
      <c r="O324" s="15">
        <v>0.17</v>
      </c>
      <c r="P324" s="15">
        <v>0.25</v>
      </c>
      <c r="Q324" s="19">
        <v>0.0</v>
      </c>
      <c r="R324" s="19">
        <v>0.0</v>
      </c>
      <c r="S324" s="20" t="s">
        <v>3657</v>
      </c>
    </row>
    <row r="325">
      <c r="A325" s="50">
        <v>311.0</v>
      </c>
      <c r="B325" s="13" t="s">
        <v>3658</v>
      </c>
      <c r="C325" s="11" t="s">
        <v>3659</v>
      </c>
      <c r="D325" s="12" t="s">
        <v>31</v>
      </c>
      <c r="E325" s="13" t="s">
        <v>3660</v>
      </c>
      <c r="F325" s="12">
        <v>27.0</v>
      </c>
      <c r="G325" s="12">
        <v>1998.0</v>
      </c>
      <c r="H325" s="15">
        <v>3.5</v>
      </c>
      <c r="I325" s="22">
        <v>0.0</v>
      </c>
      <c r="J325" s="18">
        <v>1.43</v>
      </c>
      <c r="K325" s="18">
        <v>0.29</v>
      </c>
      <c r="L325" s="15">
        <v>20.0</v>
      </c>
      <c r="M325" s="15">
        <v>1.43</v>
      </c>
      <c r="N325" s="15">
        <v>0.29</v>
      </c>
      <c r="O325" s="21">
        <v>0.0</v>
      </c>
      <c r="P325" s="21">
        <v>0.0</v>
      </c>
      <c r="Q325" s="19">
        <v>0.0</v>
      </c>
      <c r="R325" s="19">
        <v>0.0</v>
      </c>
      <c r="S325" s="20" t="s">
        <v>3661</v>
      </c>
    </row>
    <row r="326">
      <c r="A326" s="50">
        <v>312.0</v>
      </c>
      <c r="B326" s="13" t="s">
        <v>3662</v>
      </c>
      <c r="C326" s="11" t="s">
        <v>3663</v>
      </c>
      <c r="D326" s="12" t="s">
        <v>31</v>
      </c>
      <c r="E326" s="13" t="s">
        <v>3664</v>
      </c>
      <c r="F326" s="12">
        <v>28.0</v>
      </c>
      <c r="G326" s="12">
        <v>1996.0</v>
      </c>
      <c r="H326" s="15">
        <v>19.3</v>
      </c>
      <c r="I326" s="17">
        <v>0.05</v>
      </c>
      <c r="J326" s="18">
        <v>0.93</v>
      </c>
      <c r="K326" s="18">
        <v>0.31</v>
      </c>
      <c r="L326" s="15">
        <v>33.3</v>
      </c>
      <c r="M326" s="15">
        <v>0.93</v>
      </c>
      <c r="N326" s="15">
        <v>0.31</v>
      </c>
      <c r="O326" s="15">
        <v>0.06</v>
      </c>
      <c r="P326" s="15">
        <v>0.17</v>
      </c>
      <c r="Q326" s="19">
        <v>0.0</v>
      </c>
      <c r="R326" s="19">
        <v>0.0</v>
      </c>
      <c r="S326" s="20" t="s">
        <v>3665</v>
      </c>
    </row>
    <row r="327">
      <c r="A327" s="50">
        <v>313.0</v>
      </c>
      <c r="B327" s="13" t="s">
        <v>3666</v>
      </c>
      <c r="C327" s="11" t="s">
        <v>3667</v>
      </c>
      <c r="D327" s="12" t="s">
        <v>36</v>
      </c>
      <c r="E327" s="13" t="s">
        <v>3668</v>
      </c>
      <c r="F327" s="12">
        <v>23.0</v>
      </c>
      <c r="G327" s="12">
        <v>2002.0</v>
      </c>
      <c r="H327" s="15">
        <v>17.8</v>
      </c>
      <c r="I327" s="22">
        <v>0.0</v>
      </c>
      <c r="J327" s="18">
        <v>1.12</v>
      </c>
      <c r="K327" s="18">
        <v>0.28</v>
      </c>
      <c r="L327" s="15">
        <v>25.0</v>
      </c>
      <c r="M327" s="15">
        <v>1.12</v>
      </c>
      <c r="N327" s="15">
        <v>0.28</v>
      </c>
      <c r="O327" s="21">
        <v>0.0</v>
      </c>
      <c r="P327" s="21">
        <v>0.0</v>
      </c>
      <c r="Q327" s="19">
        <v>0.0</v>
      </c>
      <c r="R327" s="19">
        <v>0.0</v>
      </c>
      <c r="S327" s="20" t="s">
        <v>3669</v>
      </c>
    </row>
    <row r="328">
      <c r="A328" s="50">
        <v>314.0</v>
      </c>
      <c r="B328" s="13" t="s">
        <v>3670</v>
      </c>
      <c r="C328" s="11" t="s">
        <v>3671</v>
      </c>
      <c r="D328" s="12" t="s">
        <v>31</v>
      </c>
      <c r="E328" s="13" t="s">
        <v>3672</v>
      </c>
      <c r="F328" s="12">
        <v>26.0</v>
      </c>
      <c r="G328" s="12">
        <v>1998.0</v>
      </c>
      <c r="H328" s="15">
        <v>29.5</v>
      </c>
      <c r="I328" s="17">
        <v>0.07</v>
      </c>
      <c r="J328" s="18">
        <v>1.76</v>
      </c>
      <c r="K328" s="18">
        <v>0.41</v>
      </c>
      <c r="L328" s="15">
        <v>23.1</v>
      </c>
      <c r="M328" s="15">
        <v>1.76</v>
      </c>
      <c r="N328" s="15">
        <v>0.41</v>
      </c>
      <c r="O328" s="15">
        <v>0.04</v>
      </c>
      <c r="P328" s="15">
        <v>0.17</v>
      </c>
      <c r="Q328" s="19">
        <v>0.0</v>
      </c>
      <c r="R328" s="19">
        <v>0.0</v>
      </c>
      <c r="S328" s="20" t="s">
        <v>3673</v>
      </c>
    </row>
    <row r="329">
      <c r="A329" s="50">
        <v>315.0</v>
      </c>
      <c r="B329" s="13" t="s">
        <v>3674</v>
      </c>
      <c r="C329" s="11" t="s">
        <v>3675</v>
      </c>
      <c r="D329" s="12" t="s">
        <v>107</v>
      </c>
      <c r="E329" s="13" t="s">
        <v>3676</v>
      </c>
      <c r="F329" s="12">
        <v>28.0</v>
      </c>
      <c r="G329" s="12">
        <v>1996.0</v>
      </c>
      <c r="H329" s="15">
        <v>0.4</v>
      </c>
      <c r="I329" s="22">
        <v>0.0</v>
      </c>
      <c r="J329" s="18">
        <v>5.0</v>
      </c>
      <c r="K329" s="19">
        <v>0.0</v>
      </c>
      <c r="L329" s="21">
        <v>0.0</v>
      </c>
      <c r="M329" s="15">
        <v>4.86</v>
      </c>
      <c r="N329" s="21">
        <v>0.0</v>
      </c>
      <c r="O329" s="21">
        <v>0.0</v>
      </c>
      <c r="P329" s="36"/>
      <c r="Q329" s="19">
        <v>0.0</v>
      </c>
      <c r="R329" s="19">
        <v>0.0</v>
      </c>
      <c r="S329" s="20" t="s">
        <v>3677</v>
      </c>
    </row>
    <row r="330">
      <c r="A330" s="50">
        <v>316.0</v>
      </c>
      <c r="B330" s="13" t="s">
        <v>3678</v>
      </c>
      <c r="C330" s="11" t="s">
        <v>3679</v>
      </c>
      <c r="D330" s="12" t="s">
        <v>107</v>
      </c>
      <c r="E330" s="13" t="s">
        <v>3680</v>
      </c>
      <c r="F330" s="12">
        <v>23.0</v>
      </c>
      <c r="G330" s="12">
        <v>2002.0</v>
      </c>
      <c r="H330" s="15">
        <v>13.5</v>
      </c>
      <c r="I330" s="17">
        <v>0.22</v>
      </c>
      <c r="J330" s="18">
        <v>1.85</v>
      </c>
      <c r="K330" s="18">
        <v>0.67</v>
      </c>
      <c r="L330" s="15">
        <v>36.0</v>
      </c>
      <c r="M330" s="15">
        <v>1.86</v>
      </c>
      <c r="N330" s="15">
        <v>0.67</v>
      </c>
      <c r="O330" s="15">
        <v>0.12</v>
      </c>
      <c r="P330" s="15">
        <v>0.33</v>
      </c>
      <c r="Q330" s="19">
        <v>0.0</v>
      </c>
      <c r="R330" s="19">
        <v>0.0</v>
      </c>
      <c r="S330" s="20" t="s">
        <v>3681</v>
      </c>
    </row>
    <row r="331">
      <c r="A331" s="50">
        <v>317.0</v>
      </c>
      <c r="B331" s="13" t="s">
        <v>3682</v>
      </c>
      <c r="C331" s="11" t="s">
        <v>3683</v>
      </c>
      <c r="D331" s="12" t="s">
        <v>36</v>
      </c>
      <c r="E331" s="13" t="s">
        <v>3684</v>
      </c>
      <c r="F331" s="12">
        <v>27.0</v>
      </c>
      <c r="G331" s="12">
        <v>1997.0</v>
      </c>
      <c r="H331" s="15">
        <v>30.6</v>
      </c>
      <c r="I331" s="17">
        <v>0.1</v>
      </c>
      <c r="J331" s="18">
        <v>0.88</v>
      </c>
      <c r="K331" s="18">
        <v>0.23</v>
      </c>
      <c r="L331" s="15">
        <v>25.9</v>
      </c>
      <c r="M331" s="15">
        <v>0.88</v>
      </c>
      <c r="N331" s="15">
        <v>0.23</v>
      </c>
      <c r="O331" s="15">
        <v>0.11</v>
      </c>
      <c r="P331" s="15">
        <v>0.43</v>
      </c>
      <c r="Q331" s="19">
        <v>0.0</v>
      </c>
      <c r="R331" s="19">
        <v>0.0</v>
      </c>
      <c r="S331" s="20" t="s">
        <v>3685</v>
      </c>
    </row>
    <row r="332">
      <c r="A332" s="50">
        <v>318.0</v>
      </c>
      <c r="B332" s="13" t="s">
        <v>3686</v>
      </c>
      <c r="C332" s="11" t="s">
        <v>3687</v>
      </c>
      <c r="D332" s="12" t="s">
        <v>31</v>
      </c>
      <c r="E332" s="13" t="s">
        <v>3688</v>
      </c>
      <c r="F332" s="12">
        <v>21.0</v>
      </c>
      <c r="G332" s="12">
        <v>2003.0</v>
      </c>
      <c r="H332" s="15">
        <v>10.9</v>
      </c>
      <c r="I332" s="17">
        <v>0.09</v>
      </c>
      <c r="J332" s="18">
        <v>0.64</v>
      </c>
      <c r="K332" s="18">
        <v>0.18</v>
      </c>
      <c r="L332" s="15">
        <v>28.6</v>
      </c>
      <c r="M332" s="15">
        <v>0.64</v>
      </c>
      <c r="N332" s="15">
        <v>0.18</v>
      </c>
      <c r="O332" s="15">
        <v>0.14</v>
      </c>
      <c r="P332" s="15">
        <v>0.5</v>
      </c>
      <c r="Q332" s="19">
        <v>0.0</v>
      </c>
      <c r="R332" s="19">
        <v>0.0</v>
      </c>
      <c r="S332" s="20" t="s">
        <v>3689</v>
      </c>
    </row>
    <row r="333">
      <c r="A333" s="50">
        <v>319.0</v>
      </c>
      <c r="B333" s="13" t="s">
        <v>3690</v>
      </c>
      <c r="C333" s="11" t="s">
        <v>3691</v>
      </c>
      <c r="D333" s="12" t="s">
        <v>36</v>
      </c>
      <c r="E333" s="13" t="s">
        <v>3692</v>
      </c>
      <c r="F333" s="12">
        <v>32.0</v>
      </c>
      <c r="G333" s="12">
        <v>1993.0</v>
      </c>
      <c r="H333" s="15">
        <v>18.4</v>
      </c>
      <c r="I333" s="17">
        <v>0.05</v>
      </c>
      <c r="J333" s="18">
        <v>0.76</v>
      </c>
      <c r="K333" s="18">
        <v>0.22</v>
      </c>
      <c r="L333" s="15">
        <v>28.6</v>
      </c>
      <c r="M333" s="15">
        <v>0.76</v>
      </c>
      <c r="N333" s="15">
        <v>0.22</v>
      </c>
      <c r="O333" s="15">
        <v>0.07</v>
      </c>
      <c r="P333" s="15">
        <v>0.25</v>
      </c>
      <c r="Q333" s="19">
        <v>0.0</v>
      </c>
      <c r="R333" s="19">
        <v>0.0</v>
      </c>
      <c r="S333" s="20" t="s">
        <v>3693</v>
      </c>
    </row>
    <row r="334">
      <c r="A334" s="50">
        <v>320.0</v>
      </c>
      <c r="B334" s="13" t="s">
        <v>3694</v>
      </c>
      <c r="C334" s="11" t="s">
        <v>3695</v>
      </c>
      <c r="D334" s="12" t="s">
        <v>31</v>
      </c>
      <c r="E334" s="13" t="s">
        <v>3696</v>
      </c>
      <c r="F334" s="12">
        <v>20.0</v>
      </c>
      <c r="G334" s="12">
        <v>2005.0</v>
      </c>
      <c r="H334" s="15">
        <v>18.5</v>
      </c>
      <c r="I334" s="17">
        <v>0.05</v>
      </c>
      <c r="J334" s="18">
        <v>0.7</v>
      </c>
      <c r="K334" s="18">
        <v>0.16</v>
      </c>
      <c r="L334" s="15">
        <v>23.1</v>
      </c>
      <c r="M334" s="15">
        <v>0.7</v>
      </c>
      <c r="N334" s="15">
        <v>0.16</v>
      </c>
      <c r="O334" s="15">
        <v>0.08</v>
      </c>
      <c r="P334" s="15">
        <v>0.33</v>
      </c>
      <c r="Q334" s="19">
        <v>0.0</v>
      </c>
      <c r="R334" s="19">
        <v>0.0</v>
      </c>
      <c r="S334" s="20" t="s">
        <v>3697</v>
      </c>
    </row>
    <row r="335">
      <c r="A335" s="50">
        <v>321.0</v>
      </c>
      <c r="B335" s="13" t="s">
        <v>3698</v>
      </c>
      <c r="C335" s="11" t="s">
        <v>3699</v>
      </c>
      <c r="D335" s="12" t="s">
        <v>36</v>
      </c>
      <c r="E335" s="13" t="s">
        <v>3700</v>
      </c>
      <c r="F335" s="12">
        <v>25.0</v>
      </c>
      <c r="G335" s="12">
        <v>1999.0</v>
      </c>
      <c r="H335" s="15">
        <v>0.2</v>
      </c>
      <c r="I335" s="22">
        <v>0.0</v>
      </c>
      <c r="J335" s="19">
        <v>0.0</v>
      </c>
      <c r="K335" s="19">
        <v>0.0</v>
      </c>
      <c r="L335" s="36"/>
      <c r="M335" s="21">
        <v>0.0</v>
      </c>
      <c r="N335" s="21">
        <v>0.0</v>
      </c>
      <c r="O335" s="36"/>
      <c r="P335" s="36"/>
      <c r="Q335" s="19">
        <v>0.0</v>
      </c>
      <c r="R335" s="19">
        <v>0.0</v>
      </c>
      <c r="S335" s="20" t="s">
        <v>3701</v>
      </c>
    </row>
    <row r="336">
      <c r="A336" s="50">
        <v>322.0</v>
      </c>
      <c r="B336" s="13" t="s">
        <v>3702</v>
      </c>
      <c r="C336" s="11" t="s">
        <v>3703</v>
      </c>
      <c r="D336" s="12" t="s">
        <v>107</v>
      </c>
      <c r="E336" s="13" t="s">
        <v>3704</v>
      </c>
      <c r="F336" s="12">
        <v>26.0</v>
      </c>
      <c r="G336" s="12">
        <v>1999.0</v>
      </c>
      <c r="H336" s="15">
        <v>7.3</v>
      </c>
      <c r="I336" s="17">
        <v>0.55</v>
      </c>
      <c r="J336" s="18">
        <v>3.7</v>
      </c>
      <c r="K336" s="18">
        <v>1.23</v>
      </c>
      <c r="L336" s="15">
        <v>33.3</v>
      </c>
      <c r="M336" s="15">
        <v>3.7</v>
      </c>
      <c r="N336" s="15">
        <v>1.23</v>
      </c>
      <c r="O336" s="15">
        <v>0.15</v>
      </c>
      <c r="P336" s="15">
        <v>0.44</v>
      </c>
      <c r="Q336" s="19">
        <v>0.0</v>
      </c>
      <c r="R336" s="19">
        <v>0.0</v>
      </c>
      <c r="S336" s="20" t="s">
        <v>3705</v>
      </c>
    </row>
    <row r="337">
      <c r="A337" s="50">
        <v>323.0</v>
      </c>
      <c r="B337" s="13" t="s">
        <v>3706</v>
      </c>
      <c r="C337" s="11" t="s">
        <v>3707</v>
      </c>
      <c r="D337" s="12" t="s">
        <v>98</v>
      </c>
      <c r="E337" s="13" t="s">
        <v>3708</v>
      </c>
      <c r="F337" s="12">
        <v>24.0</v>
      </c>
      <c r="G337" s="12">
        <v>2000.0</v>
      </c>
      <c r="H337" s="15">
        <v>9.6</v>
      </c>
      <c r="I337" s="22">
        <v>0.0</v>
      </c>
      <c r="J337" s="19">
        <v>0.0</v>
      </c>
      <c r="K337" s="19">
        <v>0.0</v>
      </c>
      <c r="L337" s="36"/>
      <c r="M337" s="21">
        <v>0.0</v>
      </c>
      <c r="N337" s="21">
        <v>0.0</v>
      </c>
      <c r="O337" s="36"/>
      <c r="P337" s="36"/>
      <c r="Q337" s="19">
        <v>0.0</v>
      </c>
      <c r="R337" s="19">
        <v>0.0</v>
      </c>
      <c r="S337" s="20" t="s">
        <v>3709</v>
      </c>
    </row>
    <row r="338">
      <c r="A338" s="50">
        <v>324.0</v>
      </c>
      <c r="B338" s="13" t="s">
        <v>3710</v>
      </c>
      <c r="C338" s="11" t="s">
        <v>3711</v>
      </c>
      <c r="D338" s="12" t="s">
        <v>36</v>
      </c>
      <c r="E338" s="13" t="s">
        <v>3712</v>
      </c>
      <c r="F338" s="12">
        <v>31.0</v>
      </c>
      <c r="G338" s="12">
        <v>1994.0</v>
      </c>
      <c r="H338" s="15">
        <v>21.8</v>
      </c>
      <c r="I338" s="22">
        <v>0.0</v>
      </c>
      <c r="J338" s="18">
        <v>0.18</v>
      </c>
      <c r="K338" s="19">
        <v>0.0</v>
      </c>
      <c r="L338" s="21">
        <v>0.0</v>
      </c>
      <c r="M338" s="15">
        <v>0.18</v>
      </c>
      <c r="N338" s="21">
        <v>0.0</v>
      </c>
      <c r="O338" s="21">
        <v>0.0</v>
      </c>
      <c r="P338" s="36"/>
      <c r="Q338" s="19">
        <v>0.0</v>
      </c>
      <c r="R338" s="19">
        <v>0.0</v>
      </c>
      <c r="S338" s="20" t="s">
        <v>3713</v>
      </c>
    </row>
    <row r="339">
      <c r="A339" s="50">
        <v>325.0</v>
      </c>
      <c r="B339" s="13" t="s">
        <v>3714</v>
      </c>
      <c r="C339" s="11" t="s">
        <v>3715</v>
      </c>
      <c r="D339" s="12" t="s">
        <v>31</v>
      </c>
      <c r="E339" s="13" t="s">
        <v>3716</v>
      </c>
      <c r="F339" s="12">
        <v>17.0</v>
      </c>
      <c r="G339" s="12">
        <v>2007.0</v>
      </c>
      <c r="H339" s="15">
        <v>19.9</v>
      </c>
      <c r="I339" s="17">
        <v>0.15</v>
      </c>
      <c r="J339" s="18">
        <v>2.06</v>
      </c>
      <c r="K339" s="18">
        <v>0.85</v>
      </c>
      <c r="L339" s="15">
        <v>41.5</v>
      </c>
      <c r="M339" s="15">
        <v>2.06</v>
      </c>
      <c r="N339" s="15">
        <v>0.85</v>
      </c>
      <c r="O339" s="15">
        <v>0.07</v>
      </c>
      <c r="P339" s="15">
        <v>0.18</v>
      </c>
      <c r="Q339" s="19">
        <v>0.0</v>
      </c>
      <c r="R339" s="19">
        <v>0.0</v>
      </c>
      <c r="S339" s="20" t="s">
        <v>3717</v>
      </c>
    </row>
    <row r="340">
      <c r="A340" s="37" t="s">
        <v>3</v>
      </c>
      <c r="B340" s="51" t="s">
        <v>4</v>
      </c>
      <c r="C340" s="39" t="s">
        <v>5</v>
      </c>
      <c r="D340" s="39" t="s">
        <v>6</v>
      </c>
      <c r="E340" s="39" t="s">
        <v>7</v>
      </c>
      <c r="F340" s="39" t="s">
        <v>8</v>
      </c>
      <c r="G340" s="39" t="s">
        <v>9</v>
      </c>
      <c r="H340" s="39" t="s">
        <v>13</v>
      </c>
      <c r="I340" s="40" t="s">
        <v>14</v>
      </c>
      <c r="J340" s="39" t="s">
        <v>2411</v>
      </c>
      <c r="K340" s="39" t="s">
        <v>2412</v>
      </c>
      <c r="L340" s="39" t="s">
        <v>2413</v>
      </c>
      <c r="M340" s="39" t="s">
        <v>2414</v>
      </c>
      <c r="N340" s="39" t="s">
        <v>2415</v>
      </c>
      <c r="O340" s="39" t="s">
        <v>2416</v>
      </c>
      <c r="P340" s="39" t="s">
        <v>2417</v>
      </c>
      <c r="Q340" s="39" t="s">
        <v>18</v>
      </c>
      <c r="R340" s="39" t="s">
        <v>19</v>
      </c>
      <c r="S340" s="40" t="s">
        <v>23</v>
      </c>
    </row>
    <row r="341">
      <c r="A341" s="50">
        <v>326.0</v>
      </c>
      <c r="B341" s="13" t="s">
        <v>3718</v>
      </c>
      <c r="C341" s="11" t="s">
        <v>3719</v>
      </c>
      <c r="D341" s="12" t="s">
        <v>31</v>
      </c>
      <c r="E341" s="13" t="s">
        <v>3720</v>
      </c>
      <c r="F341" s="12">
        <v>17.0</v>
      </c>
      <c r="G341" s="12">
        <v>2008.0</v>
      </c>
      <c r="H341" s="15">
        <v>0.2</v>
      </c>
      <c r="I341" s="22">
        <v>0.0</v>
      </c>
      <c r="J341" s="19">
        <v>0.0</v>
      </c>
      <c r="K341" s="19">
        <v>0.0</v>
      </c>
      <c r="L341" s="36"/>
      <c r="M341" s="21">
        <v>0.0</v>
      </c>
      <c r="N341" s="21">
        <v>0.0</v>
      </c>
      <c r="O341" s="36"/>
      <c r="P341" s="36"/>
      <c r="Q341" s="19">
        <v>0.0</v>
      </c>
      <c r="R341" s="19">
        <v>0.0</v>
      </c>
      <c r="S341" s="20" t="s">
        <v>3721</v>
      </c>
    </row>
    <row r="342">
      <c r="A342" s="50">
        <v>327.0</v>
      </c>
      <c r="B342" s="13" t="s">
        <v>3722</v>
      </c>
      <c r="C342" s="11" t="s">
        <v>3723</v>
      </c>
      <c r="D342" s="12" t="s">
        <v>31</v>
      </c>
      <c r="E342" s="13" t="s">
        <v>3724</v>
      </c>
      <c r="F342" s="12">
        <v>31.0</v>
      </c>
      <c r="G342" s="12">
        <v>1994.0</v>
      </c>
      <c r="H342" s="15">
        <v>0.5</v>
      </c>
      <c r="I342" s="22">
        <v>0.0</v>
      </c>
      <c r="J342" s="18">
        <v>2.0</v>
      </c>
      <c r="K342" s="18">
        <v>2.0</v>
      </c>
      <c r="L342" s="15">
        <v>100.0</v>
      </c>
      <c r="M342" s="15">
        <v>2.2</v>
      </c>
      <c r="N342" s="15">
        <v>2.2</v>
      </c>
      <c r="O342" s="21">
        <v>0.0</v>
      </c>
      <c r="P342" s="21">
        <v>0.0</v>
      </c>
      <c r="Q342" s="19">
        <v>0.0</v>
      </c>
      <c r="R342" s="19">
        <v>0.0</v>
      </c>
      <c r="S342" s="20" t="s">
        <v>3725</v>
      </c>
    </row>
    <row r="343">
      <c r="A343" s="50">
        <v>328.0</v>
      </c>
      <c r="B343" s="13" t="s">
        <v>3726</v>
      </c>
      <c r="C343" s="11" t="s">
        <v>3727</v>
      </c>
      <c r="D343" s="12" t="s">
        <v>107</v>
      </c>
      <c r="E343" s="13" t="s">
        <v>3728</v>
      </c>
      <c r="F343" s="12">
        <v>26.0</v>
      </c>
      <c r="G343" s="12">
        <v>1999.0</v>
      </c>
      <c r="H343" s="15">
        <v>7.8</v>
      </c>
      <c r="I343" s="17">
        <v>0.38</v>
      </c>
      <c r="J343" s="18">
        <v>3.85</v>
      </c>
      <c r="K343" s="18">
        <v>1.15</v>
      </c>
      <c r="L343" s="15">
        <v>30.0</v>
      </c>
      <c r="M343" s="15">
        <v>3.86</v>
      </c>
      <c r="N343" s="15">
        <v>1.16</v>
      </c>
      <c r="O343" s="15">
        <v>0.1</v>
      </c>
      <c r="P343" s="15">
        <v>0.33</v>
      </c>
      <c r="Q343" s="19">
        <v>0.0</v>
      </c>
      <c r="R343" s="19">
        <v>0.0</v>
      </c>
      <c r="S343" s="20" t="s">
        <v>3729</v>
      </c>
    </row>
    <row r="344">
      <c r="A344" s="50">
        <v>329.0</v>
      </c>
      <c r="B344" s="13" t="s">
        <v>3730</v>
      </c>
      <c r="C344" s="11" t="s">
        <v>3731</v>
      </c>
      <c r="D344" s="12" t="s">
        <v>41</v>
      </c>
      <c r="E344" s="13" t="s">
        <v>3732</v>
      </c>
      <c r="F344" s="12">
        <v>20.0</v>
      </c>
      <c r="G344" s="12">
        <v>2004.0</v>
      </c>
      <c r="H344" s="15">
        <v>0.7</v>
      </c>
      <c r="I344" s="22">
        <v>0.0</v>
      </c>
      <c r="J344" s="18">
        <v>1.43</v>
      </c>
      <c r="K344" s="19">
        <v>0.0</v>
      </c>
      <c r="L344" s="21">
        <v>0.0</v>
      </c>
      <c r="M344" s="15">
        <v>1.5</v>
      </c>
      <c r="N344" s="21">
        <v>0.0</v>
      </c>
      <c r="O344" s="21">
        <v>0.0</v>
      </c>
      <c r="P344" s="36"/>
      <c r="Q344" s="19">
        <v>0.0</v>
      </c>
      <c r="R344" s="19">
        <v>0.0</v>
      </c>
      <c r="S344" s="20" t="s">
        <v>3733</v>
      </c>
    </row>
    <row r="345">
      <c r="A345" s="50">
        <v>330.0</v>
      </c>
      <c r="B345" s="13" t="s">
        <v>3734</v>
      </c>
      <c r="C345" s="11" t="s">
        <v>3735</v>
      </c>
      <c r="D345" s="12" t="s">
        <v>107</v>
      </c>
      <c r="E345" s="13" t="s">
        <v>3736</v>
      </c>
      <c r="F345" s="12">
        <v>24.0</v>
      </c>
      <c r="G345" s="12">
        <v>2001.0</v>
      </c>
      <c r="H345" s="15">
        <v>12.0</v>
      </c>
      <c r="I345" s="17">
        <v>0.08</v>
      </c>
      <c r="J345" s="18">
        <v>2.42</v>
      </c>
      <c r="K345" s="18">
        <v>1.08</v>
      </c>
      <c r="L345" s="15">
        <v>44.8</v>
      </c>
      <c r="M345" s="15">
        <v>2.41</v>
      </c>
      <c r="N345" s="15">
        <v>1.08</v>
      </c>
      <c r="O345" s="15">
        <v>0.03</v>
      </c>
      <c r="P345" s="15">
        <v>0.08</v>
      </c>
      <c r="Q345" s="19">
        <v>0.0</v>
      </c>
      <c r="R345" s="19">
        <v>0.0</v>
      </c>
      <c r="S345" s="20" t="s">
        <v>3737</v>
      </c>
    </row>
    <row r="346">
      <c r="A346" s="50">
        <v>331.0</v>
      </c>
      <c r="B346" s="13" t="s">
        <v>3738</v>
      </c>
      <c r="C346" s="11" t="s">
        <v>3739</v>
      </c>
      <c r="D346" s="12" t="s">
        <v>98</v>
      </c>
      <c r="E346" s="13" t="s">
        <v>3740</v>
      </c>
      <c r="F346" s="12">
        <v>32.0</v>
      </c>
      <c r="G346" s="12">
        <v>1992.0</v>
      </c>
      <c r="H346" s="15">
        <v>31.5</v>
      </c>
      <c r="I346" s="22">
        <v>0.0</v>
      </c>
      <c r="J346" s="19">
        <v>0.0</v>
      </c>
      <c r="K346" s="19">
        <v>0.0</v>
      </c>
      <c r="L346" s="36"/>
      <c r="M346" s="21">
        <v>0.0</v>
      </c>
      <c r="N346" s="21">
        <v>0.0</v>
      </c>
      <c r="O346" s="36"/>
      <c r="P346" s="36"/>
      <c r="Q346" s="19">
        <v>0.0</v>
      </c>
      <c r="R346" s="19">
        <v>0.0</v>
      </c>
      <c r="S346" s="20" t="s">
        <v>3741</v>
      </c>
    </row>
    <row r="347">
      <c r="A347" s="50">
        <v>332.0</v>
      </c>
      <c r="B347" s="13" t="s">
        <v>3742</v>
      </c>
      <c r="C347" s="11" t="s">
        <v>3743</v>
      </c>
      <c r="D347" s="12" t="s">
        <v>36</v>
      </c>
      <c r="E347" s="13" t="s">
        <v>3744</v>
      </c>
      <c r="F347" s="12">
        <v>27.0</v>
      </c>
      <c r="G347" s="12">
        <v>1998.0</v>
      </c>
      <c r="H347" s="15">
        <v>13.7</v>
      </c>
      <c r="I347" s="22">
        <v>0.0</v>
      </c>
      <c r="J347" s="18">
        <v>0.36</v>
      </c>
      <c r="K347" s="19">
        <v>0.0</v>
      </c>
      <c r="L347" s="21">
        <v>0.0</v>
      </c>
      <c r="M347" s="15">
        <v>0.36</v>
      </c>
      <c r="N347" s="21">
        <v>0.0</v>
      </c>
      <c r="O347" s="21">
        <v>0.0</v>
      </c>
      <c r="P347" s="36"/>
      <c r="Q347" s="19">
        <v>0.0</v>
      </c>
      <c r="R347" s="19">
        <v>0.0</v>
      </c>
      <c r="S347" s="20" t="s">
        <v>3745</v>
      </c>
    </row>
    <row r="348">
      <c r="A348" s="50">
        <v>333.0</v>
      </c>
      <c r="B348" s="13" t="s">
        <v>3746</v>
      </c>
      <c r="C348" s="11" t="s">
        <v>3747</v>
      </c>
      <c r="D348" s="12" t="s">
        <v>36</v>
      </c>
      <c r="E348" s="13" t="s">
        <v>3748</v>
      </c>
      <c r="F348" s="12">
        <v>31.0</v>
      </c>
      <c r="G348" s="12">
        <v>1993.0</v>
      </c>
      <c r="H348" s="15">
        <v>1.4</v>
      </c>
      <c r="I348" s="22">
        <v>0.0</v>
      </c>
      <c r="J348" s="18">
        <v>0.71</v>
      </c>
      <c r="K348" s="19">
        <v>0.0</v>
      </c>
      <c r="L348" s="21">
        <v>0.0</v>
      </c>
      <c r="M348" s="15">
        <v>0.71</v>
      </c>
      <c r="N348" s="21">
        <v>0.0</v>
      </c>
      <c r="O348" s="21">
        <v>0.0</v>
      </c>
      <c r="P348" s="36"/>
      <c r="Q348" s="19">
        <v>0.0</v>
      </c>
      <c r="R348" s="19">
        <v>0.0</v>
      </c>
      <c r="S348" s="20" t="s">
        <v>3749</v>
      </c>
    </row>
    <row r="349">
      <c r="A349" s="50">
        <v>334.0</v>
      </c>
      <c r="B349" s="13" t="s">
        <v>3750</v>
      </c>
      <c r="C349" s="11" t="s">
        <v>3751</v>
      </c>
      <c r="D349" s="12" t="s">
        <v>31</v>
      </c>
      <c r="E349" s="13" t="s">
        <v>3752</v>
      </c>
      <c r="F349" s="12">
        <v>22.0</v>
      </c>
      <c r="G349" s="12">
        <v>2002.0</v>
      </c>
      <c r="H349" s="15">
        <v>15.5</v>
      </c>
      <c r="I349" s="17">
        <v>0.13</v>
      </c>
      <c r="J349" s="18">
        <v>1.1</v>
      </c>
      <c r="K349" s="18">
        <v>0.39</v>
      </c>
      <c r="L349" s="15">
        <v>35.3</v>
      </c>
      <c r="M349" s="15">
        <v>1.1</v>
      </c>
      <c r="N349" s="15">
        <v>0.39</v>
      </c>
      <c r="O349" s="15">
        <v>0.12</v>
      </c>
      <c r="P349" s="15">
        <v>0.33</v>
      </c>
      <c r="Q349" s="19">
        <v>0.0</v>
      </c>
      <c r="R349" s="19">
        <v>0.0</v>
      </c>
      <c r="S349" s="20" t="s">
        <v>3753</v>
      </c>
    </row>
    <row r="350">
      <c r="A350" s="50">
        <v>335.0</v>
      </c>
      <c r="B350" s="13" t="s">
        <v>3754</v>
      </c>
      <c r="C350" s="11" t="s">
        <v>3755</v>
      </c>
      <c r="D350" s="12" t="s">
        <v>41</v>
      </c>
      <c r="E350" s="13" t="s">
        <v>3756</v>
      </c>
      <c r="F350" s="12">
        <v>28.0</v>
      </c>
      <c r="G350" s="12">
        <v>1997.0</v>
      </c>
      <c r="H350" s="15">
        <v>24.6</v>
      </c>
      <c r="I350" s="17">
        <v>0.49</v>
      </c>
      <c r="J350" s="18">
        <v>2.56</v>
      </c>
      <c r="K350" s="18">
        <v>1.3</v>
      </c>
      <c r="L350" s="15">
        <v>50.8</v>
      </c>
      <c r="M350" s="15">
        <v>2.56</v>
      </c>
      <c r="N350" s="15">
        <v>1.3</v>
      </c>
      <c r="O350" s="15">
        <v>0.13</v>
      </c>
      <c r="P350" s="15">
        <v>0.25</v>
      </c>
      <c r="Q350" s="18">
        <v>0.16</v>
      </c>
      <c r="R350" s="18">
        <v>0.16</v>
      </c>
      <c r="S350" s="20" t="s">
        <v>3757</v>
      </c>
    </row>
    <row r="351">
      <c r="A351" s="50">
        <v>336.0</v>
      </c>
      <c r="B351" s="13" t="s">
        <v>3758</v>
      </c>
      <c r="C351" s="11" t="s">
        <v>3759</v>
      </c>
      <c r="D351" s="12" t="s">
        <v>36</v>
      </c>
      <c r="E351" s="13" t="s">
        <v>3760</v>
      </c>
      <c r="F351" s="12">
        <v>27.0</v>
      </c>
      <c r="G351" s="12">
        <v>1997.0</v>
      </c>
      <c r="H351" s="15">
        <v>28.2</v>
      </c>
      <c r="I351" s="17">
        <v>0.11</v>
      </c>
      <c r="J351" s="18">
        <v>0.82</v>
      </c>
      <c r="K351" s="18">
        <v>0.28</v>
      </c>
      <c r="L351" s="15">
        <v>34.8</v>
      </c>
      <c r="M351" s="15">
        <v>0.82</v>
      </c>
      <c r="N351" s="15">
        <v>0.28</v>
      </c>
      <c r="O351" s="15">
        <v>0.13</v>
      </c>
      <c r="P351" s="15">
        <v>0.38</v>
      </c>
      <c r="Q351" s="19">
        <v>0.0</v>
      </c>
      <c r="R351" s="19">
        <v>0.0</v>
      </c>
      <c r="S351" s="20" t="s">
        <v>3761</v>
      </c>
    </row>
    <row r="352">
      <c r="A352" s="50">
        <v>337.0</v>
      </c>
      <c r="B352" s="13" t="s">
        <v>3762</v>
      </c>
      <c r="C352" s="11" t="s">
        <v>3763</v>
      </c>
      <c r="D352" s="12" t="s">
        <v>107</v>
      </c>
      <c r="E352" s="13" t="s">
        <v>3764</v>
      </c>
      <c r="F352" s="12">
        <v>20.0</v>
      </c>
      <c r="G352" s="12">
        <v>2005.0</v>
      </c>
      <c r="H352" s="15">
        <v>8.4</v>
      </c>
      <c r="I352" s="17">
        <v>0.24</v>
      </c>
      <c r="J352" s="18">
        <v>1.55</v>
      </c>
      <c r="K352" s="18">
        <v>0.71</v>
      </c>
      <c r="L352" s="15">
        <v>46.2</v>
      </c>
      <c r="M352" s="15">
        <v>1.54</v>
      </c>
      <c r="N352" s="15">
        <v>0.71</v>
      </c>
      <c r="O352" s="15">
        <v>0.15</v>
      </c>
      <c r="P352" s="15">
        <v>0.33</v>
      </c>
      <c r="Q352" s="19">
        <v>0.0</v>
      </c>
      <c r="R352" s="19">
        <v>0.0</v>
      </c>
      <c r="S352" s="20" t="s">
        <v>3765</v>
      </c>
    </row>
    <row r="353">
      <c r="A353" s="50">
        <v>338.0</v>
      </c>
      <c r="B353" s="13" t="s">
        <v>3766</v>
      </c>
      <c r="C353" s="11" t="s">
        <v>3767</v>
      </c>
      <c r="D353" s="12" t="s">
        <v>36</v>
      </c>
      <c r="E353" s="13" t="s">
        <v>3768</v>
      </c>
      <c r="F353" s="12">
        <v>18.0</v>
      </c>
      <c r="G353" s="12">
        <v>2007.0</v>
      </c>
      <c r="H353" s="15">
        <v>1.3</v>
      </c>
      <c r="I353" s="22">
        <v>0.0</v>
      </c>
      <c r="J353" s="18">
        <v>0.77</v>
      </c>
      <c r="K353" s="19">
        <v>0.0</v>
      </c>
      <c r="L353" s="21">
        <v>0.0</v>
      </c>
      <c r="M353" s="15">
        <v>0.77</v>
      </c>
      <c r="N353" s="21">
        <v>0.0</v>
      </c>
      <c r="O353" s="21">
        <v>0.0</v>
      </c>
      <c r="P353" s="36"/>
      <c r="Q353" s="19">
        <v>0.0</v>
      </c>
      <c r="R353" s="19">
        <v>0.0</v>
      </c>
      <c r="S353" s="20" t="s">
        <v>3769</v>
      </c>
    </row>
    <row r="354">
      <c r="A354" s="50">
        <v>339.0</v>
      </c>
      <c r="B354" s="13" t="s">
        <v>3770</v>
      </c>
      <c r="C354" s="11" t="s">
        <v>3771</v>
      </c>
      <c r="D354" s="12" t="s">
        <v>345</v>
      </c>
      <c r="E354" s="13" t="s">
        <v>3772</v>
      </c>
      <c r="F354" s="12">
        <v>27.0</v>
      </c>
      <c r="G354" s="12">
        <v>1997.0</v>
      </c>
      <c r="H354" s="15">
        <v>10.9</v>
      </c>
      <c r="I354" s="22">
        <v>0.0</v>
      </c>
      <c r="J354" s="18">
        <v>0.46</v>
      </c>
      <c r="K354" s="19">
        <v>0.0</v>
      </c>
      <c r="L354" s="21">
        <v>0.0</v>
      </c>
      <c r="M354" s="15">
        <v>0.46</v>
      </c>
      <c r="N354" s="21">
        <v>0.0</v>
      </c>
      <c r="O354" s="21">
        <v>0.0</v>
      </c>
      <c r="P354" s="36"/>
      <c r="Q354" s="19">
        <v>0.0</v>
      </c>
      <c r="R354" s="19">
        <v>0.0</v>
      </c>
      <c r="S354" s="20" t="s">
        <v>3773</v>
      </c>
    </row>
    <row r="355">
      <c r="A355" s="50">
        <v>340.0</v>
      </c>
      <c r="B355" s="13" t="s">
        <v>3774</v>
      </c>
      <c r="C355" s="11" t="s">
        <v>3775</v>
      </c>
      <c r="D355" s="12" t="s">
        <v>26</v>
      </c>
      <c r="E355" s="13" t="s">
        <v>3776</v>
      </c>
      <c r="F355" s="12">
        <v>25.0</v>
      </c>
      <c r="G355" s="12">
        <v>1999.0</v>
      </c>
      <c r="H355" s="15">
        <v>29.0</v>
      </c>
      <c r="I355" s="17">
        <v>0.38</v>
      </c>
      <c r="J355" s="18">
        <v>2.52</v>
      </c>
      <c r="K355" s="18">
        <v>1.1</v>
      </c>
      <c r="L355" s="15">
        <v>43.8</v>
      </c>
      <c r="M355" s="15">
        <v>2.52</v>
      </c>
      <c r="N355" s="15">
        <v>1.1</v>
      </c>
      <c r="O355" s="15">
        <v>0.15</v>
      </c>
      <c r="P355" s="15">
        <v>0.34</v>
      </c>
      <c r="Q355" s="19">
        <v>0.0</v>
      </c>
      <c r="R355" s="19">
        <v>0.0</v>
      </c>
      <c r="S355" s="20" t="s">
        <v>3777</v>
      </c>
    </row>
    <row r="356">
      <c r="A356" s="50">
        <v>341.0</v>
      </c>
      <c r="B356" s="13" t="s">
        <v>3778</v>
      </c>
      <c r="C356" s="11" t="s">
        <v>3779</v>
      </c>
      <c r="D356" s="12" t="s">
        <v>31</v>
      </c>
      <c r="E356" s="13" t="s">
        <v>3780</v>
      </c>
      <c r="F356" s="12">
        <v>22.0</v>
      </c>
      <c r="G356" s="12">
        <v>2002.0</v>
      </c>
      <c r="H356" s="15">
        <v>3.3</v>
      </c>
      <c r="I356" s="22">
        <v>0.0</v>
      </c>
      <c r="J356" s="18">
        <v>1.21</v>
      </c>
      <c r="K356" s="19">
        <v>0.0</v>
      </c>
      <c r="L356" s="21">
        <v>0.0</v>
      </c>
      <c r="M356" s="15">
        <v>1.21</v>
      </c>
      <c r="N356" s="21">
        <v>0.0</v>
      </c>
      <c r="O356" s="21">
        <v>0.0</v>
      </c>
      <c r="P356" s="36"/>
      <c r="Q356" s="19">
        <v>0.0</v>
      </c>
      <c r="R356" s="19">
        <v>0.0</v>
      </c>
      <c r="S356" s="20" t="s">
        <v>3781</v>
      </c>
    </row>
    <row r="357">
      <c r="A357" s="50">
        <v>342.0</v>
      </c>
      <c r="B357" s="13" t="s">
        <v>3782</v>
      </c>
      <c r="C357" s="11" t="s">
        <v>3783</v>
      </c>
      <c r="D357" s="12" t="s">
        <v>31</v>
      </c>
      <c r="E357" s="13" t="s">
        <v>3784</v>
      </c>
      <c r="F357" s="12">
        <v>30.0</v>
      </c>
      <c r="G357" s="12">
        <v>1994.0</v>
      </c>
      <c r="H357" s="15">
        <v>23.7</v>
      </c>
      <c r="I357" s="17">
        <v>0.21</v>
      </c>
      <c r="J357" s="18">
        <v>1.18</v>
      </c>
      <c r="K357" s="18">
        <v>0.51</v>
      </c>
      <c r="L357" s="15">
        <v>42.9</v>
      </c>
      <c r="M357" s="15">
        <v>1.18</v>
      </c>
      <c r="N357" s="15">
        <v>0.51</v>
      </c>
      <c r="O357" s="15">
        <v>0.18</v>
      </c>
      <c r="P357" s="15">
        <v>0.42</v>
      </c>
      <c r="Q357" s="19">
        <v>0.0</v>
      </c>
      <c r="R357" s="19">
        <v>0.0</v>
      </c>
      <c r="S357" s="20" t="s">
        <v>3785</v>
      </c>
    </row>
    <row r="358">
      <c r="A358" s="50">
        <v>343.0</v>
      </c>
      <c r="B358" s="13" t="s">
        <v>3786</v>
      </c>
      <c r="C358" s="11" t="s">
        <v>3787</v>
      </c>
      <c r="D358" s="12" t="s">
        <v>31</v>
      </c>
      <c r="E358" s="13" t="s">
        <v>3788</v>
      </c>
      <c r="F358" s="12">
        <v>25.0</v>
      </c>
      <c r="G358" s="12">
        <v>1999.0</v>
      </c>
      <c r="H358" s="15">
        <v>13.0</v>
      </c>
      <c r="I358" s="22">
        <v>0.0</v>
      </c>
      <c r="J358" s="18">
        <v>1.85</v>
      </c>
      <c r="K358" s="18">
        <v>0.38</v>
      </c>
      <c r="L358" s="15">
        <v>20.8</v>
      </c>
      <c r="M358" s="15">
        <v>1.85</v>
      </c>
      <c r="N358" s="15">
        <v>0.39</v>
      </c>
      <c r="O358" s="21">
        <v>0.0</v>
      </c>
      <c r="P358" s="21">
        <v>0.0</v>
      </c>
      <c r="Q358" s="19">
        <v>0.0</v>
      </c>
      <c r="R358" s="19">
        <v>0.0</v>
      </c>
      <c r="S358" s="20" t="s">
        <v>3789</v>
      </c>
    </row>
    <row r="359">
      <c r="A359" s="50">
        <v>344.0</v>
      </c>
      <c r="B359" s="13" t="s">
        <v>3790</v>
      </c>
      <c r="C359" s="11" t="s">
        <v>3791</v>
      </c>
      <c r="D359" s="12" t="s">
        <v>31</v>
      </c>
      <c r="E359" s="13" t="s">
        <v>3792</v>
      </c>
      <c r="F359" s="12">
        <v>22.0</v>
      </c>
      <c r="G359" s="12">
        <v>2003.0</v>
      </c>
      <c r="H359" s="15">
        <v>13.7</v>
      </c>
      <c r="I359" s="17">
        <v>0.07</v>
      </c>
      <c r="J359" s="18">
        <v>1.39</v>
      </c>
      <c r="K359" s="18">
        <v>0.36</v>
      </c>
      <c r="L359" s="15">
        <v>26.3</v>
      </c>
      <c r="M359" s="15">
        <v>1.39</v>
      </c>
      <c r="N359" s="15">
        <v>0.37</v>
      </c>
      <c r="O359" s="15">
        <v>0.05</v>
      </c>
      <c r="P359" s="15">
        <v>0.2</v>
      </c>
      <c r="Q359" s="19">
        <v>0.0</v>
      </c>
      <c r="R359" s="19">
        <v>0.0</v>
      </c>
      <c r="S359" s="20" t="s">
        <v>3793</v>
      </c>
    </row>
    <row r="360">
      <c r="A360" s="50">
        <v>345.0</v>
      </c>
      <c r="B360" s="13" t="s">
        <v>3794</v>
      </c>
      <c r="C360" s="11" t="s">
        <v>3795</v>
      </c>
      <c r="D360" s="12" t="s">
        <v>26</v>
      </c>
      <c r="E360" s="13" t="s">
        <v>3796</v>
      </c>
      <c r="F360" s="12">
        <v>29.0</v>
      </c>
      <c r="G360" s="12">
        <v>1996.0</v>
      </c>
      <c r="H360" s="15">
        <v>11.5</v>
      </c>
      <c r="I360" s="17">
        <v>0.35</v>
      </c>
      <c r="J360" s="18">
        <v>1.91</v>
      </c>
      <c r="K360" s="18">
        <v>0.7</v>
      </c>
      <c r="L360" s="15">
        <v>36.4</v>
      </c>
      <c r="M360" s="15">
        <v>1.91</v>
      </c>
      <c r="N360" s="15">
        <v>0.69</v>
      </c>
      <c r="O360" s="15">
        <v>0.18</v>
      </c>
      <c r="P360" s="15">
        <v>0.5</v>
      </c>
      <c r="Q360" s="19">
        <v>0.0</v>
      </c>
      <c r="R360" s="19">
        <v>0.0</v>
      </c>
      <c r="S360" s="20" t="s">
        <v>3797</v>
      </c>
    </row>
    <row r="361">
      <c r="A361" s="50">
        <v>346.0</v>
      </c>
      <c r="B361" s="13" t="s">
        <v>3798</v>
      </c>
      <c r="C361" s="11" t="s">
        <v>3799</v>
      </c>
      <c r="D361" s="12" t="s">
        <v>41</v>
      </c>
      <c r="E361" s="13" t="s">
        <v>3800</v>
      </c>
      <c r="F361" s="12">
        <v>17.0</v>
      </c>
      <c r="G361" s="12">
        <v>2007.0</v>
      </c>
      <c r="H361" s="21">
        <v>0.0</v>
      </c>
      <c r="I361" s="23">
        <v>0.0</v>
      </c>
      <c r="J361" s="21">
        <v>0.0</v>
      </c>
      <c r="K361" s="21">
        <v>0.0</v>
      </c>
      <c r="L361" s="36"/>
      <c r="M361" s="21">
        <v>0.0</v>
      </c>
      <c r="N361" s="21">
        <v>0.0</v>
      </c>
      <c r="O361" s="36"/>
      <c r="P361" s="36"/>
      <c r="Q361" s="21">
        <v>0.0</v>
      </c>
      <c r="R361" s="21">
        <v>0.0</v>
      </c>
      <c r="S361" s="20" t="s">
        <v>3801</v>
      </c>
    </row>
    <row r="362">
      <c r="A362" s="50">
        <v>347.0</v>
      </c>
      <c r="B362" s="13" t="s">
        <v>3802</v>
      </c>
      <c r="C362" s="11" t="s">
        <v>3803</v>
      </c>
      <c r="D362" s="12" t="s">
        <v>31</v>
      </c>
      <c r="E362" s="13" t="s">
        <v>3804</v>
      </c>
      <c r="F362" s="12">
        <v>20.0</v>
      </c>
      <c r="G362" s="12">
        <v>2005.0</v>
      </c>
      <c r="H362" s="15">
        <v>0.5</v>
      </c>
      <c r="I362" s="22">
        <v>0.0</v>
      </c>
      <c r="J362" s="19">
        <v>0.0</v>
      </c>
      <c r="K362" s="19">
        <v>0.0</v>
      </c>
      <c r="L362" s="36"/>
      <c r="M362" s="21">
        <v>0.0</v>
      </c>
      <c r="N362" s="21">
        <v>0.0</v>
      </c>
      <c r="O362" s="36"/>
      <c r="P362" s="36"/>
      <c r="Q362" s="19">
        <v>0.0</v>
      </c>
      <c r="R362" s="19">
        <v>0.0</v>
      </c>
      <c r="S362" s="20" t="s">
        <v>3805</v>
      </c>
    </row>
    <row r="363">
      <c r="A363" s="50">
        <v>348.0</v>
      </c>
      <c r="B363" s="13" t="s">
        <v>3806</v>
      </c>
      <c r="C363" s="11" t="s">
        <v>3807</v>
      </c>
      <c r="D363" s="12" t="s">
        <v>36</v>
      </c>
      <c r="E363" s="13" t="s">
        <v>3808</v>
      </c>
      <c r="F363" s="12">
        <v>27.0</v>
      </c>
      <c r="G363" s="12">
        <v>1997.0</v>
      </c>
      <c r="H363" s="15">
        <v>37.5</v>
      </c>
      <c r="I363" s="22">
        <v>0.0</v>
      </c>
      <c r="J363" s="18">
        <v>0.43</v>
      </c>
      <c r="K363" s="18">
        <v>0.03</v>
      </c>
      <c r="L363" s="15">
        <v>6.3</v>
      </c>
      <c r="M363" s="15">
        <v>0.43</v>
      </c>
      <c r="N363" s="15">
        <v>0.03</v>
      </c>
      <c r="O363" s="21">
        <v>0.0</v>
      </c>
      <c r="P363" s="21">
        <v>0.0</v>
      </c>
      <c r="Q363" s="19">
        <v>0.0</v>
      </c>
      <c r="R363" s="19">
        <v>0.0</v>
      </c>
      <c r="S363" s="20" t="s">
        <v>3809</v>
      </c>
    </row>
    <row r="364">
      <c r="A364" s="50">
        <v>349.0</v>
      </c>
      <c r="B364" s="13" t="s">
        <v>3810</v>
      </c>
      <c r="C364" s="11" t="s">
        <v>3811</v>
      </c>
      <c r="D364" s="12" t="s">
        <v>264</v>
      </c>
      <c r="E364" s="13" t="s">
        <v>3812</v>
      </c>
      <c r="F364" s="12">
        <v>19.0</v>
      </c>
      <c r="G364" s="12">
        <v>2006.0</v>
      </c>
      <c r="H364" s="15">
        <v>16.6</v>
      </c>
      <c r="I364" s="17">
        <v>0.06</v>
      </c>
      <c r="J364" s="18">
        <v>0.72</v>
      </c>
      <c r="K364" s="18">
        <v>0.24</v>
      </c>
      <c r="L364" s="15">
        <v>33.3</v>
      </c>
      <c r="M364" s="15">
        <v>0.72</v>
      </c>
      <c r="N364" s="15">
        <v>0.24</v>
      </c>
      <c r="O364" s="15">
        <v>0.08</v>
      </c>
      <c r="P364" s="15">
        <v>0.25</v>
      </c>
      <c r="Q364" s="19">
        <v>0.0</v>
      </c>
      <c r="R364" s="19">
        <v>0.0</v>
      </c>
      <c r="S364" s="20" t="s">
        <v>3813</v>
      </c>
    </row>
    <row r="365">
      <c r="A365" s="50">
        <v>350.0</v>
      </c>
      <c r="B365" s="13" t="s">
        <v>3814</v>
      </c>
      <c r="C365" s="11" t="s">
        <v>3815</v>
      </c>
      <c r="D365" s="12" t="s">
        <v>31</v>
      </c>
      <c r="E365" s="13" t="s">
        <v>3816</v>
      </c>
      <c r="F365" s="12">
        <v>39.0</v>
      </c>
      <c r="G365" s="12">
        <v>1986.0</v>
      </c>
      <c r="H365" s="15">
        <v>8.7</v>
      </c>
      <c r="I365" s="17">
        <v>0.11</v>
      </c>
      <c r="J365" s="18">
        <v>0.92</v>
      </c>
      <c r="K365" s="18">
        <v>0.23</v>
      </c>
      <c r="L365" s="15">
        <v>25.0</v>
      </c>
      <c r="M365" s="15">
        <v>0.92</v>
      </c>
      <c r="N365" s="15">
        <v>0.23</v>
      </c>
      <c r="O365" s="21">
        <v>0.0</v>
      </c>
      <c r="P365" s="21">
        <v>0.0</v>
      </c>
      <c r="Q365" s="18">
        <v>0.11</v>
      </c>
      <c r="R365" s="18">
        <v>0.11</v>
      </c>
      <c r="S365" s="20" t="s">
        <v>3817</v>
      </c>
    </row>
    <row r="366">
      <c r="A366" s="37" t="s">
        <v>3</v>
      </c>
      <c r="B366" s="51" t="s">
        <v>4</v>
      </c>
      <c r="C366" s="39" t="s">
        <v>5</v>
      </c>
      <c r="D366" s="39" t="s">
        <v>6</v>
      </c>
      <c r="E366" s="39" t="s">
        <v>7</v>
      </c>
      <c r="F366" s="39" t="s">
        <v>8</v>
      </c>
      <c r="G366" s="39" t="s">
        <v>9</v>
      </c>
      <c r="H366" s="39" t="s">
        <v>13</v>
      </c>
      <c r="I366" s="40" t="s">
        <v>14</v>
      </c>
      <c r="J366" s="39" t="s">
        <v>2411</v>
      </c>
      <c r="K366" s="39" t="s">
        <v>2412</v>
      </c>
      <c r="L366" s="39" t="s">
        <v>2413</v>
      </c>
      <c r="M366" s="39" t="s">
        <v>2414</v>
      </c>
      <c r="N366" s="39" t="s">
        <v>2415</v>
      </c>
      <c r="O366" s="39" t="s">
        <v>2416</v>
      </c>
      <c r="P366" s="39" t="s">
        <v>2417</v>
      </c>
      <c r="Q366" s="39" t="s">
        <v>18</v>
      </c>
      <c r="R366" s="39" t="s">
        <v>19</v>
      </c>
      <c r="S366" s="40" t="s">
        <v>23</v>
      </c>
    </row>
    <row r="367">
      <c r="A367" s="50">
        <v>351.0</v>
      </c>
      <c r="B367" s="13" t="s">
        <v>3818</v>
      </c>
      <c r="C367" s="11" t="s">
        <v>3819</v>
      </c>
      <c r="D367" s="12" t="s">
        <v>36</v>
      </c>
      <c r="E367" s="13" t="s">
        <v>3820</v>
      </c>
      <c r="F367" s="12">
        <v>18.0</v>
      </c>
      <c r="G367" s="12">
        <v>2007.0</v>
      </c>
      <c r="H367" s="15">
        <v>4.1</v>
      </c>
      <c r="I367" s="22">
        <v>0.0</v>
      </c>
      <c r="J367" s="18">
        <v>0.24</v>
      </c>
      <c r="K367" s="19">
        <v>0.0</v>
      </c>
      <c r="L367" s="21">
        <v>0.0</v>
      </c>
      <c r="M367" s="15">
        <v>0.24</v>
      </c>
      <c r="N367" s="21">
        <v>0.0</v>
      </c>
      <c r="O367" s="21">
        <v>0.0</v>
      </c>
      <c r="P367" s="36"/>
      <c r="Q367" s="19">
        <v>0.0</v>
      </c>
      <c r="R367" s="19">
        <v>0.0</v>
      </c>
      <c r="S367" s="20" t="s">
        <v>3821</v>
      </c>
    </row>
    <row r="368">
      <c r="A368" s="50">
        <v>352.0</v>
      </c>
      <c r="B368" s="13" t="s">
        <v>3822</v>
      </c>
      <c r="C368" s="11" t="s">
        <v>3823</v>
      </c>
      <c r="D368" s="12" t="s">
        <v>36</v>
      </c>
      <c r="E368" s="13" t="s">
        <v>3824</v>
      </c>
      <c r="F368" s="12">
        <v>32.0</v>
      </c>
      <c r="G368" s="12">
        <v>1993.0</v>
      </c>
      <c r="H368" s="15">
        <v>14.7</v>
      </c>
      <c r="I368" s="22">
        <v>0.0</v>
      </c>
      <c r="J368" s="18">
        <v>0.61</v>
      </c>
      <c r="K368" s="18">
        <v>0.07</v>
      </c>
      <c r="L368" s="15">
        <v>11.1</v>
      </c>
      <c r="M368" s="15">
        <v>0.61</v>
      </c>
      <c r="N368" s="15">
        <v>0.07</v>
      </c>
      <c r="O368" s="21">
        <v>0.0</v>
      </c>
      <c r="P368" s="21">
        <v>0.0</v>
      </c>
      <c r="Q368" s="19">
        <v>0.0</v>
      </c>
      <c r="R368" s="19">
        <v>0.0</v>
      </c>
      <c r="S368" s="20" t="s">
        <v>3825</v>
      </c>
    </row>
    <row r="369">
      <c r="A369" s="50">
        <v>353.0</v>
      </c>
      <c r="B369" s="13" t="s">
        <v>3826</v>
      </c>
      <c r="C369" s="11" t="s">
        <v>3827</v>
      </c>
      <c r="D369" s="12" t="s">
        <v>31</v>
      </c>
      <c r="E369" s="13" t="s">
        <v>3828</v>
      </c>
      <c r="F369" s="12">
        <v>21.0</v>
      </c>
      <c r="G369" s="12">
        <v>2004.0</v>
      </c>
      <c r="H369" s="15">
        <v>26.6</v>
      </c>
      <c r="I369" s="17">
        <v>0.11</v>
      </c>
      <c r="J369" s="18">
        <v>1.54</v>
      </c>
      <c r="K369" s="18">
        <v>0.41</v>
      </c>
      <c r="L369" s="15">
        <v>26.8</v>
      </c>
      <c r="M369" s="15">
        <v>1.54</v>
      </c>
      <c r="N369" s="15">
        <v>0.41</v>
      </c>
      <c r="O369" s="15">
        <v>0.07</v>
      </c>
      <c r="P369" s="15">
        <v>0.27</v>
      </c>
      <c r="Q369" s="19">
        <v>0.0</v>
      </c>
      <c r="R369" s="19">
        <v>0.0</v>
      </c>
      <c r="S369" s="20" t="s">
        <v>3829</v>
      </c>
    </row>
    <row r="370">
      <c r="A370" s="50">
        <v>354.0</v>
      </c>
      <c r="B370" s="13" t="s">
        <v>3830</v>
      </c>
      <c r="C370" s="11" t="s">
        <v>3831</v>
      </c>
      <c r="D370" s="12" t="s">
        <v>31</v>
      </c>
      <c r="E370" s="13" t="s">
        <v>3832</v>
      </c>
      <c r="F370" s="12">
        <v>25.0</v>
      </c>
      <c r="G370" s="12">
        <v>1999.0</v>
      </c>
      <c r="H370" s="15">
        <v>36.1</v>
      </c>
      <c r="I370" s="17">
        <v>0.03</v>
      </c>
      <c r="J370" s="18">
        <v>0.53</v>
      </c>
      <c r="K370" s="18">
        <v>0.19</v>
      </c>
      <c r="L370" s="15">
        <v>36.8</v>
      </c>
      <c r="M370" s="15">
        <v>0.53</v>
      </c>
      <c r="N370" s="15">
        <v>0.19</v>
      </c>
      <c r="O370" s="15">
        <v>0.05</v>
      </c>
      <c r="P370" s="15">
        <v>0.14</v>
      </c>
      <c r="Q370" s="19">
        <v>0.0</v>
      </c>
      <c r="R370" s="19">
        <v>0.0</v>
      </c>
      <c r="S370" s="20" t="s">
        <v>3833</v>
      </c>
    </row>
    <row r="371">
      <c r="A371" s="50">
        <v>355.0</v>
      </c>
      <c r="B371" s="13" t="s">
        <v>3834</v>
      </c>
      <c r="C371" s="11" t="s">
        <v>3835</v>
      </c>
      <c r="D371" s="12" t="s">
        <v>26</v>
      </c>
      <c r="E371" s="13" t="s">
        <v>3836</v>
      </c>
      <c r="F371" s="12">
        <v>28.0</v>
      </c>
      <c r="G371" s="12">
        <v>1997.0</v>
      </c>
      <c r="H371" s="15">
        <v>19.1</v>
      </c>
      <c r="I371" s="17">
        <v>0.16</v>
      </c>
      <c r="J371" s="18">
        <v>1.68</v>
      </c>
      <c r="K371" s="18">
        <v>0.68</v>
      </c>
      <c r="L371" s="15">
        <v>40.6</v>
      </c>
      <c r="M371" s="15">
        <v>1.67</v>
      </c>
      <c r="N371" s="15">
        <v>0.68</v>
      </c>
      <c r="O371" s="15">
        <v>0.09</v>
      </c>
      <c r="P371" s="15">
        <v>0.23</v>
      </c>
      <c r="Q371" s="19">
        <v>0.0</v>
      </c>
      <c r="R371" s="19">
        <v>0.0</v>
      </c>
      <c r="S371" s="20" t="s">
        <v>3837</v>
      </c>
    </row>
    <row r="372">
      <c r="A372" s="50">
        <v>356.0</v>
      </c>
      <c r="B372" s="13" t="s">
        <v>3838</v>
      </c>
      <c r="C372" s="11" t="s">
        <v>3839</v>
      </c>
      <c r="D372" s="12" t="s">
        <v>36</v>
      </c>
      <c r="E372" s="13" t="s">
        <v>3840</v>
      </c>
      <c r="F372" s="12">
        <v>24.0</v>
      </c>
      <c r="G372" s="12">
        <v>2001.0</v>
      </c>
      <c r="H372" s="15">
        <v>14.9</v>
      </c>
      <c r="I372" s="17">
        <v>0.07</v>
      </c>
      <c r="J372" s="18">
        <v>0.34</v>
      </c>
      <c r="K372" s="18">
        <v>0.13</v>
      </c>
      <c r="L372" s="15">
        <v>40.0</v>
      </c>
      <c r="M372" s="15">
        <v>0.33</v>
      </c>
      <c r="N372" s="15">
        <v>0.13</v>
      </c>
      <c r="O372" s="15">
        <v>0.2</v>
      </c>
      <c r="P372" s="15">
        <v>0.5</v>
      </c>
      <c r="Q372" s="19">
        <v>0.0</v>
      </c>
      <c r="R372" s="19">
        <v>0.0</v>
      </c>
      <c r="S372" s="20" t="s">
        <v>3841</v>
      </c>
    </row>
    <row r="373">
      <c r="A373" s="50">
        <v>357.0</v>
      </c>
      <c r="B373" s="13" t="s">
        <v>3842</v>
      </c>
      <c r="C373" s="11" t="s">
        <v>3843</v>
      </c>
      <c r="D373" s="12" t="s">
        <v>36</v>
      </c>
      <c r="E373" s="13" t="s">
        <v>3844</v>
      </c>
      <c r="F373" s="12">
        <v>21.0</v>
      </c>
      <c r="G373" s="12">
        <v>2004.0</v>
      </c>
      <c r="H373" s="15">
        <v>11.0</v>
      </c>
      <c r="I373" s="22">
        <v>0.0</v>
      </c>
      <c r="J373" s="18">
        <v>0.09</v>
      </c>
      <c r="K373" s="19">
        <v>0.0</v>
      </c>
      <c r="L373" s="21">
        <v>0.0</v>
      </c>
      <c r="M373" s="15">
        <v>0.09</v>
      </c>
      <c r="N373" s="21">
        <v>0.0</v>
      </c>
      <c r="O373" s="21">
        <v>0.0</v>
      </c>
      <c r="P373" s="36"/>
      <c r="Q373" s="19">
        <v>0.0</v>
      </c>
      <c r="R373" s="19">
        <v>0.0</v>
      </c>
      <c r="S373" s="20" t="s">
        <v>3845</v>
      </c>
    </row>
    <row r="374">
      <c r="A374" s="50">
        <v>358.0</v>
      </c>
      <c r="B374" s="13" t="s">
        <v>3846</v>
      </c>
      <c r="C374" s="11" t="s">
        <v>3847</v>
      </c>
      <c r="D374" s="12" t="s">
        <v>36</v>
      </c>
      <c r="E374" s="13" t="s">
        <v>3848</v>
      </c>
      <c r="F374" s="12">
        <v>24.0</v>
      </c>
      <c r="G374" s="12">
        <v>2001.0</v>
      </c>
      <c r="H374" s="15">
        <v>23.7</v>
      </c>
      <c r="I374" s="22">
        <v>0.0</v>
      </c>
      <c r="J374" s="18">
        <v>1.27</v>
      </c>
      <c r="K374" s="18">
        <v>0.25</v>
      </c>
      <c r="L374" s="15">
        <v>20.0</v>
      </c>
      <c r="M374" s="15">
        <v>1.26</v>
      </c>
      <c r="N374" s="15">
        <v>0.25</v>
      </c>
      <c r="O374" s="21">
        <v>0.0</v>
      </c>
      <c r="P374" s="21">
        <v>0.0</v>
      </c>
      <c r="Q374" s="19">
        <v>0.0</v>
      </c>
      <c r="R374" s="19">
        <v>0.0</v>
      </c>
      <c r="S374" s="20" t="s">
        <v>3849</v>
      </c>
    </row>
    <row r="375">
      <c r="A375" s="50">
        <v>359.0</v>
      </c>
      <c r="B375" s="13" t="s">
        <v>3850</v>
      </c>
      <c r="C375" s="11" t="s">
        <v>3851</v>
      </c>
      <c r="D375" s="12" t="s">
        <v>31</v>
      </c>
      <c r="E375" s="13" t="s">
        <v>3852</v>
      </c>
      <c r="F375" s="12">
        <v>26.0</v>
      </c>
      <c r="G375" s="12">
        <v>1999.0</v>
      </c>
      <c r="H375" s="15">
        <v>11.3</v>
      </c>
      <c r="I375" s="17">
        <v>0.27</v>
      </c>
      <c r="J375" s="18">
        <v>1.68</v>
      </c>
      <c r="K375" s="18">
        <v>0.44</v>
      </c>
      <c r="L375" s="15">
        <v>26.3</v>
      </c>
      <c r="M375" s="15">
        <v>1.68</v>
      </c>
      <c r="N375" s="15">
        <v>0.44</v>
      </c>
      <c r="O375" s="15">
        <v>0.16</v>
      </c>
      <c r="P375" s="15">
        <v>0.6</v>
      </c>
      <c r="Q375" s="19">
        <v>0.0</v>
      </c>
      <c r="R375" s="19">
        <v>0.0</v>
      </c>
      <c r="S375" s="20" t="s">
        <v>3853</v>
      </c>
    </row>
    <row r="376">
      <c r="A376" s="50">
        <v>360.0</v>
      </c>
      <c r="B376" s="13" t="s">
        <v>3854</v>
      </c>
      <c r="C376" s="11" t="s">
        <v>3855</v>
      </c>
      <c r="D376" s="12" t="s">
        <v>31</v>
      </c>
      <c r="E376" s="13" t="s">
        <v>3856</v>
      </c>
      <c r="F376" s="12">
        <v>17.0</v>
      </c>
      <c r="G376" s="12">
        <v>2007.0</v>
      </c>
      <c r="H376" s="15">
        <v>0.3</v>
      </c>
      <c r="I376" s="22">
        <v>0.0</v>
      </c>
      <c r="J376" s="19">
        <v>0.0</v>
      </c>
      <c r="K376" s="19">
        <v>0.0</v>
      </c>
      <c r="L376" s="36"/>
      <c r="M376" s="21">
        <v>0.0</v>
      </c>
      <c r="N376" s="21">
        <v>0.0</v>
      </c>
      <c r="O376" s="36"/>
      <c r="P376" s="36"/>
      <c r="Q376" s="19">
        <v>0.0</v>
      </c>
      <c r="R376" s="19">
        <v>0.0</v>
      </c>
      <c r="S376" s="20" t="s">
        <v>3857</v>
      </c>
    </row>
    <row r="377">
      <c r="A377" s="50">
        <v>361.0</v>
      </c>
      <c r="B377" s="13" t="s">
        <v>3858</v>
      </c>
      <c r="C377" s="11" t="s">
        <v>3859</v>
      </c>
      <c r="D377" s="12" t="s">
        <v>36</v>
      </c>
      <c r="E377" s="13" t="s">
        <v>3860</v>
      </c>
      <c r="F377" s="12">
        <v>27.0</v>
      </c>
      <c r="G377" s="12">
        <v>1997.0</v>
      </c>
      <c r="H377" s="15">
        <v>30.9</v>
      </c>
      <c r="I377" s="17">
        <v>0.1</v>
      </c>
      <c r="J377" s="18">
        <v>0.84</v>
      </c>
      <c r="K377" s="18">
        <v>0.13</v>
      </c>
      <c r="L377" s="15">
        <v>15.4</v>
      </c>
      <c r="M377" s="15">
        <v>0.84</v>
      </c>
      <c r="N377" s="15">
        <v>0.13</v>
      </c>
      <c r="O377" s="15">
        <v>0.12</v>
      </c>
      <c r="P377" s="15">
        <v>0.75</v>
      </c>
      <c r="Q377" s="19">
        <v>0.0</v>
      </c>
      <c r="R377" s="19">
        <v>0.0</v>
      </c>
      <c r="S377" s="20" t="s">
        <v>3861</v>
      </c>
    </row>
    <row r="378">
      <c r="A378" s="50">
        <v>362.0</v>
      </c>
      <c r="B378" s="13" t="s">
        <v>3862</v>
      </c>
      <c r="C378" s="11" t="s">
        <v>3863</v>
      </c>
      <c r="D378" s="12" t="s">
        <v>31</v>
      </c>
      <c r="E378" s="13" t="s">
        <v>3864</v>
      </c>
      <c r="F378" s="12">
        <v>22.0</v>
      </c>
      <c r="G378" s="12">
        <v>2003.0</v>
      </c>
      <c r="H378" s="15">
        <v>4.6</v>
      </c>
      <c r="I378" s="22">
        <v>0.0</v>
      </c>
      <c r="J378" s="18">
        <v>1.52</v>
      </c>
      <c r="K378" s="18">
        <v>0.43</v>
      </c>
      <c r="L378" s="15">
        <v>28.6</v>
      </c>
      <c r="M378" s="15">
        <v>1.53</v>
      </c>
      <c r="N378" s="15">
        <v>0.44</v>
      </c>
      <c r="O378" s="21">
        <v>0.0</v>
      </c>
      <c r="P378" s="21">
        <v>0.0</v>
      </c>
      <c r="Q378" s="19">
        <v>0.0</v>
      </c>
      <c r="R378" s="19">
        <v>0.0</v>
      </c>
      <c r="S378" s="20" t="s">
        <v>3865</v>
      </c>
    </row>
    <row r="379">
      <c r="A379" s="50">
        <v>363.0</v>
      </c>
      <c r="B379" s="13" t="s">
        <v>3866</v>
      </c>
      <c r="C379" s="11" t="s">
        <v>3867</v>
      </c>
      <c r="D379" s="12" t="s">
        <v>26</v>
      </c>
      <c r="E379" s="13" t="s">
        <v>3868</v>
      </c>
      <c r="F379" s="12">
        <v>29.0</v>
      </c>
      <c r="G379" s="12">
        <v>1996.0</v>
      </c>
      <c r="H379" s="15">
        <v>9.7</v>
      </c>
      <c r="I379" s="17">
        <v>0.1</v>
      </c>
      <c r="J379" s="18">
        <v>1.44</v>
      </c>
      <c r="K379" s="18">
        <v>0.62</v>
      </c>
      <c r="L379" s="15">
        <v>42.9</v>
      </c>
      <c r="M379" s="15">
        <v>1.44</v>
      </c>
      <c r="N379" s="15">
        <v>0.62</v>
      </c>
      <c r="O379" s="15">
        <v>0.07</v>
      </c>
      <c r="P379" s="15">
        <v>0.17</v>
      </c>
      <c r="Q379" s="19">
        <v>0.0</v>
      </c>
      <c r="R379" s="19">
        <v>0.0</v>
      </c>
      <c r="S379" s="20" t="s">
        <v>3869</v>
      </c>
    </row>
    <row r="380">
      <c r="A380" s="50">
        <v>364.0</v>
      </c>
      <c r="B380" s="13" t="s">
        <v>3870</v>
      </c>
      <c r="C380" s="11" t="s">
        <v>3871</v>
      </c>
      <c r="D380" s="12" t="s">
        <v>41</v>
      </c>
      <c r="E380" s="13" t="s">
        <v>3872</v>
      </c>
      <c r="F380" s="12">
        <v>24.0</v>
      </c>
      <c r="G380" s="12">
        <v>2001.0</v>
      </c>
      <c r="H380" s="15">
        <v>11.1</v>
      </c>
      <c r="I380" s="17">
        <v>0.09</v>
      </c>
      <c r="J380" s="18">
        <v>2.88</v>
      </c>
      <c r="K380" s="18">
        <v>0.45</v>
      </c>
      <c r="L380" s="15">
        <v>15.6</v>
      </c>
      <c r="M380" s="15">
        <v>2.88</v>
      </c>
      <c r="N380" s="15">
        <v>0.45</v>
      </c>
      <c r="O380" s="15">
        <v>0.03</v>
      </c>
      <c r="P380" s="15">
        <v>0.2</v>
      </c>
      <c r="Q380" s="19">
        <v>0.0</v>
      </c>
      <c r="R380" s="19">
        <v>0.0</v>
      </c>
      <c r="S380" s="20" t="s">
        <v>3873</v>
      </c>
    </row>
    <row r="381">
      <c r="A381" s="50">
        <v>365.0</v>
      </c>
      <c r="B381" s="13" t="s">
        <v>3874</v>
      </c>
      <c r="C381" s="11" t="s">
        <v>3875</v>
      </c>
      <c r="D381" s="12" t="s">
        <v>31</v>
      </c>
      <c r="E381" s="13" t="s">
        <v>3876</v>
      </c>
      <c r="F381" s="12">
        <v>29.0</v>
      </c>
      <c r="G381" s="12">
        <v>1996.0</v>
      </c>
      <c r="H381" s="15">
        <v>26.7</v>
      </c>
      <c r="I381" s="17">
        <v>0.15</v>
      </c>
      <c r="J381" s="18">
        <v>0.97</v>
      </c>
      <c r="K381" s="18">
        <v>0.45</v>
      </c>
      <c r="L381" s="15">
        <v>46.2</v>
      </c>
      <c r="M381" s="15">
        <v>0.98</v>
      </c>
      <c r="N381" s="15">
        <v>0.45</v>
      </c>
      <c r="O381" s="15">
        <v>0.15</v>
      </c>
      <c r="P381" s="15">
        <v>0.33</v>
      </c>
      <c r="Q381" s="19">
        <v>0.0</v>
      </c>
      <c r="R381" s="19">
        <v>0.0</v>
      </c>
      <c r="S381" s="20" t="s">
        <v>3877</v>
      </c>
    </row>
    <row r="382">
      <c r="A382" s="50">
        <v>366.0</v>
      </c>
      <c r="B382" s="13" t="s">
        <v>3878</v>
      </c>
      <c r="C382" s="11" t="s">
        <v>3879</v>
      </c>
      <c r="D382" s="12" t="s">
        <v>36</v>
      </c>
      <c r="E382" s="13" t="s">
        <v>3880</v>
      </c>
      <c r="F382" s="12">
        <v>23.0</v>
      </c>
      <c r="G382" s="12">
        <v>2002.0</v>
      </c>
      <c r="H382" s="15">
        <v>23.7</v>
      </c>
      <c r="I382" s="17">
        <v>0.04</v>
      </c>
      <c r="J382" s="18">
        <v>0.46</v>
      </c>
      <c r="K382" s="18">
        <v>0.17</v>
      </c>
      <c r="L382" s="15">
        <v>36.4</v>
      </c>
      <c r="M382" s="15">
        <v>0.46</v>
      </c>
      <c r="N382" s="15">
        <v>0.17</v>
      </c>
      <c r="O382" s="15">
        <v>0.09</v>
      </c>
      <c r="P382" s="15">
        <v>0.25</v>
      </c>
      <c r="Q382" s="19">
        <v>0.0</v>
      </c>
      <c r="R382" s="19">
        <v>0.0</v>
      </c>
      <c r="S382" s="20" t="s">
        <v>3881</v>
      </c>
    </row>
    <row r="383">
      <c r="A383" s="50">
        <v>367.0</v>
      </c>
      <c r="B383" s="13" t="s">
        <v>3882</v>
      </c>
      <c r="C383" s="11" t="s">
        <v>3883</v>
      </c>
      <c r="D383" s="12" t="s">
        <v>36</v>
      </c>
      <c r="E383" s="13" t="s">
        <v>3884</v>
      </c>
      <c r="F383" s="12">
        <v>21.0</v>
      </c>
      <c r="G383" s="12">
        <v>2004.0</v>
      </c>
      <c r="H383" s="15">
        <v>0.1</v>
      </c>
      <c r="I383" s="22">
        <v>0.0</v>
      </c>
      <c r="J383" s="19">
        <v>0.0</v>
      </c>
      <c r="K383" s="19">
        <v>0.0</v>
      </c>
      <c r="L383" s="36"/>
      <c r="M383" s="21">
        <v>0.0</v>
      </c>
      <c r="N383" s="21">
        <v>0.0</v>
      </c>
      <c r="O383" s="36"/>
      <c r="P383" s="36"/>
      <c r="Q383" s="19">
        <v>0.0</v>
      </c>
      <c r="R383" s="19">
        <v>0.0</v>
      </c>
      <c r="S383" s="20" t="s">
        <v>3885</v>
      </c>
    </row>
    <row r="384">
      <c r="A384" s="50">
        <v>368.0</v>
      </c>
      <c r="B384" s="13" t="s">
        <v>3886</v>
      </c>
      <c r="C384" s="11" t="s">
        <v>3887</v>
      </c>
      <c r="D384" s="12" t="s">
        <v>107</v>
      </c>
      <c r="E384" s="13" t="s">
        <v>3888</v>
      </c>
      <c r="F384" s="12">
        <v>30.0</v>
      </c>
      <c r="G384" s="12">
        <v>1995.0</v>
      </c>
      <c r="H384" s="15">
        <v>18.0</v>
      </c>
      <c r="I384" s="17">
        <v>0.17</v>
      </c>
      <c r="J384" s="18">
        <v>2.33</v>
      </c>
      <c r="K384" s="18">
        <v>0.72</v>
      </c>
      <c r="L384" s="15">
        <v>31.0</v>
      </c>
      <c r="M384" s="15">
        <v>2.34</v>
      </c>
      <c r="N384" s="15">
        <v>0.72</v>
      </c>
      <c r="O384" s="15">
        <v>0.07</v>
      </c>
      <c r="P384" s="15">
        <v>0.23</v>
      </c>
      <c r="Q384" s="19">
        <v>0.0</v>
      </c>
      <c r="R384" s="19">
        <v>0.0</v>
      </c>
      <c r="S384" s="20" t="s">
        <v>3889</v>
      </c>
    </row>
    <row r="385">
      <c r="A385" s="50">
        <v>369.0</v>
      </c>
      <c r="B385" s="13" t="s">
        <v>3890</v>
      </c>
      <c r="C385" s="11" t="s">
        <v>3891</v>
      </c>
      <c r="D385" s="12" t="s">
        <v>36</v>
      </c>
      <c r="E385" s="13" t="s">
        <v>3892</v>
      </c>
      <c r="F385" s="12">
        <v>26.0</v>
      </c>
      <c r="G385" s="12">
        <v>1999.0</v>
      </c>
      <c r="H385" s="15">
        <v>32.9</v>
      </c>
      <c r="I385" s="22">
        <v>0.0</v>
      </c>
      <c r="J385" s="18">
        <v>0.27</v>
      </c>
      <c r="K385" s="18">
        <v>0.06</v>
      </c>
      <c r="L385" s="15">
        <v>22.2</v>
      </c>
      <c r="M385" s="15">
        <v>0.27</v>
      </c>
      <c r="N385" s="15">
        <v>0.06</v>
      </c>
      <c r="O385" s="21">
        <v>0.0</v>
      </c>
      <c r="P385" s="21">
        <v>0.0</v>
      </c>
      <c r="Q385" s="19">
        <v>0.0</v>
      </c>
      <c r="R385" s="19">
        <v>0.0</v>
      </c>
      <c r="S385" s="20" t="s">
        <v>3893</v>
      </c>
    </row>
    <row r="386">
      <c r="A386" s="50">
        <v>370.0</v>
      </c>
      <c r="B386" s="13" t="s">
        <v>3894</v>
      </c>
      <c r="C386" s="11" t="s">
        <v>3895</v>
      </c>
      <c r="D386" s="12" t="s">
        <v>264</v>
      </c>
      <c r="E386" s="13" t="s">
        <v>3896</v>
      </c>
      <c r="F386" s="12">
        <v>23.0</v>
      </c>
      <c r="G386" s="12">
        <v>2002.0</v>
      </c>
      <c r="H386" s="15">
        <v>11.7</v>
      </c>
      <c r="I386" s="22">
        <v>0.0</v>
      </c>
      <c r="J386" s="18">
        <v>0.26</v>
      </c>
      <c r="K386" s="19">
        <v>0.0</v>
      </c>
      <c r="L386" s="21">
        <v>0.0</v>
      </c>
      <c r="M386" s="15">
        <v>0.26</v>
      </c>
      <c r="N386" s="21">
        <v>0.0</v>
      </c>
      <c r="O386" s="21">
        <v>0.0</v>
      </c>
      <c r="P386" s="36"/>
      <c r="Q386" s="19">
        <v>0.0</v>
      </c>
      <c r="R386" s="19">
        <v>0.0</v>
      </c>
      <c r="S386" s="20" t="s">
        <v>3897</v>
      </c>
    </row>
    <row r="387">
      <c r="A387" s="50">
        <v>371.0</v>
      </c>
      <c r="B387" s="13" t="s">
        <v>3898</v>
      </c>
      <c r="C387" s="11" t="s">
        <v>3899</v>
      </c>
      <c r="D387" s="12" t="s">
        <v>31</v>
      </c>
      <c r="E387" s="13" t="s">
        <v>3900</v>
      </c>
      <c r="F387" s="12">
        <v>25.0</v>
      </c>
      <c r="G387" s="12">
        <v>2000.0</v>
      </c>
      <c r="H387" s="15">
        <v>30.9</v>
      </c>
      <c r="I387" s="17">
        <v>0.19</v>
      </c>
      <c r="J387" s="18">
        <v>1.39</v>
      </c>
      <c r="K387" s="18">
        <v>0.71</v>
      </c>
      <c r="L387" s="15">
        <v>51.2</v>
      </c>
      <c r="M387" s="15">
        <v>1.39</v>
      </c>
      <c r="N387" s="15">
        <v>0.71</v>
      </c>
      <c r="O387" s="15">
        <v>0.09</v>
      </c>
      <c r="P387" s="15">
        <v>0.18</v>
      </c>
      <c r="Q387" s="18">
        <v>0.06</v>
      </c>
      <c r="R387" s="18">
        <v>0.06</v>
      </c>
      <c r="S387" s="20" t="s">
        <v>3901</v>
      </c>
    </row>
    <row r="388">
      <c r="A388" s="50">
        <v>372.0</v>
      </c>
      <c r="B388" s="13" t="s">
        <v>3902</v>
      </c>
      <c r="C388" s="11" t="s">
        <v>3903</v>
      </c>
      <c r="D388" s="12" t="s">
        <v>31</v>
      </c>
      <c r="E388" s="13" t="s">
        <v>3904</v>
      </c>
      <c r="F388" s="12">
        <v>24.0</v>
      </c>
      <c r="G388" s="12">
        <v>2000.0</v>
      </c>
      <c r="H388" s="15">
        <v>13.0</v>
      </c>
      <c r="I388" s="17">
        <v>0.08</v>
      </c>
      <c r="J388" s="18">
        <v>1.15</v>
      </c>
      <c r="K388" s="18">
        <v>0.31</v>
      </c>
      <c r="L388" s="15">
        <v>26.7</v>
      </c>
      <c r="M388" s="15">
        <v>1.15</v>
      </c>
      <c r="N388" s="15">
        <v>0.31</v>
      </c>
      <c r="O388" s="15">
        <v>0.07</v>
      </c>
      <c r="P388" s="15">
        <v>0.25</v>
      </c>
      <c r="Q388" s="19">
        <v>0.0</v>
      </c>
      <c r="R388" s="19">
        <v>0.0</v>
      </c>
      <c r="S388" s="20" t="s">
        <v>3905</v>
      </c>
    </row>
    <row r="389">
      <c r="A389" s="50">
        <v>373.0</v>
      </c>
      <c r="B389" s="13" t="s">
        <v>3906</v>
      </c>
      <c r="C389" s="11" t="s">
        <v>3907</v>
      </c>
      <c r="D389" s="12" t="s">
        <v>41</v>
      </c>
      <c r="E389" s="13" t="s">
        <v>3908</v>
      </c>
      <c r="F389" s="12">
        <v>18.0</v>
      </c>
      <c r="G389" s="12">
        <v>2007.0</v>
      </c>
      <c r="H389" s="15">
        <v>0.2</v>
      </c>
      <c r="I389" s="22">
        <v>0.0</v>
      </c>
      <c r="J389" s="18">
        <v>5.0</v>
      </c>
      <c r="K389" s="19">
        <v>0.0</v>
      </c>
      <c r="L389" s="21">
        <v>0.0</v>
      </c>
      <c r="M389" s="15">
        <v>6.43</v>
      </c>
      <c r="N389" s="21">
        <v>0.0</v>
      </c>
      <c r="O389" s="21">
        <v>0.0</v>
      </c>
      <c r="P389" s="36"/>
      <c r="Q389" s="19">
        <v>0.0</v>
      </c>
      <c r="R389" s="19">
        <v>0.0</v>
      </c>
      <c r="S389" s="20" t="s">
        <v>3909</v>
      </c>
    </row>
    <row r="390">
      <c r="A390" s="50">
        <v>374.0</v>
      </c>
      <c r="B390" s="13" t="s">
        <v>3910</v>
      </c>
      <c r="C390" s="11" t="s">
        <v>3911</v>
      </c>
      <c r="D390" s="12" t="s">
        <v>31</v>
      </c>
      <c r="E390" s="13" t="s">
        <v>3912</v>
      </c>
      <c r="F390" s="12">
        <v>23.0</v>
      </c>
      <c r="G390" s="12">
        <v>2001.0</v>
      </c>
      <c r="H390" s="15">
        <v>0.2</v>
      </c>
      <c r="I390" s="22">
        <v>0.0</v>
      </c>
      <c r="J390" s="19">
        <v>0.0</v>
      </c>
      <c r="K390" s="19">
        <v>0.0</v>
      </c>
      <c r="L390" s="36"/>
      <c r="M390" s="21">
        <v>0.0</v>
      </c>
      <c r="N390" s="21">
        <v>0.0</v>
      </c>
      <c r="O390" s="36"/>
      <c r="P390" s="36"/>
      <c r="Q390" s="19">
        <v>0.0</v>
      </c>
      <c r="R390" s="19">
        <v>0.0</v>
      </c>
      <c r="S390" s="20" t="s">
        <v>3913</v>
      </c>
    </row>
    <row r="391">
      <c r="A391" s="50">
        <v>375.0</v>
      </c>
      <c r="B391" s="13" t="s">
        <v>3914</v>
      </c>
      <c r="C391" s="11" t="s">
        <v>3915</v>
      </c>
      <c r="D391" s="12" t="s">
        <v>107</v>
      </c>
      <c r="E391" s="13" t="s">
        <v>3916</v>
      </c>
      <c r="F391" s="12">
        <v>25.0</v>
      </c>
      <c r="G391" s="12">
        <v>1999.0</v>
      </c>
      <c r="H391" s="15">
        <v>1.4</v>
      </c>
      <c r="I391" s="22">
        <v>0.0</v>
      </c>
      <c r="J391" s="18">
        <v>3.57</v>
      </c>
      <c r="K391" s="18">
        <v>0.71</v>
      </c>
      <c r="L391" s="15">
        <v>20.0</v>
      </c>
      <c r="M391" s="15">
        <v>3.57</v>
      </c>
      <c r="N391" s="15">
        <v>0.71</v>
      </c>
      <c r="O391" s="21">
        <v>0.0</v>
      </c>
      <c r="P391" s="21">
        <v>0.0</v>
      </c>
      <c r="Q391" s="19">
        <v>0.0</v>
      </c>
      <c r="R391" s="19">
        <v>0.0</v>
      </c>
      <c r="S391" s="20" t="s">
        <v>3917</v>
      </c>
    </row>
    <row r="392">
      <c r="A392" s="37" t="s">
        <v>3</v>
      </c>
      <c r="B392" s="51" t="s">
        <v>4</v>
      </c>
      <c r="C392" s="39" t="s">
        <v>5</v>
      </c>
      <c r="D392" s="39" t="s">
        <v>6</v>
      </c>
      <c r="E392" s="39" t="s">
        <v>7</v>
      </c>
      <c r="F392" s="39" t="s">
        <v>8</v>
      </c>
      <c r="G392" s="39" t="s">
        <v>9</v>
      </c>
      <c r="H392" s="39" t="s">
        <v>13</v>
      </c>
      <c r="I392" s="40" t="s">
        <v>14</v>
      </c>
      <c r="J392" s="39" t="s">
        <v>2411</v>
      </c>
      <c r="K392" s="39" t="s">
        <v>2412</v>
      </c>
      <c r="L392" s="39" t="s">
        <v>2413</v>
      </c>
      <c r="M392" s="39" t="s">
        <v>2414</v>
      </c>
      <c r="N392" s="39" t="s">
        <v>2415</v>
      </c>
      <c r="O392" s="39" t="s">
        <v>2416</v>
      </c>
      <c r="P392" s="39" t="s">
        <v>2417</v>
      </c>
      <c r="Q392" s="39" t="s">
        <v>18</v>
      </c>
      <c r="R392" s="39" t="s">
        <v>19</v>
      </c>
      <c r="S392" s="40" t="s">
        <v>23</v>
      </c>
    </row>
    <row r="393">
      <c r="A393" s="50">
        <v>376.0</v>
      </c>
      <c r="B393" s="13" t="s">
        <v>3918</v>
      </c>
      <c r="C393" s="11" t="s">
        <v>3919</v>
      </c>
      <c r="D393" s="12" t="s">
        <v>26</v>
      </c>
      <c r="E393" s="13" t="s">
        <v>3920</v>
      </c>
      <c r="F393" s="12">
        <v>25.0</v>
      </c>
      <c r="G393" s="12">
        <v>2000.0</v>
      </c>
      <c r="H393" s="15">
        <v>29.2</v>
      </c>
      <c r="I393" s="17">
        <v>0.17</v>
      </c>
      <c r="J393" s="18">
        <v>1.58</v>
      </c>
      <c r="K393" s="18">
        <v>0.45</v>
      </c>
      <c r="L393" s="15">
        <v>28.3</v>
      </c>
      <c r="M393" s="15">
        <v>1.57</v>
      </c>
      <c r="N393" s="15">
        <v>0.44</v>
      </c>
      <c r="O393" s="15">
        <v>0.11</v>
      </c>
      <c r="P393" s="15">
        <v>0.38</v>
      </c>
      <c r="Q393" s="19">
        <v>0.0</v>
      </c>
      <c r="R393" s="19">
        <v>0.0</v>
      </c>
      <c r="S393" s="20" t="s">
        <v>3921</v>
      </c>
    </row>
    <row r="394">
      <c r="A394" s="50">
        <v>377.0</v>
      </c>
      <c r="B394" s="13" t="s">
        <v>3922</v>
      </c>
      <c r="C394" s="11" t="s">
        <v>3923</v>
      </c>
      <c r="D394" s="12" t="s">
        <v>345</v>
      </c>
      <c r="E394" s="13" t="s">
        <v>3924</v>
      </c>
      <c r="F394" s="12">
        <v>22.0</v>
      </c>
      <c r="G394" s="12">
        <v>2003.0</v>
      </c>
      <c r="H394" s="15">
        <v>4.0</v>
      </c>
      <c r="I394" s="22">
        <v>0.0</v>
      </c>
      <c r="J394" s="19">
        <v>0.0</v>
      </c>
      <c r="K394" s="19">
        <v>0.0</v>
      </c>
      <c r="L394" s="36"/>
      <c r="M394" s="21">
        <v>0.0</v>
      </c>
      <c r="N394" s="21">
        <v>0.0</v>
      </c>
      <c r="O394" s="36"/>
      <c r="P394" s="36"/>
      <c r="Q394" s="19">
        <v>0.0</v>
      </c>
      <c r="R394" s="19">
        <v>0.0</v>
      </c>
      <c r="S394" s="20" t="s">
        <v>3925</v>
      </c>
    </row>
    <row r="395">
      <c r="A395" s="50">
        <v>378.0</v>
      </c>
      <c r="B395" s="13" t="s">
        <v>3926</v>
      </c>
      <c r="C395" s="11" t="s">
        <v>3927</v>
      </c>
      <c r="D395" s="12" t="s">
        <v>31</v>
      </c>
      <c r="E395" s="13" t="s">
        <v>3928</v>
      </c>
      <c r="F395" s="12">
        <v>16.0</v>
      </c>
      <c r="G395" s="12">
        <v>2008.0</v>
      </c>
      <c r="H395" s="15">
        <v>6.2</v>
      </c>
      <c r="I395" s="17">
        <v>0.32</v>
      </c>
      <c r="J395" s="18">
        <v>2.58</v>
      </c>
      <c r="K395" s="18">
        <v>0.97</v>
      </c>
      <c r="L395" s="15">
        <v>37.5</v>
      </c>
      <c r="M395" s="15">
        <v>2.57</v>
      </c>
      <c r="N395" s="15">
        <v>0.96</v>
      </c>
      <c r="O395" s="15">
        <v>0.13</v>
      </c>
      <c r="P395" s="15">
        <v>0.33</v>
      </c>
      <c r="Q395" s="19">
        <v>0.0</v>
      </c>
      <c r="R395" s="19">
        <v>0.0</v>
      </c>
      <c r="S395" s="20" t="s">
        <v>3929</v>
      </c>
    </row>
    <row r="396">
      <c r="A396" s="50">
        <v>379.0</v>
      </c>
      <c r="B396" s="13" t="s">
        <v>3930</v>
      </c>
      <c r="C396" s="11" t="s">
        <v>3931</v>
      </c>
      <c r="D396" s="12" t="s">
        <v>31</v>
      </c>
      <c r="E396" s="13" t="s">
        <v>3932</v>
      </c>
      <c r="F396" s="12">
        <v>26.0</v>
      </c>
      <c r="G396" s="12">
        <v>1999.0</v>
      </c>
      <c r="H396" s="15">
        <v>4.7</v>
      </c>
      <c r="I396" s="17">
        <v>0.43</v>
      </c>
      <c r="J396" s="18">
        <v>3.19</v>
      </c>
      <c r="K396" s="18">
        <v>1.28</v>
      </c>
      <c r="L396" s="15">
        <v>40.0</v>
      </c>
      <c r="M396" s="15">
        <v>3.18</v>
      </c>
      <c r="N396" s="15">
        <v>1.27</v>
      </c>
      <c r="O396" s="15">
        <v>0.13</v>
      </c>
      <c r="P396" s="15">
        <v>0.33</v>
      </c>
      <c r="Q396" s="19">
        <v>0.0</v>
      </c>
      <c r="R396" s="19">
        <v>0.0</v>
      </c>
      <c r="S396" s="20" t="s">
        <v>3933</v>
      </c>
    </row>
    <row r="397">
      <c r="A397" s="50">
        <v>380.0</v>
      </c>
      <c r="B397" s="13" t="s">
        <v>3934</v>
      </c>
      <c r="C397" s="11" t="s">
        <v>3935</v>
      </c>
      <c r="D397" s="12" t="s">
        <v>41</v>
      </c>
      <c r="E397" s="13" t="s">
        <v>3936</v>
      </c>
      <c r="F397" s="12">
        <v>26.0</v>
      </c>
      <c r="G397" s="12">
        <v>1998.0</v>
      </c>
      <c r="H397" s="15">
        <v>12.0</v>
      </c>
      <c r="I397" s="17">
        <v>0.5</v>
      </c>
      <c r="J397" s="18">
        <v>2.5</v>
      </c>
      <c r="K397" s="18">
        <v>1.33</v>
      </c>
      <c r="L397" s="15">
        <v>53.3</v>
      </c>
      <c r="M397" s="15">
        <v>2.49</v>
      </c>
      <c r="N397" s="15">
        <v>1.33</v>
      </c>
      <c r="O397" s="15">
        <v>0.13</v>
      </c>
      <c r="P397" s="15">
        <v>0.25</v>
      </c>
      <c r="Q397" s="18">
        <v>0.17</v>
      </c>
      <c r="R397" s="18">
        <v>0.25</v>
      </c>
      <c r="S397" s="20" t="s">
        <v>3937</v>
      </c>
    </row>
    <row r="398">
      <c r="A398" s="50">
        <v>381.0</v>
      </c>
      <c r="B398" s="13" t="s">
        <v>3938</v>
      </c>
      <c r="C398" s="11" t="s">
        <v>3939</v>
      </c>
      <c r="D398" s="12" t="s">
        <v>36</v>
      </c>
      <c r="E398" s="13" t="s">
        <v>3940</v>
      </c>
      <c r="F398" s="12">
        <v>26.0</v>
      </c>
      <c r="G398" s="12">
        <v>1998.0</v>
      </c>
      <c r="H398" s="15">
        <v>31.8</v>
      </c>
      <c r="I398" s="17">
        <v>0.03</v>
      </c>
      <c r="J398" s="18">
        <v>0.22</v>
      </c>
      <c r="K398" s="18">
        <v>0.06</v>
      </c>
      <c r="L398" s="15">
        <v>28.6</v>
      </c>
      <c r="M398" s="15">
        <v>0.22</v>
      </c>
      <c r="N398" s="15">
        <v>0.06</v>
      </c>
      <c r="O398" s="15">
        <v>0.14</v>
      </c>
      <c r="P398" s="15">
        <v>0.5</v>
      </c>
      <c r="Q398" s="19">
        <v>0.0</v>
      </c>
      <c r="R398" s="19">
        <v>0.0</v>
      </c>
      <c r="S398" s="20" t="s">
        <v>3941</v>
      </c>
    </row>
    <row r="399">
      <c r="A399" s="50">
        <v>382.0</v>
      </c>
      <c r="B399" s="13" t="s">
        <v>3942</v>
      </c>
      <c r="C399" s="11" t="s">
        <v>3943</v>
      </c>
      <c r="D399" s="12" t="s">
        <v>31</v>
      </c>
      <c r="E399" s="13" t="s">
        <v>3944</v>
      </c>
      <c r="F399" s="12">
        <v>18.0</v>
      </c>
      <c r="G399" s="12">
        <v>2007.0</v>
      </c>
      <c r="H399" s="15">
        <v>1.9</v>
      </c>
      <c r="I399" s="22">
        <v>0.0</v>
      </c>
      <c r="J399" s="18">
        <v>3.16</v>
      </c>
      <c r="K399" s="19">
        <v>0.0</v>
      </c>
      <c r="L399" s="21">
        <v>0.0</v>
      </c>
      <c r="M399" s="15">
        <v>3.16</v>
      </c>
      <c r="N399" s="21">
        <v>0.0</v>
      </c>
      <c r="O399" s="21">
        <v>0.0</v>
      </c>
      <c r="P399" s="36"/>
      <c r="Q399" s="19">
        <v>0.0</v>
      </c>
      <c r="R399" s="19">
        <v>0.0</v>
      </c>
      <c r="S399" s="20" t="s">
        <v>3945</v>
      </c>
    </row>
    <row r="400">
      <c r="A400" s="50">
        <v>383.0</v>
      </c>
      <c r="B400" s="13" t="s">
        <v>3946</v>
      </c>
      <c r="C400" s="11" t="s">
        <v>3947</v>
      </c>
      <c r="D400" s="12" t="s">
        <v>31</v>
      </c>
      <c r="E400" s="13" t="s">
        <v>3948</v>
      </c>
      <c r="F400" s="12">
        <v>18.0</v>
      </c>
      <c r="G400" s="12">
        <v>2007.0</v>
      </c>
      <c r="H400" s="15">
        <v>0.3</v>
      </c>
      <c r="I400" s="22">
        <v>0.0</v>
      </c>
      <c r="J400" s="18">
        <v>3.33</v>
      </c>
      <c r="K400" s="19">
        <v>0.0</v>
      </c>
      <c r="L400" s="21">
        <v>0.0</v>
      </c>
      <c r="M400" s="15">
        <v>3.75</v>
      </c>
      <c r="N400" s="21">
        <v>0.0</v>
      </c>
      <c r="O400" s="21">
        <v>0.0</v>
      </c>
      <c r="P400" s="36"/>
      <c r="Q400" s="19">
        <v>0.0</v>
      </c>
      <c r="R400" s="19">
        <v>0.0</v>
      </c>
      <c r="S400" s="20" t="s">
        <v>3949</v>
      </c>
    </row>
    <row r="401">
      <c r="A401" s="50">
        <v>384.0</v>
      </c>
      <c r="B401" s="13" t="s">
        <v>3950</v>
      </c>
      <c r="C401" s="11" t="s">
        <v>3951</v>
      </c>
      <c r="D401" s="12" t="s">
        <v>31</v>
      </c>
      <c r="E401" s="13" t="s">
        <v>3952</v>
      </c>
      <c r="F401" s="12">
        <v>31.0</v>
      </c>
      <c r="G401" s="12">
        <v>1994.0</v>
      </c>
      <c r="H401" s="15">
        <v>1.2</v>
      </c>
      <c r="I401" s="22">
        <v>0.0</v>
      </c>
      <c r="J401" s="18">
        <v>1.67</v>
      </c>
      <c r="K401" s="18">
        <v>0.83</v>
      </c>
      <c r="L401" s="15">
        <v>50.0</v>
      </c>
      <c r="M401" s="15">
        <v>1.7</v>
      </c>
      <c r="N401" s="15">
        <v>0.85</v>
      </c>
      <c r="O401" s="21">
        <v>0.0</v>
      </c>
      <c r="P401" s="21">
        <v>0.0</v>
      </c>
      <c r="Q401" s="19">
        <v>0.0</v>
      </c>
      <c r="R401" s="19">
        <v>0.0</v>
      </c>
      <c r="S401" s="20" t="s">
        <v>3953</v>
      </c>
    </row>
    <row r="402">
      <c r="A402" s="50">
        <v>385.0</v>
      </c>
      <c r="B402" s="13" t="s">
        <v>3954</v>
      </c>
      <c r="C402" s="11" t="s">
        <v>3955</v>
      </c>
      <c r="D402" s="12" t="s">
        <v>36</v>
      </c>
      <c r="E402" s="13" t="s">
        <v>3956</v>
      </c>
      <c r="F402" s="12">
        <v>24.0</v>
      </c>
      <c r="G402" s="12">
        <v>2001.0</v>
      </c>
      <c r="H402" s="15">
        <v>34.7</v>
      </c>
      <c r="I402" s="17">
        <v>0.03</v>
      </c>
      <c r="J402" s="18">
        <v>0.37</v>
      </c>
      <c r="K402" s="18">
        <v>0.17</v>
      </c>
      <c r="L402" s="15">
        <v>46.2</v>
      </c>
      <c r="M402" s="15">
        <v>0.37</v>
      </c>
      <c r="N402" s="15">
        <v>0.17</v>
      </c>
      <c r="O402" s="15">
        <v>0.08</v>
      </c>
      <c r="P402" s="15">
        <v>0.17</v>
      </c>
      <c r="Q402" s="19">
        <v>0.0</v>
      </c>
      <c r="R402" s="19">
        <v>0.0</v>
      </c>
      <c r="S402" s="20" t="s">
        <v>3957</v>
      </c>
    </row>
    <row r="403">
      <c r="A403" s="50">
        <v>386.0</v>
      </c>
      <c r="B403" s="13" t="s">
        <v>3958</v>
      </c>
      <c r="C403" s="11" t="s">
        <v>3959</v>
      </c>
      <c r="D403" s="12" t="s">
        <v>36</v>
      </c>
      <c r="E403" s="13" t="s">
        <v>3960</v>
      </c>
      <c r="F403" s="12">
        <v>30.0</v>
      </c>
      <c r="G403" s="12">
        <v>1994.0</v>
      </c>
      <c r="H403" s="15">
        <v>6.3</v>
      </c>
      <c r="I403" s="22">
        <v>0.0</v>
      </c>
      <c r="J403" s="18">
        <v>0.63</v>
      </c>
      <c r="K403" s="18">
        <v>0.16</v>
      </c>
      <c r="L403" s="15">
        <v>25.0</v>
      </c>
      <c r="M403" s="15">
        <v>0.63</v>
      </c>
      <c r="N403" s="15">
        <v>0.16</v>
      </c>
      <c r="O403" s="21">
        <v>0.0</v>
      </c>
      <c r="P403" s="21">
        <v>0.0</v>
      </c>
      <c r="Q403" s="19">
        <v>0.0</v>
      </c>
      <c r="R403" s="19">
        <v>0.0</v>
      </c>
      <c r="S403" s="20" t="s">
        <v>3961</v>
      </c>
    </row>
    <row r="404">
      <c r="A404" s="50">
        <v>387.0</v>
      </c>
      <c r="B404" s="13" t="s">
        <v>3962</v>
      </c>
      <c r="C404" s="11" t="s">
        <v>3963</v>
      </c>
      <c r="D404" s="12" t="s">
        <v>31</v>
      </c>
      <c r="E404" s="13" t="s">
        <v>3964</v>
      </c>
      <c r="F404" s="12">
        <v>24.0</v>
      </c>
      <c r="G404" s="12">
        <v>2000.0</v>
      </c>
      <c r="H404" s="15">
        <v>2.3</v>
      </c>
      <c r="I404" s="17">
        <v>0.43</v>
      </c>
      <c r="J404" s="18">
        <v>1.74</v>
      </c>
      <c r="K404" s="18">
        <v>0.87</v>
      </c>
      <c r="L404" s="15">
        <v>50.0</v>
      </c>
      <c r="M404" s="15">
        <v>1.76</v>
      </c>
      <c r="N404" s="15">
        <v>0.88</v>
      </c>
      <c r="O404" s="21">
        <v>0.0</v>
      </c>
      <c r="P404" s="21">
        <v>0.0</v>
      </c>
      <c r="Q404" s="18">
        <v>0.43</v>
      </c>
      <c r="R404" s="18">
        <v>0.43</v>
      </c>
      <c r="S404" s="20" t="s">
        <v>3965</v>
      </c>
    </row>
    <row r="405">
      <c r="A405" s="50">
        <v>388.0</v>
      </c>
      <c r="B405" s="13" t="s">
        <v>3966</v>
      </c>
      <c r="C405" s="11" t="s">
        <v>3967</v>
      </c>
      <c r="D405" s="12" t="s">
        <v>26</v>
      </c>
      <c r="E405" s="13" t="s">
        <v>3968</v>
      </c>
      <c r="F405" s="12">
        <v>20.0</v>
      </c>
      <c r="G405" s="12">
        <v>2004.0</v>
      </c>
      <c r="H405" s="15">
        <v>10.9</v>
      </c>
      <c r="I405" s="22">
        <v>0.0</v>
      </c>
      <c r="J405" s="18">
        <v>1.93</v>
      </c>
      <c r="K405" s="18">
        <v>0.73</v>
      </c>
      <c r="L405" s="15">
        <v>38.1</v>
      </c>
      <c r="M405" s="15">
        <v>1.92</v>
      </c>
      <c r="N405" s="15">
        <v>0.73</v>
      </c>
      <c r="O405" s="21">
        <v>0.0</v>
      </c>
      <c r="P405" s="21">
        <v>0.0</v>
      </c>
      <c r="Q405" s="19">
        <v>0.0</v>
      </c>
      <c r="R405" s="19">
        <v>0.0</v>
      </c>
      <c r="S405" s="20" t="s">
        <v>3969</v>
      </c>
    </row>
    <row r="406">
      <c r="A406" s="50">
        <v>389.0</v>
      </c>
      <c r="B406" s="13" t="s">
        <v>3970</v>
      </c>
      <c r="C406" s="11" t="s">
        <v>3971</v>
      </c>
      <c r="D406" s="12" t="s">
        <v>107</v>
      </c>
      <c r="E406" s="13" t="s">
        <v>3972</v>
      </c>
      <c r="F406" s="12">
        <v>25.0</v>
      </c>
      <c r="G406" s="12">
        <v>2000.0</v>
      </c>
      <c r="H406" s="15">
        <v>17.3</v>
      </c>
      <c r="I406" s="17">
        <v>0.46</v>
      </c>
      <c r="J406" s="18">
        <v>2.02</v>
      </c>
      <c r="K406" s="18">
        <v>0.87</v>
      </c>
      <c r="L406" s="15">
        <v>42.9</v>
      </c>
      <c r="M406" s="15">
        <v>2.02</v>
      </c>
      <c r="N406" s="15">
        <v>0.86</v>
      </c>
      <c r="O406" s="15">
        <v>0.23</v>
      </c>
      <c r="P406" s="15">
        <v>0.53</v>
      </c>
      <c r="Q406" s="19">
        <v>0.0</v>
      </c>
      <c r="R406" s="19">
        <v>0.0</v>
      </c>
      <c r="S406" s="20" t="s">
        <v>3973</v>
      </c>
    </row>
    <row r="407">
      <c r="A407" s="50">
        <v>390.0</v>
      </c>
      <c r="B407" s="13" t="s">
        <v>3974</v>
      </c>
      <c r="C407" s="11" t="s">
        <v>3975</v>
      </c>
      <c r="D407" s="12" t="s">
        <v>31</v>
      </c>
      <c r="E407" s="13" t="s">
        <v>3976</v>
      </c>
      <c r="F407" s="12">
        <v>18.0</v>
      </c>
      <c r="G407" s="12">
        <v>2007.0</v>
      </c>
      <c r="H407" s="15">
        <v>0.2</v>
      </c>
      <c r="I407" s="22">
        <v>0.0</v>
      </c>
      <c r="J407" s="19">
        <v>0.0</v>
      </c>
      <c r="K407" s="19">
        <v>0.0</v>
      </c>
      <c r="L407" s="36"/>
      <c r="M407" s="21">
        <v>0.0</v>
      </c>
      <c r="N407" s="21">
        <v>0.0</v>
      </c>
      <c r="O407" s="36"/>
      <c r="P407" s="36"/>
      <c r="Q407" s="19">
        <v>0.0</v>
      </c>
      <c r="R407" s="19">
        <v>0.0</v>
      </c>
      <c r="S407" s="20" t="s">
        <v>3977</v>
      </c>
    </row>
    <row r="408">
      <c r="A408" s="50">
        <v>391.0</v>
      </c>
      <c r="B408" s="13" t="s">
        <v>3978</v>
      </c>
      <c r="C408" s="11" t="s">
        <v>3979</v>
      </c>
      <c r="D408" s="12" t="s">
        <v>31</v>
      </c>
      <c r="E408" s="13" t="s">
        <v>3980</v>
      </c>
      <c r="F408" s="12">
        <v>23.0</v>
      </c>
      <c r="G408" s="12">
        <v>2001.0</v>
      </c>
      <c r="H408" s="15">
        <v>19.5</v>
      </c>
      <c r="I408" s="17">
        <v>0.1</v>
      </c>
      <c r="J408" s="18">
        <v>0.97</v>
      </c>
      <c r="K408" s="18">
        <v>0.36</v>
      </c>
      <c r="L408" s="15">
        <v>36.8</v>
      </c>
      <c r="M408" s="15">
        <v>0.97</v>
      </c>
      <c r="N408" s="15">
        <v>0.36</v>
      </c>
      <c r="O408" s="15">
        <v>0.11</v>
      </c>
      <c r="P408" s="15">
        <v>0.29</v>
      </c>
      <c r="Q408" s="19">
        <v>0.0</v>
      </c>
      <c r="R408" s="19">
        <v>0.0</v>
      </c>
      <c r="S408" s="20" t="s">
        <v>3981</v>
      </c>
    </row>
    <row r="409">
      <c r="A409" s="50">
        <v>392.0</v>
      </c>
      <c r="B409" s="13" t="s">
        <v>3982</v>
      </c>
      <c r="C409" s="11" t="s">
        <v>3983</v>
      </c>
      <c r="D409" s="12" t="s">
        <v>31</v>
      </c>
      <c r="E409" s="13" t="s">
        <v>3984</v>
      </c>
      <c r="F409" s="12">
        <v>27.0</v>
      </c>
      <c r="G409" s="12">
        <v>1998.0</v>
      </c>
      <c r="H409" s="15">
        <v>1.0</v>
      </c>
      <c r="I409" s="22">
        <v>0.0</v>
      </c>
      <c r="J409" s="19">
        <v>0.0</v>
      </c>
      <c r="K409" s="19">
        <v>0.0</v>
      </c>
      <c r="L409" s="36"/>
      <c r="M409" s="21">
        <v>0.0</v>
      </c>
      <c r="N409" s="21">
        <v>0.0</v>
      </c>
      <c r="O409" s="36"/>
      <c r="P409" s="36"/>
      <c r="Q409" s="19">
        <v>0.0</v>
      </c>
      <c r="R409" s="19">
        <v>0.0</v>
      </c>
      <c r="S409" s="20" t="s">
        <v>3985</v>
      </c>
    </row>
    <row r="410">
      <c r="A410" s="50">
        <v>393.0</v>
      </c>
      <c r="B410" s="13" t="s">
        <v>3986</v>
      </c>
      <c r="C410" s="11" t="s">
        <v>3987</v>
      </c>
      <c r="D410" s="12" t="s">
        <v>31</v>
      </c>
      <c r="E410" s="13" t="s">
        <v>3988</v>
      </c>
      <c r="F410" s="12">
        <v>18.0</v>
      </c>
      <c r="G410" s="12">
        <v>2007.0</v>
      </c>
      <c r="H410" s="21">
        <v>0.0</v>
      </c>
      <c r="I410" s="23">
        <v>0.0</v>
      </c>
      <c r="J410" s="21">
        <v>0.0</v>
      </c>
      <c r="K410" s="21">
        <v>0.0</v>
      </c>
      <c r="L410" s="36"/>
      <c r="M410" s="21">
        <v>0.0</v>
      </c>
      <c r="N410" s="21">
        <v>0.0</v>
      </c>
      <c r="O410" s="36"/>
      <c r="P410" s="36"/>
      <c r="Q410" s="21">
        <v>0.0</v>
      </c>
      <c r="R410" s="21">
        <v>0.0</v>
      </c>
      <c r="S410" s="20" t="s">
        <v>3989</v>
      </c>
    </row>
    <row r="411">
      <c r="A411" s="50">
        <v>394.0</v>
      </c>
      <c r="B411" s="13" t="s">
        <v>3990</v>
      </c>
      <c r="C411" s="11" t="s">
        <v>3991</v>
      </c>
      <c r="D411" s="12" t="s">
        <v>98</v>
      </c>
      <c r="E411" s="13" t="s">
        <v>3992</v>
      </c>
      <c r="F411" s="12">
        <v>32.0</v>
      </c>
      <c r="G411" s="12">
        <v>1992.0</v>
      </c>
      <c r="H411" s="15">
        <v>3.0</v>
      </c>
      <c r="I411" s="22">
        <v>0.0</v>
      </c>
      <c r="J411" s="19">
        <v>0.0</v>
      </c>
      <c r="K411" s="19">
        <v>0.0</v>
      </c>
      <c r="L411" s="36"/>
      <c r="M411" s="21">
        <v>0.0</v>
      </c>
      <c r="N411" s="21">
        <v>0.0</v>
      </c>
      <c r="O411" s="36"/>
      <c r="P411" s="36"/>
      <c r="Q411" s="19">
        <v>0.0</v>
      </c>
      <c r="R411" s="19">
        <v>0.0</v>
      </c>
      <c r="S411" s="20" t="s">
        <v>3993</v>
      </c>
    </row>
    <row r="412">
      <c r="A412" s="50">
        <v>395.0</v>
      </c>
      <c r="B412" s="13" t="s">
        <v>3994</v>
      </c>
      <c r="C412" s="11" t="s">
        <v>3995</v>
      </c>
      <c r="D412" s="12" t="s">
        <v>41</v>
      </c>
      <c r="E412" s="13" t="s">
        <v>3996</v>
      </c>
      <c r="F412" s="12">
        <v>21.0</v>
      </c>
      <c r="G412" s="12">
        <v>2003.0</v>
      </c>
      <c r="H412" s="15">
        <v>9.1</v>
      </c>
      <c r="I412" s="17">
        <v>0.77</v>
      </c>
      <c r="J412" s="18">
        <v>2.53</v>
      </c>
      <c r="K412" s="18">
        <v>1.32</v>
      </c>
      <c r="L412" s="15">
        <v>52.2</v>
      </c>
      <c r="M412" s="15">
        <v>2.53</v>
      </c>
      <c r="N412" s="15">
        <v>1.32</v>
      </c>
      <c r="O412" s="15">
        <v>0.3</v>
      </c>
      <c r="P412" s="15">
        <v>0.58</v>
      </c>
      <c r="Q412" s="19">
        <v>0.0</v>
      </c>
      <c r="R412" s="19">
        <v>0.0</v>
      </c>
      <c r="S412" s="20" t="s">
        <v>3997</v>
      </c>
    </row>
    <row r="413">
      <c r="A413" s="50">
        <v>396.0</v>
      </c>
      <c r="B413" s="13" t="s">
        <v>3998</v>
      </c>
      <c r="C413" s="11" t="s">
        <v>3999</v>
      </c>
      <c r="D413" s="12" t="s">
        <v>31</v>
      </c>
      <c r="E413" s="13" t="s">
        <v>4000</v>
      </c>
      <c r="F413" s="12">
        <v>23.0</v>
      </c>
      <c r="G413" s="12">
        <v>2002.0</v>
      </c>
      <c r="H413" s="15">
        <v>25.3</v>
      </c>
      <c r="I413" s="17">
        <v>0.28</v>
      </c>
      <c r="J413" s="18">
        <v>2.21</v>
      </c>
      <c r="K413" s="18">
        <v>0.79</v>
      </c>
      <c r="L413" s="15">
        <v>35.7</v>
      </c>
      <c r="M413" s="15">
        <v>2.21</v>
      </c>
      <c r="N413" s="15">
        <v>0.79</v>
      </c>
      <c r="O413" s="15">
        <v>0.13</v>
      </c>
      <c r="P413" s="15">
        <v>0.35</v>
      </c>
      <c r="Q413" s="19">
        <v>0.0</v>
      </c>
      <c r="R413" s="19">
        <v>0.0</v>
      </c>
      <c r="S413" s="20" t="s">
        <v>4001</v>
      </c>
    </row>
    <row r="414">
      <c r="A414" s="50">
        <v>397.0</v>
      </c>
      <c r="B414" s="13" t="s">
        <v>4002</v>
      </c>
      <c r="C414" s="11" t="s">
        <v>4003</v>
      </c>
      <c r="D414" s="12" t="s">
        <v>345</v>
      </c>
      <c r="E414" s="13" t="s">
        <v>4004</v>
      </c>
      <c r="F414" s="12">
        <v>20.0</v>
      </c>
      <c r="G414" s="12">
        <v>2005.0</v>
      </c>
      <c r="H414" s="15">
        <v>29.4</v>
      </c>
      <c r="I414" s="17">
        <v>0.17</v>
      </c>
      <c r="J414" s="18">
        <v>1.39</v>
      </c>
      <c r="K414" s="18">
        <v>0.51</v>
      </c>
      <c r="L414" s="15">
        <v>36.6</v>
      </c>
      <c r="M414" s="15">
        <v>1.39</v>
      </c>
      <c r="N414" s="15">
        <v>0.51</v>
      </c>
      <c r="O414" s="15">
        <v>0.12</v>
      </c>
      <c r="P414" s="15">
        <v>0.33</v>
      </c>
      <c r="Q414" s="19">
        <v>0.0</v>
      </c>
      <c r="R414" s="19">
        <v>0.0</v>
      </c>
      <c r="S414" s="20" t="s">
        <v>4005</v>
      </c>
    </row>
    <row r="415">
      <c r="A415" s="50">
        <v>398.0</v>
      </c>
      <c r="B415" s="13" t="s">
        <v>4006</v>
      </c>
      <c r="C415" s="11" t="s">
        <v>4007</v>
      </c>
      <c r="D415" s="12" t="s">
        <v>26</v>
      </c>
      <c r="E415" s="13" t="s">
        <v>4008</v>
      </c>
      <c r="F415" s="12">
        <v>21.0</v>
      </c>
      <c r="G415" s="12">
        <v>2004.0</v>
      </c>
      <c r="H415" s="15">
        <v>9.1</v>
      </c>
      <c r="I415" s="22">
        <v>0.0</v>
      </c>
      <c r="J415" s="18">
        <v>1.32</v>
      </c>
      <c r="K415" s="18">
        <v>0.33</v>
      </c>
      <c r="L415" s="15">
        <v>25.0</v>
      </c>
      <c r="M415" s="15">
        <v>1.31</v>
      </c>
      <c r="N415" s="15">
        <v>0.33</v>
      </c>
      <c r="O415" s="21">
        <v>0.0</v>
      </c>
      <c r="P415" s="21">
        <v>0.0</v>
      </c>
      <c r="Q415" s="19">
        <v>0.0</v>
      </c>
      <c r="R415" s="19">
        <v>0.0</v>
      </c>
      <c r="S415" s="20" t="s">
        <v>4009</v>
      </c>
    </row>
    <row r="416">
      <c r="A416" s="50">
        <v>399.0</v>
      </c>
      <c r="B416" s="13" t="s">
        <v>4010</v>
      </c>
      <c r="C416" s="11" t="s">
        <v>4011</v>
      </c>
      <c r="D416" s="12" t="s">
        <v>31</v>
      </c>
      <c r="E416" s="13" t="s">
        <v>4012</v>
      </c>
      <c r="F416" s="12">
        <v>30.0</v>
      </c>
      <c r="G416" s="12">
        <v>1995.0</v>
      </c>
      <c r="H416" s="15">
        <v>24.4</v>
      </c>
      <c r="I416" s="17">
        <v>0.2</v>
      </c>
      <c r="J416" s="18">
        <v>1.35</v>
      </c>
      <c r="K416" s="18">
        <v>0.37</v>
      </c>
      <c r="L416" s="15">
        <v>27.3</v>
      </c>
      <c r="M416" s="15">
        <v>1.35</v>
      </c>
      <c r="N416" s="15">
        <v>0.37</v>
      </c>
      <c r="O416" s="15">
        <v>0.15</v>
      </c>
      <c r="P416" s="15">
        <v>0.56</v>
      </c>
      <c r="Q416" s="19">
        <v>0.0</v>
      </c>
      <c r="R416" s="19">
        <v>0.0</v>
      </c>
      <c r="S416" s="20" t="s">
        <v>4013</v>
      </c>
    </row>
    <row r="417">
      <c r="A417" s="50">
        <v>400.0</v>
      </c>
      <c r="B417" s="13" t="s">
        <v>4014</v>
      </c>
      <c r="C417" s="11" t="s">
        <v>4015</v>
      </c>
      <c r="D417" s="12" t="s">
        <v>31</v>
      </c>
      <c r="E417" s="13" t="s">
        <v>4016</v>
      </c>
      <c r="F417" s="12">
        <v>23.0</v>
      </c>
      <c r="G417" s="12">
        <v>2002.0</v>
      </c>
      <c r="H417" s="15">
        <v>21.7</v>
      </c>
      <c r="I417" s="17">
        <v>0.46</v>
      </c>
      <c r="J417" s="18">
        <v>2.95</v>
      </c>
      <c r="K417" s="18">
        <v>1.15</v>
      </c>
      <c r="L417" s="15">
        <v>39.1</v>
      </c>
      <c r="M417" s="15">
        <v>2.95</v>
      </c>
      <c r="N417" s="15">
        <v>1.15</v>
      </c>
      <c r="O417" s="15">
        <v>0.08</v>
      </c>
      <c r="P417" s="15">
        <v>0.2</v>
      </c>
      <c r="Q417" s="18">
        <v>0.23</v>
      </c>
      <c r="R417" s="18">
        <v>0.28</v>
      </c>
      <c r="S417" s="20" t="s">
        <v>4017</v>
      </c>
    </row>
    <row r="418">
      <c r="A418" s="37" t="s">
        <v>3</v>
      </c>
      <c r="B418" s="51" t="s">
        <v>4</v>
      </c>
      <c r="C418" s="39" t="s">
        <v>5</v>
      </c>
      <c r="D418" s="39" t="s">
        <v>6</v>
      </c>
      <c r="E418" s="39" t="s">
        <v>7</v>
      </c>
      <c r="F418" s="39" t="s">
        <v>8</v>
      </c>
      <c r="G418" s="39" t="s">
        <v>9</v>
      </c>
      <c r="H418" s="39" t="s">
        <v>13</v>
      </c>
      <c r="I418" s="40" t="s">
        <v>14</v>
      </c>
      <c r="J418" s="39" t="s">
        <v>2411</v>
      </c>
      <c r="K418" s="39" t="s">
        <v>2412</v>
      </c>
      <c r="L418" s="39" t="s">
        <v>2413</v>
      </c>
      <c r="M418" s="39" t="s">
        <v>2414</v>
      </c>
      <c r="N418" s="39" t="s">
        <v>2415</v>
      </c>
      <c r="O418" s="39" t="s">
        <v>2416</v>
      </c>
      <c r="P418" s="39" t="s">
        <v>2417</v>
      </c>
      <c r="Q418" s="39" t="s">
        <v>18</v>
      </c>
      <c r="R418" s="39" t="s">
        <v>19</v>
      </c>
      <c r="S418" s="40" t="s">
        <v>23</v>
      </c>
    </row>
    <row r="419">
      <c r="A419" s="50">
        <v>401.0</v>
      </c>
      <c r="B419" s="13" t="s">
        <v>4018</v>
      </c>
      <c r="C419" s="11" t="s">
        <v>4019</v>
      </c>
      <c r="D419" s="12" t="s">
        <v>26</v>
      </c>
      <c r="E419" s="13" t="s">
        <v>4020</v>
      </c>
      <c r="F419" s="12">
        <v>27.0</v>
      </c>
      <c r="G419" s="12">
        <v>1997.0</v>
      </c>
      <c r="H419" s="15">
        <v>16.8</v>
      </c>
      <c r="I419" s="17">
        <v>0.24</v>
      </c>
      <c r="J419" s="18">
        <v>1.37</v>
      </c>
      <c r="K419" s="18">
        <v>0.65</v>
      </c>
      <c r="L419" s="15">
        <v>47.8</v>
      </c>
      <c r="M419" s="15">
        <v>1.37</v>
      </c>
      <c r="N419" s="15">
        <v>0.66</v>
      </c>
      <c r="O419" s="15">
        <v>0.09</v>
      </c>
      <c r="P419" s="15">
        <v>0.18</v>
      </c>
      <c r="Q419" s="18">
        <v>0.12</v>
      </c>
      <c r="R419" s="18">
        <v>0.12</v>
      </c>
      <c r="S419" s="20" t="s">
        <v>4021</v>
      </c>
    </row>
    <row r="420">
      <c r="A420" s="50">
        <v>402.0</v>
      </c>
      <c r="B420" s="13" t="s">
        <v>4022</v>
      </c>
      <c r="C420" s="11" t="s">
        <v>4023</v>
      </c>
      <c r="D420" s="12" t="s">
        <v>36</v>
      </c>
      <c r="E420" s="13" t="s">
        <v>4024</v>
      </c>
      <c r="F420" s="12">
        <v>23.0</v>
      </c>
      <c r="G420" s="12">
        <v>2001.0</v>
      </c>
      <c r="H420" s="15">
        <v>2.7</v>
      </c>
      <c r="I420" s="22">
        <v>0.0</v>
      </c>
      <c r="J420" s="18">
        <v>0.37</v>
      </c>
      <c r="K420" s="18">
        <v>0.37</v>
      </c>
      <c r="L420" s="15">
        <v>100.0</v>
      </c>
      <c r="M420" s="15">
        <v>0.37</v>
      </c>
      <c r="N420" s="15">
        <v>0.37</v>
      </c>
      <c r="O420" s="21">
        <v>0.0</v>
      </c>
      <c r="P420" s="21">
        <v>0.0</v>
      </c>
      <c r="Q420" s="19">
        <v>0.0</v>
      </c>
      <c r="R420" s="19">
        <v>0.0</v>
      </c>
      <c r="S420" s="20" t="s">
        <v>4025</v>
      </c>
    </row>
    <row r="421">
      <c r="A421" s="50">
        <v>403.0</v>
      </c>
      <c r="B421" s="13" t="s">
        <v>4026</v>
      </c>
      <c r="C421" s="11" t="s">
        <v>4027</v>
      </c>
      <c r="D421" s="12" t="s">
        <v>31</v>
      </c>
      <c r="E421" s="13" t="s">
        <v>4028</v>
      </c>
      <c r="F421" s="12">
        <v>22.0</v>
      </c>
      <c r="G421" s="12">
        <v>2002.0</v>
      </c>
      <c r="H421" s="21">
        <v>0.0</v>
      </c>
      <c r="I421" s="23">
        <v>0.0</v>
      </c>
      <c r="J421" s="21">
        <v>0.0</v>
      </c>
      <c r="K421" s="21">
        <v>0.0</v>
      </c>
      <c r="L421" s="36"/>
      <c r="M421" s="21">
        <v>0.0</v>
      </c>
      <c r="N421" s="21">
        <v>0.0</v>
      </c>
      <c r="O421" s="36"/>
      <c r="P421" s="36"/>
      <c r="Q421" s="21">
        <v>0.0</v>
      </c>
      <c r="R421" s="21">
        <v>0.0</v>
      </c>
      <c r="S421" s="20" t="s">
        <v>4029</v>
      </c>
    </row>
    <row r="422">
      <c r="A422" s="50">
        <v>404.0</v>
      </c>
      <c r="B422" s="13" t="s">
        <v>4030</v>
      </c>
      <c r="C422" s="11" t="s">
        <v>4031</v>
      </c>
      <c r="D422" s="12" t="s">
        <v>98</v>
      </c>
      <c r="E422" s="13" t="s">
        <v>4032</v>
      </c>
      <c r="F422" s="12">
        <v>27.0</v>
      </c>
      <c r="G422" s="12">
        <v>1997.0</v>
      </c>
      <c r="H422" s="15">
        <v>16.0</v>
      </c>
      <c r="I422" s="22">
        <v>0.0</v>
      </c>
      <c r="J422" s="19">
        <v>0.0</v>
      </c>
      <c r="K422" s="19">
        <v>0.0</v>
      </c>
      <c r="L422" s="36"/>
      <c r="M422" s="21">
        <v>0.0</v>
      </c>
      <c r="N422" s="21">
        <v>0.0</v>
      </c>
      <c r="O422" s="36"/>
      <c r="P422" s="36"/>
      <c r="Q422" s="19">
        <v>0.0</v>
      </c>
      <c r="R422" s="19">
        <v>0.0</v>
      </c>
      <c r="S422" s="20" t="s">
        <v>4033</v>
      </c>
    </row>
    <row r="423">
      <c r="A423" s="50">
        <v>405.0</v>
      </c>
      <c r="B423" s="13" t="s">
        <v>4034</v>
      </c>
      <c r="C423" s="11" t="s">
        <v>4035</v>
      </c>
      <c r="D423" s="12" t="s">
        <v>98</v>
      </c>
      <c r="E423" s="13" t="s">
        <v>4036</v>
      </c>
      <c r="F423" s="12">
        <v>25.0</v>
      </c>
      <c r="G423" s="12">
        <v>1999.0</v>
      </c>
      <c r="H423" s="15">
        <v>38.0</v>
      </c>
      <c r="I423" s="22">
        <v>0.0</v>
      </c>
      <c r="J423" s="19">
        <v>0.0</v>
      </c>
      <c r="K423" s="19">
        <v>0.0</v>
      </c>
      <c r="L423" s="36"/>
      <c r="M423" s="21">
        <v>0.0</v>
      </c>
      <c r="N423" s="21">
        <v>0.0</v>
      </c>
      <c r="O423" s="36"/>
      <c r="P423" s="36"/>
      <c r="Q423" s="19">
        <v>0.0</v>
      </c>
      <c r="R423" s="19">
        <v>0.0</v>
      </c>
      <c r="S423" s="20" t="s">
        <v>4037</v>
      </c>
    </row>
    <row r="424">
      <c r="A424" s="50">
        <v>406.0</v>
      </c>
      <c r="B424" s="13" t="s">
        <v>4038</v>
      </c>
      <c r="C424" s="11" t="s">
        <v>4039</v>
      </c>
      <c r="D424" s="12" t="s">
        <v>98</v>
      </c>
      <c r="E424" s="13" t="s">
        <v>4040</v>
      </c>
      <c r="F424" s="12">
        <v>31.0</v>
      </c>
      <c r="G424" s="12">
        <v>1994.0</v>
      </c>
      <c r="H424" s="15">
        <v>38.0</v>
      </c>
      <c r="I424" s="22">
        <v>0.0</v>
      </c>
      <c r="J424" s="19">
        <v>0.0</v>
      </c>
      <c r="K424" s="19">
        <v>0.0</v>
      </c>
      <c r="L424" s="36"/>
      <c r="M424" s="21">
        <v>0.0</v>
      </c>
      <c r="N424" s="21">
        <v>0.0</v>
      </c>
      <c r="O424" s="36"/>
      <c r="P424" s="36"/>
      <c r="Q424" s="19">
        <v>0.0</v>
      </c>
      <c r="R424" s="19">
        <v>0.0</v>
      </c>
      <c r="S424" s="20" t="s">
        <v>4041</v>
      </c>
    </row>
    <row r="425">
      <c r="A425" s="50">
        <v>407.0</v>
      </c>
      <c r="B425" s="13" t="s">
        <v>4042</v>
      </c>
      <c r="C425" s="11" t="s">
        <v>4043</v>
      </c>
      <c r="D425" s="12" t="s">
        <v>36</v>
      </c>
      <c r="E425" s="13" t="s">
        <v>4044</v>
      </c>
      <c r="F425" s="12">
        <v>32.0</v>
      </c>
      <c r="G425" s="12">
        <v>1993.0</v>
      </c>
      <c r="H425" s="15">
        <v>3.5</v>
      </c>
      <c r="I425" s="22">
        <v>0.0</v>
      </c>
      <c r="J425" s="18">
        <v>0.29</v>
      </c>
      <c r="K425" s="18">
        <v>0.29</v>
      </c>
      <c r="L425" s="15">
        <v>100.0</v>
      </c>
      <c r="M425" s="15">
        <v>0.28</v>
      </c>
      <c r="N425" s="15">
        <v>0.28</v>
      </c>
      <c r="O425" s="21">
        <v>0.0</v>
      </c>
      <c r="P425" s="21">
        <v>0.0</v>
      </c>
      <c r="Q425" s="19">
        <v>0.0</v>
      </c>
      <c r="R425" s="19">
        <v>0.0</v>
      </c>
      <c r="S425" s="20" t="s">
        <v>4045</v>
      </c>
    </row>
    <row r="426">
      <c r="A426" s="50">
        <v>408.0</v>
      </c>
      <c r="B426" s="13" t="s">
        <v>4046</v>
      </c>
      <c r="C426" s="11" t="s">
        <v>4047</v>
      </c>
      <c r="D426" s="12" t="s">
        <v>26</v>
      </c>
      <c r="E426" s="13" t="s">
        <v>4048</v>
      </c>
      <c r="F426" s="12">
        <v>22.0</v>
      </c>
      <c r="G426" s="12">
        <v>2002.0</v>
      </c>
      <c r="H426" s="15">
        <v>23.1</v>
      </c>
      <c r="I426" s="17">
        <v>0.09</v>
      </c>
      <c r="J426" s="18">
        <v>1.95</v>
      </c>
      <c r="K426" s="18">
        <v>0.48</v>
      </c>
      <c r="L426" s="15">
        <v>24.4</v>
      </c>
      <c r="M426" s="15">
        <v>1.95</v>
      </c>
      <c r="N426" s="15">
        <v>0.48</v>
      </c>
      <c r="O426" s="15">
        <v>0.04</v>
      </c>
      <c r="P426" s="15">
        <v>0.18</v>
      </c>
      <c r="Q426" s="19">
        <v>0.0</v>
      </c>
      <c r="R426" s="19">
        <v>0.0</v>
      </c>
      <c r="S426" s="20" t="s">
        <v>4049</v>
      </c>
    </row>
    <row r="427">
      <c r="A427" s="50">
        <v>409.0</v>
      </c>
      <c r="B427" s="13" t="s">
        <v>4050</v>
      </c>
      <c r="C427" s="11" t="s">
        <v>4051</v>
      </c>
      <c r="D427" s="12" t="s">
        <v>41</v>
      </c>
      <c r="E427" s="13" t="s">
        <v>4052</v>
      </c>
      <c r="F427" s="12">
        <v>25.0</v>
      </c>
      <c r="G427" s="12">
        <v>1999.0</v>
      </c>
      <c r="H427" s="15">
        <v>2.9</v>
      </c>
      <c r="I427" s="22">
        <v>0.0</v>
      </c>
      <c r="J427" s="18">
        <v>4.83</v>
      </c>
      <c r="K427" s="18">
        <v>1.03</v>
      </c>
      <c r="L427" s="15">
        <v>21.4</v>
      </c>
      <c r="M427" s="15">
        <v>4.88</v>
      </c>
      <c r="N427" s="15">
        <v>1.05</v>
      </c>
      <c r="O427" s="21">
        <v>0.0</v>
      </c>
      <c r="P427" s="21">
        <v>0.0</v>
      </c>
      <c r="Q427" s="19">
        <v>0.0</v>
      </c>
      <c r="R427" s="19">
        <v>0.0</v>
      </c>
      <c r="S427" s="20" t="s">
        <v>4053</v>
      </c>
    </row>
    <row r="428">
      <c r="A428" s="50">
        <v>410.0</v>
      </c>
      <c r="B428" s="13" t="s">
        <v>4054</v>
      </c>
      <c r="C428" s="11" t="s">
        <v>4055</v>
      </c>
      <c r="D428" s="12" t="s">
        <v>98</v>
      </c>
      <c r="E428" s="13" t="s">
        <v>4056</v>
      </c>
      <c r="F428" s="12">
        <v>33.0</v>
      </c>
      <c r="G428" s="12">
        <v>1992.0</v>
      </c>
      <c r="H428" s="15">
        <v>26.8</v>
      </c>
      <c r="I428" s="22">
        <v>0.0</v>
      </c>
      <c r="J428" s="18">
        <v>0.04</v>
      </c>
      <c r="K428" s="18">
        <v>0.04</v>
      </c>
      <c r="L428" s="15">
        <v>100.0</v>
      </c>
      <c r="M428" s="15">
        <v>0.04</v>
      </c>
      <c r="N428" s="15">
        <v>0.04</v>
      </c>
      <c r="O428" s="21">
        <v>0.0</v>
      </c>
      <c r="P428" s="21">
        <v>0.0</v>
      </c>
      <c r="Q428" s="19">
        <v>0.0</v>
      </c>
      <c r="R428" s="19">
        <v>0.0</v>
      </c>
      <c r="S428" s="20" t="s">
        <v>4057</v>
      </c>
    </row>
    <row r="429">
      <c r="A429" s="50">
        <v>411.0</v>
      </c>
      <c r="B429" s="13" t="s">
        <v>4058</v>
      </c>
      <c r="C429" s="11" t="s">
        <v>4059</v>
      </c>
      <c r="D429" s="12" t="s">
        <v>36</v>
      </c>
      <c r="E429" s="13" t="s">
        <v>4060</v>
      </c>
      <c r="F429" s="12">
        <v>25.0</v>
      </c>
      <c r="G429" s="12">
        <v>1999.0</v>
      </c>
      <c r="H429" s="15">
        <v>31.1</v>
      </c>
      <c r="I429" s="17">
        <v>0.03</v>
      </c>
      <c r="J429" s="18">
        <v>1.03</v>
      </c>
      <c r="K429" s="18">
        <v>0.26</v>
      </c>
      <c r="L429" s="15">
        <v>25.0</v>
      </c>
      <c r="M429" s="15">
        <v>1.03</v>
      </c>
      <c r="N429" s="15">
        <v>0.26</v>
      </c>
      <c r="O429" s="15">
        <v>0.03</v>
      </c>
      <c r="P429" s="15">
        <v>0.13</v>
      </c>
      <c r="Q429" s="19">
        <v>0.0</v>
      </c>
      <c r="R429" s="19">
        <v>0.0</v>
      </c>
      <c r="S429" s="20" t="s">
        <v>4061</v>
      </c>
    </row>
    <row r="430">
      <c r="A430" s="50">
        <v>412.0</v>
      </c>
      <c r="B430" s="13" t="s">
        <v>4062</v>
      </c>
      <c r="C430" s="11" t="s">
        <v>4063</v>
      </c>
      <c r="D430" s="12" t="s">
        <v>31</v>
      </c>
      <c r="E430" s="13" t="s">
        <v>4064</v>
      </c>
      <c r="F430" s="12">
        <v>21.0</v>
      </c>
      <c r="G430" s="12">
        <v>2003.0</v>
      </c>
      <c r="H430" s="15">
        <v>13.0</v>
      </c>
      <c r="I430" s="22">
        <v>0.0</v>
      </c>
      <c r="J430" s="18">
        <v>0.23</v>
      </c>
      <c r="K430" s="18">
        <v>0.08</v>
      </c>
      <c r="L430" s="15">
        <v>33.3</v>
      </c>
      <c r="M430" s="15">
        <v>0.23</v>
      </c>
      <c r="N430" s="15">
        <v>0.08</v>
      </c>
      <c r="O430" s="21">
        <v>0.0</v>
      </c>
      <c r="P430" s="21">
        <v>0.0</v>
      </c>
      <c r="Q430" s="19">
        <v>0.0</v>
      </c>
      <c r="R430" s="19">
        <v>0.0</v>
      </c>
      <c r="S430" s="20" t="s">
        <v>4065</v>
      </c>
    </row>
    <row r="431">
      <c r="A431" s="50">
        <v>413.0</v>
      </c>
      <c r="B431" s="13" t="s">
        <v>4066</v>
      </c>
      <c r="C431" s="11" t="s">
        <v>4067</v>
      </c>
      <c r="D431" s="12" t="s">
        <v>98</v>
      </c>
      <c r="E431" s="13" t="s">
        <v>4068</v>
      </c>
      <c r="F431" s="12">
        <v>27.0</v>
      </c>
      <c r="G431" s="12">
        <v>1998.0</v>
      </c>
      <c r="H431" s="15">
        <v>11.2</v>
      </c>
      <c r="I431" s="22">
        <v>0.0</v>
      </c>
      <c r="J431" s="19">
        <v>0.0</v>
      </c>
      <c r="K431" s="19">
        <v>0.0</v>
      </c>
      <c r="L431" s="36"/>
      <c r="M431" s="21">
        <v>0.0</v>
      </c>
      <c r="N431" s="21">
        <v>0.0</v>
      </c>
      <c r="O431" s="36"/>
      <c r="P431" s="36"/>
      <c r="Q431" s="19">
        <v>0.0</v>
      </c>
      <c r="R431" s="19">
        <v>0.0</v>
      </c>
      <c r="S431" s="20" t="s">
        <v>4069</v>
      </c>
    </row>
    <row r="432">
      <c r="A432" s="50">
        <v>414.0</v>
      </c>
      <c r="B432" s="13" t="s">
        <v>4070</v>
      </c>
      <c r="C432" s="11" t="s">
        <v>4071</v>
      </c>
      <c r="D432" s="12" t="s">
        <v>31</v>
      </c>
      <c r="E432" s="13" t="s">
        <v>4072</v>
      </c>
      <c r="F432" s="12">
        <v>24.0</v>
      </c>
      <c r="G432" s="12">
        <v>2001.0</v>
      </c>
      <c r="H432" s="15">
        <v>16.1</v>
      </c>
      <c r="I432" s="17">
        <v>0.12</v>
      </c>
      <c r="J432" s="18">
        <v>0.99</v>
      </c>
      <c r="K432" s="18">
        <v>0.25</v>
      </c>
      <c r="L432" s="15">
        <v>25.0</v>
      </c>
      <c r="M432" s="15">
        <v>0.99</v>
      </c>
      <c r="N432" s="15">
        <v>0.25</v>
      </c>
      <c r="O432" s="15">
        <v>0.13</v>
      </c>
      <c r="P432" s="15">
        <v>0.5</v>
      </c>
      <c r="Q432" s="19">
        <v>0.0</v>
      </c>
      <c r="R432" s="19">
        <v>0.0</v>
      </c>
      <c r="S432" s="20" t="s">
        <v>4073</v>
      </c>
    </row>
    <row r="433">
      <c r="A433" s="50">
        <v>415.0</v>
      </c>
      <c r="B433" s="13" t="s">
        <v>4074</v>
      </c>
      <c r="C433" s="11" t="s">
        <v>4075</v>
      </c>
      <c r="D433" s="12" t="s">
        <v>98</v>
      </c>
      <c r="E433" s="13" t="s">
        <v>4076</v>
      </c>
      <c r="F433" s="12">
        <v>29.0</v>
      </c>
      <c r="G433" s="12">
        <v>1995.0</v>
      </c>
      <c r="H433" s="15">
        <v>37.0</v>
      </c>
      <c r="I433" s="22">
        <v>0.0</v>
      </c>
      <c r="J433" s="19">
        <v>0.0</v>
      </c>
      <c r="K433" s="19">
        <v>0.0</v>
      </c>
      <c r="L433" s="36"/>
      <c r="M433" s="21">
        <v>0.0</v>
      </c>
      <c r="N433" s="21">
        <v>0.0</v>
      </c>
      <c r="O433" s="36"/>
      <c r="P433" s="36"/>
      <c r="Q433" s="19">
        <v>0.0</v>
      </c>
      <c r="R433" s="19">
        <v>0.0</v>
      </c>
      <c r="S433" s="20" t="s">
        <v>4077</v>
      </c>
    </row>
    <row r="434">
      <c r="A434" s="50">
        <v>416.0</v>
      </c>
      <c r="B434" s="13" t="s">
        <v>4078</v>
      </c>
      <c r="C434" s="11" t="s">
        <v>4079</v>
      </c>
      <c r="D434" s="12" t="s">
        <v>31</v>
      </c>
      <c r="E434" s="13" t="s">
        <v>4080</v>
      </c>
      <c r="F434" s="12">
        <v>18.0</v>
      </c>
      <c r="G434" s="12">
        <v>2006.0</v>
      </c>
      <c r="H434" s="15">
        <v>12.3</v>
      </c>
      <c r="I434" s="17">
        <v>0.41</v>
      </c>
      <c r="J434" s="18">
        <v>2.28</v>
      </c>
      <c r="K434" s="18">
        <v>0.65</v>
      </c>
      <c r="L434" s="15">
        <v>28.6</v>
      </c>
      <c r="M434" s="15">
        <v>2.27</v>
      </c>
      <c r="N434" s="15">
        <v>0.65</v>
      </c>
      <c r="O434" s="15">
        <v>0.18</v>
      </c>
      <c r="P434" s="15">
        <v>0.63</v>
      </c>
      <c r="Q434" s="19">
        <v>0.0</v>
      </c>
      <c r="R434" s="19">
        <v>0.0</v>
      </c>
      <c r="S434" s="20" t="s">
        <v>4081</v>
      </c>
    </row>
    <row r="435">
      <c r="A435" s="50">
        <v>417.0</v>
      </c>
      <c r="B435" s="13" t="s">
        <v>4082</v>
      </c>
      <c r="C435" s="11" t="s">
        <v>4083</v>
      </c>
      <c r="D435" s="12" t="s">
        <v>31</v>
      </c>
      <c r="E435" s="13" t="s">
        <v>4084</v>
      </c>
      <c r="F435" s="12">
        <v>30.0</v>
      </c>
      <c r="G435" s="12">
        <v>1995.0</v>
      </c>
      <c r="H435" s="15">
        <v>1.0</v>
      </c>
      <c r="I435" s="17">
        <v>1.0</v>
      </c>
      <c r="J435" s="18">
        <v>2.0</v>
      </c>
      <c r="K435" s="18">
        <v>1.0</v>
      </c>
      <c r="L435" s="15">
        <v>50.0</v>
      </c>
      <c r="M435" s="15">
        <v>1.91</v>
      </c>
      <c r="N435" s="15">
        <v>0.96</v>
      </c>
      <c r="O435" s="15">
        <v>0.5</v>
      </c>
      <c r="P435" s="15">
        <v>1.0</v>
      </c>
      <c r="Q435" s="19">
        <v>0.0</v>
      </c>
      <c r="R435" s="19">
        <v>0.0</v>
      </c>
      <c r="S435" s="20" t="s">
        <v>4085</v>
      </c>
    </row>
    <row r="436">
      <c r="A436" s="50">
        <v>418.0</v>
      </c>
      <c r="B436" s="13" t="s">
        <v>4086</v>
      </c>
      <c r="C436" s="11" t="s">
        <v>4087</v>
      </c>
      <c r="D436" s="12" t="s">
        <v>31</v>
      </c>
      <c r="E436" s="13" t="s">
        <v>4088</v>
      </c>
      <c r="F436" s="12">
        <v>27.0</v>
      </c>
      <c r="G436" s="12">
        <v>1998.0</v>
      </c>
      <c r="H436" s="15">
        <v>18.1</v>
      </c>
      <c r="I436" s="17">
        <v>0.28</v>
      </c>
      <c r="J436" s="18">
        <v>2.71</v>
      </c>
      <c r="K436" s="18">
        <v>0.88</v>
      </c>
      <c r="L436" s="15">
        <v>32.7</v>
      </c>
      <c r="M436" s="15">
        <v>2.7</v>
      </c>
      <c r="N436" s="15">
        <v>0.88</v>
      </c>
      <c r="O436" s="15">
        <v>0.1</v>
      </c>
      <c r="P436" s="15">
        <v>0.31</v>
      </c>
      <c r="Q436" s="19">
        <v>0.0</v>
      </c>
      <c r="R436" s="19">
        <v>0.0</v>
      </c>
      <c r="S436" s="20" t="s">
        <v>4089</v>
      </c>
    </row>
    <row r="437">
      <c r="A437" s="50">
        <v>419.0</v>
      </c>
      <c r="B437" s="13" t="s">
        <v>4090</v>
      </c>
      <c r="C437" s="11" t="s">
        <v>4091</v>
      </c>
      <c r="D437" s="12" t="s">
        <v>36</v>
      </c>
      <c r="E437" s="13" t="s">
        <v>4092</v>
      </c>
      <c r="F437" s="12">
        <v>22.0</v>
      </c>
      <c r="G437" s="12">
        <v>2003.0</v>
      </c>
      <c r="H437" s="15">
        <v>6.1</v>
      </c>
      <c r="I437" s="22">
        <v>0.0</v>
      </c>
      <c r="J437" s="18">
        <v>0.66</v>
      </c>
      <c r="K437" s="18">
        <v>0.33</v>
      </c>
      <c r="L437" s="15">
        <v>50.0</v>
      </c>
      <c r="M437" s="15">
        <v>0.65</v>
      </c>
      <c r="N437" s="15">
        <v>0.33</v>
      </c>
      <c r="O437" s="21">
        <v>0.0</v>
      </c>
      <c r="P437" s="21">
        <v>0.0</v>
      </c>
      <c r="Q437" s="19">
        <v>0.0</v>
      </c>
      <c r="R437" s="19">
        <v>0.0</v>
      </c>
      <c r="S437" s="20" t="s">
        <v>4093</v>
      </c>
    </row>
    <row r="438">
      <c r="A438" s="50">
        <v>420.0</v>
      </c>
      <c r="B438" s="13" t="s">
        <v>4094</v>
      </c>
      <c r="C438" s="11" t="s">
        <v>4095</v>
      </c>
      <c r="D438" s="12" t="s">
        <v>31</v>
      </c>
      <c r="E438" s="13" t="s">
        <v>4096</v>
      </c>
      <c r="F438" s="12">
        <v>26.0</v>
      </c>
      <c r="G438" s="12">
        <v>1999.0</v>
      </c>
      <c r="H438" s="15">
        <v>34.4</v>
      </c>
      <c r="I438" s="17">
        <v>0.12</v>
      </c>
      <c r="J438" s="18">
        <v>1.16</v>
      </c>
      <c r="K438" s="18">
        <v>0.38</v>
      </c>
      <c r="L438" s="15">
        <v>32.5</v>
      </c>
      <c r="M438" s="15">
        <v>1.16</v>
      </c>
      <c r="N438" s="15">
        <v>0.38</v>
      </c>
      <c r="O438" s="15">
        <v>0.1</v>
      </c>
      <c r="P438" s="15">
        <v>0.31</v>
      </c>
      <c r="Q438" s="19">
        <v>0.0</v>
      </c>
      <c r="R438" s="19">
        <v>0.0</v>
      </c>
      <c r="S438" s="20" t="s">
        <v>4097</v>
      </c>
    </row>
    <row r="439">
      <c r="A439" s="50">
        <v>421.0</v>
      </c>
      <c r="B439" s="13" t="s">
        <v>4098</v>
      </c>
      <c r="C439" s="11" t="s">
        <v>4099</v>
      </c>
      <c r="D439" s="12" t="s">
        <v>36</v>
      </c>
      <c r="E439" s="13" t="s">
        <v>4100</v>
      </c>
      <c r="F439" s="12">
        <v>25.0</v>
      </c>
      <c r="G439" s="12">
        <v>2000.0</v>
      </c>
      <c r="H439" s="15">
        <v>31.4</v>
      </c>
      <c r="I439" s="17">
        <v>0.03</v>
      </c>
      <c r="J439" s="18">
        <v>0.48</v>
      </c>
      <c r="K439" s="18">
        <v>0.06</v>
      </c>
      <c r="L439" s="15">
        <v>13.3</v>
      </c>
      <c r="M439" s="15">
        <v>0.48</v>
      </c>
      <c r="N439" s="15">
        <v>0.06</v>
      </c>
      <c r="O439" s="15">
        <v>0.07</v>
      </c>
      <c r="P439" s="15">
        <v>0.5</v>
      </c>
      <c r="Q439" s="19">
        <v>0.0</v>
      </c>
      <c r="R439" s="19">
        <v>0.0</v>
      </c>
      <c r="S439" s="20" t="s">
        <v>4101</v>
      </c>
    </row>
    <row r="440">
      <c r="A440" s="50">
        <v>422.0</v>
      </c>
      <c r="B440" s="13" t="s">
        <v>4102</v>
      </c>
      <c r="C440" s="11" t="s">
        <v>4103</v>
      </c>
      <c r="D440" s="12" t="s">
        <v>107</v>
      </c>
      <c r="E440" s="13" t="s">
        <v>4104</v>
      </c>
      <c r="F440" s="12">
        <v>28.0</v>
      </c>
      <c r="G440" s="12">
        <v>1997.0</v>
      </c>
      <c r="H440" s="15">
        <v>21.8</v>
      </c>
      <c r="I440" s="17">
        <v>0.5</v>
      </c>
      <c r="J440" s="18">
        <v>2.8</v>
      </c>
      <c r="K440" s="18">
        <v>1.19</v>
      </c>
      <c r="L440" s="15">
        <v>42.6</v>
      </c>
      <c r="M440" s="15">
        <v>2.8</v>
      </c>
      <c r="N440" s="15">
        <v>1.19</v>
      </c>
      <c r="O440" s="15">
        <v>0.18</v>
      </c>
      <c r="P440" s="15">
        <v>0.42</v>
      </c>
      <c r="Q440" s="19">
        <v>0.0</v>
      </c>
      <c r="R440" s="19">
        <v>0.0</v>
      </c>
      <c r="S440" s="20" t="s">
        <v>4105</v>
      </c>
    </row>
    <row r="441">
      <c r="A441" s="50">
        <v>423.0</v>
      </c>
      <c r="B441" s="13" t="s">
        <v>4106</v>
      </c>
      <c r="C441" s="11" t="s">
        <v>4107</v>
      </c>
      <c r="D441" s="12" t="s">
        <v>31</v>
      </c>
      <c r="E441" s="13" t="s">
        <v>4108</v>
      </c>
      <c r="F441" s="12">
        <v>18.0</v>
      </c>
      <c r="G441" s="12">
        <v>2007.0</v>
      </c>
      <c r="H441" s="15">
        <v>8.5</v>
      </c>
      <c r="I441" s="17">
        <v>0.12</v>
      </c>
      <c r="J441" s="18">
        <v>1.41</v>
      </c>
      <c r="K441" s="18">
        <v>0.35</v>
      </c>
      <c r="L441" s="15">
        <v>25.0</v>
      </c>
      <c r="M441" s="15">
        <v>1.42</v>
      </c>
      <c r="N441" s="15">
        <v>0.35</v>
      </c>
      <c r="O441" s="15">
        <v>0.08</v>
      </c>
      <c r="P441" s="15">
        <v>0.33</v>
      </c>
      <c r="Q441" s="19">
        <v>0.0</v>
      </c>
      <c r="R441" s="19">
        <v>0.0</v>
      </c>
      <c r="S441" s="20" t="s">
        <v>4109</v>
      </c>
    </row>
    <row r="442">
      <c r="A442" s="50">
        <v>424.0</v>
      </c>
      <c r="B442" s="13" t="s">
        <v>4110</v>
      </c>
      <c r="C442" s="11" t="s">
        <v>4111</v>
      </c>
      <c r="D442" s="12" t="s">
        <v>107</v>
      </c>
      <c r="E442" s="13" t="s">
        <v>4112</v>
      </c>
      <c r="F442" s="12">
        <v>28.0</v>
      </c>
      <c r="G442" s="12">
        <v>1997.0</v>
      </c>
      <c r="H442" s="15">
        <v>0.3</v>
      </c>
      <c r="I442" s="22">
        <v>0.0</v>
      </c>
      <c r="J442" s="18">
        <v>3.33</v>
      </c>
      <c r="K442" s="19">
        <v>0.0</v>
      </c>
      <c r="L442" s="21">
        <v>0.0</v>
      </c>
      <c r="M442" s="15">
        <v>3.21</v>
      </c>
      <c r="N442" s="21">
        <v>0.0</v>
      </c>
      <c r="O442" s="21">
        <v>0.0</v>
      </c>
      <c r="P442" s="36"/>
      <c r="Q442" s="19">
        <v>0.0</v>
      </c>
      <c r="R442" s="19">
        <v>0.0</v>
      </c>
      <c r="S442" s="20" t="s">
        <v>4113</v>
      </c>
    </row>
    <row r="443">
      <c r="A443" s="50">
        <v>425.0</v>
      </c>
      <c r="B443" s="13" t="s">
        <v>4114</v>
      </c>
      <c r="C443" s="11" t="s">
        <v>4115</v>
      </c>
      <c r="D443" s="12" t="s">
        <v>36</v>
      </c>
      <c r="E443" s="13" t="s">
        <v>4116</v>
      </c>
      <c r="F443" s="12">
        <v>31.0</v>
      </c>
      <c r="G443" s="12">
        <v>1994.0</v>
      </c>
      <c r="H443" s="15">
        <v>13.1</v>
      </c>
      <c r="I443" s="17">
        <v>0.08</v>
      </c>
      <c r="J443" s="18">
        <v>0.76</v>
      </c>
      <c r="K443" s="18">
        <v>0.23</v>
      </c>
      <c r="L443" s="15">
        <v>30.0</v>
      </c>
      <c r="M443" s="15">
        <v>0.77</v>
      </c>
      <c r="N443" s="15">
        <v>0.23</v>
      </c>
      <c r="O443" s="15">
        <v>0.1</v>
      </c>
      <c r="P443" s="15">
        <v>0.33</v>
      </c>
      <c r="Q443" s="19">
        <v>0.0</v>
      </c>
      <c r="R443" s="19">
        <v>0.0</v>
      </c>
      <c r="S443" s="20" t="s">
        <v>4117</v>
      </c>
    </row>
    <row r="444">
      <c r="A444" s="37" t="s">
        <v>3</v>
      </c>
      <c r="B444" s="51" t="s">
        <v>4</v>
      </c>
      <c r="C444" s="39" t="s">
        <v>5</v>
      </c>
      <c r="D444" s="39" t="s">
        <v>6</v>
      </c>
      <c r="E444" s="39" t="s">
        <v>7</v>
      </c>
      <c r="F444" s="39" t="s">
        <v>8</v>
      </c>
      <c r="G444" s="39" t="s">
        <v>9</v>
      </c>
      <c r="H444" s="39" t="s">
        <v>13</v>
      </c>
      <c r="I444" s="40" t="s">
        <v>14</v>
      </c>
      <c r="J444" s="39" t="s">
        <v>2411</v>
      </c>
      <c r="K444" s="39" t="s">
        <v>2412</v>
      </c>
      <c r="L444" s="39" t="s">
        <v>2413</v>
      </c>
      <c r="M444" s="39" t="s">
        <v>2414</v>
      </c>
      <c r="N444" s="39" t="s">
        <v>2415</v>
      </c>
      <c r="O444" s="39" t="s">
        <v>2416</v>
      </c>
      <c r="P444" s="39" t="s">
        <v>2417</v>
      </c>
      <c r="Q444" s="39" t="s">
        <v>18</v>
      </c>
      <c r="R444" s="39" t="s">
        <v>19</v>
      </c>
      <c r="S444" s="40" t="s">
        <v>23</v>
      </c>
    </row>
    <row r="445">
      <c r="A445" s="50">
        <v>426.0</v>
      </c>
      <c r="B445" s="13" t="s">
        <v>4118</v>
      </c>
      <c r="C445" s="11" t="s">
        <v>4119</v>
      </c>
      <c r="D445" s="12" t="s">
        <v>345</v>
      </c>
      <c r="E445" s="13" t="s">
        <v>4120</v>
      </c>
      <c r="F445" s="12">
        <v>27.0</v>
      </c>
      <c r="G445" s="12">
        <v>1997.0</v>
      </c>
      <c r="H445" s="15">
        <v>16.6</v>
      </c>
      <c r="I445" s="17">
        <v>0.06</v>
      </c>
      <c r="J445" s="18">
        <v>0.36</v>
      </c>
      <c r="K445" s="18">
        <v>0.06</v>
      </c>
      <c r="L445" s="15">
        <v>16.7</v>
      </c>
      <c r="M445" s="15">
        <v>0.36</v>
      </c>
      <c r="N445" s="15">
        <v>0.06</v>
      </c>
      <c r="O445" s="21">
        <v>0.0</v>
      </c>
      <c r="P445" s="21">
        <v>0.0</v>
      </c>
      <c r="Q445" s="18">
        <v>0.06</v>
      </c>
      <c r="R445" s="18">
        <v>0.06</v>
      </c>
      <c r="S445" s="20" t="s">
        <v>4121</v>
      </c>
    </row>
    <row r="446">
      <c r="A446" s="50">
        <v>427.0</v>
      </c>
      <c r="B446" s="13" t="s">
        <v>4122</v>
      </c>
      <c r="C446" s="11" t="s">
        <v>4123</v>
      </c>
      <c r="D446" s="12" t="s">
        <v>345</v>
      </c>
      <c r="E446" s="13" t="s">
        <v>4124</v>
      </c>
      <c r="F446" s="12">
        <v>20.0</v>
      </c>
      <c r="G446" s="12">
        <v>2004.0</v>
      </c>
      <c r="H446" s="21">
        <v>0.0</v>
      </c>
      <c r="I446" s="23">
        <v>0.0</v>
      </c>
      <c r="J446" s="21">
        <v>0.0</v>
      </c>
      <c r="K446" s="21">
        <v>0.0</v>
      </c>
      <c r="L446" s="36"/>
      <c r="M446" s="21">
        <v>0.0</v>
      </c>
      <c r="N446" s="21">
        <v>0.0</v>
      </c>
      <c r="O446" s="36"/>
      <c r="P446" s="36"/>
      <c r="Q446" s="21">
        <v>0.0</v>
      </c>
      <c r="R446" s="21">
        <v>0.0</v>
      </c>
      <c r="S446" s="20" t="s">
        <v>4125</v>
      </c>
    </row>
    <row r="447">
      <c r="A447" s="50">
        <v>428.0</v>
      </c>
      <c r="B447" s="13" t="s">
        <v>4126</v>
      </c>
      <c r="C447" s="11" t="s">
        <v>4127</v>
      </c>
      <c r="D447" s="12" t="s">
        <v>36</v>
      </c>
      <c r="E447" s="13" t="s">
        <v>4128</v>
      </c>
      <c r="F447" s="12">
        <v>27.0</v>
      </c>
      <c r="G447" s="12">
        <v>1997.0</v>
      </c>
      <c r="H447" s="15">
        <v>32.8</v>
      </c>
      <c r="I447" s="17">
        <v>0.06</v>
      </c>
      <c r="J447" s="18">
        <v>0.55</v>
      </c>
      <c r="K447" s="18">
        <v>0.21</v>
      </c>
      <c r="L447" s="15">
        <v>38.9</v>
      </c>
      <c r="M447" s="15">
        <v>0.55</v>
      </c>
      <c r="N447" s="15">
        <v>0.21</v>
      </c>
      <c r="O447" s="15">
        <v>0.11</v>
      </c>
      <c r="P447" s="15">
        <v>0.29</v>
      </c>
      <c r="Q447" s="19">
        <v>0.0</v>
      </c>
      <c r="R447" s="19">
        <v>0.0</v>
      </c>
      <c r="S447" s="20" t="s">
        <v>4129</v>
      </c>
    </row>
    <row r="448">
      <c r="A448" s="50">
        <v>429.0</v>
      </c>
      <c r="B448" s="13" t="s">
        <v>4130</v>
      </c>
      <c r="C448" s="11" t="s">
        <v>4131</v>
      </c>
      <c r="D448" s="12" t="s">
        <v>31</v>
      </c>
      <c r="E448" s="13" t="s">
        <v>4132</v>
      </c>
      <c r="F448" s="12">
        <v>29.0</v>
      </c>
      <c r="G448" s="12">
        <v>1996.0</v>
      </c>
      <c r="H448" s="15">
        <v>16.8</v>
      </c>
      <c r="I448" s="17">
        <v>0.06</v>
      </c>
      <c r="J448" s="18">
        <v>0.95</v>
      </c>
      <c r="K448" s="18">
        <v>0.18</v>
      </c>
      <c r="L448" s="15">
        <v>18.8</v>
      </c>
      <c r="M448" s="15">
        <v>0.95</v>
      </c>
      <c r="N448" s="15">
        <v>0.18</v>
      </c>
      <c r="O448" s="15">
        <v>0.06</v>
      </c>
      <c r="P448" s="15">
        <v>0.33</v>
      </c>
      <c r="Q448" s="19">
        <v>0.0</v>
      </c>
      <c r="R448" s="19">
        <v>0.0</v>
      </c>
      <c r="S448" s="20" t="s">
        <v>4133</v>
      </c>
    </row>
    <row r="449">
      <c r="A449" s="50">
        <v>430.0</v>
      </c>
      <c r="B449" s="13" t="s">
        <v>4134</v>
      </c>
      <c r="C449" s="11" t="s">
        <v>4135</v>
      </c>
      <c r="D449" s="12" t="s">
        <v>31</v>
      </c>
      <c r="E449" s="13" t="s">
        <v>4136</v>
      </c>
      <c r="F449" s="12">
        <v>31.0</v>
      </c>
      <c r="G449" s="12">
        <v>1994.0</v>
      </c>
      <c r="H449" s="15">
        <v>2.0</v>
      </c>
      <c r="I449" s="22">
        <v>0.0</v>
      </c>
      <c r="J449" s="18">
        <v>0.5</v>
      </c>
      <c r="K449" s="19">
        <v>0.0</v>
      </c>
      <c r="L449" s="21">
        <v>0.0</v>
      </c>
      <c r="M449" s="15">
        <v>0.5</v>
      </c>
      <c r="N449" s="21">
        <v>0.0</v>
      </c>
      <c r="O449" s="21">
        <v>0.0</v>
      </c>
      <c r="P449" s="36"/>
      <c r="Q449" s="19">
        <v>0.0</v>
      </c>
      <c r="R449" s="19">
        <v>0.0</v>
      </c>
      <c r="S449" s="20" t="s">
        <v>4137</v>
      </c>
    </row>
    <row r="450">
      <c r="A450" s="50">
        <v>431.0</v>
      </c>
      <c r="B450" s="13" t="s">
        <v>4138</v>
      </c>
      <c r="C450" s="11" t="s">
        <v>4139</v>
      </c>
      <c r="D450" s="12" t="s">
        <v>98</v>
      </c>
      <c r="E450" s="13" t="s">
        <v>4140</v>
      </c>
      <c r="F450" s="12">
        <v>22.0</v>
      </c>
      <c r="G450" s="12">
        <v>2003.0</v>
      </c>
      <c r="H450" s="15">
        <v>35.0</v>
      </c>
      <c r="I450" s="22">
        <v>0.0</v>
      </c>
      <c r="J450" s="19">
        <v>0.0</v>
      </c>
      <c r="K450" s="19">
        <v>0.0</v>
      </c>
      <c r="L450" s="36"/>
      <c r="M450" s="21">
        <v>0.0</v>
      </c>
      <c r="N450" s="21">
        <v>0.0</v>
      </c>
      <c r="O450" s="36"/>
      <c r="P450" s="36"/>
      <c r="Q450" s="19">
        <v>0.0</v>
      </c>
      <c r="R450" s="19">
        <v>0.0</v>
      </c>
      <c r="S450" s="20" t="s">
        <v>4141</v>
      </c>
    </row>
    <row r="451">
      <c r="A451" s="50">
        <v>432.0</v>
      </c>
      <c r="B451" s="13" t="s">
        <v>4142</v>
      </c>
      <c r="C451" s="11" t="s">
        <v>4143</v>
      </c>
      <c r="D451" s="12" t="s">
        <v>31</v>
      </c>
      <c r="E451" s="13" t="s">
        <v>4144</v>
      </c>
      <c r="F451" s="12">
        <v>23.0</v>
      </c>
      <c r="G451" s="12">
        <v>2002.0</v>
      </c>
      <c r="H451" s="15">
        <v>36.4</v>
      </c>
      <c r="I451" s="17">
        <v>0.27</v>
      </c>
      <c r="J451" s="18">
        <v>2.31</v>
      </c>
      <c r="K451" s="18">
        <v>0.88</v>
      </c>
      <c r="L451" s="15">
        <v>38.1</v>
      </c>
      <c r="M451" s="15">
        <v>2.3</v>
      </c>
      <c r="N451" s="15">
        <v>0.88</v>
      </c>
      <c r="O451" s="15">
        <v>0.12</v>
      </c>
      <c r="P451" s="15">
        <v>0.31</v>
      </c>
      <c r="Q451" s="19">
        <v>0.0</v>
      </c>
      <c r="R451" s="19">
        <v>0.0</v>
      </c>
      <c r="S451" s="20" t="s">
        <v>4145</v>
      </c>
    </row>
    <row r="452">
      <c r="A452" s="50">
        <v>433.0</v>
      </c>
      <c r="B452" s="13" t="s">
        <v>4146</v>
      </c>
      <c r="C452" s="11" t="s">
        <v>4147</v>
      </c>
      <c r="D452" s="12" t="s">
        <v>31</v>
      </c>
      <c r="E452" s="13" t="s">
        <v>4148</v>
      </c>
      <c r="F452" s="12">
        <v>23.0</v>
      </c>
      <c r="G452" s="12">
        <v>2002.0</v>
      </c>
      <c r="H452" s="15">
        <v>7.6</v>
      </c>
      <c r="I452" s="17">
        <v>0.13</v>
      </c>
      <c r="J452" s="18">
        <v>1.45</v>
      </c>
      <c r="K452" s="18">
        <v>0.13</v>
      </c>
      <c r="L452" s="15">
        <v>9.1</v>
      </c>
      <c r="M452" s="15">
        <v>1.45</v>
      </c>
      <c r="N452" s="15">
        <v>0.13</v>
      </c>
      <c r="O452" s="15">
        <v>0.09</v>
      </c>
      <c r="P452" s="15">
        <v>1.0</v>
      </c>
      <c r="Q452" s="19">
        <v>0.0</v>
      </c>
      <c r="R452" s="19">
        <v>0.0</v>
      </c>
      <c r="S452" s="20" t="s">
        <v>4149</v>
      </c>
    </row>
    <row r="453">
      <c r="A453" s="50">
        <v>434.0</v>
      </c>
      <c r="B453" s="13" t="s">
        <v>4150</v>
      </c>
      <c r="C453" s="11" t="s">
        <v>4151</v>
      </c>
      <c r="D453" s="12" t="s">
        <v>36</v>
      </c>
      <c r="E453" s="13" t="s">
        <v>4152</v>
      </c>
      <c r="F453" s="12">
        <v>27.0</v>
      </c>
      <c r="G453" s="12">
        <v>1998.0</v>
      </c>
      <c r="H453" s="15">
        <v>20.8</v>
      </c>
      <c r="I453" s="17">
        <v>0.19</v>
      </c>
      <c r="J453" s="18">
        <v>0.82</v>
      </c>
      <c r="K453" s="18">
        <v>0.29</v>
      </c>
      <c r="L453" s="15">
        <v>35.3</v>
      </c>
      <c r="M453" s="15">
        <v>0.82</v>
      </c>
      <c r="N453" s="15">
        <v>0.29</v>
      </c>
      <c r="O453" s="15">
        <v>0.24</v>
      </c>
      <c r="P453" s="15">
        <v>0.67</v>
      </c>
      <c r="Q453" s="19">
        <v>0.0</v>
      </c>
      <c r="R453" s="19">
        <v>0.0</v>
      </c>
      <c r="S453" s="20" t="s">
        <v>4153</v>
      </c>
    </row>
    <row r="454">
      <c r="A454" s="50">
        <v>435.0</v>
      </c>
      <c r="B454" s="13" t="s">
        <v>4154</v>
      </c>
      <c r="C454" s="11" t="s">
        <v>4155</v>
      </c>
      <c r="D454" s="12" t="s">
        <v>36</v>
      </c>
      <c r="E454" s="13" t="s">
        <v>4156</v>
      </c>
      <c r="F454" s="12">
        <v>19.0</v>
      </c>
      <c r="G454" s="12">
        <v>2006.0</v>
      </c>
      <c r="H454" s="21">
        <v>0.0</v>
      </c>
      <c r="I454" s="23">
        <v>0.0</v>
      </c>
      <c r="J454" s="21">
        <v>0.0</v>
      </c>
      <c r="K454" s="21">
        <v>0.0</v>
      </c>
      <c r="L454" s="36"/>
      <c r="M454" s="21">
        <v>0.0</v>
      </c>
      <c r="N454" s="21">
        <v>0.0</v>
      </c>
      <c r="O454" s="36"/>
      <c r="P454" s="36"/>
      <c r="Q454" s="21">
        <v>0.0</v>
      </c>
      <c r="R454" s="21">
        <v>0.0</v>
      </c>
      <c r="S454" s="20" t="s">
        <v>4157</v>
      </c>
    </row>
    <row r="455">
      <c r="A455" s="50">
        <v>436.0</v>
      </c>
      <c r="B455" s="13" t="s">
        <v>4158</v>
      </c>
      <c r="C455" s="11" t="s">
        <v>4159</v>
      </c>
      <c r="D455" s="12" t="s">
        <v>26</v>
      </c>
      <c r="E455" s="13" t="s">
        <v>4160</v>
      </c>
      <c r="F455" s="12">
        <v>23.0</v>
      </c>
      <c r="G455" s="12">
        <v>2002.0</v>
      </c>
      <c r="H455" s="15">
        <v>19.8</v>
      </c>
      <c r="I455" s="17">
        <v>0.15</v>
      </c>
      <c r="J455" s="18">
        <v>2.12</v>
      </c>
      <c r="K455" s="18">
        <v>0.71</v>
      </c>
      <c r="L455" s="15">
        <v>33.3</v>
      </c>
      <c r="M455" s="15">
        <v>2.12</v>
      </c>
      <c r="N455" s="15">
        <v>0.71</v>
      </c>
      <c r="O455" s="15">
        <v>0.07</v>
      </c>
      <c r="P455" s="15">
        <v>0.21</v>
      </c>
      <c r="Q455" s="19">
        <v>0.0</v>
      </c>
      <c r="R455" s="19">
        <v>0.0</v>
      </c>
      <c r="S455" s="20" t="s">
        <v>4161</v>
      </c>
    </row>
    <row r="456">
      <c r="A456" s="50">
        <v>437.0</v>
      </c>
      <c r="B456" s="13" t="s">
        <v>4162</v>
      </c>
      <c r="C456" s="11" t="s">
        <v>4163</v>
      </c>
      <c r="D456" s="12" t="s">
        <v>98</v>
      </c>
      <c r="E456" s="13" t="s">
        <v>4164</v>
      </c>
      <c r="F456" s="12">
        <v>32.0</v>
      </c>
      <c r="G456" s="12">
        <v>1993.0</v>
      </c>
      <c r="H456" s="15">
        <v>23.0</v>
      </c>
      <c r="I456" s="22">
        <v>0.0</v>
      </c>
      <c r="J456" s="19">
        <v>0.0</v>
      </c>
      <c r="K456" s="19">
        <v>0.0</v>
      </c>
      <c r="L456" s="36"/>
      <c r="M456" s="21">
        <v>0.0</v>
      </c>
      <c r="N456" s="21">
        <v>0.0</v>
      </c>
      <c r="O456" s="36"/>
      <c r="P456" s="36"/>
      <c r="Q456" s="19">
        <v>0.0</v>
      </c>
      <c r="R456" s="19">
        <v>0.0</v>
      </c>
      <c r="S456" s="20" t="s">
        <v>4165</v>
      </c>
    </row>
    <row r="457">
      <c r="A457" s="50">
        <v>438.0</v>
      </c>
      <c r="B457" s="13" t="s">
        <v>4166</v>
      </c>
      <c r="C457" s="11" t="s">
        <v>4167</v>
      </c>
      <c r="D457" s="12" t="s">
        <v>31</v>
      </c>
      <c r="E457" s="13" t="s">
        <v>4168</v>
      </c>
      <c r="F457" s="12">
        <v>20.0</v>
      </c>
      <c r="G457" s="12">
        <v>2004.0</v>
      </c>
      <c r="H457" s="15">
        <v>32.1</v>
      </c>
      <c r="I457" s="22">
        <v>0.0</v>
      </c>
      <c r="J457" s="18">
        <v>0.59</v>
      </c>
      <c r="K457" s="18">
        <v>0.16</v>
      </c>
      <c r="L457" s="15">
        <v>26.3</v>
      </c>
      <c r="M457" s="15">
        <v>0.59</v>
      </c>
      <c r="N457" s="15">
        <v>0.16</v>
      </c>
      <c r="O457" s="21">
        <v>0.0</v>
      </c>
      <c r="P457" s="21">
        <v>0.0</v>
      </c>
      <c r="Q457" s="19">
        <v>0.0</v>
      </c>
      <c r="R457" s="19">
        <v>0.0</v>
      </c>
      <c r="S457" s="20" t="s">
        <v>4169</v>
      </c>
    </row>
    <row r="458">
      <c r="A458" s="50">
        <v>439.0</v>
      </c>
      <c r="B458" s="13" t="s">
        <v>4170</v>
      </c>
      <c r="C458" s="11" t="s">
        <v>4171</v>
      </c>
      <c r="D458" s="12" t="s">
        <v>107</v>
      </c>
      <c r="E458" s="13" t="s">
        <v>4172</v>
      </c>
      <c r="F458" s="12">
        <v>23.0</v>
      </c>
      <c r="G458" s="12">
        <v>2001.0</v>
      </c>
      <c r="H458" s="15">
        <v>24.7</v>
      </c>
      <c r="I458" s="17">
        <v>0.28</v>
      </c>
      <c r="J458" s="18">
        <v>2.87</v>
      </c>
      <c r="K458" s="18">
        <v>1.09</v>
      </c>
      <c r="L458" s="15">
        <v>38.0</v>
      </c>
      <c r="M458" s="15">
        <v>2.88</v>
      </c>
      <c r="N458" s="15">
        <v>1.09</v>
      </c>
      <c r="O458" s="15">
        <v>0.08</v>
      </c>
      <c r="P458" s="15">
        <v>0.22</v>
      </c>
      <c r="Q458" s="18">
        <v>0.04</v>
      </c>
      <c r="R458" s="18">
        <v>0.04</v>
      </c>
      <c r="S458" s="20" t="s">
        <v>4173</v>
      </c>
    </row>
    <row r="459">
      <c r="A459" s="50">
        <v>440.0</v>
      </c>
      <c r="B459" s="13" t="s">
        <v>4174</v>
      </c>
      <c r="C459" s="11" t="s">
        <v>4175</v>
      </c>
      <c r="D459" s="12" t="s">
        <v>31</v>
      </c>
      <c r="E459" s="13" t="s">
        <v>4176</v>
      </c>
      <c r="F459" s="12">
        <v>33.0</v>
      </c>
      <c r="G459" s="12">
        <v>1992.0</v>
      </c>
      <c r="H459" s="15">
        <v>23.8</v>
      </c>
      <c r="I459" s="17">
        <v>0.29</v>
      </c>
      <c r="J459" s="18">
        <v>2.86</v>
      </c>
      <c r="K459" s="18">
        <v>0.8</v>
      </c>
      <c r="L459" s="15">
        <v>27.9</v>
      </c>
      <c r="M459" s="15">
        <v>2.85</v>
      </c>
      <c r="N459" s="15">
        <v>0.8</v>
      </c>
      <c r="O459" s="15">
        <v>0.09</v>
      </c>
      <c r="P459" s="15">
        <v>0.32</v>
      </c>
      <c r="Q459" s="18">
        <v>0.04</v>
      </c>
      <c r="R459" s="18">
        <v>0.04</v>
      </c>
      <c r="S459" s="20" t="s">
        <v>4177</v>
      </c>
    </row>
    <row r="460">
      <c r="A460" s="50">
        <v>441.0</v>
      </c>
      <c r="B460" s="13" t="s">
        <v>4178</v>
      </c>
      <c r="C460" s="11" t="s">
        <v>4179</v>
      </c>
      <c r="D460" s="12" t="s">
        <v>36</v>
      </c>
      <c r="E460" s="13" t="s">
        <v>4180</v>
      </c>
      <c r="F460" s="12">
        <v>24.0</v>
      </c>
      <c r="G460" s="12">
        <v>2001.0</v>
      </c>
      <c r="H460" s="15">
        <v>29.0</v>
      </c>
      <c r="I460" s="17">
        <v>0.03</v>
      </c>
      <c r="J460" s="18">
        <v>0.17</v>
      </c>
      <c r="K460" s="18">
        <v>0.03</v>
      </c>
      <c r="L460" s="15">
        <v>20.0</v>
      </c>
      <c r="M460" s="15">
        <v>0.17</v>
      </c>
      <c r="N460" s="15">
        <v>0.03</v>
      </c>
      <c r="O460" s="15">
        <v>0.2</v>
      </c>
      <c r="P460" s="15">
        <v>1.0</v>
      </c>
      <c r="Q460" s="19">
        <v>0.0</v>
      </c>
      <c r="R460" s="19">
        <v>0.0</v>
      </c>
      <c r="S460" s="20" t="s">
        <v>4181</v>
      </c>
    </row>
    <row r="461">
      <c r="A461" s="50">
        <v>442.0</v>
      </c>
      <c r="B461" s="13" t="s">
        <v>4182</v>
      </c>
      <c r="C461" s="11" t="s">
        <v>4183</v>
      </c>
      <c r="D461" s="12" t="s">
        <v>98</v>
      </c>
      <c r="E461" s="13" t="s">
        <v>4184</v>
      </c>
      <c r="F461" s="12">
        <v>27.0</v>
      </c>
      <c r="G461" s="12">
        <v>1997.0</v>
      </c>
      <c r="H461" s="15">
        <v>33.8</v>
      </c>
      <c r="I461" s="22">
        <v>0.0</v>
      </c>
      <c r="J461" s="19">
        <v>0.0</v>
      </c>
      <c r="K461" s="19">
        <v>0.0</v>
      </c>
      <c r="L461" s="36"/>
      <c r="M461" s="21">
        <v>0.0</v>
      </c>
      <c r="N461" s="21">
        <v>0.0</v>
      </c>
      <c r="O461" s="36"/>
      <c r="P461" s="36"/>
      <c r="Q461" s="19">
        <v>0.0</v>
      </c>
      <c r="R461" s="19">
        <v>0.0</v>
      </c>
      <c r="S461" s="20" t="s">
        <v>4185</v>
      </c>
    </row>
    <row r="462">
      <c r="A462" s="50">
        <v>443.0</v>
      </c>
      <c r="B462" s="13" t="s">
        <v>4186</v>
      </c>
      <c r="C462" s="11" t="s">
        <v>4187</v>
      </c>
      <c r="D462" s="12" t="s">
        <v>31</v>
      </c>
      <c r="E462" s="13" t="s">
        <v>4188</v>
      </c>
      <c r="F462" s="12">
        <v>25.0</v>
      </c>
      <c r="G462" s="12">
        <v>2000.0</v>
      </c>
      <c r="H462" s="15">
        <v>9.7</v>
      </c>
      <c r="I462" s="22">
        <v>0.0</v>
      </c>
      <c r="J462" s="18">
        <v>1.03</v>
      </c>
      <c r="K462" s="18">
        <v>0.31</v>
      </c>
      <c r="L462" s="15">
        <v>30.0</v>
      </c>
      <c r="M462" s="15">
        <v>1.03</v>
      </c>
      <c r="N462" s="15">
        <v>0.31</v>
      </c>
      <c r="O462" s="21">
        <v>0.0</v>
      </c>
      <c r="P462" s="21">
        <v>0.0</v>
      </c>
      <c r="Q462" s="19">
        <v>0.0</v>
      </c>
      <c r="R462" s="19">
        <v>0.0</v>
      </c>
      <c r="S462" s="20" t="s">
        <v>4189</v>
      </c>
    </row>
    <row r="463">
      <c r="A463" s="50">
        <v>444.0</v>
      </c>
      <c r="B463" s="13" t="s">
        <v>4190</v>
      </c>
      <c r="C463" s="11" t="s">
        <v>4191</v>
      </c>
      <c r="D463" s="12" t="s">
        <v>31</v>
      </c>
      <c r="E463" s="13" t="s">
        <v>4192</v>
      </c>
      <c r="F463" s="12">
        <v>27.0</v>
      </c>
      <c r="G463" s="12">
        <v>1997.0</v>
      </c>
      <c r="H463" s="15">
        <v>23.1</v>
      </c>
      <c r="I463" s="17">
        <v>0.09</v>
      </c>
      <c r="J463" s="18">
        <v>0.69</v>
      </c>
      <c r="K463" s="18">
        <v>0.22</v>
      </c>
      <c r="L463" s="15">
        <v>31.3</v>
      </c>
      <c r="M463" s="15">
        <v>0.69</v>
      </c>
      <c r="N463" s="15">
        <v>0.22</v>
      </c>
      <c r="O463" s="15">
        <v>0.13</v>
      </c>
      <c r="P463" s="15">
        <v>0.4</v>
      </c>
      <c r="Q463" s="19">
        <v>0.0</v>
      </c>
      <c r="R463" s="19">
        <v>0.0</v>
      </c>
      <c r="S463" s="20" t="s">
        <v>4193</v>
      </c>
    </row>
    <row r="464">
      <c r="A464" s="50">
        <v>445.0</v>
      </c>
      <c r="B464" s="13" t="s">
        <v>4194</v>
      </c>
      <c r="C464" s="11" t="s">
        <v>4195</v>
      </c>
      <c r="D464" s="12" t="s">
        <v>31</v>
      </c>
      <c r="E464" s="13" t="s">
        <v>4196</v>
      </c>
      <c r="F464" s="12">
        <v>21.0</v>
      </c>
      <c r="G464" s="12">
        <v>2004.0</v>
      </c>
      <c r="H464" s="15">
        <v>14.0</v>
      </c>
      <c r="I464" s="17">
        <v>0.07</v>
      </c>
      <c r="J464" s="18">
        <v>0.79</v>
      </c>
      <c r="K464" s="18">
        <v>0.14</v>
      </c>
      <c r="L464" s="15">
        <v>18.2</v>
      </c>
      <c r="M464" s="15">
        <v>0.79</v>
      </c>
      <c r="N464" s="15">
        <v>0.14</v>
      </c>
      <c r="O464" s="15">
        <v>0.09</v>
      </c>
      <c r="P464" s="15">
        <v>0.5</v>
      </c>
      <c r="Q464" s="19">
        <v>0.0</v>
      </c>
      <c r="R464" s="19">
        <v>0.0</v>
      </c>
      <c r="S464" s="20" t="s">
        <v>4197</v>
      </c>
    </row>
    <row r="465">
      <c r="A465" s="50">
        <v>446.0</v>
      </c>
      <c r="B465" s="13" t="s">
        <v>4198</v>
      </c>
      <c r="C465" s="11" t="s">
        <v>4199</v>
      </c>
      <c r="D465" s="12" t="s">
        <v>31</v>
      </c>
      <c r="E465" s="13" t="s">
        <v>4200</v>
      </c>
      <c r="F465" s="12">
        <v>27.0</v>
      </c>
      <c r="G465" s="12">
        <v>1998.0</v>
      </c>
      <c r="H465" s="15">
        <v>24.2</v>
      </c>
      <c r="I465" s="17">
        <v>0.37</v>
      </c>
      <c r="J465" s="18">
        <v>1.98</v>
      </c>
      <c r="K465" s="18">
        <v>0.87</v>
      </c>
      <c r="L465" s="15">
        <v>43.8</v>
      </c>
      <c r="M465" s="15">
        <v>1.99</v>
      </c>
      <c r="N465" s="15">
        <v>0.87</v>
      </c>
      <c r="O465" s="15">
        <v>0.13</v>
      </c>
      <c r="P465" s="15">
        <v>0.29</v>
      </c>
      <c r="Q465" s="18">
        <v>0.12</v>
      </c>
      <c r="R465" s="18">
        <v>0.12</v>
      </c>
      <c r="S465" s="20" t="s">
        <v>4201</v>
      </c>
    </row>
    <row r="466">
      <c r="A466" s="50">
        <v>447.0</v>
      </c>
      <c r="B466" s="13" t="s">
        <v>4202</v>
      </c>
      <c r="C466" s="11" t="s">
        <v>4203</v>
      </c>
      <c r="D466" s="12" t="s">
        <v>36</v>
      </c>
      <c r="E466" s="13" t="s">
        <v>4204</v>
      </c>
      <c r="F466" s="12">
        <v>19.0</v>
      </c>
      <c r="G466" s="12">
        <v>2005.0</v>
      </c>
      <c r="H466" s="15">
        <v>1.1</v>
      </c>
      <c r="I466" s="22">
        <v>0.0</v>
      </c>
      <c r="J466" s="18">
        <v>0.91</v>
      </c>
      <c r="K466" s="19">
        <v>0.0</v>
      </c>
      <c r="L466" s="21">
        <v>0.0</v>
      </c>
      <c r="M466" s="15">
        <v>0.88</v>
      </c>
      <c r="N466" s="21">
        <v>0.0</v>
      </c>
      <c r="O466" s="21">
        <v>0.0</v>
      </c>
      <c r="P466" s="36"/>
      <c r="Q466" s="19">
        <v>0.0</v>
      </c>
      <c r="R466" s="19">
        <v>0.0</v>
      </c>
      <c r="S466" s="20" t="s">
        <v>4205</v>
      </c>
    </row>
    <row r="467">
      <c r="A467" s="50">
        <v>448.0</v>
      </c>
      <c r="B467" s="13" t="s">
        <v>4206</v>
      </c>
      <c r="C467" s="11" t="s">
        <v>4207</v>
      </c>
      <c r="D467" s="12" t="s">
        <v>31</v>
      </c>
      <c r="E467" s="13" t="s">
        <v>4208</v>
      </c>
      <c r="F467" s="12">
        <v>21.0</v>
      </c>
      <c r="G467" s="12">
        <v>2004.0</v>
      </c>
      <c r="H467" s="15">
        <v>9.3</v>
      </c>
      <c r="I467" s="17">
        <v>0.11</v>
      </c>
      <c r="J467" s="18">
        <v>2.15</v>
      </c>
      <c r="K467" s="18">
        <v>1.18</v>
      </c>
      <c r="L467" s="15">
        <v>55.0</v>
      </c>
      <c r="M467" s="15">
        <v>2.16</v>
      </c>
      <c r="N467" s="15">
        <v>1.19</v>
      </c>
      <c r="O467" s="15">
        <v>0.05</v>
      </c>
      <c r="P467" s="15">
        <v>0.09</v>
      </c>
      <c r="Q467" s="19">
        <v>0.0</v>
      </c>
      <c r="R467" s="19">
        <v>0.0</v>
      </c>
      <c r="S467" s="20" t="s">
        <v>4209</v>
      </c>
    </row>
    <row r="468">
      <c r="A468" s="50">
        <v>449.0</v>
      </c>
      <c r="B468" s="13" t="s">
        <v>4210</v>
      </c>
      <c r="C468" s="11" t="s">
        <v>4211</v>
      </c>
      <c r="D468" s="12" t="s">
        <v>36</v>
      </c>
      <c r="E468" s="13" t="s">
        <v>4212</v>
      </c>
      <c r="F468" s="12">
        <v>22.0</v>
      </c>
      <c r="G468" s="12">
        <v>2003.0</v>
      </c>
      <c r="H468" s="15">
        <v>11.4</v>
      </c>
      <c r="I468" s="17">
        <v>0.18</v>
      </c>
      <c r="J468" s="18">
        <v>0.44</v>
      </c>
      <c r="K468" s="18">
        <v>0.26</v>
      </c>
      <c r="L468" s="15">
        <v>60.0</v>
      </c>
      <c r="M468" s="15">
        <v>0.44</v>
      </c>
      <c r="N468" s="15">
        <v>0.26</v>
      </c>
      <c r="O468" s="15">
        <v>0.4</v>
      </c>
      <c r="P468" s="15">
        <v>0.67</v>
      </c>
      <c r="Q468" s="19">
        <v>0.0</v>
      </c>
      <c r="R468" s="19">
        <v>0.0</v>
      </c>
      <c r="S468" s="20" t="s">
        <v>4213</v>
      </c>
    </row>
    <row r="469">
      <c r="A469" s="50">
        <v>450.0</v>
      </c>
      <c r="B469" s="13" t="s">
        <v>4214</v>
      </c>
      <c r="C469" s="11" t="s">
        <v>4215</v>
      </c>
      <c r="D469" s="12" t="s">
        <v>345</v>
      </c>
      <c r="E469" s="13" t="s">
        <v>4216</v>
      </c>
      <c r="F469" s="12">
        <v>19.0</v>
      </c>
      <c r="G469" s="12">
        <v>2005.0</v>
      </c>
      <c r="H469" s="15">
        <v>7.3</v>
      </c>
      <c r="I469" s="22">
        <v>0.0</v>
      </c>
      <c r="J469" s="18">
        <v>0.41</v>
      </c>
      <c r="K469" s="19">
        <v>0.0</v>
      </c>
      <c r="L469" s="21">
        <v>0.0</v>
      </c>
      <c r="M469" s="15">
        <v>0.41</v>
      </c>
      <c r="N469" s="21">
        <v>0.0</v>
      </c>
      <c r="O469" s="21">
        <v>0.0</v>
      </c>
      <c r="P469" s="36"/>
      <c r="Q469" s="19">
        <v>0.0</v>
      </c>
      <c r="R469" s="19">
        <v>0.0</v>
      </c>
      <c r="S469" s="20" t="s">
        <v>4217</v>
      </c>
    </row>
    <row r="470">
      <c r="A470" s="37" t="s">
        <v>3</v>
      </c>
      <c r="B470" s="51" t="s">
        <v>4</v>
      </c>
      <c r="C470" s="39" t="s">
        <v>5</v>
      </c>
      <c r="D470" s="39" t="s">
        <v>6</v>
      </c>
      <c r="E470" s="39" t="s">
        <v>7</v>
      </c>
      <c r="F470" s="39" t="s">
        <v>8</v>
      </c>
      <c r="G470" s="39" t="s">
        <v>9</v>
      </c>
      <c r="H470" s="39" t="s">
        <v>13</v>
      </c>
      <c r="I470" s="40" t="s">
        <v>14</v>
      </c>
      <c r="J470" s="39" t="s">
        <v>2411</v>
      </c>
      <c r="K470" s="39" t="s">
        <v>2412</v>
      </c>
      <c r="L470" s="39" t="s">
        <v>2413</v>
      </c>
      <c r="M470" s="39" t="s">
        <v>2414</v>
      </c>
      <c r="N470" s="39" t="s">
        <v>2415</v>
      </c>
      <c r="O470" s="39" t="s">
        <v>2416</v>
      </c>
      <c r="P470" s="39" t="s">
        <v>2417</v>
      </c>
      <c r="Q470" s="39" t="s">
        <v>18</v>
      </c>
      <c r="R470" s="39" t="s">
        <v>19</v>
      </c>
      <c r="S470" s="40" t="s">
        <v>23</v>
      </c>
    </row>
    <row r="471">
      <c r="A471" s="50">
        <v>451.0</v>
      </c>
      <c r="B471" s="13" t="s">
        <v>4218</v>
      </c>
      <c r="C471" s="11" t="s">
        <v>4219</v>
      </c>
      <c r="D471" s="12" t="s">
        <v>41</v>
      </c>
      <c r="E471" s="13" t="s">
        <v>4220</v>
      </c>
      <c r="F471" s="12">
        <v>21.0</v>
      </c>
      <c r="G471" s="12">
        <v>2004.0</v>
      </c>
      <c r="H471" s="15">
        <v>0.1</v>
      </c>
      <c r="I471" s="22">
        <v>0.0</v>
      </c>
      <c r="J471" s="19">
        <v>0.0</v>
      </c>
      <c r="K471" s="19">
        <v>0.0</v>
      </c>
      <c r="L471" s="36"/>
      <c r="M471" s="21">
        <v>0.0</v>
      </c>
      <c r="N471" s="21">
        <v>0.0</v>
      </c>
      <c r="O471" s="36"/>
      <c r="P471" s="36"/>
      <c r="Q471" s="19">
        <v>0.0</v>
      </c>
      <c r="R471" s="19">
        <v>0.0</v>
      </c>
      <c r="S471" s="20" t="s">
        <v>4221</v>
      </c>
    </row>
    <row r="472">
      <c r="A472" s="50">
        <v>452.0</v>
      </c>
      <c r="B472" s="13" t="s">
        <v>4222</v>
      </c>
      <c r="C472" s="11" t="s">
        <v>4223</v>
      </c>
      <c r="D472" s="12" t="s">
        <v>26</v>
      </c>
      <c r="E472" s="13" t="s">
        <v>4224</v>
      </c>
      <c r="F472" s="12">
        <v>23.0</v>
      </c>
      <c r="G472" s="12">
        <v>2001.0</v>
      </c>
      <c r="H472" s="15">
        <v>30.5</v>
      </c>
      <c r="I472" s="17">
        <v>0.26</v>
      </c>
      <c r="J472" s="18">
        <v>1.87</v>
      </c>
      <c r="K472" s="18">
        <v>0.79</v>
      </c>
      <c r="L472" s="15">
        <v>42.1</v>
      </c>
      <c r="M472" s="15">
        <v>1.87</v>
      </c>
      <c r="N472" s="15">
        <v>0.79</v>
      </c>
      <c r="O472" s="15">
        <v>0.14</v>
      </c>
      <c r="P472" s="15">
        <v>0.33</v>
      </c>
      <c r="Q472" s="19">
        <v>0.0</v>
      </c>
      <c r="R472" s="18">
        <v>0.03</v>
      </c>
      <c r="S472" s="20" t="s">
        <v>4225</v>
      </c>
    </row>
    <row r="473">
      <c r="A473" s="50">
        <v>453.0</v>
      </c>
      <c r="B473" s="13" t="s">
        <v>4226</v>
      </c>
      <c r="C473" s="11" t="s">
        <v>4227</v>
      </c>
      <c r="D473" s="12" t="s">
        <v>36</v>
      </c>
      <c r="E473" s="13" t="s">
        <v>4228</v>
      </c>
      <c r="F473" s="12">
        <v>33.0</v>
      </c>
      <c r="G473" s="12">
        <v>1991.0</v>
      </c>
      <c r="H473" s="15">
        <v>12.1</v>
      </c>
      <c r="I473" s="22">
        <v>0.0</v>
      </c>
      <c r="J473" s="18">
        <v>1.4</v>
      </c>
      <c r="K473" s="18">
        <v>0.33</v>
      </c>
      <c r="L473" s="15">
        <v>23.5</v>
      </c>
      <c r="M473" s="15">
        <v>1.4</v>
      </c>
      <c r="N473" s="15">
        <v>0.33</v>
      </c>
      <c r="O473" s="21">
        <v>0.0</v>
      </c>
      <c r="P473" s="21">
        <v>0.0</v>
      </c>
      <c r="Q473" s="19">
        <v>0.0</v>
      </c>
      <c r="R473" s="19">
        <v>0.0</v>
      </c>
      <c r="S473" s="20" t="s">
        <v>4229</v>
      </c>
    </row>
    <row r="474">
      <c r="A474" s="50">
        <v>454.0</v>
      </c>
      <c r="B474" s="13" t="s">
        <v>4230</v>
      </c>
      <c r="C474" s="11" t="s">
        <v>4231</v>
      </c>
      <c r="D474" s="12" t="s">
        <v>31</v>
      </c>
      <c r="E474" s="13" t="s">
        <v>4232</v>
      </c>
      <c r="F474" s="12">
        <v>21.0</v>
      </c>
      <c r="G474" s="12">
        <v>2003.0</v>
      </c>
      <c r="H474" s="15">
        <v>31.7</v>
      </c>
      <c r="I474" s="17">
        <v>0.09</v>
      </c>
      <c r="J474" s="18">
        <v>1.39</v>
      </c>
      <c r="K474" s="18">
        <v>0.41</v>
      </c>
      <c r="L474" s="15">
        <v>29.5</v>
      </c>
      <c r="M474" s="15">
        <v>1.39</v>
      </c>
      <c r="N474" s="15">
        <v>0.41</v>
      </c>
      <c r="O474" s="15">
        <v>0.07</v>
      </c>
      <c r="P474" s="15">
        <v>0.23</v>
      </c>
      <c r="Q474" s="19">
        <v>0.0</v>
      </c>
      <c r="R474" s="19">
        <v>0.0</v>
      </c>
      <c r="S474" s="20" t="s">
        <v>4233</v>
      </c>
    </row>
    <row r="475">
      <c r="A475" s="50">
        <v>455.0</v>
      </c>
      <c r="B475" s="13" t="s">
        <v>4234</v>
      </c>
      <c r="C475" s="11" t="s">
        <v>4235</v>
      </c>
      <c r="D475" s="12" t="s">
        <v>36</v>
      </c>
      <c r="E475" s="13" t="s">
        <v>4236</v>
      </c>
      <c r="F475" s="12">
        <v>22.0</v>
      </c>
      <c r="G475" s="12">
        <v>2003.0</v>
      </c>
      <c r="H475" s="15">
        <v>1.5</v>
      </c>
      <c r="I475" s="22">
        <v>0.0</v>
      </c>
      <c r="J475" s="19">
        <v>0.0</v>
      </c>
      <c r="K475" s="19">
        <v>0.0</v>
      </c>
      <c r="L475" s="36"/>
      <c r="M475" s="21">
        <v>0.0</v>
      </c>
      <c r="N475" s="21">
        <v>0.0</v>
      </c>
      <c r="O475" s="36"/>
      <c r="P475" s="36"/>
      <c r="Q475" s="19">
        <v>0.0</v>
      </c>
      <c r="R475" s="19">
        <v>0.0</v>
      </c>
      <c r="S475" s="20" t="s">
        <v>4237</v>
      </c>
    </row>
    <row r="476">
      <c r="A476" s="50">
        <v>456.0</v>
      </c>
      <c r="B476" s="13" t="s">
        <v>4238</v>
      </c>
      <c r="C476" s="11" t="s">
        <v>4239</v>
      </c>
      <c r="D476" s="12" t="s">
        <v>98</v>
      </c>
      <c r="E476" s="13" t="s">
        <v>4240</v>
      </c>
      <c r="F476" s="12">
        <v>33.0</v>
      </c>
      <c r="G476" s="12">
        <v>1992.0</v>
      </c>
      <c r="H476" s="15">
        <v>29.6</v>
      </c>
      <c r="I476" s="22">
        <v>0.0</v>
      </c>
      <c r="J476" s="19">
        <v>0.0</v>
      </c>
      <c r="K476" s="19">
        <v>0.0</v>
      </c>
      <c r="L476" s="36"/>
      <c r="M476" s="21">
        <v>0.0</v>
      </c>
      <c r="N476" s="21">
        <v>0.0</v>
      </c>
      <c r="O476" s="36"/>
      <c r="P476" s="36"/>
      <c r="Q476" s="19">
        <v>0.0</v>
      </c>
      <c r="R476" s="19">
        <v>0.0</v>
      </c>
      <c r="S476" s="20" t="s">
        <v>4241</v>
      </c>
    </row>
    <row r="477">
      <c r="A477" s="50">
        <v>457.0</v>
      </c>
      <c r="B477" s="13" t="s">
        <v>4242</v>
      </c>
      <c r="C477" s="11" t="s">
        <v>4243</v>
      </c>
      <c r="D477" s="12" t="s">
        <v>26</v>
      </c>
      <c r="E477" s="13" t="s">
        <v>4244</v>
      </c>
      <c r="F477" s="12">
        <v>25.0</v>
      </c>
      <c r="G477" s="12">
        <v>2000.0</v>
      </c>
      <c r="H477" s="15">
        <v>15.5</v>
      </c>
      <c r="I477" s="17">
        <v>0.45</v>
      </c>
      <c r="J477" s="18">
        <v>2.19</v>
      </c>
      <c r="K477" s="18">
        <v>0.9</v>
      </c>
      <c r="L477" s="15">
        <v>41.2</v>
      </c>
      <c r="M477" s="15">
        <v>2.19</v>
      </c>
      <c r="N477" s="15">
        <v>0.9</v>
      </c>
      <c r="O477" s="15">
        <v>0.21</v>
      </c>
      <c r="P477" s="15">
        <v>0.5</v>
      </c>
      <c r="Q477" s="19">
        <v>0.0</v>
      </c>
      <c r="R477" s="19">
        <v>0.0</v>
      </c>
      <c r="S477" s="20" t="s">
        <v>4245</v>
      </c>
    </row>
    <row r="478">
      <c r="A478" s="50">
        <v>458.0</v>
      </c>
      <c r="B478" s="13" t="s">
        <v>4246</v>
      </c>
      <c r="C478" s="11" t="s">
        <v>4247</v>
      </c>
      <c r="D478" s="12" t="s">
        <v>31</v>
      </c>
      <c r="E478" s="13" t="s">
        <v>4248</v>
      </c>
      <c r="F478" s="12">
        <v>25.0</v>
      </c>
      <c r="G478" s="12">
        <v>2000.0</v>
      </c>
      <c r="H478" s="15">
        <v>20.0</v>
      </c>
      <c r="I478" s="17">
        <v>0.5</v>
      </c>
      <c r="J478" s="18">
        <v>2.45</v>
      </c>
      <c r="K478" s="18">
        <v>1.35</v>
      </c>
      <c r="L478" s="15">
        <v>55.1</v>
      </c>
      <c r="M478" s="15">
        <v>2.45</v>
      </c>
      <c r="N478" s="15">
        <v>1.35</v>
      </c>
      <c r="O478" s="15">
        <v>0.18</v>
      </c>
      <c r="P478" s="15">
        <v>0.33</v>
      </c>
      <c r="Q478" s="18">
        <v>0.05</v>
      </c>
      <c r="R478" s="18">
        <v>0.1</v>
      </c>
      <c r="S478" s="20" t="s">
        <v>4249</v>
      </c>
    </row>
    <row r="479">
      <c r="A479" s="50">
        <v>459.0</v>
      </c>
      <c r="B479" s="13" t="s">
        <v>4250</v>
      </c>
      <c r="C479" s="11" t="s">
        <v>4251</v>
      </c>
      <c r="D479" s="12" t="s">
        <v>36</v>
      </c>
      <c r="E479" s="13" t="s">
        <v>4252</v>
      </c>
      <c r="F479" s="12">
        <v>28.0</v>
      </c>
      <c r="G479" s="12">
        <v>1997.0</v>
      </c>
      <c r="H479" s="15">
        <v>36.5</v>
      </c>
      <c r="I479" s="22">
        <v>0.0</v>
      </c>
      <c r="J479" s="18">
        <v>0.47</v>
      </c>
      <c r="K479" s="18">
        <v>0.14</v>
      </c>
      <c r="L479" s="15">
        <v>29.4</v>
      </c>
      <c r="M479" s="15">
        <v>0.47</v>
      </c>
      <c r="N479" s="15">
        <v>0.14</v>
      </c>
      <c r="O479" s="21">
        <v>0.0</v>
      </c>
      <c r="P479" s="21">
        <v>0.0</v>
      </c>
      <c r="Q479" s="19">
        <v>0.0</v>
      </c>
      <c r="R479" s="19">
        <v>0.0</v>
      </c>
      <c r="S479" s="20" t="s">
        <v>4253</v>
      </c>
    </row>
    <row r="480">
      <c r="A480" s="50">
        <v>460.0</v>
      </c>
      <c r="B480" s="13" t="s">
        <v>4254</v>
      </c>
      <c r="C480" s="11" t="s">
        <v>4255</v>
      </c>
      <c r="D480" s="12" t="s">
        <v>41</v>
      </c>
      <c r="E480" s="13" t="s">
        <v>4256</v>
      </c>
      <c r="F480" s="12">
        <v>22.0</v>
      </c>
      <c r="G480" s="12">
        <v>2003.0</v>
      </c>
      <c r="H480" s="15">
        <v>18.3</v>
      </c>
      <c r="I480" s="17">
        <v>0.6</v>
      </c>
      <c r="J480" s="18">
        <v>3.33</v>
      </c>
      <c r="K480" s="18">
        <v>1.86</v>
      </c>
      <c r="L480" s="15">
        <v>55.7</v>
      </c>
      <c r="M480" s="15">
        <v>3.34</v>
      </c>
      <c r="N480" s="15">
        <v>1.86</v>
      </c>
      <c r="O480" s="15">
        <v>0.18</v>
      </c>
      <c r="P480" s="15">
        <v>0.32</v>
      </c>
      <c r="Q480" s="19">
        <v>0.0</v>
      </c>
      <c r="R480" s="19">
        <v>0.0</v>
      </c>
      <c r="S480" s="20" t="s">
        <v>4257</v>
      </c>
    </row>
    <row r="481">
      <c r="A481" s="50">
        <v>461.0</v>
      </c>
      <c r="B481" s="13" t="s">
        <v>4258</v>
      </c>
      <c r="C481" s="11" t="s">
        <v>4259</v>
      </c>
      <c r="D481" s="12" t="s">
        <v>345</v>
      </c>
      <c r="E481" s="13" t="s">
        <v>4260</v>
      </c>
      <c r="F481" s="12">
        <v>25.0</v>
      </c>
      <c r="G481" s="12">
        <v>2000.0</v>
      </c>
      <c r="H481" s="15">
        <v>20.3</v>
      </c>
      <c r="I481" s="17">
        <v>0.15</v>
      </c>
      <c r="J481" s="18">
        <v>0.79</v>
      </c>
      <c r="K481" s="18">
        <v>0.2</v>
      </c>
      <c r="L481" s="15">
        <v>25.0</v>
      </c>
      <c r="M481" s="15">
        <v>0.79</v>
      </c>
      <c r="N481" s="15">
        <v>0.2</v>
      </c>
      <c r="O481" s="15">
        <v>0.19</v>
      </c>
      <c r="P481" s="15">
        <v>0.75</v>
      </c>
      <c r="Q481" s="19">
        <v>0.0</v>
      </c>
      <c r="R481" s="19">
        <v>0.0</v>
      </c>
      <c r="S481" s="20" t="s">
        <v>4261</v>
      </c>
    </row>
    <row r="482">
      <c r="A482" s="50">
        <v>462.0</v>
      </c>
      <c r="B482" s="13" t="s">
        <v>4262</v>
      </c>
      <c r="C482" s="11" t="s">
        <v>4263</v>
      </c>
      <c r="D482" s="12" t="s">
        <v>36</v>
      </c>
      <c r="E482" s="13" t="s">
        <v>4264</v>
      </c>
      <c r="F482" s="12">
        <v>30.0</v>
      </c>
      <c r="G482" s="12">
        <v>1995.0</v>
      </c>
      <c r="H482" s="15">
        <v>35.8</v>
      </c>
      <c r="I482" s="17">
        <v>0.03</v>
      </c>
      <c r="J482" s="18">
        <v>0.28</v>
      </c>
      <c r="K482" s="18">
        <v>0.08</v>
      </c>
      <c r="L482" s="15">
        <v>30.0</v>
      </c>
      <c r="M482" s="15">
        <v>0.28</v>
      </c>
      <c r="N482" s="15">
        <v>0.08</v>
      </c>
      <c r="O482" s="15">
        <v>0.1</v>
      </c>
      <c r="P482" s="15">
        <v>0.33</v>
      </c>
      <c r="Q482" s="19">
        <v>0.0</v>
      </c>
      <c r="R482" s="19">
        <v>0.0</v>
      </c>
      <c r="S482" s="20" t="s">
        <v>4265</v>
      </c>
    </row>
    <row r="483">
      <c r="A483" s="50">
        <v>463.0</v>
      </c>
      <c r="B483" s="13" t="s">
        <v>4266</v>
      </c>
      <c r="C483" s="11" t="s">
        <v>4267</v>
      </c>
      <c r="D483" s="12" t="s">
        <v>31</v>
      </c>
      <c r="E483" s="13" t="s">
        <v>4268</v>
      </c>
      <c r="F483" s="12">
        <v>30.0</v>
      </c>
      <c r="G483" s="12">
        <v>1994.0</v>
      </c>
      <c r="H483" s="15">
        <v>31.9</v>
      </c>
      <c r="I483" s="17">
        <v>0.06</v>
      </c>
      <c r="J483" s="18">
        <v>0.94</v>
      </c>
      <c r="K483" s="18">
        <v>0.22</v>
      </c>
      <c r="L483" s="15">
        <v>23.3</v>
      </c>
      <c r="M483" s="15">
        <v>0.94</v>
      </c>
      <c r="N483" s="15">
        <v>0.22</v>
      </c>
      <c r="O483" s="15">
        <v>0.07</v>
      </c>
      <c r="P483" s="15">
        <v>0.29</v>
      </c>
      <c r="Q483" s="19">
        <v>0.0</v>
      </c>
      <c r="R483" s="19">
        <v>0.0</v>
      </c>
      <c r="S483" s="20" t="s">
        <v>4269</v>
      </c>
    </row>
    <row r="484">
      <c r="A484" s="50">
        <v>464.0</v>
      </c>
      <c r="B484" s="13" t="s">
        <v>4270</v>
      </c>
      <c r="C484" s="11" t="s">
        <v>4271</v>
      </c>
      <c r="D484" s="12" t="s">
        <v>41</v>
      </c>
      <c r="E484" s="13" t="s">
        <v>4272</v>
      </c>
      <c r="F484" s="12">
        <v>25.0</v>
      </c>
      <c r="G484" s="12">
        <v>1999.0</v>
      </c>
      <c r="H484" s="15">
        <v>0.1</v>
      </c>
      <c r="I484" s="22">
        <v>0.0</v>
      </c>
      <c r="J484" s="19">
        <v>0.0</v>
      </c>
      <c r="K484" s="19">
        <v>0.0</v>
      </c>
      <c r="L484" s="36"/>
      <c r="M484" s="21">
        <v>0.0</v>
      </c>
      <c r="N484" s="21">
        <v>0.0</v>
      </c>
      <c r="O484" s="36"/>
      <c r="P484" s="36"/>
      <c r="Q484" s="19">
        <v>0.0</v>
      </c>
      <c r="R484" s="19">
        <v>0.0</v>
      </c>
      <c r="S484" s="20" t="s">
        <v>4273</v>
      </c>
    </row>
    <row r="485">
      <c r="A485" s="50">
        <v>465.0</v>
      </c>
      <c r="B485" s="13" t="s">
        <v>4274</v>
      </c>
      <c r="C485" s="11" t="s">
        <v>4275</v>
      </c>
      <c r="D485" s="12" t="s">
        <v>26</v>
      </c>
      <c r="E485" s="13" t="s">
        <v>4276</v>
      </c>
      <c r="F485" s="12">
        <v>22.0</v>
      </c>
      <c r="G485" s="12">
        <v>2003.0</v>
      </c>
      <c r="H485" s="15">
        <v>19.5</v>
      </c>
      <c r="I485" s="17">
        <v>0.1</v>
      </c>
      <c r="J485" s="18">
        <v>2.15</v>
      </c>
      <c r="K485" s="18">
        <v>0.51</v>
      </c>
      <c r="L485" s="15">
        <v>23.8</v>
      </c>
      <c r="M485" s="15">
        <v>2.15</v>
      </c>
      <c r="N485" s="15">
        <v>0.51</v>
      </c>
      <c r="O485" s="15">
        <v>0.05</v>
      </c>
      <c r="P485" s="15">
        <v>0.2</v>
      </c>
      <c r="Q485" s="19">
        <v>0.0</v>
      </c>
      <c r="R485" s="19">
        <v>0.0</v>
      </c>
      <c r="S485" s="20" t="s">
        <v>4277</v>
      </c>
    </row>
    <row r="486">
      <c r="A486" s="50">
        <v>466.0</v>
      </c>
      <c r="B486" s="13" t="s">
        <v>4278</v>
      </c>
      <c r="C486" s="11" t="s">
        <v>4279</v>
      </c>
      <c r="D486" s="12" t="s">
        <v>36</v>
      </c>
      <c r="E486" s="13" t="s">
        <v>4280</v>
      </c>
      <c r="F486" s="12">
        <v>34.0</v>
      </c>
      <c r="G486" s="12">
        <v>1991.0</v>
      </c>
      <c r="H486" s="15">
        <v>12.0</v>
      </c>
      <c r="I486" s="22">
        <v>0.0</v>
      </c>
      <c r="J486" s="19">
        <v>0.0</v>
      </c>
      <c r="K486" s="19">
        <v>0.0</v>
      </c>
      <c r="L486" s="36"/>
      <c r="M486" s="21">
        <v>0.0</v>
      </c>
      <c r="N486" s="21">
        <v>0.0</v>
      </c>
      <c r="O486" s="36"/>
      <c r="P486" s="36"/>
      <c r="Q486" s="19">
        <v>0.0</v>
      </c>
      <c r="R486" s="19">
        <v>0.0</v>
      </c>
      <c r="S486" s="20" t="s">
        <v>4281</v>
      </c>
    </row>
    <row r="487">
      <c r="A487" s="50">
        <v>467.0</v>
      </c>
      <c r="B487" s="13" t="s">
        <v>4282</v>
      </c>
      <c r="C487" s="11" t="s">
        <v>4283</v>
      </c>
      <c r="D487" s="12" t="s">
        <v>31</v>
      </c>
      <c r="E487" s="13" t="s">
        <v>4284</v>
      </c>
      <c r="F487" s="12">
        <v>25.0</v>
      </c>
      <c r="G487" s="12">
        <v>2000.0</v>
      </c>
      <c r="H487" s="15">
        <v>21.4</v>
      </c>
      <c r="I487" s="17">
        <v>0.14</v>
      </c>
      <c r="J487" s="18">
        <v>1.68</v>
      </c>
      <c r="K487" s="18">
        <v>0.51</v>
      </c>
      <c r="L487" s="15">
        <v>30.6</v>
      </c>
      <c r="M487" s="15">
        <v>1.68</v>
      </c>
      <c r="N487" s="15">
        <v>0.51</v>
      </c>
      <c r="O487" s="15">
        <v>0.08</v>
      </c>
      <c r="P487" s="15">
        <v>0.27</v>
      </c>
      <c r="Q487" s="19">
        <v>0.0</v>
      </c>
      <c r="R487" s="19">
        <v>0.0</v>
      </c>
      <c r="S487" s="20" t="s">
        <v>4285</v>
      </c>
    </row>
    <row r="488">
      <c r="A488" s="50">
        <v>468.0</v>
      </c>
      <c r="B488" s="13" t="s">
        <v>4286</v>
      </c>
      <c r="C488" s="11" t="s">
        <v>4287</v>
      </c>
      <c r="D488" s="12" t="s">
        <v>41</v>
      </c>
      <c r="E488" s="13" t="s">
        <v>4288</v>
      </c>
      <c r="F488" s="12">
        <v>27.0</v>
      </c>
      <c r="G488" s="12">
        <v>1997.0</v>
      </c>
      <c r="H488" s="15">
        <v>11.1</v>
      </c>
      <c r="I488" s="17">
        <v>0.27</v>
      </c>
      <c r="J488" s="18">
        <v>1.8</v>
      </c>
      <c r="K488" s="18">
        <v>0.99</v>
      </c>
      <c r="L488" s="15">
        <v>55.0</v>
      </c>
      <c r="M488" s="15">
        <v>1.8</v>
      </c>
      <c r="N488" s="15">
        <v>0.99</v>
      </c>
      <c r="O488" s="15">
        <v>0.15</v>
      </c>
      <c r="P488" s="15">
        <v>0.27</v>
      </c>
      <c r="Q488" s="19">
        <v>0.0</v>
      </c>
      <c r="R488" s="19">
        <v>0.0</v>
      </c>
      <c r="S488" s="20" t="s">
        <v>4289</v>
      </c>
    </row>
    <row r="489">
      <c r="A489" s="50">
        <v>469.0</v>
      </c>
      <c r="B489" s="13" t="s">
        <v>4290</v>
      </c>
      <c r="C489" s="11" t="s">
        <v>4291</v>
      </c>
      <c r="D489" s="12" t="s">
        <v>36</v>
      </c>
      <c r="E489" s="13" t="s">
        <v>4292</v>
      </c>
      <c r="F489" s="12">
        <v>20.0</v>
      </c>
      <c r="G489" s="12">
        <v>2005.0</v>
      </c>
      <c r="H489" s="15">
        <v>0.4</v>
      </c>
      <c r="I489" s="22">
        <v>0.0</v>
      </c>
      <c r="J489" s="19">
        <v>0.0</v>
      </c>
      <c r="K489" s="19">
        <v>0.0</v>
      </c>
      <c r="L489" s="36"/>
      <c r="M489" s="21">
        <v>0.0</v>
      </c>
      <c r="N489" s="21">
        <v>0.0</v>
      </c>
      <c r="O489" s="36"/>
      <c r="P489" s="36"/>
      <c r="Q489" s="19">
        <v>0.0</v>
      </c>
      <c r="R489" s="19">
        <v>0.0</v>
      </c>
      <c r="S489" s="20" t="s">
        <v>4293</v>
      </c>
    </row>
    <row r="490">
      <c r="A490" s="50">
        <v>470.0</v>
      </c>
      <c r="B490" s="13" t="s">
        <v>4294</v>
      </c>
      <c r="C490" s="11" t="s">
        <v>4295</v>
      </c>
      <c r="D490" s="12" t="s">
        <v>36</v>
      </c>
      <c r="E490" s="13" t="s">
        <v>4296</v>
      </c>
      <c r="F490" s="12">
        <v>24.0</v>
      </c>
      <c r="G490" s="12">
        <v>2000.0</v>
      </c>
      <c r="H490" s="15">
        <v>1.9</v>
      </c>
      <c r="I490" s="17">
        <v>0.53</v>
      </c>
      <c r="J490" s="18">
        <v>1.58</v>
      </c>
      <c r="K490" s="18">
        <v>0.53</v>
      </c>
      <c r="L490" s="15">
        <v>33.3</v>
      </c>
      <c r="M490" s="15">
        <v>1.6</v>
      </c>
      <c r="N490" s="15">
        <v>0.53</v>
      </c>
      <c r="O490" s="15">
        <v>0.33</v>
      </c>
      <c r="P490" s="15">
        <v>1.0</v>
      </c>
      <c r="Q490" s="19">
        <v>0.0</v>
      </c>
      <c r="R490" s="19">
        <v>0.0</v>
      </c>
      <c r="S490" s="20" t="s">
        <v>4297</v>
      </c>
    </row>
    <row r="491">
      <c r="A491" s="50">
        <v>471.0</v>
      </c>
      <c r="B491" s="13" t="s">
        <v>4298</v>
      </c>
      <c r="C491" s="11" t="s">
        <v>4299</v>
      </c>
      <c r="D491" s="12" t="s">
        <v>345</v>
      </c>
      <c r="E491" s="13" t="s">
        <v>4300</v>
      </c>
      <c r="F491" s="12">
        <v>27.0</v>
      </c>
      <c r="G491" s="12">
        <v>1998.0</v>
      </c>
      <c r="H491" s="15">
        <v>1.1</v>
      </c>
      <c r="I491" s="22">
        <v>0.0</v>
      </c>
      <c r="J491" s="18">
        <v>0.91</v>
      </c>
      <c r="K491" s="19">
        <v>0.0</v>
      </c>
      <c r="L491" s="21">
        <v>0.0</v>
      </c>
      <c r="M491" s="15">
        <v>0.89</v>
      </c>
      <c r="N491" s="21">
        <v>0.0</v>
      </c>
      <c r="O491" s="21">
        <v>0.0</v>
      </c>
      <c r="P491" s="36"/>
      <c r="Q491" s="19">
        <v>0.0</v>
      </c>
      <c r="R491" s="19">
        <v>0.0</v>
      </c>
      <c r="S491" s="20" t="s">
        <v>4301</v>
      </c>
    </row>
    <row r="492">
      <c r="A492" s="50">
        <v>472.0</v>
      </c>
      <c r="B492" s="13" t="s">
        <v>4302</v>
      </c>
      <c r="C492" s="11" t="s">
        <v>4303</v>
      </c>
      <c r="D492" s="12" t="s">
        <v>31</v>
      </c>
      <c r="E492" s="13" t="s">
        <v>4304</v>
      </c>
      <c r="F492" s="12">
        <v>30.0</v>
      </c>
      <c r="G492" s="12">
        <v>1995.0</v>
      </c>
      <c r="H492" s="15">
        <v>24.4</v>
      </c>
      <c r="I492" s="17">
        <v>0.2</v>
      </c>
      <c r="J492" s="18">
        <v>1.07</v>
      </c>
      <c r="K492" s="18">
        <v>0.57</v>
      </c>
      <c r="L492" s="15">
        <v>53.8</v>
      </c>
      <c r="M492" s="15">
        <v>1.06</v>
      </c>
      <c r="N492" s="15">
        <v>0.57</v>
      </c>
      <c r="O492" s="15">
        <v>0.19</v>
      </c>
      <c r="P492" s="15">
        <v>0.36</v>
      </c>
      <c r="Q492" s="19">
        <v>0.0</v>
      </c>
      <c r="R492" s="19">
        <v>0.0</v>
      </c>
      <c r="S492" s="20" t="s">
        <v>4305</v>
      </c>
    </row>
    <row r="493">
      <c r="A493" s="50">
        <v>473.0</v>
      </c>
      <c r="B493" s="13" t="s">
        <v>4306</v>
      </c>
      <c r="C493" s="11" t="s">
        <v>4307</v>
      </c>
      <c r="D493" s="12" t="s">
        <v>31</v>
      </c>
      <c r="E493" s="13" t="s">
        <v>4308</v>
      </c>
      <c r="F493" s="12">
        <v>19.0</v>
      </c>
      <c r="G493" s="12">
        <v>2006.0</v>
      </c>
      <c r="H493" s="15">
        <v>1.6</v>
      </c>
      <c r="I493" s="22">
        <v>0.0</v>
      </c>
      <c r="J493" s="18">
        <v>0.63</v>
      </c>
      <c r="K493" s="18">
        <v>0.63</v>
      </c>
      <c r="L493" s="15">
        <v>100.0</v>
      </c>
      <c r="M493" s="15">
        <v>0.62</v>
      </c>
      <c r="N493" s="15">
        <v>0.62</v>
      </c>
      <c r="O493" s="21">
        <v>0.0</v>
      </c>
      <c r="P493" s="21">
        <v>0.0</v>
      </c>
      <c r="Q493" s="19">
        <v>0.0</v>
      </c>
      <c r="R493" s="19">
        <v>0.0</v>
      </c>
      <c r="S493" s="20" t="s">
        <v>4309</v>
      </c>
    </row>
    <row r="494">
      <c r="A494" s="50">
        <v>474.0</v>
      </c>
      <c r="B494" s="13" t="s">
        <v>4310</v>
      </c>
      <c r="C494" s="11" t="s">
        <v>4311</v>
      </c>
      <c r="D494" s="12" t="s">
        <v>345</v>
      </c>
      <c r="E494" s="13" t="s">
        <v>4312</v>
      </c>
      <c r="F494" s="12">
        <v>24.0</v>
      </c>
      <c r="G494" s="12">
        <v>2000.0</v>
      </c>
      <c r="H494" s="15">
        <v>22.8</v>
      </c>
      <c r="I494" s="22">
        <v>0.0</v>
      </c>
      <c r="J494" s="18">
        <v>0.57</v>
      </c>
      <c r="K494" s="18">
        <v>0.35</v>
      </c>
      <c r="L494" s="15">
        <v>61.5</v>
      </c>
      <c r="M494" s="15">
        <v>0.57</v>
      </c>
      <c r="N494" s="15">
        <v>0.35</v>
      </c>
      <c r="O494" s="21">
        <v>0.0</v>
      </c>
      <c r="P494" s="21">
        <v>0.0</v>
      </c>
      <c r="Q494" s="19">
        <v>0.0</v>
      </c>
      <c r="R494" s="19">
        <v>0.0</v>
      </c>
      <c r="S494" s="20" t="s">
        <v>4313</v>
      </c>
    </row>
    <row r="495">
      <c r="A495" s="50">
        <v>475.0</v>
      </c>
      <c r="B495" s="13" t="s">
        <v>4314</v>
      </c>
      <c r="C495" s="11" t="s">
        <v>4315</v>
      </c>
      <c r="D495" s="12" t="s">
        <v>31</v>
      </c>
      <c r="E495" s="13" t="s">
        <v>4316</v>
      </c>
      <c r="F495" s="12">
        <v>26.0</v>
      </c>
      <c r="G495" s="12">
        <v>1998.0</v>
      </c>
      <c r="H495" s="15">
        <v>26.3</v>
      </c>
      <c r="I495" s="17">
        <v>0.19</v>
      </c>
      <c r="J495" s="18">
        <v>2.09</v>
      </c>
      <c r="K495" s="18">
        <v>0.53</v>
      </c>
      <c r="L495" s="15">
        <v>25.5</v>
      </c>
      <c r="M495" s="15">
        <v>2.09</v>
      </c>
      <c r="N495" s="15">
        <v>0.53</v>
      </c>
      <c r="O495" s="15">
        <v>0.09</v>
      </c>
      <c r="P495" s="15">
        <v>0.36</v>
      </c>
      <c r="Q495" s="19">
        <v>0.0</v>
      </c>
      <c r="R495" s="19">
        <v>0.0</v>
      </c>
      <c r="S495" s="20" t="s">
        <v>4317</v>
      </c>
    </row>
    <row r="496">
      <c r="A496" s="37" t="s">
        <v>3</v>
      </c>
      <c r="B496" s="51" t="s">
        <v>4</v>
      </c>
      <c r="C496" s="39" t="s">
        <v>5</v>
      </c>
      <c r="D496" s="39" t="s">
        <v>6</v>
      </c>
      <c r="E496" s="39" t="s">
        <v>7</v>
      </c>
      <c r="F496" s="39" t="s">
        <v>8</v>
      </c>
      <c r="G496" s="39" t="s">
        <v>9</v>
      </c>
      <c r="H496" s="39" t="s">
        <v>13</v>
      </c>
      <c r="I496" s="40" t="s">
        <v>14</v>
      </c>
      <c r="J496" s="39" t="s">
        <v>2411</v>
      </c>
      <c r="K496" s="39" t="s">
        <v>2412</v>
      </c>
      <c r="L496" s="39" t="s">
        <v>2413</v>
      </c>
      <c r="M496" s="39" t="s">
        <v>2414</v>
      </c>
      <c r="N496" s="39" t="s">
        <v>2415</v>
      </c>
      <c r="O496" s="39" t="s">
        <v>2416</v>
      </c>
      <c r="P496" s="39" t="s">
        <v>2417</v>
      </c>
      <c r="Q496" s="39" t="s">
        <v>18</v>
      </c>
      <c r="R496" s="39" t="s">
        <v>19</v>
      </c>
      <c r="S496" s="40" t="s">
        <v>23</v>
      </c>
    </row>
    <row r="497">
      <c r="A497" s="50">
        <v>476.0</v>
      </c>
      <c r="B497" s="13" t="s">
        <v>4318</v>
      </c>
      <c r="C497" s="11" t="s">
        <v>4319</v>
      </c>
      <c r="D497" s="12" t="s">
        <v>36</v>
      </c>
      <c r="E497" s="13" t="s">
        <v>4320</v>
      </c>
      <c r="F497" s="12">
        <v>31.0</v>
      </c>
      <c r="G497" s="12">
        <v>1994.0</v>
      </c>
      <c r="H497" s="15">
        <v>4.9</v>
      </c>
      <c r="I497" s="22">
        <v>0.0</v>
      </c>
      <c r="J497" s="19">
        <v>0.0</v>
      </c>
      <c r="K497" s="19">
        <v>0.0</v>
      </c>
      <c r="L497" s="36"/>
      <c r="M497" s="21">
        <v>0.0</v>
      </c>
      <c r="N497" s="21">
        <v>0.0</v>
      </c>
      <c r="O497" s="36"/>
      <c r="P497" s="36"/>
      <c r="Q497" s="19">
        <v>0.0</v>
      </c>
      <c r="R497" s="19">
        <v>0.0</v>
      </c>
      <c r="S497" s="20" t="s">
        <v>4321</v>
      </c>
    </row>
    <row r="498">
      <c r="A498" s="50">
        <v>477.0</v>
      </c>
      <c r="B498" s="13" t="s">
        <v>4322</v>
      </c>
      <c r="C498" s="11" t="s">
        <v>4323</v>
      </c>
      <c r="D498" s="12" t="s">
        <v>41</v>
      </c>
      <c r="E498" s="13" t="s">
        <v>4324</v>
      </c>
      <c r="F498" s="12">
        <v>25.0</v>
      </c>
      <c r="G498" s="12">
        <v>2000.0</v>
      </c>
      <c r="H498" s="15">
        <v>15.6</v>
      </c>
      <c r="I498" s="17">
        <v>0.06</v>
      </c>
      <c r="J498" s="18">
        <v>1.35</v>
      </c>
      <c r="K498" s="18">
        <v>0.45</v>
      </c>
      <c r="L498" s="15">
        <v>33.3</v>
      </c>
      <c r="M498" s="15">
        <v>1.35</v>
      </c>
      <c r="N498" s="15">
        <v>0.45</v>
      </c>
      <c r="O498" s="21">
        <v>0.0</v>
      </c>
      <c r="P498" s="21">
        <v>0.0</v>
      </c>
      <c r="Q498" s="18">
        <v>0.06</v>
      </c>
      <c r="R498" s="18">
        <v>0.13</v>
      </c>
      <c r="S498" s="20" t="s">
        <v>4325</v>
      </c>
    </row>
    <row r="499">
      <c r="A499" s="50">
        <v>478.0</v>
      </c>
      <c r="B499" s="13" t="s">
        <v>4326</v>
      </c>
      <c r="C499" s="11" t="s">
        <v>4327</v>
      </c>
      <c r="D499" s="12" t="s">
        <v>41</v>
      </c>
      <c r="E499" s="13" t="s">
        <v>4328</v>
      </c>
      <c r="F499" s="12">
        <v>25.0</v>
      </c>
      <c r="G499" s="12">
        <v>2000.0</v>
      </c>
      <c r="H499" s="15">
        <v>10.0</v>
      </c>
      <c r="I499" s="17">
        <v>0.3</v>
      </c>
      <c r="J499" s="18">
        <v>2.3</v>
      </c>
      <c r="K499" s="18">
        <v>0.7</v>
      </c>
      <c r="L499" s="15">
        <v>30.4</v>
      </c>
      <c r="M499" s="15">
        <v>2.29</v>
      </c>
      <c r="N499" s="15">
        <v>0.7</v>
      </c>
      <c r="O499" s="15">
        <v>0.13</v>
      </c>
      <c r="P499" s="15">
        <v>0.43</v>
      </c>
      <c r="Q499" s="19">
        <v>0.0</v>
      </c>
      <c r="R499" s="19">
        <v>0.0</v>
      </c>
      <c r="S499" s="20" t="s">
        <v>4329</v>
      </c>
    </row>
    <row r="500">
      <c r="A500" s="50">
        <v>479.0</v>
      </c>
      <c r="B500" s="13" t="s">
        <v>4330</v>
      </c>
      <c r="C500" s="11" t="s">
        <v>4331</v>
      </c>
      <c r="D500" s="12" t="s">
        <v>36</v>
      </c>
      <c r="E500" s="13" t="s">
        <v>4332</v>
      </c>
      <c r="F500" s="12">
        <v>25.0</v>
      </c>
      <c r="G500" s="12">
        <v>1999.0</v>
      </c>
      <c r="H500" s="15">
        <v>32.6</v>
      </c>
      <c r="I500" s="22">
        <v>0.0</v>
      </c>
      <c r="J500" s="18">
        <v>0.95</v>
      </c>
      <c r="K500" s="18">
        <v>0.15</v>
      </c>
      <c r="L500" s="15">
        <v>16.1</v>
      </c>
      <c r="M500" s="15">
        <v>0.95</v>
      </c>
      <c r="N500" s="15">
        <v>0.15</v>
      </c>
      <c r="O500" s="21">
        <v>0.0</v>
      </c>
      <c r="P500" s="21">
        <v>0.0</v>
      </c>
      <c r="Q500" s="19">
        <v>0.0</v>
      </c>
      <c r="R500" s="19">
        <v>0.0</v>
      </c>
      <c r="S500" s="20" t="s">
        <v>4333</v>
      </c>
    </row>
    <row r="501">
      <c r="A501" s="50">
        <v>480.0</v>
      </c>
      <c r="B501" s="13" t="s">
        <v>4334</v>
      </c>
      <c r="C501" s="11" t="s">
        <v>4335</v>
      </c>
      <c r="D501" s="12" t="s">
        <v>26</v>
      </c>
      <c r="E501" s="13" t="s">
        <v>4336</v>
      </c>
      <c r="F501" s="12">
        <v>23.0</v>
      </c>
      <c r="G501" s="12">
        <v>2001.0</v>
      </c>
      <c r="H501" s="15">
        <v>27.4</v>
      </c>
      <c r="I501" s="17">
        <v>0.18</v>
      </c>
      <c r="J501" s="18">
        <v>1.97</v>
      </c>
      <c r="K501" s="18">
        <v>0.55</v>
      </c>
      <c r="L501" s="15">
        <v>27.8</v>
      </c>
      <c r="M501" s="15">
        <v>1.97</v>
      </c>
      <c r="N501" s="15">
        <v>0.55</v>
      </c>
      <c r="O501" s="15">
        <v>0.09</v>
      </c>
      <c r="P501" s="15">
        <v>0.33</v>
      </c>
      <c r="Q501" s="19">
        <v>0.0</v>
      </c>
      <c r="R501" s="19">
        <v>0.0</v>
      </c>
      <c r="S501" s="20" t="s">
        <v>4337</v>
      </c>
    </row>
    <row r="502">
      <c r="A502" s="50">
        <v>481.0</v>
      </c>
      <c r="B502" s="13" t="s">
        <v>4338</v>
      </c>
      <c r="C502" s="11" t="s">
        <v>4339</v>
      </c>
      <c r="D502" s="12" t="s">
        <v>264</v>
      </c>
      <c r="E502" s="13" t="s">
        <v>4340</v>
      </c>
      <c r="F502" s="12">
        <v>24.0</v>
      </c>
      <c r="G502" s="12">
        <v>2000.0</v>
      </c>
      <c r="H502" s="15">
        <v>35.9</v>
      </c>
      <c r="I502" s="17">
        <v>0.17</v>
      </c>
      <c r="J502" s="18">
        <v>1.98</v>
      </c>
      <c r="K502" s="18">
        <v>0.64</v>
      </c>
      <c r="L502" s="15">
        <v>32.4</v>
      </c>
      <c r="M502" s="15">
        <v>1.98</v>
      </c>
      <c r="N502" s="15">
        <v>0.64</v>
      </c>
      <c r="O502" s="15">
        <v>0.08</v>
      </c>
      <c r="P502" s="15">
        <v>0.26</v>
      </c>
      <c r="Q502" s="19">
        <v>0.0</v>
      </c>
      <c r="R502" s="18">
        <v>0.03</v>
      </c>
      <c r="S502" s="20" t="s">
        <v>4341</v>
      </c>
    </row>
    <row r="503">
      <c r="A503" s="50">
        <v>482.0</v>
      </c>
      <c r="B503" s="13" t="s">
        <v>4342</v>
      </c>
      <c r="C503" s="11" t="s">
        <v>4343</v>
      </c>
      <c r="D503" s="12" t="s">
        <v>31</v>
      </c>
      <c r="E503" s="13" t="s">
        <v>4344</v>
      </c>
      <c r="F503" s="12">
        <v>20.0</v>
      </c>
      <c r="G503" s="12">
        <v>2005.0</v>
      </c>
      <c r="H503" s="15">
        <v>0.4</v>
      </c>
      <c r="I503" s="22">
        <v>0.0</v>
      </c>
      <c r="J503" s="19">
        <v>0.0</v>
      </c>
      <c r="K503" s="19">
        <v>0.0</v>
      </c>
      <c r="L503" s="36"/>
      <c r="M503" s="21">
        <v>0.0</v>
      </c>
      <c r="N503" s="21">
        <v>0.0</v>
      </c>
      <c r="O503" s="36"/>
      <c r="P503" s="36"/>
      <c r="Q503" s="19">
        <v>0.0</v>
      </c>
      <c r="R503" s="19">
        <v>0.0</v>
      </c>
      <c r="S503" s="20" t="s">
        <v>4345</v>
      </c>
    </row>
    <row r="504">
      <c r="A504" s="50">
        <v>483.0</v>
      </c>
      <c r="B504" s="13" t="s">
        <v>4346</v>
      </c>
      <c r="C504" s="11" t="s">
        <v>4347</v>
      </c>
      <c r="D504" s="12" t="s">
        <v>26</v>
      </c>
      <c r="E504" s="13" t="s">
        <v>4348</v>
      </c>
      <c r="F504" s="12">
        <v>20.0</v>
      </c>
      <c r="G504" s="12">
        <v>2005.0</v>
      </c>
      <c r="H504" s="15">
        <v>17.3</v>
      </c>
      <c r="I504" s="17">
        <v>0.23</v>
      </c>
      <c r="J504" s="18">
        <v>1.45</v>
      </c>
      <c r="K504" s="18">
        <v>0.58</v>
      </c>
      <c r="L504" s="15">
        <v>40.0</v>
      </c>
      <c r="M504" s="15">
        <v>1.44</v>
      </c>
      <c r="N504" s="15">
        <v>0.58</v>
      </c>
      <c r="O504" s="15">
        <v>0.16</v>
      </c>
      <c r="P504" s="15">
        <v>0.4</v>
      </c>
      <c r="Q504" s="19">
        <v>0.0</v>
      </c>
      <c r="R504" s="19">
        <v>0.0</v>
      </c>
      <c r="S504" s="20" t="s">
        <v>4349</v>
      </c>
    </row>
    <row r="505">
      <c r="A505" s="50">
        <v>484.0</v>
      </c>
      <c r="B505" s="13" t="s">
        <v>4350</v>
      </c>
      <c r="C505" s="11" t="s">
        <v>4351</v>
      </c>
      <c r="D505" s="12" t="s">
        <v>31</v>
      </c>
      <c r="E505" s="13" t="s">
        <v>4352</v>
      </c>
      <c r="F505" s="12">
        <v>26.0</v>
      </c>
      <c r="G505" s="12">
        <v>1998.0</v>
      </c>
      <c r="H505" s="15">
        <v>14.6</v>
      </c>
      <c r="I505" s="17">
        <v>0.14</v>
      </c>
      <c r="J505" s="18">
        <v>1.16</v>
      </c>
      <c r="K505" s="18">
        <v>0.34</v>
      </c>
      <c r="L505" s="15">
        <v>29.4</v>
      </c>
      <c r="M505" s="15">
        <v>1.16</v>
      </c>
      <c r="N505" s="15">
        <v>0.34</v>
      </c>
      <c r="O505" s="15">
        <v>0.12</v>
      </c>
      <c r="P505" s="15">
        <v>0.4</v>
      </c>
      <c r="Q505" s="19">
        <v>0.0</v>
      </c>
      <c r="R505" s="19">
        <v>0.0</v>
      </c>
      <c r="S505" s="20" t="s">
        <v>4353</v>
      </c>
    </row>
    <row r="506">
      <c r="A506" s="50">
        <v>485.0</v>
      </c>
      <c r="B506" s="13" t="s">
        <v>4354</v>
      </c>
      <c r="C506" s="11" t="s">
        <v>4355</v>
      </c>
      <c r="D506" s="12" t="s">
        <v>36</v>
      </c>
      <c r="E506" s="13" t="s">
        <v>4356</v>
      </c>
      <c r="F506" s="12">
        <v>32.0</v>
      </c>
      <c r="G506" s="12">
        <v>1992.0</v>
      </c>
      <c r="H506" s="15">
        <v>37.0</v>
      </c>
      <c r="I506" s="17">
        <v>0.05</v>
      </c>
      <c r="J506" s="18">
        <v>0.54</v>
      </c>
      <c r="K506" s="18">
        <v>0.27</v>
      </c>
      <c r="L506" s="15">
        <v>50.0</v>
      </c>
      <c r="M506" s="15">
        <v>0.54</v>
      </c>
      <c r="N506" s="15">
        <v>0.27</v>
      </c>
      <c r="O506" s="15">
        <v>0.1</v>
      </c>
      <c r="P506" s="15">
        <v>0.2</v>
      </c>
      <c r="Q506" s="19">
        <v>0.0</v>
      </c>
      <c r="R506" s="19">
        <v>0.0</v>
      </c>
      <c r="S506" s="20" t="s">
        <v>4357</v>
      </c>
    </row>
    <row r="507">
      <c r="A507" s="50">
        <v>486.0</v>
      </c>
      <c r="B507" s="13" t="s">
        <v>4358</v>
      </c>
      <c r="C507" s="11" t="s">
        <v>4359</v>
      </c>
      <c r="D507" s="12" t="s">
        <v>31</v>
      </c>
      <c r="E507" s="13" t="s">
        <v>4360</v>
      </c>
      <c r="F507" s="12">
        <v>26.0</v>
      </c>
      <c r="G507" s="12">
        <v>1999.0</v>
      </c>
      <c r="H507" s="15">
        <v>30.4</v>
      </c>
      <c r="I507" s="17">
        <v>0.23</v>
      </c>
      <c r="J507" s="18">
        <v>2.3</v>
      </c>
      <c r="K507" s="18">
        <v>0.79</v>
      </c>
      <c r="L507" s="15">
        <v>34.3</v>
      </c>
      <c r="M507" s="15">
        <v>2.31</v>
      </c>
      <c r="N507" s="15">
        <v>0.79</v>
      </c>
      <c r="O507" s="15">
        <v>0.07</v>
      </c>
      <c r="P507" s="15">
        <v>0.21</v>
      </c>
      <c r="Q507" s="18">
        <v>0.07</v>
      </c>
      <c r="R507" s="18">
        <v>0.07</v>
      </c>
      <c r="S507" s="20" t="s">
        <v>4361</v>
      </c>
    </row>
    <row r="508">
      <c r="A508" s="50">
        <v>487.0</v>
      </c>
      <c r="B508" s="13" t="s">
        <v>4362</v>
      </c>
      <c r="C508" s="11" t="s">
        <v>4363</v>
      </c>
      <c r="D508" s="12" t="s">
        <v>26</v>
      </c>
      <c r="E508" s="13" t="s">
        <v>4364</v>
      </c>
      <c r="F508" s="12">
        <v>21.0</v>
      </c>
      <c r="G508" s="12">
        <v>2003.0</v>
      </c>
      <c r="H508" s="15">
        <v>14.1</v>
      </c>
      <c r="I508" s="17">
        <v>0.14</v>
      </c>
      <c r="J508" s="18">
        <v>1.63</v>
      </c>
      <c r="K508" s="18">
        <v>0.64</v>
      </c>
      <c r="L508" s="15">
        <v>39.1</v>
      </c>
      <c r="M508" s="15">
        <v>1.63</v>
      </c>
      <c r="N508" s="15">
        <v>0.64</v>
      </c>
      <c r="O508" s="15">
        <v>0.09</v>
      </c>
      <c r="P508" s="15">
        <v>0.22</v>
      </c>
      <c r="Q508" s="19">
        <v>0.0</v>
      </c>
      <c r="R508" s="19">
        <v>0.0</v>
      </c>
      <c r="S508" s="20" t="s">
        <v>4365</v>
      </c>
    </row>
    <row r="509">
      <c r="A509" s="50">
        <v>488.0</v>
      </c>
      <c r="B509" s="13" t="s">
        <v>4366</v>
      </c>
      <c r="C509" s="11" t="s">
        <v>4367</v>
      </c>
      <c r="D509" s="12" t="s">
        <v>264</v>
      </c>
      <c r="E509" s="13" t="s">
        <v>4368</v>
      </c>
      <c r="F509" s="12">
        <v>23.0</v>
      </c>
      <c r="G509" s="12">
        <v>2001.0</v>
      </c>
      <c r="H509" s="15">
        <v>20.5</v>
      </c>
      <c r="I509" s="22">
        <v>0.0</v>
      </c>
      <c r="J509" s="18">
        <v>0.15</v>
      </c>
      <c r="K509" s="18">
        <v>0.05</v>
      </c>
      <c r="L509" s="15">
        <v>33.3</v>
      </c>
      <c r="M509" s="15">
        <v>0.15</v>
      </c>
      <c r="N509" s="15">
        <v>0.05</v>
      </c>
      <c r="O509" s="21">
        <v>0.0</v>
      </c>
      <c r="P509" s="21">
        <v>0.0</v>
      </c>
      <c r="Q509" s="19">
        <v>0.0</v>
      </c>
      <c r="R509" s="19">
        <v>0.0</v>
      </c>
      <c r="S509" s="20" t="s">
        <v>4369</v>
      </c>
    </row>
    <row r="510">
      <c r="A510" s="50">
        <v>489.0</v>
      </c>
      <c r="B510" s="13" t="s">
        <v>4370</v>
      </c>
      <c r="C510" s="11" t="s">
        <v>4371</v>
      </c>
      <c r="D510" s="12" t="s">
        <v>26</v>
      </c>
      <c r="E510" s="13" t="s">
        <v>4372</v>
      </c>
      <c r="F510" s="12">
        <v>20.0</v>
      </c>
      <c r="G510" s="12">
        <v>2005.0</v>
      </c>
      <c r="H510" s="15">
        <v>15.0</v>
      </c>
      <c r="I510" s="17">
        <v>0.27</v>
      </c>
      <c r="J510" s="18">
        <v>2.33</v>
      </c>
      <c r="K510" s="18">
        <v>0.53</v>
      </c>
      <c r="L510" s="15">
        <v>22.9</v>
      </c>
      <c r="M510" s="15">
        <v>2.34</v>
      </c>
      <c r="N510" s="15">
        <v>0.53</v>
      </c>
      <c r="O510" s="15">
        <v>0.11</v>
      </c>
      <c r="P510" s="15">
        <v>0.5</v>
      </c>
      <c r="Q510" s="19">
        <v>0.0</v>
      </c>
      <c r="R510" s="19">
        <v>0.0</v>
      </c>
      <c r="S510" s="20" t="s">
        <v>4373</v>
      </c>
    </row>
    <row r="511">
      <c r="A511" s="50">
        <v>490.0</v>
      </c>
      <c r="B511" s="13" t="s">
        <v>4374</v>
      </c>
      <c r="C511" s="11" t="s">
        <v>4375</v>
      </c>
      <c r="D511" s="12" t="s">
        <v>36</v>
      </c>
      <c r="E511" s="13" t="s">
        <v>4376</v>
      </c>
      <c r="F511" s="12">
        <v>29.0</v>
      </c>
      <c r="G511" s="12">
        <v>1995.0</v>
      </c>
      <c r="H511" s="15">
        <v>19.9</v>
      </c>
      <c r="I511" s="17">
        <v>0.05</v>
      </c>
      <c r="J511" s="18">
        <v>0.8</v>
      </c>
      <c r="K511" s="18">
        <v>0.15</v>
      </c>
      <c r="L511" s="15">
        <v>18.8</v>
      </c>
      <c r="M511" s="15">
        <v>0.8</v>
      </c>
      <c r="N511" s="15">
        <v>0.15</v>
      </c>
      <c r="O511" s="15">
        <v>0.06</v>
      </c>
      <c r="P511" s="15">
        <v>0.33</v>
      </c>
      <c r="Q511" s="19">
        <v>0.0</v>
      </c>
      <c r="R511" s="19">
        <v>0.0</v>
      </c>
      <c r="S511" s="20" t="s">
        <v>4377</v>
      </c>
    </row>
    <row r="512">
      <c r="A512" s="50">
        <v>491.0</v>
      </c>
      <c r="B512" s="13" t="s">
        <v>4378</v>
      </c>
      <c r="C512" s="11" t="s">
        <v>4379</v>
      </c>
      <c r="D512" s="12" t="s">
        <v>41</v>
      </c>
      <c r="E512" s="13" t="s">
        <v>4380</v>
      </c>
      <c r="F512" s="12">
        <v>24.0</v>
      </c>
      <c r="G512" s="12">
        <v>2001.0</v>
      </c>
      <c r="H512" s="15">
        <v>36.5</v>
      </c>
      <c r="I512" s="17">
        <v>0.6</v>
      </c>
      <c r="J512" s="18">
        <v>2.3</v>
      </c>
      <c r="K512" s="18">
        <v>1.18</v>
      </c>
      <c r="L512" s="15">
        <v>51.2</v>
      </c>
      <c r="M512" s="15">
        <v>2.3</v>
      </c>
      <c r="N512" s="15">
        <v>1.18</v>
      </c>
      <c r="O512" s="15">
        <v>0.17</v>
      </c>
      <c r="P512" s="15">
        <v>0.33</v>
      </c>
      <c r="Q512" s="18">
        <v>0.22</v>
      </c>
      <c r="R512" s="18">
        <v>0.25</v>
      </c>
      <c r="S512" s="20" t="s">
        <v>4381</v>
      </c>
    </row>
    <row r="513">
      <c r="A513" s="50">
        <v>492.0</v>
      </c>
      <c r="B513" s="13" t="s">
        <v>4382</v>
      </c>
      <c r="C513" s="11" t="s">
        <v>4383</v>
      </c>
      <c r="D513" s="12" t="s">
        <v>36</v>
      </c>
      <c r="E513" s="13" t="s">
        <v>4384</v>
      </c>
      <c r="F513" s="12">
        <v>23.0</v>
      </c>
      <c r="G513" s="12">
        <v>2001.0</v>
      </c>
      <c r="H513" s="15">
        <v>32.9</v>
      </c>
      <c r="I513" s="17">
        <v>0.12</v>
      </c>
      <c r="J513" s="18">
        <v>0.85</v>
      </c>
      <c r="K513" s="18">
        <v>0.43</v>
      </c>
      <c r="L513" s="15">
        <v>50.0</v>
      </c>
      <c r="M513" s="15">
        <v>0.85</v>
      </c>
      <c r="N513" s="15">
        <v>0.42</v>
      </c>
      <c r="O513" s="15">
        <v>0.14</v>
      </c>
      <c r="P513" s="15">
        <v>0.29</v>
      </c>
      <c r="Q513" s="19">
        <v>0.0</v>
      </c>
      <c r="R513" s="19">
        <v>0.0</v>
      </c>
      <c r="S513" s="20" t="s">
        <v>4385</v>
      </c>
    </row>
    <row r="514">
      <c r="A514" s="50">
        <v>493.0</v>
      </c>
      <c r="B514" s="13" t="s">
        <v>4386</v>
      </c>
      <c r="C514" s="11" t="s">
        <v>4387</v>
      </c>
      <c r="D514" s="12" t="s">
        <v>31</v>
      </c>
      <c r="E514" s="13" t="s">
        <v>4388</v>
      </c>
      <c r="F514" s="12">
        <v>28.0</v>
      </c>
      <c r="G514" s="12">
        <v>1997.0</v>
      </c>
      <c r="H514" s="15">
        <v>20.7</v>
      </c>
      <c r="I514" s="22">
        <v>0.0</v>
      </c>
      <c r="J514" s="18">
        <v>1.16</v>
      </c>
      <c r="K514" s="18">
        <v>0.34</v>
      </c>
      <c r="L514" s="15">
        <v>29.2</v>
      </c>
      <c r="M514" s="15">
        <v>1.16</v>
      </c>
      <c r="N514" s="15">
        <v>0.34</v>
      </c>
      <c r="O514" s="21">
        <v>0.0</v>
      </c>
      <c r="P514" s="21">
        <v>0.0</v>
      </c>
      <c r="Q514" s="19">
        <v>0.0</v>
      </c>
      <c r="R514" s="19">
        <v>0.0</v>
      </c>
      <c r="S514" s="20" t="s">
        <v>4389</v>
      </c>
    </row>
    <row r="515">
      <c r="A515" s="50">
        <v>494.0</v>
      </c>
      <c r="B515" s="13" t="s">
        <v>4390</v>
      </c>
      <c r="C515" s="11" t="s">
        <v>4391</v>
      </c>
      <c r="D515" s="12" t="s">
        <v>36</v>
      </c>
      <c r="E515" s="13" t="s">
        <v>4392</v>
      </c>
      <c r="F515" s="12">
        <v>24.0</v>
      </c>
      <c r="G515" s="12">
        <v>2001.0</v>
      </c>
      <c r="H515" s="15">
        <v>27.3</v>
      </c>
      <c r="I515" s="17">
        <v>0.11</v>
      </c>
      <c r="J515" s="18">
        <v>0.92</v>
      </c>
      <c r="K515" s="18">
        <v>0.26</v>
      </c>
      <c r="L515" s="15">
        <v>28.0</v>
      </c>
      <c r="M515" s="15">
        <v>0.92</v>
      </c>
      <c r="N515" s="15">
        <v>0.26</v>
      </c>
      <c r="O515" s="15">
        <v>0.12</v>
      </c>
      <c r="P515" s="15">
        <v>0.43</v>
      </c>
      <c r="Q515" s="19">
        <v>0.0</v>
      </c>
      <c r="R515" s="19">
        <v>0.0</v>
      </c>
      <c r="S515" s="20" t="s">
        <v>4393</v>
      </c>
    </row>
    <row r="516">
      <c r="A516" s="50">
        <v>495.0</v>
      </c>
      <c r="B516" s="13" t="s">
        <v>4394</v>
      </c>
      <c r="C516" s="11" t="s">
        <v>4395</v>
      </c>
      <c r="D516" s="12" t="s">
        <v>36</v>
      </c>
      <c r="E516" s="13" t="s">
        <v>4396</v>
      </c>
      <c r="F516" s="12">
        <v>25.0</v>
      </c>
      <c r="G516" s="12">
        <v>1999.0</v>
      </c>
      <c r="H516" s="15">
        <v>20.2</v>
      </c>
      <c r="I516" s="22">
        <v>0.0</v>
      </c>
      <c r="J516" s="18">
        <v>0.1</v>
      </c>
      <c r="K516" s="19">
        <v>0.0</v>
      </c>
      <c r="L516" s="21">
        <v>0.0</v>
      </c>
      <c r="M516" s="15">
        <v>0.1</v>
      </c>
      <c r="N516" s="21">
        <v>0.0</v>
      </c>
      <c r="O516" s="21">
        <v>0.0</v>
      </c>
      <c r="P516" s="36"/>
      <c r="Q516" s="19">
        <v>0.0</v>
      </c>
      <c r="R516" s="19">
        <v>0.0</v>
      </c>
      <c r="S516" s="20" t="s">
        <v>4397</v>
      </c>
    </row>
    <row r="517">
      <c r="A517" s="50">
        <v>496.0</v>
      </c>
      <c r="B517" s="13" t="s">
        <v>4398</v>
      </c>
      <c r="C517" s="11" t="s">
        <v>4399</v>
      </c>
      <c r="D517" s="12" t="s">
        <v>31</v>
      </c>
      <c r="E517" s="13" t="s">
        <v>4400</v>
      </c>
      <c r="F517" s="12">
        <v>25.0</v>
      </c>
      <c r="G517" s="12">
        <v>2000.0</v>
      </c>
      <c r="H517" s="15">
        <v>28.2</v>
      </c>
      <c r="I517" s="22">
        <v>0.0</v>
      </c>
      <c r="J517" s="18">
        <v>1.31</v>
      </c>
      <c r="K517" s="18">
        <v>0.28</v>
      </c>
      <c r="L517" s="15">
        <v>21.6</v>
      </c>
      <c r="M517" s="15">
        <v>1.31</v>
      </c>
      <c r="N517" s="15">
        <v>0.28</v>
      </c>
      <c r="O517" s="21">
        <v>0.0</v>
      </c>
      <c r="P517" s="21">
        <v>0.0</v>
      </c>
      <c r="Q517" s="19">
        <v>0.0</v>
      </c>
      <c r="R517" s="19">
        <v>0.0</v>
      </c>
      <c r="S517" s="20" t="s">
        <v>4401</v>
      </c>
    </row>
    <row r="518">
      <c r="A518" s="50">
        <v>497.0</v>
      </c>
      <c r="B518" s="13" t="s">
        <v>4402</v>
      </c>
      <c r="C518" s="11" t="s">
        <v>4403</v>
      </c>
      <c r="D518" s="12" t="s">
        <v>36</v>
      </c>
      <c r="E518" s="13" t="s">
        <v>4404</v>
      </c>
      <c r="F518" s="12">
        <v>28.0</v>
      </c>
      <c r="G518" s="12">
        <v>1997.0</v>
      </c>
      <c r="H518" s="15">
        <v>18.6</v>
      </c>
      <c r="I518" s="22">
        <v>0.0</v>
      </c>
      <c r="J518" s="18">
        <v>0.48</v>
      </c>
      <c r="K518" s="18">
        <v>0.05</v>
      </c>
      <c r="L518" s="15">
        <v>11.1</v>
      </c>
      <c r="M518" s="15">
        <v>0.48</v>
      </c>
      <c r="N518" s="15">
        <v>0.05</v>
      </c>
      <c r="O518" s="21">
        <v>0.0</v>
      </c>
      <c r="P518" s="21">
        <v>0.0</v>
      </c>
      <c r="Q518" s="19">
        <v>0.0</v>
      </c>
      <c r="R518" s="19">
        <v>0.0</v>
      </c>
      <c r="S518" s="20" t="s">
        <v>4405</v>
      </c>
    </row>
    <row r="519">
      <c r="A519" s="50">
        <v>498.0</v>
      </c>
      <c r="B519" s="13" t="s">
        <v>4406</v>
      </c>
      <c r="C519" s="11" t="s">
        <v>4407</v>
      </c>
      <c r="D519" s="12" t="s">
        <v>31</v>
      </c>
      <c r="E519" s="13" t="s">
        <v>4408</v>
      </c>
      <c r="F519" s="12">
        <v>19.0</v>
      </c>
      <c r="G519" s="12">
        <v>2005.0</v>
      </c>
      <c r="H519" s="15">
        <v>1.6</v>
      </c>
      <c r="I519" s="22">
        <v>0.0</v>
      </c>
      <c r="J519" s="18">
        <v>1.25</v>
      </c>
      <c r="K519" s="19">
        <v>0.0</v>
      </c>
      <c r="L519" s="21">
        <v>0.0</v>
      </c>
      <c r="M519" s="15">
        <v>1.29</v>
      </c>
      <c r="N519" s="21">
        <v>0.0</v>
      </c>
      <c r="O519" s="21">
        <v>0.0</v>
      </c>
      <c r="P519" s="36"/>
      <c r="Q519" s="19">
        <v>0.0</v>
      </c>
      <c r="R519" s="19">
        <v>0.0</v>
      </c>
      <c r="S519" s="20" t="s">
        <v>4409</v>
      </c>
    </row>
    <row r="520">
      <c r="A520" s="50">
        <v>499.0</v>
      </c>
      <c r="B520" s="13" t="s">
        <v>4410</v>
      </c>
      <c r="C520" s="11" t="s">
        <v>4411</v>
      </c>
      <c r="D520" s="12" t="s">
        <v>98</v>
      </c>
      <c r="E520" s="13" t="s">
        <v>4412</v>
      </c>
      <c r="F520" s="12">
        <v>22.0</v>
      </c>
      <c r="G520" s="12">
        <v>2002.0</v>
      </c>
      <c r="H520" s="15">
        <v>4.0</v>
      </c>
      <c r="I520" s="22">
        <v>0.0</v>
      </c>
      <c r="J520" s="19">
        <v>0.0</v>
      </c>
      <c r="K520" s="19">
        <v>0.0</v>
      </c>
      <c r="L520" s="36"/>
      <c r="M520" s="21">
        <v>0.0</v>
      </c>
      <c r="N520" s="21">
        <v>0.0</v>
      </c>
      <c r="O520" s="36"/>
      <c r="P520" s="36"/>
      <c r="Q520" s="19">
        <v>0.0</v>
      </c>
      <c r="R520" s="19">
        <v>0.0</v>
      </c>
      <c r="S520" s="20" t="s">
        <v>4413</v>
      </c>
    </row>
    <row r="521">
      <c r="A521" s="50">
        <v>500.0</v>
      </c>
      <c r="B521" s="13" t="s">
        <v>4414</v>
      </c>
      <c r="C521" s="11" t="s">
        <v>4415</v>
      </c>
      <c r="D521" s="12" t="s">
        <v>31</v>
      </c>
      <c r="E521" s="13" t="s">
        <v>4416</v>
      </c>
      <c r="F521" s="12">
        <v>29.0</v>
      </c>
      <c r="G521" s="12">
        <v>1996.0</v>
      </c>
      <c r="H521" s="15">
        <v>3.0</v>
      </c>
      <c r="I521" s="22">
        <v>0.0</v>
      </c>
      <c r="J521" s="18">
        <v>1.67</v>
      </c>
      <c r="K521" s="18">
        <v>0.33</v>
      </c>
      <c r="L521" s="15">
        <v>20.0</v>
      </c>
      <c r="M521" s="15">
        <v>1.64</v>
      </c>
      <c r="N521" s="15">
        <v>0.33</v>
      </c>
      <c r="O521" s="21">
        <v>0.0</v>
      </c>
      <c r="P521" s="21">
        <v>0.0</v>
      </c>
      <c r="Q521" s="19">
        <v>0.0</v>
      </c>
      <c r="R521" s="19">
        <v>0.0</v>
      </c>
      <c r="S521" s="20" t="s">
        <v>4417</v>
      </c>
    </row>
    <row r="522">
      <c r="A522" s="37" t="s">
        <v>3</v>
      </c>
      <c r="B522" s="51" t="s">
        <v>4</v>
      </c>
      <c r="C522" s="39" t="s">
        <v>5</v>
      </c>
      <c r="D522" s="39" t="s">
        <v>6</v>
      </c>
      <c r="E522" s="39" t="s">
        <v>7</v>
      </c>
      <c r="F522" s="39" t="s">
        <v>8</v>
      </c>
      <c r="G522" s="39" t="s">
        <v>9</v>
      </c>
      <c r="H522" s="39" t="s">
        <v>13</v>
      </c>
      <c r="I522" s="40" t="s">
        <v>14</v>
      </c>
      <c r="J522" s="39" t="s">
        <v>2411</v>
      </c>
      <c r="K522" s="39" t="s">
        <v>2412</v>
      </c>
      <c r="L522" s="39" t="s">
        <v>2413</v>
      </c>
      <c r="M522" s="39" t="s">
        <v>2414</v>
      </c>
      <c r="N522" s="39" t="s">
        <v>2415</v>
      </c>
      <c r="O522" s="39" t="s">
        <v>2416</v>
      </c>
      <c r="P522" s="39" t="s">
        <v>2417</v>
      </c>
      <c r="Q522" s="39" t="s">
        <v>18</v>
      </c>
      <c r="R522" s="39" t="s">
        <v>19</v>
      </c>
      <c r="S522" s="40" t="s">
        <v>23</v>
      </c>
    </row>
    <row r="523">
      <c r="A523" s="50">
        <v>501.0</v>
      </c>
      <c r="B523" s="13" t="s">
        <v>4418</v>
      </c>
      <c r="C523" s="11" t="s">
        <v>4419</v>
      </c>
      <c r="D523" s="12" t="s">
        <v>107</v>
      </c>
      <c r="E523" s="13" t="s">
        <v>4420</v>
      </c>
      <c r="F523" s="12">
        <v>29.0</v>
      </c>
      <c r="G523" s="12">
        <v>1996.0</v>
      </c>
      <c r="H523" s="15">
        <v>1.3</v>
      </c>
      <c r="I523" s="22">
        <v>0.0</v>
      </c>
      <c r="J523" s="18">
        <v>1.54</v>
      </c>
      <c r="K523" s="19">
        <v>0.0</v>
      </c>
      <c r="L523" s="21">
        <v>0.0</v>
      </c>
      <c r="M523" s="15">
        <v>1.49</v>
      </c>
      <c r="N523" s="21">
        <v>0.0</v>
      </c>
      <c r="O523" s="21">
        <v>0.0</v>
      </c>
      <c r="P523" s="36"/>
      <c r="Q523" s="19">
        <v>0.0</v>
      </c>
      <c r="R523" s="19">
        <v>0.0</v>
      </c>
      <c r="S523" s="20" t="s">
        <v>4421</v>
      </c>
    </row>
    <row r="524">
      <c r="A524" s="50">
        <v>502.0</v>
      </c>
      <c r="B524" s="13" t="s">
        <v>4422</v>
      </c>
      <c r="C524" s="11" t="s">
        <v>4423</v>
      </c>
      <c r="D524" s="12" t="s">
        <v>26</v>
      </c>
      <c r="E524" s="13" t="s">
        <v>4424</v>
      </c>
      <c r="F524" s="12">
        <v>29.0</v>
      </c>
      <c r="G524" s="12">
        <v>1995.0</v>
      </c>
      <c r="H524" s="15">
        <v>7.0</v>
      </c>
      <c r="I524" s="17">
        <v>0.14</v>
      </c>
      <c r="J524" s="18">
        <v>1.71</v>
      </c>
      <c r="K524" s="18">
        <v>0.86</v>
      </c>
      <c r="L524" s="15">
        <v>50.0</v>
      </c>
      <c r="M524" s="15">
        <v>1.71</v>
      </c>
      <c r="N524" s="15">
        <v>0.85</v>
      </c>
      <c r="O524" s="15">
        <v>0.08</v>
      </c>
      <c r="P524" s="15">
        <v>0.17</v>
      </c>
      <c r="Q524" s="19">
        <v>0.0</v>
      </c>
      <c r="R524" s="19">
        <v>0.0</v>
      </c>
      <c r="S524" s="20" t="s">
        <v>4425</v>
      </c>
    </row>
    <row r="525">
      <c r="A525" s="50">
        <v>503.0</v>
      </c>
      <c r="B525" s="13" t="s">
        <v>4426</v>
      </c>
      <c r="C525" s="11" t="s">
        <v>4427</v>
      </c>
      <c r="D525" s="12" t="s">
        <v>107</v>
      </c>
      <c r="E525" s="13" t="s">
        <v>4428</v>
      </c>
      <c r="F525" s="12">
        <v>26.0</v>
      </c>
      <c r="G525" s="12">
        <v>1999.0</v>
      </c>
      <c r="H525" s="15">
        <v>0.5</v>
      </c>
      <c r="I525" s="22">
        <v>0.0</v>
      </c>
      <c r="J525" s="19">
        <v>0.0</v>
      </c>
      <c r="K525" s="19">
        <v>0.0</v>
      </c>
      <c r="L525" s="36"/>
      <c r="M525" s="21">
        <v>0.0</v>
      </c>
      <c r="N525" s="21">
        <v>0.0</v>
      </c>
      <c r="O525" s="36"/>
      <c r="P525" s="36"/>
      <c r="Q525" s="19">
        <v>0.0</v>
      </c>
      <c r="R525" s="19">
        <v>0.0</v>
      </c>
      <c r="S525" s="20" t="s">
        <v>4429</v>
      </c>
    </row>
    <row r="526">
      <c r="A526" s="50">
        <v>504.0</v>
      </c>
      <c r="B526" s="13" t="s">
        <v>4430</v>
      </c>
      <c r="C526" s="11" t="s">
        <v>4431</v>
      </c>
      <c r="D526" s="12" t="s">
        <v>36</v>
      </c>
      <c r="E526" s="13" t="s">
        <v>4432</v>
      </c>
      <c r="F526" s="12">
        <v>34.0</v>
      </c>
      <c r="G526" s="12">
        <v>1990.0</v>
      </c>
      <c r="H526" s="15">
        <v>17.6</v>
      </c>
      <c r="I526" s="22">
        <v>0.0</v>
      </c>
      <c r="J526" s="18">
        <v>0.11</v>
      </c>
      <c r="K526" s="19">
        <v>0.0</v>
      </c>
      <c r="L526" s="21">
        <v>0.0</v>
      </c>
      <c r="M526" s="15">
        <v>0.11</v>
      </c>
      <c r="N526" s="21">
        <v>0.0</v>
      </c>
      <c r="O526" s="21">
        <v>0.0</v>
      </c>
      <c r="P526" s="36"/>
      <c r="Q526" s="19">
        <v>0.0</v>
      </c>
      <c r="R526" s="19">
        <v>0.0</v>
      </c>
      <c r="S526" s="20" t="s">
        <v>4433</v>
      </c>
    </row>
    <row r="527">
      <c r="A527" s="50">
        <v>505.0</v>
      </c>
      <c r="B527" s="13" t="s">
        <v>4434</v>
      </c>
      <c r="C527" s="11" t="s">
        <v>4435</v>
      </c>
      <c r="D527" s="12" t="s">
        <v>107</v>
      </c>
      <c r="E527" s="13" t="s">
        <v>4436</v>
      </c>
      <c r="F527" s="12">
        <v>30.0</v>
      </c>
      <c r="G527" s="12">
        <v>1994.0</v>
      </c>
      <c r="H527" s="15">
        <v>22.2</v>
      </c>
      <c r="I527" s="17">
        <v>0.27</v>
      </c>
      <c r="J527" s="18">
        <v>2.39</v>
      </c>
      <c r="K527" s="18">
        <v>0.68</v>
      </c>
      <c r="L527" s="15">
        <v>28.3</v>
      </c>
      <c r="M527" s="15">
        <v>2.39</v>
      </c>
      <c r="N527" s="15">
        <v>0.68</v>
      </c>
      <c r="O527" s="15">
        <v>0.11</v>
      </c>
      <c r="P527" s="15">
        <v>0.4</v>
      </c>
      <c r="Q527" s="19">
        <v>0.0</v>
      </c>
      <c r="R527" s="19">
        <v>0.0</v>
      </c>
      <c r="S527" s="20" t="s">
        <v>4437</v>
      </c>
    </row>
    <row r="528">
      <c r="A528" s="50">
        <v>506.0</v>
      </c>
      <c r="B528" s="13" t="s">
        <v>4438</v>
      </c>
      <c r="C528" s="11" t="s">
        <v>4439</v>
      </c>
      <c r="D528" s="12" t="s">
        <v>36</v>
      </c>
      <c r="E528" s="13" t="s">
        <v>4440</v>
      </c>
      <c r="F528" s="12">
        <v>23.0</v>
      </c>
      <c r="G528" s="12">
        <v>2001.0</v>
      </c>
      <c r="H528" s="15">
        <v>37.5</v>
      </c>
      <c r="I528" s="17">
        <v>0.03</v>
      </c>
      <c r="J528" s="18">
        <v>0.43</v>
      </c>
      <c r="K528" s="18">
        <v>0.16</v>
      </c>
      <c r="L528" s="15">
        <v>37.5</v>
      </c>
      <c r="M528" s="15">
        <v>0.43</v>
      </c>
      <c r="N528" s="15">
        <v>0.16</v>
      </c>
      <c r="O528" s="15">
        <v>0.06</v>
      </c>
      <c r="P528" s="15">
        <v>0.17</v>
      </c>
      <c r="Q528" s="19">
        <v>0.0</v>
      </c>
      <c r="R528" s="19">
        <v>0.0</v>
      </c>
      <c r="S528" s="20" t="s">
        <v>4441</v>
      </c>
    </row>
    <row r="529">
      <c r="A529" s="50">
        <v>507.0</v>
      </c>
      <c r="B529" s="13" t="s">
        <v>4442</v>
      </c>
      <c r="C529" s="11" t="s">
        <v>4443</v>
      </c>
      <c r="D529" s="12" t="s">
        <v>36</v>
      </c>
      <c r="E529" s="13" t="s">
        <v>4444</v>
      </c>
      <c r="F529" s="12">
        <v>27.0</v>
      </c>
      <c r="G529" s="12">
        <v>1997.0</v>
      </c>
      <c r="H529" s="15">
        <v>13.3</v>
      </c>
      <c r="I529" s="17">
        <v>0.08</v>
      </c>
      <c r="J529" s="18">
        <v>0.15</v>
      </c>
      <c r="K529" s="18">
        <v>0.08</v>
      </c>
      <c r="L529" s="15">
        <v>50.0</v>
      </c>
      <c r="M529" s="15">
        <v>0.15</v>
      </c>
      <c r="N529" s="15">
        <v>0.07</v>
      </c>
      <c r="O529" s="15">
        <v>0.5</v>
      </c>
      <c r="P529" s="15">
        <v>1.0</v>
      </c>
      <c r="Q529" s="19">
        <v>0.0</v>
      </c>
      <c r="R529" s="19">
        <v>0.0</v>
      </c>
      <c r="S529" s="20" t="s">
        <v>4445</v>
      </c>
    </row>
    <row r="530">
      <c r="A530" s="50">
        <v>508.0</v>
      </c>
      <c r="B530" s="13" t="s">
        <v>4446</v>
      </c>
      <c r="C530" s="11" t="s">
        <v>4447</v>
      </c>
      <c r="D530" s="12" t="s">
        <v>41</v>
      </c>
      <c r="E530" s="13" t="s">
        <v>4448</v>
      </c>
      <c r="F530" s="12">
        <v>19.0</v>
      </c>
      <c r="G530" s="12">
        <v>2006.0</v>
      </c>
      <c r="H530" s="15">
        <v>1.5</v>
      </c>
      <c r="I530" s="17">
        <v>0.67</v>
      </c>
      <c r="J530" s="18">
        <v>2.67</v>
      </c>
      <c r="K530" s="18">
        <v>0.67</v>
      </c>
      <c r="L530" s="15">
        <v>25.0</v>
      </c>
      <c r="M530" s="15">
        <v>2.59</v>
      </c>
      <c r="N530" s="15">
        <v>0.65</v>
      </c>
      <c r="O530" s="15">
        <v>0.25</v>
      </c>
      <c r="P530" s="15">
        <v>1.0</v>
      </c>
      <c r="Q530" s="19">
        <v>0.0</v>
      </c>
      <c r="R530" s="19">
        <v>0.0</v>
      </c>
      <c r="S530" s="20" t="s">
        <v>4449</v>
      </c>
    </row>
    <row r="531">
      <c r="A531" s="50">
        <v>509.0</v>
      </c>
      <c r="B531" s="13" t="s">
        <v>4450</v>
      </c>
      <c r="C531" s="11" t="s">
        <v>4451</v>
      </c>
      <c r="D531" s="12" t="s">
        <v>41</v>
      </c>
      <c r="E531" s="13" t="s">
        <v>4452</v>
      </c>
      <c r="F531" s="12">
        <v>22.0</v>
      </c>
      <c r="G531" s="12">
        <v>2003.0</v>
      </c>
      <c r="H531" s="15">
        <v>1.9</v>
      </c>
      <c r="I531" s="22">
        <v>0.0</v>
      </c>
      <c r="J531" s="18">
        <v>3.16</v>
      </c>
      <c r="K531" s="18">
        <v>1.05</v>
      </c>
      <c r="L531" s="15">
        <v>33.3</v>
      </c>
      <c r="M531" s="15">
        <v>3.12</v>
      </c>
      <c r="N531" s="15">
        <v>1.04</v>
      </c>
      <c r="O531" s="21">
        <v>0.0</v>
      </c>
      <c r="P531" s="21">
        <v>0.0</v>
      </c>
      <c r="Q531" s="19">
        <v>0.0</v>
      </c>
      <c r="R531" s="19">
        <v>0.0</v>
      </c>
      <c r="S531" s="20" t="s">
        <v>4453</v>
      </c>
    </row>
    <row r="532">
      <c r="A532" s="50">
        <v>510.0</v>
      </c>
      <c r="B532" s="13" t="s">
        <v>4454</v>
      </c>
      <c r="C532" s="11" t="s">
        <v>4455</v>
      </c>
      <c r="D532" s="12" t="s">
        <v>345</v>
      </c>
      <c r="E532" s="13" t="s">
        <v>4456</v>
      </c>
      <c r="F532" s="12">
        <v>22.0</v>
      </c>
      <c r="G532" s="12">
        <v>2002.0</v>
      </c>
      <c r="H532" s="15">
        <v>14.9</v>
      </c>
      <c r="I532" s="22">
        <v>0.0</v>
      </c>
      <c r="J532" s="18">
        <v>0.27</v>
      </c>
      <c r="K532" s="18">
        <v>0.07</v>
      </c>
      <c r="L532" s="15">
        <v>25.0</v>
      </c>
      <c r="M532" s="15">
        <v>0.27</v>
      </c>
      <c r="N532" s="15">
        <v>0.07</v>
      </c>
      <c r="O532" s="21">
        <v>0.0</v>
      </c>
      <c r="P532" s="21">
        <v>0.0</v>
      </c>
      <c r="Q532" s="19">
        <v>0.0</v>
      </c>
      <c r="R532" s="19">
        <v>0.0</v>
      </c>
      <c r="S532" s="20" t="s">
        <v>4457</v>
      </c>
    </row>
    <row r="533">
      <c r="A533" s="50">
        <v>511.0</v>
      </c>
      <c r="B533" s="13" t="s">
        <v>4458</v>
      </c>
      <c r="C533" s="11" t="s">
        <v>4459</v>
      </c>
      <c r="D533" s="12" t="s">
        <v>31</v>
      </c>
      <c r="E533" s="13" t="s">
        <v>4460</v>
      </c>
      <c r="F533" s="12">
        <v>24.0</v>
      </c>
      <c r="G533" s="12">
        <v>2001.0</v>
      </c>
      <c r="H533" s="15">
        <v>9.9</v>
      </c>
      <c r="I533" s="22">
        <v>0.0</v>
      </c>
      <c r="J533" s="18">
        <v>1.31</v>
      </c>
      <c r="K533" s="18">
        <v>0.1</v>
      </c>
      <c r="L533" s="15">
        <v>7.7</v>
      </c>
      <c r="M533" s="15">
        <v>1.32</v>
      </c>
      <c r="N533" s="15">
        <v>0.1</v>
      </c>
      <c r="O533" s="21">
        <v>0.0</v>
      </c>
      <c r="P533" s="21">
        <v>0.0</v>
      </c>
      <c r="Q533" s="19">
        <v>0.0</v>
      </c>
      <c r="R533" s="19">
        <v>0.0</v>
      </c>
      <c r="S533" s="20" t="s">
        <v>4461</v>
      </c>
    </row>
    <row r="534">
      <c r="A534" s="50">
        <v>512.0</v>
      </c>
      <c r="B534" s="13" t="s">
        <v>4462</v>
      </c>
      <c r="C534" s="11" t="s">
        <v>4463</v>
      </c>
      <c r="D534" s="12" t="s">
        <v>31</v>
      </c>
      <c r="E534" s="13" t="s">
        <v>4464</v>
      </c>
      <c r="F534" s="12">
        <v>21.0</v>
      </c>
      <c r="G534" s="12">
        <v>2004.0</v>
      </c>
      <c r="H534" s="15">
        <v>26.0</v>
      </c>
      <c r="I534" s="17">
        <v>0.12</v>
      </c>
      <c r="J534" s="18">
        <v>0.88</v>
      </c>
      <c r="K534" s="18">
        <v>0.31</v>
      </c>
      <c r="L534" s="15">
        <v>34.8</v>
      </c>
      <c r="M534" s="15">
        <v>0.89</v>
      </c>
      <c r="N534" s="15">
        <v>0.31</v>
      </c>
      <c r="O534" s="15">
        <v>0.13</v>
      </c>
      <c r="P534" s="15">
        <v>0.38</v>
      </c>
      <c r="Q534" s="19">
        <v>0.0</v>
      </c>
      <c r="R534" s="19">
        <v>0.0</v>
      </c>
      <c r="S534" s="20" t="s">
        <v>4465</v>
      </c>
    </row>
    <row r="535">
      <c r="A535" s="50">
        <v>513.0</v>
      </c>
      <c r="B535" s="13" t="s">
        <v>4466</v>
      </c>
      <c r="C535" s="11" t="s">
        <v>4467</v>
      </c>
      <c r="D535" s="12" t="s">
        <v>41</v>
      </c>
      <c r="E535" s="13" t="s">
        <v>4468</v>
      </c>
      <c r="F535" s="12">
        <v>28.0</v>
      </c>
      <c r="G535" s="12">
        <v>1997.0</v>
      </c>
      <c r="H535" s="15">
        <v>2.6</v>
      </c>
      <c r="I535" s="17">
        <v>0.38</v>
      </c>
      <c r="J535" s="18">
        <v>5.77</v>
      </c>
      <c r="K535" s="18">
        <v>1.15</v>
      </c>
      <c r="L535" s="15">
        <v>20.0</v>
      </c>
      <c r="M535" s="15">
        <v>5.82</v>
      </c>
      <c r="N535" s="15">
        <v>1.16</v>
      </c>
      <c r="O535" s="15">
        <v>0.07</v>
      </c>
      <c r="P535" s="15">
        <v>0.33</v>
      </c>
      <c r="Q535" s="19">
        <v>0.0</v>
      </c>
      <c r="R535" s="19">
        <v>0.0</v>
      </c>
      <c r="S535" s="20" t="s">
        <v>4469</v>
      </c>
    </row>
    <row r="536">
      <c r="A536" s="50">
        <v>514.0</v>
      </c>
      <c r="B536" s="13" t="s">
        <v>4470</v>
      </c>
      <c r="C536" s="11" t="s">
        <v>4471</v>
      </c>
      <c r="D536" s="12" t="s">
        <v>98</v>
      </c>
      <c r="E536" s="13" t="s">
        <v>4472</v>
      </c>
      <c r="F536" s="12">
        <v>23.0</v>
      </c>
      <c r="G536" s="12">
        <v>2001.0</v>
      </c>
      <c r="H536" s="15">
        <v>1.0</v>
      </c>
      <c r="I536" s="22">
        <v>0.0</v>
      </c>
      <c r="J536" s="19">
        <v>0.0</v>
      </c>
      <c r="K536" s="19">
        <v>0.0</v>
      </c>
      <c r="L536" s="36"/>
      <c r="M536" s="21">
        <v>0.0</v>
      </c>
      <c r="N536" s="21">
        <v>0.0</v>
      </c>
      <c r="O536" s="36"/>
      <c r="P536" s="36"/>
      <c r="Q536" s="19">
        <v>0.0</v>
      </c>
      <c r="R536" s="19">
        <v>0.0</v>
      </c>
      <c r="S536" s="20" t="s">
        <v>4473</v>
      </c>
    </row>
    <row r="537">
      <c r="A537" s="50">
        <v>515.0</v>
      </c>
      <c r="B537" s="13" t="s">
        <v>4474</v>
      </c>
      <c r="C537" s="11" t="s">
        <v>4475</v>
      </c>
      <c r="D537" s="12" t="s">
        <v>36</v>
      </c>
      <c r="E537" s="13" t="s">
        <v>4476</v>
      </c>
      <c r="F537" s="12">
        <v>34.0</v>
      </c>
      <c r="G537" s="12">
        <v>1991.0</v>
      </c>
      <c r="H537" s="15">
        <v>38.0</v>
      </c>
      <c r="I537" s="17">
        <v>0.16</v>
      </c>
      <c r="J537" s="18">
        <v>0.79</v>
      </c>
      <c r="K537" s="18">
        <v>0.37</v>
      </c>
      <c r="L537" s="15">
        <v>46.7</v>
      </c>
      <c r="M537" s="15">
        <v>0.79</v>
      </c>
      <c r="N537" s="15">
        <v>0.37</v>
      </c>
      <c r="O537" s="15">
        <v>0.2</v>
      </c>
      <c r="P537" s="15">
        <v>0.43</v>
      </c>
      <c r="Q537" s="19">
        <v>0.0</v>
      </c>
      <c r="R537" s="19">
        <v>0.0</v>
      </c>
      <c r="S537" s="20" t="s">
        <v>4477</v>
      </c>
    </row>
    <row r="538">
      <c r="A538" s="50">
        <v>516.0</v>
      </c>
      <c r="B538" s="13" t="s">
        <v>4478</v>
      </c>
      <c r="C538" s="11" t="s">
        <v>4479</v>
      </c>
      <c r="D538" s="12" t="s">
        <v>36</v>
      </c>
      <c r="E538" s="13" t="s">
        <v>4480</v>
      </c>
      <c r="F538" s="12">
        <v>33.0</v>
      </c>
      <c r="G538" s="12">
        <v>1992.0</v>
      </c>
      <c r="H538" s="15">
        <v>11.7</v>
      </c>
      <c r="I538" s="17">
        <v>0.09</v>
      </c>
      <c r="J538" s="18">
        <v>0.34</v>
      </c>
      <c r="K538" s="18">
        <v>0.09</v>
      </c>
      <c r="L538" s="15">
        <v>25.0</v>
      </c>
      <c r="M538" s="15">
        <v>0.34</v>
      </c>
      <c r="N538" s="15">
        <v>0.09</v>
      </c>
      <c r="O538" s="15">
        <v>0.25</v>
      </c>
      <c r="P538" s="15">
        <v>1.0</v>
      </c>
      <c r="Q538" s="19">
        <v>0.0</v>
      </c>
      <c r="R538" s="19">
        <v>0.0</v>
      </c>
      <c r="S538" s="20" t="s">
        <v>4481</v>
      </c>
    </row>
    <row r="539">
      <c r="A539" s="50">
        <v>517.0</v>
      </c>
      <c r="B539" s="13" t="s">
        <v>4482</v>
      </c>
      <c r="C539" s="11" t="s">
        <v>4483</v>
      </c>
      <c r="D539" s="12" t="s">
        <v>36</v>
      </c>
      <c r="E539" s="13" t="s">
        <v>4484</v>
      </c>
      <c r="F539" s="12">
        <v>24.0</v>
      </c>
      <c r="G539" s="12">
        <v>2001.0</v>
      </c>
      <c r="H539" s="15">
        <v>33.8</v>
      </c>
      <c r="I539" s="17">
        <v>0.12</v>
      </c>
      <c r="J539" s="18">
        <v>0.47</v>
      </c>
      <c r="K539" s="18">
        <v>0.18</v>
      </c>
      <c r="L539" s="15">
        <v>37.5</v>
      </c>
      <c r="M539" s="15">
        <v>0.47</v>
      </c>
      <c r="N539" s="15">
        <v>0.18</v>
      </c>
      <c r="O539" s="15">
        <v>0.25</v>
      </c>
      <c r="P539" s="15">
        <v>0.67</v>
      </c>
      <c r="Q539" s="19">
        <v>0.0</v>
      </c>
      <c r="R539" s="19">
        <v>0.0</v>
      </c>
      <c r="S539" s="20" t="s">
        <v>4485</v>
      </c>
    </row>
    <row r="540">
      <c r="A540" s="50">
        <v>518.0</v>
      </c>
      <c r="B540" s="13" t="s">
        <v>4486</v>
      </c>
      <c r="C540" s="11" t="s">
        <v>4487</v>
      </c>
      <c r="D540" s="12" t="s">
        <v>98</v>
      </c>
      <c r="E540" s="13" t="s">
        <v>4488</v>
      </c>
      <c r="F540" s="12">
        <v>22.0</v>
      </c>
      <c r="G540" s="12">
        <v>2002.0</v>
      </c>
      <c r="H540" s="15">
        <v>38.0</v>
      </c>
      <c r="I540" s="22">
        <v>0.0</v>
      </c>
      <c r="J540" s="19">
        <v>0.0</v>
      </c>
      <c r="K540" s="19">
        <v>0.0</v>
      </c>
      <c r="L540" s="36"/>
      <c r="M540" s="21">
        <v>0.0</v>
      </c>
      <c r="N540" s="21">
        <v>0.0</v>
      </c>
      <c r="O540" s="36"/>
      <c r="P540" s="36"/>
      <c r="Q540" s="19">
        <v>0.0</v>
      </c>
      <c r="R540" s="19">
        <v>0.0</v>
      </c>
      <c r="S540" s="20" t="s">
        <v>4489</v>
      </c>
    </row>
    <row r="541">
      <c r="A541" s="50">
        <v>519.0</v>
      </c>
      <c r="B541" s="13" t="s">
        <v>4490</v>
      </c>
      <c r="C541" s="11" t="s">
        <v>4491</v>
      </c>
      <c r="D541" s="12" t="s">
        <v>98</v>
      </c>
      <c r="E541" s="13" t="s">
        <v>4492</v>
      </c>
      <c r="F541" s="12">
        <v>28.0</v>
      </c>
      <c r="G541" s="12">
        <v>1996.0</v>
      </c>
      <c r="H541" s="15">
        <v>31.0</v>
      </c>
      <c r="I541" s="22">
        <v>0.0</v>
      </c>
      <c r="J541" s="19">
        <v>0.0</v>
      </c>
      <c r="K541" s="19">
        <v>0.0</v>
      </c>
      <c r="L541" s="36"/>
      <c r="M541" s="21">
        <v>0.0</v>
      </c>
      <c r="N541" s="21">
        <v>0.0</v>
      </c>
      <c r="O541" s="36"/>
      <c r="P541" s="36"/>
      <c r="Q541" s="19">
        <v>0.0</v>
      </c>
      <c r="R541" s="19">
        <v>0.0</v>
      </c>
      <c r="S541" s="20" t="s">
        <v>4493</v>
      </c>
    </row>
    <row r="542">
      <c r="A542" s="50">
        <v>520.0</v>
      </c>
      <c r="B542" s="13" t="s">
        <v>4494</v>
      </c>
      <c r="C542" s="11" t="s">
        <v>4495</v>
      </c>
      <c r="D542" s="12" t="s">
        <v>345</v>
      </c>
      <c r="E542" s="13" t="s">
        <v>4496</v>
      </c>
      <c r="F542" s="12">
        <v>35.0</v>
      </c>
      <c r="G542" s="12">
        <v>1990.0</v>
      </c>
      <c r="H542" s="15">
        <v>34.4</v>
      </c>
      <c r="I542" s="22">
        <v>0.0</v>
      </c>
      <c r="J542" s="18">
        <v>0.12</v>
      </c>
      <c r="K542" s="19">
        <v>0.0</v>
      </c>
      <c r="L542" s="21">
        <v>0.0</v>
      </c>
      <c r="M542" s="15">
        <v>0.12</v>
      </c>
      <c r="N542" s="21">
        <v>0.0</v>
      </c>
      <c r="O542" s="21">
        <v>0.0</v>
      </c>
      <c r="P542" s="36"/>
      <c r="Q542" s="19">
        <v>0.0</v>
      </c>
      <c r="R542" s="19">
        <v>0.0</v>
      </c>
      <c r="S542" s="20" t="s">
        <v>4497</v>
      </c>
    </row>
    <row r="543">
      <c r="A543" s="50">
        <v>521.0</v>
      </c>
      <c r="B543" s="13" t="s">
        <v>4498</v>
      </c>
      <c r="C543" s="11" t="s">
        <v>4499</v>
      </c>
      <c r="D543" s="12" t="s">
        <v>36</v>
      </c>
      <c r="E543" s="13" t="s">
        <v>4500</v>
      </c>
      <c r="F543" s="12">
        <v>28.0</v>
      </c>
      <c r="G543" s="12">
        <v>1997.0</v>
      </c>
      <c r="H543" s="15">
        <v>15.4</v>
      </c>
      <c r="I543" s="17">
        <v>0.06</v>
      </c>
      <c r="J543" s="18">
        <v>0.32</v>
      </c>
      <c r="K543" s="18">
        <v>0.19</v>
      </c>
      <c r="L543" s="15">
        <v>60.0</v>
      </c>
      <c r="M543" s="15">
        <v>0.33</v>
      </c>
      <c r="N543" s="15">
        <v>0.2</v>
      </c>
      <c r="O543" s="15">
        <v>0.2</v>
      </c>
      <c r="P543" s="15">
        <v>0.33</v>
      </c>
      <c r="Q543" s="19">
        <v>0.0</v>
      </c>
      <c r="R543" s="19">
        <v>0.0</v>
      </c>
      <c r="S543" s="20" t="s">
        <v>4501</v>
      </c>
    </row>
    <row r="544">
      <c r="A544" s="50">
        <v>522.0</v>
      </c>
      <c r="B544" s="13" t="s">
        <v>4502</v>
      </c>
      <c r="C544" s="11" t="s">
        <v>4503</v>
      </c>
      <c r="D544" s="12" t="s">
        <v>345</v>
      </c>
      <c r="E544" s="13" t="s">
        <v>4504</v>
      </c>
      <c r="F544" s="12">
        <v>27.0</v>
      </c>
      <c r="G544" s="12">
        <v>1997.0</v>
      </c>
      <c r="H544" s="15">
        <v>23.1</v>
      </c>
      <c r="I544" s="22">
        <v>0.0</v>
      </c>
      <c r="J544" s="19">
        <v>0.0</v>
      </c>
      <c r="K544" s="19">
        <v>0.0</v>
      </c>
      <c r="L544" s="36"/>
      <c r="M544" s="21">
        <v>0.0</v>
      </c>
      <c r="N544" s="21">
        <v>0.0</v>
      </c>
      <c r="O544" s="36"/>
      <c r="P544" s="36"/>
      <c r="Q544" s="19">
        <v>0.0</v>
      </c>
      <c r="R544" s="19">
        <v>0.0</v>
      </c>
      <c r="S544" s="20" t="s">
        <v>4505</v>
      </c>
    </row>
    <row r="545">
      <c r="A545" s="50">
        <v>523.0</v>
      </c>
      <c r="B545" s="13" t="s">
        <v>4506</v>
      </c>
      <c r="C545" s="11" t="s">
        <v>4507</v>
      </c>
      <c r="D545" s="12" t="s">
        <v>31</v>
      </c>
      <c r="E545" s="13" t="s">
        <v>4508</v>
      </c>
      <c r="F545" s="12">
        <v>30.0</v>
      </c>
      <c r="G545" s="12">
        <v>1994.0</v>
      </c>
      <c r="H545" s="15">
        <v>4.6</v>
      </c>
      <c r="I545" s="22">
        <v>0.0</v>
      </c>
      <c r="J545" s="18">
        <v>0.43</v>
      </c>
      <c r="K545" s="19">
        <v>0.0</v>
      </c>
      <c r="L545" s="21">
        <v>0.0</v>
      </c>
      <c r="M545" s="15">
        <v>0.44</v>
      </c>
      <c r="N545" s="21">
        <v>0.0</v>
      </c>
      <c r="O545" s="21">
        <v>0.0</v>
      </c>
      <c r="P545" s="36"/>
      <c r="Q545" s="19">
        <v>0.0</v>
      </c>
      <c r="R545" s="19">
        <v>0.0</v>
      </c>
      <c r="S545" s="20" t="s">
        <v>4509</v>
      </c>
    </row>
    <row r="546">
      <c r="A546" s="50">
        <v>524.0</v>
      </c>
      <c r="B546" s="13" t="s">
        <v>4510</v>
      </c>
      <c r="C546" s="11" t="s">
        <v>4511</v>
      </c>
      <c r="D546" s="12" t="s">
        <v>31</v>
      </c>
      <c r="E546" s="13" t="s">
        <v>4512</v>
      </c>
      <c r="F546" s="12">
        <v>30.0</v>
      </c>
      <c r="G546" s="12">
        <v>1994.0</v>
      </c>
      <c r="H546" s="15">
        <v>7.6</v>
      </c>
      <c r="I546" s="22">
        <v>0.0</v>
      </c>
      <c r="J546" s="18">
        <v>0.39</v>
      </c>
      <c r="K546" s="18">
        <v>0.26</v>
      </c>
      <c r="L546" s="15">
        <v>66.7</v>
      </c>
      <c r="M546" s="15">
        <v>0.39</v>
      </c>
      <c r="N546" s="15">
        <v>0.26</v>
      </c>
      <c r="O546" s="21">
        <v>0.0</v>
      </c>
      <c r="P546" s="21">
        <v>0.0</v>
      </c>
      <c r="Q546" s="19">
        <v>0.0</v>
      </c>
      <c r="R546" s="19">
        <v>0.0</v>
      </c>
      <c r="S546" s="20" t="s">
        <v>4513</v>
      </c>
    </row>
    <row r="547">
      <c r="A547" s="50">
        <v>525.0</v>
      </c>
      <c r="B547" s="13" t="s">
        <v>4514</v>
      </c>
      <c r="C547" s="11" t="s">
        <v>4515</v>
      </c>
      <c r="D547" s="12" t="s">
        <v>41</v>
      </c>
      <c r="E547" s="13" t="s">
        <v>4516</v>
      </c>
      <c r="F547" s="12">
        <v>29.0</v>
      </c>
      <c r="G547" s="12">
        <v>1995.0</v>
      </c>
      <c r="H547" s="15">
        <v>31.5</v>
      </c>
      <c r="I547" s="17">
        <v>0.51</v>
      </c>
      <c r="J547" s="18">
        <v>2.63</v>
      </c>
      <c r="K547" s="18">
        <v>1.21</v>
      </c>
      <c r="L547" s="15">
        <v>45.8</v>
      </c>
      <c r="M547" s="15">
        <v>2.63</v>
      </c>
      <c r="N547" s="15">
        <v>1.2</v>
      </c>
      <c r="O547" s="15">
        <v>0.19</v>
      </c>
      <c r="P547" s="15">
        <v>0.42</v>
      </c>
      <c r="Q547" s="19">
        <v>0.0</v>
      </c>
      <c r="R547" s="19">
        <v>0.0</v>
      </c>
      <c r="S547" s="20" t="s">
        <v>4517</v>
      </c>
    </row>
    <row r="548">
      <c r="A548" s="37" t="s">
        <v>3</v>
      </c>
      <c r="B548" s="51" t="s">
        <v>4</v>
      </c>
      <c r="C548" s="39" t="s">
        <v>5</v>
      </c>
      <c r="D548" s="39" t="s">
        <v>6</v>
      </c>
      <c r="E548" s="39" t="s">
        <v>7</v>
      </c>
      <c r="F548" s="39" t="s">
        <v>8</v>
      </c>
      <c r="G548" s="39" t="s">
        <v>9</v>
      </c>
      <c r="H548" s="39" t="s">
        <v>13</v>
      </c>
      <c r="I548" s="40" t="s">
        <v>14</v>
      </c>
      <c r="J548" s="39" t="s">
        <v>2411</v>
      </c>
      <c r="K548" s="39" t="s">
        <v>2412</v>
      </c>
      <c r="L548" s="39" t="s">
        <v>2413</v>
      </c>
      <c r="M548" s="39" t="s">
        <v>2414</v>
      </c>
      <c r="N548" s="39" t="s">
        <v>2415</v>
      </c>
      <c r="O548" s="39" t="s">
        <v>2416</v>
      </c>
      <c r="P548" s="39" t="s">
        <v>2417</v>
      </c>
      <c r="Q548" s="39" t="s">
        <v>18</v>
      </c>
      <c r="R548" s="39" t="s">
        <v>19</v>
      </c>
      <c r="S548" s="40" t="s">
        <v>23</v>
      </c>
    </row>
    <row r="549">
      <c r="A549" s="50">
        <v>526.0</v>
      </c>
      <c r="B549" s="13" t="s">
        <v>4518</v>
      </c>
      <c r="C549" s="11" t="s">
        <v>4519</v>
      </c>
      <c r="D549" s="12" t="s">
        <v>31</v>
      </c>
      <c r="E549" s="13" t="s">
        <v>4520</v>
      </c>
      <c r="F549" s="12">
        <v>19.0</v>
      </c>
      <c r="G549" s="12">
        <v>2006.0</v>
      </c>
      <c r="H549" s="15">
        <v>0.7</v>
      </c>
      <c r="I549" s="22">
        <v>0.0</v>
      </c>
      <c r="J549" s="18">
        <v>1.43</v>
      </c>
      <c r="K549" s="18">
        <v>1.43</v>
      </c>
      <c r="L549" s="15">
        <v>100.0</v>
      </c>
      <c r="M549" s="15">
        <v>1.45</v>
      </c>
      <c r="N549" s="15">
        <v>1.45</v>
      </c>
      <c r="O549" s="21">
        <v>0.0</v>
      </c>
      <c r="P549" s="21">
        <v>0.0</v>
      </c>
      <c r="Q549" s="19">
        <v>0.0</v>
      </c>
      <c r="R549" s="19">
        <v>0.0</v>
      </c>
      <c r="S549" s="20" t="s">
        <v>4521</v>
      </c>
    </row>
    <row r="550">
      <c r="A550" s="50">
        <v>527.0</v>
      </c>
      <c r="B550" s="13" t="s">
        <v>4522</v>
      </c>
      <c r="C550" s="11" t="s">
        <v>4523</v>
      </c>
      <c r="D550" s="12" t="s">
        <v>98</v>
      </c>
      <c r="E550" s="13" t="s">
        <v>4524</v>
      </c>
      <c r="F550" s="12">
        <v>21.0</v>
      </c>
      <c r="G550" s="12">
        <v>2004.0</v>
      </c>
      <c r="H550" s="15">
        <v>3.0</v>
      </c>
      <c r="I550" s="22">
        <v>0.0</v>
      </c>
      <c r="J550" s="19">
        <v>0.0</v>
      </c>
      <c r="K550" s="19">
        <v>0.0</v>
      </c>
      <c r="L550" s="36"/>
      <c r="M550" s="21">
        <v>0.0</v>
      </c>
      <c r="N550" s="21">
        <v>0.0</v>
      </c>
      <c r="O550" s="36"/>
      <c r="P550" s="36"/>
      <c r="Q550" s="19">
        <v>0.0</v>
      </c>
      <c r="R550" s="19">
        <v>0.0</v>
      </c>
      <c r="S550" s="20" t="s">
        <v>4525</v>
      </c>
    </row>
    <row r="551">
      <c r="A551" s="50">
        <v>528.0</v>
      </c>
      <c r="B551" s="13" t="s">
        <v>4526</v>
      </c>
      <c r="C551" s="11" t="s">
        <v>4527</v>
      </c>
      <c r="D551" s="12" t="s">
        <v>41</v>
      </c>
      <c r="E551" s="13" t="s">
        <v>4528</v>
      </c>
      <c r="F551" s="12">
        <v>34.0</v>
      </c>
      <c r="G551" s="12">
        <v>1990.0</v>
      </c>
      <c r="H551" s="15">
        <v>25.1</v>
      </c>
      <c r="I551" s="17">
        <v>0.52</v>
      </c>
      <c r="J551" s="18">
        <v>2.23</v>
      </c>
      <c r="K551" s="18">
        <v>1.12</v>
      </c>
      <c r="L551" s="15">
        <v>50.0</v>
      </c>
      <c r="M551" s="15">
        <v>2.23</v>
      </c>
      <c r="N551" s="15">
        <v>1.12</v>
      </c>
      <c r="O551" s="15">
        <v>0.21</v>
      </c>
      <c r="P551" s="15">
        <v>0.43</v>
      </c>
      <c r="Q551" s="18">
        <v>0.04</v>
      </c>
      <c r="R551" s="18">
        <v>0.12</v>
      </c>
      <c r="S551" s="20" t="s">
        <v>4529</v>
      </c>
    </row>
    <row r="552">
      <c r="A552" s="50">
        <v>529.0</v>
      </c>
      <c r="B552" s="13" t="s">
        <v>4530</v>
      </c>
      <c r="C552" s="11" t="s">
        <v>4531</v>
      </c>
      <c r="D552" s="12" t="s">
        <v>31</v>
      </c>
      <c r="E552" s="13" t="s">
        <v>4532</v>
      </c>
      <c r="F552" s="12">
        <v>21.0</v>
      </c>
      <c r="G552" s="12">
        <v>2004.0</v>
      </c>
      <c r="H552" s="15">
        <v>28.4</v>
      </c>
      <c r="I552" s="17">
        <v>0.04</v>
      </c>
      <c r="J552" s="18">
        <v>1.13</v>
      </c>
      <c r="K552" s="18">
        <v>0.21</v>
      </c>
      <c r="L552" s="15">
        <v>18.8</v>
      </c>
      <c r="M552" s="15">
        <v>1.13</v>
      </c>
      <c r="N552" s="15">
        <v>0.21</v>
      </c>
      <c r="O552" s="15">
        <v>0.03</v>
      </c>
      <c r="P552" s="15">
        <v>0.17</v>
      </c>
      <c r="Q552" s="19">
        <v>0.0</v>
      </c>
      <c r="R552" s="19">
        <v>0.0</v>
      </c>
      <c r="S552" s="20" t="s">
        <v>4533</v>
      </c>
    </row>
    <row r="553">
      <c r="A553" s="50">
        <v>530.0</v>
      </c>
      <c r="B553" s="13" t="s">
        <v>4534</v>
      </c>
      <c r="C553" s="11" t="s">
        <v>4535</v>
      </c>
      <c r="D553" s="12" t="s">
        <v>36</v>
      </c>
      <c r="E553" s="13" t="s">
        <v>4536</v>
      </c>
      <c r="F553" s="12">
        <v>27.0</v>
      </c>
      <c r="G553" s="12">
        <v>1997.0</v>
      </c>
      <c r="H553" s="15">
        <v>7.8</v>
      </c>
      <c r="I553" s="22">
        <v>0.0</v>
      </c>
      <c r="J553" s="18">
        <v>0.64</v>
      </c>
      <c r="K553" s="18">
        <v>0.13</v>
      </c>
      <c r="L553" s="15">
        <v>20.0</v>
      </c>
      <c r="M553" s="15">
        <v>0.64</v>
      </c>
      <c r="N553" s="15">
        <v>0.13</v>
      </c>
      <c r="O553" s="21">
        <v>0.0</v>
      </c>
      <c r="P553" s="21">
        <v>0.0</v>
      </c>
      <c r="Q553" s="19">
        <v>0.0</v>
      </c>
      <c r="R553" s="19">
        <v>0.0</v>
      </c>
      <c r="S553" s="20" t="s">
        <v>4537</v>
      </c>
    </row>
    <row r="554">
      <c r="A554" s="50">
        <v>531.0</v>
      </c>
      <c r="B554" s="13" t="s">
        <v>4538</v>
      </c>
      <c r="C554" s="11" t="s">
        <v>4539</v>
      </c>
      <c r="D554" s="12" t="s">
        <v>36</v>
      </c>
      <c r="E554" s="13" t="s">
        <v>4540</v>
      </c>
      <c r="F554" s="12">
        <v>25.0</v>
      </c>
      <c r="G554" s="12">
        <v>1999.0</v>
      </c>
      <c r="H554" s="15">
        <v>21.1</v>
      </c>
      <c r="I554" s="17">
        <v>0.09</v>
      </c>
      <c r="J554" s="18">
        <v>0.85</v>
      </c>
      <c r="K554" s="18">
        <v>0.28</v>
      </c>
      <c r="L554" s="15">
        <v>33.3</v>
      </c>
      <c r="M554" s="15">
        <v>0.85</v>
      </c>
      <c r="N554" s="15">
        <v>0.28</v>
      </c>
      <c r="O554" s="15">
        <v>0.11</v>
      </c>
      <c r="P554" s="15">
        <v>0.33</v>
      </c>
      <c r="Q554" s="19">
        <v>0.0</v>
      </c>
      <c r="R554" s="19">
        <v>0.0</v>
      </c>
      <c r="S554" s="20" t="s">
        <v>4541</v>
      </c>
    </row>
    <row r="555">
      <c r="A555" s="50">
        <v>532.0</v>
      </c>
      <c r="B555" s="13" t="s">
        <v>4542</v>
      </c>
      <c r="C555" s="11" t="s">
        <v>4543</v>
      </c>
      <c r="D555" s="12" t="s">
        <v>36</v>
      </c>
      <c r="E555" s="13" t="s">
        <v>4544</v>
      </c>
      <c r="F555" s="12">
        <v>24.0</v>
      </c>
      <c r="G555" s="12">
        <v>2001.0</v>
      </c>
      <c r="H555" s="15">
        <v>35.6</v>
      </c>
      <c r="I555" s="17">
        <v>0.06</v>
      </c>
      <c r="J555" s="18">
        <v>1.29</v>
      </c>
      <c r="K555" s="18">
        <v>0.53</v>
      </c>
      <c r="L555" s="15">
        <v>41.3</v>
      </c>
      <c r="M555" s="15">
        <v>1.29</v>
      </c>
      <c r="N555" s="15">
        <v>0.53</v>
      </c>
      <c r="O555" s="15">
        <v>0.04</v>
      </c>
      <c r="P555" s="15">
        <v>0.11</v>
      </c>
      <c r="Q555" s="19">
        <v>0.0</v>
      </c>
      <c r="R555" s="19">
        <v>0.0</v>
      </c>
      <c r="S555" s="20" t="s">
        <v>4545</v>
      </c>
    </row>
    <row r="556">
      <c r="A556" s="50">
        <v>533.0</v>
      </c>
      <c r="B556" s="13" t="s">
        <v>4546</v>
      </c>
      <c r="C556" s="11" t="s">
        <v>4547</v>
      </c>
      <c r="D556" s="12" t="s">
        <v>31</v>
      </c>
      <c r="E556" s="13" t="s">
        <v>4548</v>
      </c>
      <c r="F556" s="12">
        <v>18.0</v>
      </c>
      <c r="G556" s="12">
        <v>2007.0</v>
      </c>
      <c r="H556" s="15">
        <v>9.4</v>
      </c>
      <c r="I556" s="17">
        <v>0.21</v>
      </c>
      <c r="J556" s="18">
        <v>2.98</v>
      </c>
      <c r="K556" s="18">
        <v>0.85</v>
      </c>
      <c r="L556" s="15">
        <v>28.6</v>
      </c>
      <c r="M556" s="15">
        <v>2.97</v>
      </c>
      <c r="N556" s="15">
        <v>0.85</v>
      </c>
      <c r="O556" s="15">
        <v>0.07</v>
      </c>
      <c r="P556" s="15">
        <v>0.25</v>
      </c>
      <c r="Q556" s="19">
        <v>0.0</v>
      </c>
      <c r="R556" s="19">
        <v>0.0</v>
      </c>
      <c r="S556" s="20" t="s">
        <v>4549</v>
      </c>
    </row>
    <row r="557">
      <c r="A557" s="50">
        <v>534.0</v>
      </c>
      <c r="B557" s="13" t="s">
        <v>4550</v>
      </c>
      <c r="C557" s="11" t="s">
        <v>4551</v>
      </c>
      <c r="D557" s="12" t="s">
        <v>31</v>
      </c>
      <c r="E557" s="13" t="s">
        <v>4552</v>
      </c>
      <c r="F557" s="12">
        <v>25.0</v>
      </c>
      <c r="G557" s="12">
        <v>1999.0</v>
      </c>
      <c r="H557" s="15">
        <v>10.9</v>
      </c>
      <c r="I557" s="22">
        <v>0.0</v>
      </c>
      <c r="J557" s="18">
        <v>1.56</v>
      </c>
      <c r="K557" s="18">
        <v>0.55</v>
      </c>
      <c r="L557" s="15">
        <v>35.3</v>
      </c>
      <c r="M557" s="15">
        <v>1.56</v>
      </c>
      <c r="N557" s="15">
        <v>0.55</v>
      </c>
      <c r="O557" s="21">
        <v>0.0</v>
      </c>
      <c r="P557" s="21">
        <v>0.0</v>
      </c>
      <c r="Q557" s="19">
        <v>0.0</v>
      </c>
      <c r="R557" s="19">
        <v>0.0</v>
      </c>
      <c r="S557" s="20" t="s">
        <v>4553</v>
      </c>
    </row>
    <row r="558">
      <c r="A558" s="50">
        <v>535.0</v>
      </c>
      <c r="B558" s="13" t="s">
        <v>4554</v>
      </c>
      <c r="C558" s="11" t="s">
        <v>4555</v>
      </c>
      <c r="D558" s="12" t="s">
        <v>41</v>
      </c>
      <c r="E558" s="13" t="s">
        <v>4556</v>
      </c>
      <c r="F558" s="12">
        <v>33.0</v>
      </c>
      <c r="G558" s="12">
        <v>1992.0</v>
      </c>
      <c r="H558" s="15">
        <v>13.9</v>
      </c>
      <c r="I558" s="17">
        <v>0.5</v>
      </c>
      <c r="J558" s="18">
        <v>2.73</v>
      </c>
      <c r="K558" s="18">
        <v>1.15</v>
      </c>
      <c r="L558" s="15">
        <v>42.1</v>
      </c>
      <c r="M558" s="15">
        <v>2.73</v>
      </c>
      <c r="N558" s="15">
        <v>1.15</v>
      </c>
      <c r="O558" s="15">
        <v>0.18</v>
      </c>
      <c r="P558" s="15">
        <v>0.44</v>
      </c>
      <c r="Q558" s="19">
        <v>0.0</v>
      </c>
      <c r="R558" s="19">
        <v>0.0</v>
      </c>
      <c r="S558" s="20" t="s">
        <v>4557</v>
      </c>
    </row>
    <row r="559">
      <c r="A559" s="50">
        <v>536.0</v>
      </c>
      <c r="B559" s="13" t="s">
        <v>4558</v>
      </c>
      <c r="C559" s="11" t="s">
        <v>4559</v>
      </c>
      <c r="D559" s="12" t="s">
        <v>31</v>
      </c>
      <c r="E559" s="13" t="s">
        <v>4560</v>
      </c>
      <c r="F559" s="12">
        <v>28.0</v>
      </c>
      <c r="G559" s="12">
        <v>1997.0</v>
      </c>
      <c r="H559" s="15">
        <v>29.7</v>
      </c>
      <c r="I559" s="17">
        <v>0.34</v>
      </c>
      <c r="J559" s="18">
        <v>2.63</v>
      </c>
      <c r="K559" s="18">
        <v>0.84</v>
      </c>
      <c r="L559" s="15">
        <v>32.1</v>
      </c>
      <c r="M559" s="15">
        <v>2.63</v>
      </c>
      <c r="N559" s="15">
        <v>0.84</v>
      </c>
      <c r="O559" s="15">
        <v>0.13</v>
      </c>
      <c r="P559" s="15">
        <v>0.4</v>
      </c>
      <c r="Q559" s="19">
        <v>0.0</v>
      </c>
      <c r="R559" s="19">
        <v>0.0</v>
      </c>
      <c r="S559" s="20" t="s">
        <v>4561</v>
      </c>
    </row>
    <row r="560">
      <c r="A560" s="50">
        <v>537.0</v>
      </c>
      <c r="B560" s="13" t="s">
        <v>4562</v>
      </c>
      <c r="C560" s="11" t="s">
        <v>4563</v>
      </c>
      <c r="D560" s="12" t="s">
        <v>31</v>
      </c>
      <c r="E560" s="13" t="s">
        <v>4564</v>
      </c>
      <c r="F560" s="12">
        <v>20.0</v>
      </c>
      <c r="G560" s="12">
        <v>2004.0</v>
      </c>
      <c r="H560" s="15">
        <v>0.1</v>
      </c>
      <c r="I560" s="22">
        <v>0.0</v>
      </c>
      <c r="J560" s="19">
        <v>0.0</v>
      </c>
      <c r="K560" s="19">
        <v>0.0</v>
      </c>
      <c r="L560" s="36"/>
      <c r="M560" s="21">
        <v>0.0</v>
      </c>
      <c r="N560" s="21">
        <v>0.0</v>
      </c>
      <c r="O560" s="36"/>
      <c r="P560" s="36"/>
      <c r="Q560" s="19">
        <v>0.0</v>
      </c>
      <c r="R560" s="19">
        <v>0.0</v>
      </c>
      <c r="S560" s="20" t="s">
        <v>4565</v>
      </c>
    </row>
    <row r="561">
      <c r="A561" s="50">
        <v>538.0</v>
      </c>
      <c r="B561" s="13" t="s">
        <v>4566</v>
      </c>
      <c r="C561" s="11" t="s">
        <v>4567</v>
      </c>
      <c r="D561" s="12" t="s">
        <v>31</v>
      </c>
      <c r="E561" s="13" t="s">
        <v>4568</v>
      </c>
      <c r="F561" s="12">
        <v>22.0</v>
      </c>
      <c r="G561" s="12">
        <v>2003.0</v>
      </c>
      <c r="H561" s="15">
        <v>26.4</v>
      </c>
      <c r="I561" s="17">
        <v>0.19</v>
      </c>
      <c r="J561" s="18">
        <v>1.93</v>
      </c>
      <c r="K561" s="18">
        <v>0.68</v>
      </c>
      <c r="L561" s="15">
        <v>35.3</v>
      </c>
      <c r="M561" s="15">
        <v>1.93</v>
      </c>
      <c r="N561" s="15">
        <v>0.68</v>
      </c>
      <c r="O561" s="15">
        <v>0.1</v>
      </c>
      <c r="P561" s="15">
        <v>0.28</v>
      </c>
      <c r="Q561" s="19">
        <v>0.0</v>
      </c>
      <c r="R561" s="19">
        <v>0.0</v>
      </c>
      <c r="S561" s="20" t="s">
        <v>4569</v>
      </c>
    </row>
    <row r="562">
      <c r="A562" s="50">
        <v>539.0</v>
      </c>
      <c r="B562" s="13" t="s">
        <v>4570</v>
      </c>
      <c r="C562" s="11" t="s">
        <v>4571</v>
      </c>
      <c r="D562" s="12" t="s">
        <v>41</v>
      </c>
      <c r="E562" s="13" t="s">
        <v>4572</v>
      </c>
      <c r="F562" s="12">
        <v>28.0</v>
      </c>
      <c r="G562" s="12">
        <v>1996.0</v>
      </c>
      <c r="H562" s="15">
        <v>5.9</v>
      </c>
      <c r="I562" s="17">
        <v>0.17</v>
      </c>
      <c r="J562" s="18">
        <v>2.2</v>
      </c>
      <c r="K562" s="18">
        <v>0.85</v>
      </c>
      <c r="L562" s="15">
        <v>38.5</v>
      </c>
      <c r="M562" s="15">
        <v>2.2</v>
      </c>
      <c r="N562" s="15">
        <v>0.85</v>
      </c>
      <c r="O562" s="15">
        <v>0.08</v>
      </c>
      <c r="P562" s="15">
        <v>0.2</v>
      </c>
      <c r="Q562" s="19">
        <v>0.0</v>
      </c>
      <c r="R562" s="19">
        <v>0.0</v>
      </c>
      <c r="S562" s="20" t="s">
        <v>4573</v>
      </c>
    </row>
    <row r="563">
      <c r="A563" s="50">
        <v>540.0</v>
      </c>
      <c r="B563" s="13" t="s">
        <v>4574</v>
      </c>
      <c r="C563" s="11" t="s">
        <v>4575</v>
      </c>
      <c r="D563" s="12" t="s">
        <v>107</v>
      </c>
      <c r="E563" s="13" t="s">
        <v>4576</v>
      </c>
      <c r="F563" s="12">
        <v>23.0</v>
      </c>
      <c r="G563" s="12">
        <v>2002.0</v>
      </c>
      <c r="H563" s="15">
        <v>21.1</v>
      </c>
      <c r="I563" s="17">
        <v>0.38</v>
      </c>
      <c r="J563" s="18">
        <v>1.52</v>
      </c>
      <c r="K563" s="18">
        <v>0.62</v>
      </c>
      <c r="L563" s="15">
        <v>40.6</v>
      </c>
      <c r="M563" s="15">
        <v>1.51</v>
      </c>
      <c r="N563" s="15">
        <v>0.62</v>
      </c>
      <c r="O563" s="15">
        <v>0.22</v>
      </c>
      <c r="P563" s="15">
        <v>0.54</v>
      </c>
      <c r="Q563" s="18">
        <v>0.05</v>
      </c>
      <c r="R563" s="18">
        <v>0.05</v>
      </c>
      <c r="S563" s="20" t="s">
        <v>4577</v>
      </c>
    </row>
    <row r="564">
      <c r="A564" s="50">
        <v>541.0</v>
      </c>
      <c r="B564" s="13" t="s">
        <v>4578</v>
      </c>
      <c r="C564" s="11" t="s">
        <v>4579</v>
      </c>
      <c r="D564" s="12" t="s">
        <v>41</v>
      </c>
      <c r="E564" s="13" t="s">
        <v>4580</v>
      </c>
      <c r="F564" s="12">
        <v>33.0</v>
      </c>
      <c r="G564" s="12">
        <v>1991.0</v>
      </c>
      <c r="H564" s="15">
        <v>10.0</v>
      </c>
      <c r="I564" s="17">
        <v>0.3</v>
      </c>
      <c r="J564" s="18">
        <v>2.3</v>
      </c>
      <c r="K564" s="18">
        <v>0.9</v>
      </c>
      <c r="L564" s="15">
        <v>39.1</v>
      </c>
      <c r="M564" s="15">
        <v>2.3</v>
      </c>
      <c r="N564" s="15">
        <v>0.9</v>
      </c>
      <c r="O564" s="15">
        <v>0.13</v>
      </c>
      <c r="P564" s="15">
        <v>0.33</v>
      </c>
      <c r="Q564" s="19">
        <v>0.0</v>
      </c>
      <c r="R564" s="19">
        <v>0.0</v>
      </c>
      <c r="S564" s="20" t="s">
        <v>4581</v>
      </c>
    </row>
    <row r="565">
      <c r="A565" s="50">
        <v>542.0</v>
      </c>
      <c r="B565" s="13" t="s">
        <v>4582</v>
      </c>
      <c r="C565" s="11" t="s">
        <v>4583</v>
      </c>
      <c r="D565" s="12" t="s">
        <v>98</v>
      </c>
      <c r="E565" s="13" t="s">
        <v>4584</v>
      </c>
      <c r="F565" s="12">
        <v>28.0</v>
      </c>
      <c r="G565" s="12">
        <v>1997.0</v>
      </c>
      <c r="H565" s="15">
        <v>2.4</v>
      </c>
      <c r="I565" s="22">
        <v>0.0</v>
      </c>
      <c r="J565" s="19">
        <v>0.0</v>
      </c>
      <c r="K565" s="19">
        <v>0.0</v>
      </c>
      <c r="L565" s="36"/>
      <c r="M565" s="21">
        <v>0.0</v>
      </c>
      <c r="N565" s="21">
        <v>0.0</v>
      </c>
      <c r="O565" s="36"/>
      <c r="P565" s="36"/>
      <c r="Q565" s="19">
        <v>0.0</v>
      </c>
      <c r="R565" s="19">
        <v>0.0</v>
      </c>
      <c r="S565" s="20" t="s">
        <v>4585</v>
      </c>
    </row>
    <row r="566">
      <c r="A566" s="50">
        <v>543.0</v>
      </c>
      <c r="B566" s="13" t="s">
        <v>4586</v>
      </c>
      <c r="C566" s="11" t="s">
        <v>4587</v>
      </c>
      <c r="D566" s="12" t="s">
        <v>36</v>
      </c>
      <c r="E566" s="13" t="s">
        <v>4588</v>
      </c>
      <c r="F566" s="12">
        <v>28.0</v>
      </c>
      <c r="G566" s="12">
        <v>1997.0</v>
      </c>
      <c r="H566" s="15">
        <v>5.6</v>
      </c>
      <c r="I566" s="22">
        <v>0.0</v>
      </c>
      <c r="J566" s="18">
        <v>0.18</v>
      </c>
      <c r="K566" s="19">
        <v>0.0</v>
      </c>
      <c r="L566" s="21">
        <v>0.0</v>
      </c>
      <c r="M566" s="15">
        <v>0.18</v>
      </c>
      <c r="N566" s="21">
        <v>0.0</v>
      </c>
      <c r="O566" s="21">
        <v>0.0</v>
      </c>
      <c r="P566" s="36"/>
      <c r="Q566" s="19">
        <v>0.0</v>
      </c>
      <c r="R566" s="19">
        <v>0.0</v>
      </c>
      <c r="S566" s="20" t="s">
        <v>4589</v>
      </c>
    </row>
    <row r="567">
      <c r="A567" s="50">
        <v>544.0</v>
      </c>
      <c r="B567" s="13" t="s">
        <v>4590</v>
      </c>
      <c r="C567" s="11" t="s">
        <v>4591</v>
      </c>
      <c r="D567" s="12" t="s">
        <v>31</v>
      </c>
      <c r="E567" s="13" t="s">
        <v>4592</v>
      </c>
      <c r="F567" s="12">
        <v>32.0</v>
      </c>
      <c r="G567" s="12">
        <v>1992.0</v>
      </c>
      <c r="H567" s="15">
        <v>32.3</v>
      </c>
      <c r="I567" s="17">
        <v>0.03</v>
      </c>
      <c r="J567" s="18">
        <v>0.65</v>
      </c>
      <c r="K567" s="18">
        <v>0.15</v>
      </c>
      <c r="L567" s="15">
        <v>23.8</v>
      </c>
      <c r="M567" s="15">
        <v>0.65</v>
      </c>
      <c r="N567" s="15">
        <v>0.15</v>
      </c>
      <c r="O567" s="15">
        <v>0.05</v>
      </c>
      <c r="P567" s="15">
        <v>0.2</v>
      </c>
      <c r="Q567" s="19">
        <v>0.0</v>
      </c>
      <c r="R567" s="19">
        <v>0.0</v>
      </c>
      <c r="S567" s="20" t="s">
        <v>4593</v>
      </c>
    </row>
    <row r="568">
      <c r="A568" s="50">
        <v>545.0</v>
      </c>
      <c r="B568" s="13" t="s">
        <v>4594</v>
      </c>
      <c r="C568" s="11" t="s">
        <v>4595</v>
      </c>
      <c r="D568" s="12" t="s">
        <v>31</v>
      </c>
      <c r="E568" s="13" t="s">
        <v>4596</v>
      </c>
      <c r="F568" s="12">
        <v>21.0</v>
      </c>
      <c r="G568" s="12">
        <v>2004.0</v>
      </c>
      <c r="H568" s="15">
        <v>29.5</v>
      </c>
      <c r="I568" s="17">
        <v>0.03</v>
      </c>
      <c r="J568" s="18">
        <v>0.54</v>
      </c>
      <c r="K568" s="18">
        <v>0.14</v>
      </c>
      <c r="L568" s="15">
        <v>25.0</v>
      </c>
      <c r="M568" s="15">
        <v>0.54</v>
      </c>
      <c r="N568" s="15">
        <v>0.14</v>
      </c>
      <c r="O568" s="15">
        <v>0.06</v>
      </c>
      <c r="P568" s="15">
        <v>0.25</v>
      </c>
      <c r="Q568" s="19">
        <v>0.0</v>
      </c>
      <c r="R568" s="19">
        <v>0.0</v>
      </c>
      <c r="S568" s="20" t="s">
        <v>4597</v>
      </c>
    </row>
    <row r="569">
      <c r="A569" s="50">
        <v>546.0</v>
      </c>
      <c r="B569" s="13" t="s">
        <v>4598</v>
      </c>
      <c r="C569" s="11" t="s">
        <v>4599</v>
      </c>
      <c r="D569" s="12" t="s">
        <v>31</v>
      </c>
      <c r="E569" s="13" t="s">
        <v>4600</v>
      </c>
      <c r="F569" s="12">
        <v>27.0</v>
      </c>
      <c r="G569" s="12">
        <v>1997.0</v>
      </c>
      <c r="H569" s="15">
        <v>6.9</v>
      </c>
      <c r="I569" s="22">
        <v>0.0</v>
      </c>
      <c r="J569" s="18">
        <v>1.3</v>
      </c>
      <c r="K569" s="18">
        <v>0.29</v>
      </c>
      <c r="L569" s="15">
        <v>22.2</v>
      </c>
      <c r="M569" s="15">
        <v>1.31</v>
      </c>
      <c r="N569" s="15">
        <v>0.29</v>
      </c>
      <c r="O569" s="21">
        <v>0.0</v>
      </c>
      <c r="P569" s="21">
        <v>0.0</v>
      </c>
      <c r="Q569" s="19">
        <v>0.0</v>
      </c>
      <c r="R569" s="19">
        <v>0.0</v>
      </c>
      <c r="S569" s="20" t="s">
        <v>4601</v>
      </c>
    </row>
    <row r="570">
      <c r="A570" s="50">
        <v>547.0</v>
      </c>
      <c r="B570" s="13" t="s">
        <v>4602</v>
      </c>
      <c r="C570" s="11" t="s">
        <v>4603</v>
      </c>
      <c r="D570" s="12" t="s">
        <v>36</v>
      </c>
      <c r="E570" s="13" t="s">
        <v>4604</v>
      </c>
      <c r="F570" s="12">
        <v>19.0</v>
      </c>
      <c r="G570" s="12">
        <v>2005.0</v>
      </c>
      <c r="H570" s="15">
        <v>19.3</v>
      </c>
      <c r="I570" s="22">
        <v>0.0</v>
      </c>
      <c r="J570" s="18">
        <v>0.47</v>
      </c>
      <c r="K570" s="18">
        <v>0.16</v>
      </c>
      <c r="L570" s="15">
        <v>33.3</v>
      </c>
      <c r="M570" s="15">
        <v>0.47</v>
      </c>
      <c r="N570" s="15">
        <v>0.16</v>
      </c>
      <c r="O570" s="21">
        <v>0.0</v>
      </c>
      <c r="P570" s="21">
        <v>0.0</v>
      </c>
      <c r="Q570" s="19">
        <v>0.0</v>
      </c>
      <c r="R570" s="19">
        <v>0.0</v>
      </c>
      <c r="S570" s="20" t="s">
        <v>4605</v>
      </c>
    </row>
    <row r="571">
      <c r="A571" s="50">
        <v>548.0</v>
      </c>
      <c r="B571" s="13" t="s">
        <v>4606</v>
      </c>
      <c r="C571" s="11" t="s">
        <v>4607</v>
      </c>
      <c r="D571" s="12" t="s">
        <v>36</v>
      </c>
      <c r="E571" s="13" t="s">
        <v>4608</v>
      </c>
      <c r="F571" s="12">
        <v>28.0</v>
      </c>
      <c r="G571" s="12">
        <v>1996.0</v>
      </c>
      <c r="H571" s="15">
        <v>3.9</v>
      </c>
      <c r="I571" s="22">
        <v>0.0</v>
      </c>
      <c r="J571" s="18">
        <v>1.03</v>
      </c>
      <c r="K571" s="18">
        <v>0.51</v>
      </c>
      <c r="L571" s="15">
        <v>50.0</v>
      </c>
      <c r="M571" s="15">
        <v>1.02</v>
      </c>
      <c r="N571" s="15">
        <v>0.51</v>
      </c>
      <c r="O571" s="21">
        <v>0.0</v>
      </c>
      <c r="P571" s="21">
        <v>0.0</v>
      </c>
      <c r="Q571" s="19">
        <v>0.0</v>
      </c>
      <c r="R571" s="19">
        <v>0.0</v>
      </c>
      <c r="S571" s="20" t="s">
        <v>4609</v>
      </c>
    </row>
    <row r="572">
      <c r="A572" s="50">
        <v>549.0</v>
      </c>
      <c r="B572" s="13" t="s">
        <v>4610</v>
      </c>
      <c r="C572" s="11" t="s">
        <v>4611</v>
      </c>
      <c r="D572" s="12" t="s">
        <v>107</v>
      </c>
      <c r="E572" s="13" t="s">
        <v>4612</v>
      </c>
      <c r="F572" s="12">
        <v>24.0</v>
      </c>
      <c r="G572" s="12">
        <v>2001.0</v>
      </c>
      <c r="H572" s="15">
        <v>7.0</v>
      </c>
      <c r="I572" s="17">
        <v>0.29</v>
      </c>
      <c r="J572" s="18">
        <v>3.57</v>
      </c>
      <c r="K572" s="18">
        <v>1.29</v>
      </c>
      <c r="L572" s="15">
        <v>36.0</v>
      </c>
      <c r="M572" s="15">
        <v>3.59</v>
      </c>
      <c r="N572" s="15">
        <v>1.29</v>
      </c>
      <c r="O572" s="15">
        <v>0.08</v>
      </c>
      <c r="P572" s="15">
        <v>0.22</v>
      </c>
      <c r="Q572" s="19">
        <v>0.0</v>
      </c>
      <c r="R572" s="19">
        <v>0.0</v>
      </c>
      <c r="S572" s="20" t="s">
        <v>4613</v>
      </c>
    </row>
    <row r="573">
      <c r="A573" s="50">
        <v>550.0</v>
      </c>
      <c r="B573" s="13" t="s">
        <v>4614</v>
      </c>
      <c r="C573" s="11" t="s">
        <v>4615</v>
      </c>
      <c r="D573" s="12" t="s">
        <v>31</v>
      </c>
      <c r="E573" s="13" t="s">
        <v>4616</v>
      </c>
      <c r="F573" s="12">
        <v>26.0</v>
      </c>
      <c r="G573" s="12">
        <v>1999.0</v>
      </c>
      <c r="H573" s="15">
        <v>33.2</v>
      </c>
      <c r="I573" s="17">
        <v>0.15</v>
      </c>
      <c r="J573" s="18">
        <v>0.81</v>
      </c>
      <c r="K573" s="18">
        <v>0.27</v>
      </c>
      <c r="L573" s="15">
        <v>33.3</v>
      </c>
      <c r="M573" s="15">
        <v>0.81</v>
      </c>
      <c r="N573" s="15">
        <v>0.27</v>
      </c>
      <c r="O573" s="15">
        <v>0.19</v>
      </c>
      <c r="P573" s="15">
        <v>0.56</v>
      </c>
      <c r="Q573" s="19">
        <v>0.0</v>
      </c>
      <c r="R573" s="19">
        <v>0.0</v>
      </c>
      <c r="S573" s="20" t="s">
        <v>4617</v>
      </c>
    </row>
    <row r="574">
      <c r="A574" s="37" t="s">
        <v>3</v>
      </c>
      <c r="B574" s="51" t="s">
        <v>4</v>
      </c>
      <c r="C574" s="39" t="s">
        <v>5</v>
      </c>
      <c r="D574" s="39" t="s">
        <v>6</v>
      </c>
      <c r="E574" s="39" t="s">
        <v>7</v>
      </c>
      <c r="F574" s="39" t="s">
        <v>8</v>
      </c>
      <c r="G574" s="39" t="s">
        <v>9</v>
      </c>
      <c r="H574" s="39" t="s">
        <v>13</v>
      </c>
      <c r="I574" s="40" t="s">
        <v>14</v>
      </c>
      <c r="J574" s="39" t="s">
        <v>2411</v>
      </c>
      <c r="K574" s="39" t="s">
        <v>2412</v>
      </c>
      <c r="L574" s="39" t="s">
        <v>2413</v>
      </c>
      <c r="M574" s="39" t="s">
        <v>2414</v>
      </c>
      <c r="N574" s="39" t="s">
        <v>2415</v>
      </c>
      <c r="O574" s="39" t="s">
        <v>2416</v>
      </c>
      <c r="P574" s="39" t="s">
        <v>2417</v>
      </c>
      <c r="Q574" s="39" t="s">
        <v>18</v>
      </c>
      <c r="R574" s="39" t="s">
        <v>19</v>
      </c>
      <c r="S574" s="40" t="s">
        <v>23</v>
      </c>
    </row>
    <row r="575">
      <c r="A575" s="24">
        <v>551.0</v>
      </c>
      <c r="B575" s="28" t="s">
        <v>4618</v>
      </c>
      <c r="C575" s="26" t="s">
        <v>4619</v>
      </c>
      <c r="D575" s="27" t="s">
        <v>31</v>
      </c>
      <c r="E575" s="28" t="s">
        <v>4620</v>
      </c>
      <c r="F575" s="27">
        <v>26.0</v>
      </c>
      <c r="G575" s="27">
        <v>1998.0</v>
      </c>
      <c r="H575" s="30">
        <v>15.2</v>
      </c>
      <c r="I575" s="32">
        <v>0.07</v>
      </c>
      <c r="J575" s="33">
        <v>1.45</v>
      </c>
      <c r="K575" s="33">
        <v>0.53</v>
      </c>
      <c r="L575" s="30">
        <v>36.4</v>
      </c>
      <c r="M575" s="30">
        <v>1.45</v>
      </c>
      <c r="N575" s="30">
        <v>0.53</v>
      </c>
      <c r="O575" s="30">
        <v>0.05</v>
      </c>
      <c r="P575" s="30">
        <v>0.13</v>
      </c>
      <c r="Q575" s="34">
        <v>0.0</v>
      </c>
      <c r="R575" s="34">
        <v>0.0</v>
      </c>
      <c r="S575" s="35" t="s">
        <v>4621</v>
      </c>
    </row>
  </sheetData>
  <mergeCells count="2">
    <mergeCell ref="A1:H1"/>
    <mergeCell ref="I1:R1"/>
  </mergeCells>
  <hyperlinks>
    <hyperlink r:id="rId1" ref="B3"/>
    <hyperlink r:id="rId2" ref="C3"/>
    <hyperlink r:id="rId3" ref="E3"/>
    <hyperlink r:id="rId4" ref="S3"/>
    <hyperlink r:id="rId5" ref="B4"/>
    <hyperlink r:id="rId6" ref="C4"/>
    <hyperlink r:id="rId7" ref="E4"/>
    <hyperlink r:id="rId8" ref="S4"/>
    <hyperlink r:id="rId9" ref="B5"/>
    <hyperlink r:id="rId10" ref="C5"/>
    <hyperlink r:id="rId11" ref="E5"/>
    <hyperlink r:id="rId12" ref="S5"/>
    <hyperlink r:id="rId13" ref="B6"/>
    <hyperlink r:id="rId14" ref="C6"/>
    <hyperlink r:id="rId15" ref="E6"/>
    <hyperlink r:id="rId16" ref="S6"/>
    <hyperlink r:id="rId17" ref="B7"/>
    <hyperlink r:id="rId18" ref="C7"/>
    <hyperlink r:id="rId19" ref="E7"/>
    <hyperlink r:id="rId20" ref="S7"/>
    <hyperlink r:id="rId21" ref="B8"/>
    <hyperlink r:id="rId22" ref="C8"/>
    <hyperlink r:id="rId23" ref="E8"/>
    <hyperlink r:id="rId24" ref="S8"/>
    <hyperlink r:id="rId25" ref="B9"/>
    <hyperlink r:id="rId26" ref="C9"/>
    <hyperlink r:id="rId27" ref="E9"/>
    <hyperlink r:id="rId28" ref="S9"/>
    <hyperlink r:id="rId29" ref="B10"/>
    <hyperlink r:id="rId30" ref="C10"/>
    <hyperlink r:id="rId31" ref="E10"/>
    <hyperlink r:id="rId32" ref="S10"/>
    <hyperlink r:id="rId33" ref="B11"/>
    <hyperlink r:id="rId34" ref="C11"/>
    <hyperlink r:id="rId35" ref="E11"/>
    <hyperlink r:id="rId36" ref="S11"/>
    <hyperlink r:id="rId37" ref="B12"/>
    <hyperlink r:id="rId38" ref="C12"/>
    <hyperlink r:id="rId39" ref="E12"/>
    <hyperlink r:id="rId40" ref="S12"/>
    <hyperlink r:id="rId41" ref="B13"/>
    <hyperlink r:id="rId42" ref="C13"/>
    <hyperlink r:id="rId43" ref="E13"/>
    <hyperlink r:id="rId44" ref="S13"/>
    <hyperlink r:id="rId45" ref="B14"/>
    <hyperlink r:id="rId46" ref="C14"/>
    <hyperlink r:id="rId47" ref="E14"/>
    <hyperlink r:id="rId48" ref="S14"/>
    <hyperlink r:id="rId49" ref="B15"/>
    <hyperlink r:id="rId50" ref="C15"/>
    <hyperlink r:id="rId51" ref="E15"/>
    <hyperlink r:id="rId52" ref="S15"/>
    <hyperlink r:id="rId53" ref="B16"/>
    <hyperlink r:id="rId54" ref="C16"/>
    <hyperlink r:id="rId55" ref="E16"/>
    <hyperlink r:id="rId56" ref="S16"/>
    <hyperlink r:id="rId57" ref="B17"/>
    <hyperlink r:id="rId58" ref="C17"/>
    <hyperlink r:id="rId59" ref="E17"/>
    <hyperlink r:id="rId60" ref="S17"/>
    <hyperlink r:id="rId61" ref="B18"/>
    <hyperlink r:id="rId62" ref="C18"/>
    <hyperlink r:id="rId63" ref="E18"/>
    <hyperlink r:id="rId64" ref="S18"/>
    <hyperlink r:id="rId65" ref="B19"/>
    <hyperlink r:id="rId66" ref="C19"/>
    <hyperlink r:id="rId67" ref="E19"/>
    <hyperlink r:id="rId68" ref="S19"/>
    <hyperlink r:id="rId69" ref="B20"/>
    <hyperlink r:id="rId70" ref="C20"/>
    <hyperlink r:id="rId71" ref="E20"/>
    <hyperlink r:id="rId72" ref="S20"/>
    <hyperlink r:id="rId73" ref="B21"/>
    <hyperlink r:id="rId74" ref="C21"/>
    <hyperlink r:id="rId75" ref="E21"/>
    <hyperlink r:id="rId76" ref="S21"/>
    <hyperlink r:id="rId77" ref="B22"/>
    <hyperlink r:id="rId78" ref="C22"/>
    <hyperlink r:id="rId79" ref="E22"/>
    <hyperlink r:id="rId80" ref="S22"/>
    <hyperlink r:id="rId81" ref="B23"/>
    <hyperlink r:id="rId82" ref="C23"/>
    <hyperlink r:id="rId83" ref="E23"/>
    <hyperlink r:id="rId84" ref="S23"/>
    <hyperlink r:id="rId85" ref="B24"/>
    <hyperlink r:id="rId86" ref="C24"/>
    <hyperlink r:id="rId87" ref="E24"/>
    <hyperlink r:id="rId88" ref="S24"/>
    <hyperlink r:id="rId89" ref="B25"/>
    <hyperlink r:id="rId90" ref="C25"/>
    <hyperlink r:id="rId91" ref="E25"/>
    <hyperlink r:id="rId92" ref="S25"/>
    <hyperlink r:id="rId93" ref="B26"/>
    <hyperlink r:id="rId94" ref="C26"/>
    <hyperlink r:id="rId95" ref="E26"/>
    <hyperlink r:id="rId96" ref="S26"/>
    <hyperlink r:id="rId97" ref="B27"/>
    <hyperlink r:id="rId98" ref="C27"/>
    <hyperlink r:id="rId99" ref="E27"/>
    <hyperlink r:id="rId100" ref="S27"/>
    <hyperlink r:id="rId101" ref="B29"/>
    <hyperlink r:id="rId102" ref="C29"/>
    <hyperlink r:id="rId103" ref="E29"/>
    <hyperlink r:id="rId104" ref="S29"/>
    <hyperlink r:id="rId105" ref="B30"/>
    <hyperlink r:id="rId106" ref="C30"/>
    <hyperlink r:id="rId107" ref="E30"/>
    <hyperlink r:id="rId108" ref="S30"/>
    <hyperlink r:id="rId109" ref="B31"/>
    <hyperlink r:id="rId110" ref="C31"/>
    <hyperlink r:id="rId111" ref="E31"/>
    <hyperlink r:id="rId112" ref="S31"/>
    <hyperlink r:id="rId113" ref="B32"/>
    <hyperlink r:id="rId114" ref="C32"/>
    <hyperlink r:id="rId115" ref="E32"/>
    <hyperlink r:id="rId116" ref="S32"/>
    <hyperlink r:id="rId117" ref="B33"/>
    <hyperlink r:id="rId118" ref="C33"/>
    <hyperlink r:id="rId119" ref="E33"/>
    <hyperlink r:id="rId120" ref="S33"/>
    <hyperlink r:id="rId121" ref="B34"/>
    <hyperlink r:id="rId122" ref="C34"/>
    <hyperlink r:id="rId123" ref="E34"/>
    <hyperlink r:id="rId124" ref="S34"/>
    <hyperlink r:id="rId125" ref="B35"/>
    <hyperlink r:id="rId126" ref="C35"/>
    <hyperlink r:id="rId127" ref="E35"/>
    <hyperlink r:id="rId128" ref="S35"/>
    <hyperlink r:id="rId129" ref="B36"/>
    <hyperlink r:id="rId130" ref="C36"/>
    <hyperlink r:id="rId131" ref="E36"/>
    <hyperlink r:id="rId132" ref="S36"/>
    <hyperlink r:id="rId133" ref="B37"/>
    <hyperlink r:id="rId134" ref="C37"/>
    <hyperlink r:id="rId135" ref="E37"/>
    <hyperlink r:id="rId136" ref="S37"/>
    <hyperlink r:id="rId137" ref="B38"/>
    <hyperlink r:id="rId138" ref="C38"/>
    <hyperlink r:id="rId139" ref="E38"/>
    <hyperlink r:id="rId140" ref="S38"/>
    <hyperlink r:id="rId141" ref="B39"/>
    <hyperlink r:id="rId142" ref="C39"/>
    <hyperlink r:id="rId143" ref="E39"/>
    <hyperlink r:id="rId144" ref="S39"/>
    <hyperlink r:id="rId145" ref="B40"/>
    <hyperlink r:id="rId146" ref="C40"/>
    <hyperlink r:id="rId147" ref="E40"/>
    <hyperlink r:id="rId148" ref="S40"/>
    <hyperlink r:id="rId149" ref="B41"/>
    <hyperlink r:id="rId150" ref="C41"/>
    <hyperlink r:id="rId151" ref="E41"/>
    <hyperlink r:id="rId152" ref="S41"/>
    <hyperlink r:id="rId153" ref="B42"/>
    <hyperlink r:id="rId154" ref="C42"/>
    <hyperlink r:id="rId155" ref="E42"/>
    <hyperlink r:id="rId156" ref="S42"/>
    <hyperlink r:id="rId157" ref="B43"/>
    <hyperlink r:id="rId158" ref="C43"/>
    <hyperlink r:id="rId159" ref="E43"/>
    <hyperlink r:id="rId160" ref="S43"/>
    <hyperlink r:id="rId161" ref="B44"/>
    <hyperlink r:id="rId162" ref="C44"/>
    <hyperlink r:id="rId163" ref="E44"/>
    <hyperlink r:id="rId164" ref="S44"/>
    <hyperlink r:id="rId165" ref="B45"/>
    <hyperlink r:id="rId166" ref="C45"/>
    <hyperlink r:id="rId167" ref="E45"/>
    <hyperlink r:id="rId168" ref="S45"/>
    <hyperlink r:id="rId169" ref="B46"/>
    <hyperlink r:id="rId170" ref="C46"/>
    <hyperlink r:id="rId171" ref="E46"/>
    <hyperlink r:id="rId172" ref="S46"/>
    <hyperlink r:id="rId173" ref="B47"/>
    <hyperlink r:id="rId174" ref="C47"/>
    <hyperlink r:id="rId175" ref="E47"/>
    <hyperlink r:id="rId176" ref="S47"/>
    <hyperlink r:id="rId177" ref="B48"/>
    <hyperlink r:id="rId178" ref="C48"/>
    <hyperlink r:id="rId179" ref="E48"/>
    <hyperlink r:id="rId180" ref="S48"/>
    <hyperlink r:id="rId181" ref="B49"/>
    <hyperlink r:id="rId182" ref="C49"/>
    <hyperlink r:id="rId183" ref="E49"/>
    <hyperlink r:id="rId184" ref="S49"/>
    <hyperlink r:id="rId185" ref="B50"/>
    <hyperlink r:id="rId186" ref="C50"/>
    <hyperlink r:id="rId187" ref="E50"/>
    <hyperlink r:id="rId188" ref="S50"/>
    <hyperlink r:id="rId189" ref="B51"/>
    <hyperlink r:id="rId190" ref="C51"/>
    <hyperlink r:id="rId191" ref="E51"/>
    <hyperlink r:id="rId192" ref="S51"/>
    <hyperlink r:id="rId193" ref="B52"/>
    <hyperlink r:id="rId194" ref="C52"/>
    <hyperlink r:id="rId195" ref="E52"/>
    <hyperlink r:id="rId196" ref="S52"/>
    <hyperlink r:id="rId197" ref="B53"/>
    <hyperlink r:id="rId198" ref="C53"/>
    <hyperlink r:id="rId199" ref="E53"/>
    <hyperlink r:id="rId200" ref="S53"/>
    <hyperlink r:id="rId201" ref="B55"/>
    <hyperlink r:id="rId202" ref="C55"/>
    <hyperlink r:id="rId203" ref="E55"/>
    <hyperlink r:id="rId204" ref="S55"/>
    <hyperlink r:id="rId205" ref="B56"/>
    <hyperlink r:id="rId206" ref="C56"/>
    <hyperlink r:id="rId207" ref="E56"/>
    <hyperlink r:id="rId208" ref="S56"/>
    <hyperlink r:id="rId209" ref="B57"/>
    <hyperlink r:id="rId210" ref="C57"/>
    <hyperlink r:id="rId211" ref="E57"/>
    <hyperlink r:id="rId212" ref="S57"/>
    <hyperlink r:id="rId213" ref="B58"/>
    <hyperlink r:id="rId214" ref="C58"/>
    <hyperlink r:id="rId215" ref="E58"/>
    <hyperlink r:id="rId216" ref="S58"/>
    <hyperlink r:id="rId217" ref="B59"/>
    <hyperlink r:id="rId218" ref="C59"/>
    <hyperlink r:id="rId219" ref="E59"/>
    <hyperlink r:id="rId220" ref="S59"/>
    <hyperlink r:id="rId221" ref="B60"/>
    <hyperlink r:id="rId222" ref="C60"/>
    <hyperlink r:id="rId223" ref="E60"/>
    <hyperlink r:id="rId224" ref="S60"/>
    <hyperlink r:id="rId225" ref="B61"/>
    <hyperlink r:id="rId226" ref="C61"/>
    <hyperlink r:id="rId227" ref="E61"/>
    <hyperlink r:id="rId228" ref="S61"/>
    <hyperlink r:id="rId229" ref="B62"/>
    <hyperlink r:id="rId230" ref="C62"/>
    <hyperlink r:id="rId231" ref="E62"/>
    <hyperlink r:id="rId232" ref="S62"/>
    <hyperlink r:id="rId233" ref="B63"/>
    <hyperlink r:id="rId234" ref="C63"/>
    <hyperlink r:id="rId235" ref="E63"/>
    <hyperlink r:id="rId236" ref="S63"/>
    <hyperlink r:id="rId237" ref="B64"/>
    <hyperlink r:id="rId238" ref="C64"/>
    <hyperlink r:id="rId239" ref="E64"/>
    <hyperlink r:id="rId240" ref="S64"/>
    <hyperlink r:id="rId241" ref="B65"/>
    <hyperlink r:id="rId242" ref="C65"/>
    <hyperlink r:id="rId243" ref="E65"/>
    <hyperlink r:id="rId244" ref="S65"/>
    <hyperlink r:id="rId245" ref="B66"/>
    <hyperlink r:id="rId246" ref="C66"/>
    <hyperlink r:id="rId247" ref="E66"/>
    <hyperlink r:id="rId248" ref="S66"/>
    <hyperlink r:id="rId249" ref="B67"/>
    <hyperlink r:id="rId250" ref="C67"/>
    <hyperlink r:id="rId251" ref="E67"/>
    <hyperlink r:id="rId252" ref="S67"/>
    <hyperlink r:id="rId253" ref="B68"/>
    <hyperlink r:id="rId254" ref="C68"/>
    <hyperlink r:id="rId255" ref="E68"/>
    <hyperlink r:id="rId256" ref="S68"/>
    <hyperlink r:id="rId257" ref="B69"/>
    <hyperlink r:id="rId258" ref="C69"/>
    <hyperlink r:id="rId259" ref="E69"/>
    <hyperlink r:id="rId260" ref="S69"/>
    <hyperlink r:id="rId261" ref="B70"/>
    <hyperlink r:id="rId262" ref="C70"/>
    <hyperlink r:id="rId263" ref="E70"/>
    <hyperlink r:id="rId264" ref="S70"/>
    <hyperlink r:id="rId265" ref="B71"/>
    <hyperlink r:id="rId266" ref="C71"/>
    <hyperlink r:id="rId267" ref="E71"/>
    <hyperlink r:id="rId268" ref="S71"/>
    <hyperlink r:id="rId269" ref="B72"/>
    <hyperlink r:id="rId270" ref="C72"/>
    <hyperlink r:id="rId271" ref="E72"/>
    <hyperlink r:id="rId272" ref="S72"/>
    <hyperlink r:id="rId273" ref="B73"/>
    <hyperlink r:id="rId274" ref="C73"/>
    <hyperlink r:id="rId275" ref="E73"/>
    <hyperlink r:id="rId276" ref="S73"/>
    <hyperlink r:id="rId277" ref="B74"/>
    <hyperlink r:id="rId278" ref="C74"/>
    <hyperlink r:id="rId279" ref="E74"/>
    <hyperlink r:id="rId280" ref="S74"/>
    <hyperlink r:id="rId281" ref="B75"/>
    <hyperlink r:id="rId282" ref="C75"/>
    <hyperlink r:id="rId283" ref="E75"/>
    <hyperlink r:id="rId284" ref="S75"/>
    <hyperlink r:id="rId285" ref="B76"/>
    <hyperlink r:id="rId286" ref="C76"/>
    <hyperlink r:id="rId287" ref="E76"/>
    <hyperlink r:id="rId288" ref="S76"/>
    <hyperlink r:id="rId289" ref="B77"/>
    <hyperlink r:id="rId290" ref="C77"/>
    <hyperlink r:id="rId291" ref="E77"/>
    <hyperlink r:id="rId292" ref="S77"/>
    <hyperlink r:id="rId293" ref="B78"/>
    <hyperlink r:id="rId294" ref="C78"/>
    <hyperlink r:id="rId295" ref="E78"/>
    <hyperlink r:id="rId296" ref="S78"/>
    <hyperlink r:id="rId297" ref="B79"/>
    <hyperlink r:id="rId298" ref="C79"/>
    <hyperlink r:id="rId299" ref="E79"/>
    <hyperlink r:id="rId300" ref="S79"/>
    <hyperlink r:id="rId301" ref="B81"/>
    <hyperlink r:id="rId302" ref="C81"/>
    <hyperlink r:id="rId303" ref="E81"/>
    <hyperlink r:id="rId304" ref="S81"/>
    <hyperlink r:id="rId305" ref="B82"/>
    <hyperlink r:id="rId306" ref="C82"/>
    <hyperlink r:id="rId307" ref="E82"/>
    <hyperlink r:id="rId308" ref="S82"/>
    <hyperlink r:id="rId309" ref="B83"/>
    <hyperlink r:id="rId310" ref="C83"/>
    <hyperlink r:id="rId311" ref="E83"/>
    <hyperlink r:id="rId312" ref="S83"/>
    <hyperlink r:id="rId313" ref="B84"/>
    <hyperlink r:id="rId314" ref="C84"/>
    <hyperlink r:id="rId315" ref="E84"/>
    <hyperlink r:id="rId316" ref="S84"/>
    <hyperlink r:id="rId317" ref="B85"/>
    <hyperlink r:id="rId318" ref="C85"/>
    <hyperlink r:id="rId319" ref="E85"/>
    <hyperlink r:id="rId320" ref="S85"/>
    <hyperlink r:id="rId321" ref="B86"/>
    <hyperlink r:id="rId322" ref="C86"/>
    <hyperlink r:id="rId323" ref="E86"/>
    <hyperlink r:id="rId324" ref="S86"/>
    <hyperlink r:id="rId325" ref="B87"/>
    <hyperlink r:id="rId326" ref="C87"/>
    <hyperlink r:id="rId327" ref="E87"/>
    <hyperlink r:id="rId328" ref="S87"/>
    <hyperlink r:id="rId329" ref="B88"/>
    <hyperlink r:id="rId330" ref="C88"/>
    <hyperlink r:id="rId331" ref="E88"/>
    <hyperlink r:id="rId332" ref="S88"/>
    <hyperlink r:id="rId333" ref="B89"/>
    <hyperlink r:id="rId334" ref="C89"/>
    <hyperlink r:id="rId335" ref="E89"/>
    <hyperlink r:id="rId336" ref="S89"/>
    <hyperlink r:id="rId337" ref="B90"/>
    <hyperlink r:id="rId338" ref="C90"/>
    <hyperlink r:id="rId339" ref="E90"/>
    <hyperlink r:id="rId340" ref="S90"/>
    <hyperlink r:id="rId341" ref="B91"/>
    <hyperlink r:id="rId342" ref="C91"/>
    <hyperlink r:id="rId343" ref="E91"/>
    <hyperlink r:id="rId344" ref="S91"/>
    <hyperlink r:id="rId345" ref="B92"/>
    <hyperlink r:id="rId346" ref="C92"/>
    <hyperlink r:id="rId347" ref="E92"/>
    <hyperlink r:id="rId348" ref="S92"/>
    <hyperlink r:id="rId349" ref="B93"/>
    <hyperlink r:id="rId350" ref="C93"/>
    <hyperlink r:id="rId351" ref="E93"/>
    <hyperlink r:id="rId352" ref="S93"/>
    <hyperlink r:id="rId353" ref="B94"/>
    <hyperlink r:id="rId354" ref="C94"/>
    <hyperlink r:id="rId355" ref="E94"/>
    <hyperlink r:id="rId356" ref="S94"/>
    <hyperlink r:id="rId357" ref="B95"/>
    <hyperlink r:id="rId358" ref="C95"/>
    <hyperlink r:id="rId359" ref="E95"/>
    <hyperlink r:id="rId360" ref="S95"/>
    <hyperlink r:id="rId361" ref="B96"/>
    <hyperlink r:id="rId362" ref="C96"/>
    <hyperlink r:id="rId363" ref="E96"/>
    <hyperlink r:id="rId364" ref="S96"/>
    <hyperlink r:id="rId365" ref="B97"/>
    <hyperlink r:id="rId366" ref="C97"/>
    <hyperlink r:id="rId367" ref="E97"/>
    <hyperlink r:id="rId368" ref="S97"/>
    <hyperlink r:id="rId369" ref="B98"/>
    <hyperlink r:id="rId370" ref="C98"/>
    <hyperlink r:id="rId371" ref="E98"/>
    <hyperlink r:id="rId372" ref="S98"/>
    <hyperlink r:id="rId373" ref="B99"/>
    <hyperlink r:id="rId374" ref="C99"/>
    <hyperlink r:id="rId375" ref="E99"/>
    <hyperlink r:id="rId376" ref="S99"/>
    <hyperlink r:id="rId377" ref="B100"/>
    <hyperlink r:id="rId378" ref="C100"/>
    <hyperlink r:id="rId379" ref="E100"/>
    <hyperlink r:id="rId380" ref="S100"/>
    <hyperlink r:id="rId381" ref="B101"/>
    <hyperlink r:id="rId382" ref="C101"/>
    <hyperlink r:id="rId383" ref="E101"/>
    <hyperlink r:id="rId384" ref="S101"/>
    <hyperlink r:id="rId385" ref="B102"/>
    <hyperlink r:id="rId386" ref="C102"/>
    <hyperlink r:id="rId387" ref="E102"/>
    <hyperlink r:id="rId388" ref="S102"/>
    <hyperlink r:id="rId389" ref="B103"/>
    <hyperlink r:id="rId390" ref="C103"/>
    <hyperlink r:id="rId391" ref="E103"/>
    <hyperlink r:id="rId392" ref="S103"/>
    <hyperlink r:id="rId393" ref="B104"/>
    <hyperlink r:id="rId394" ref="C104"/>
    <hyperlink r:id="rId395" ref="E104"/>
    <hyperlink r:id="rId396" ref="S104"/>
    <hyperlink r:id="rId397" ref="B105"/>
    <hyperlink r:id="rId398" ref="C105"/>
    <hyperlink r:id="rId399" ref="E105"/>
    <hyperlink r:id="rId400" ref="S105"/>
    <hyperlink r:id="rId401" ref="B107"/>
    <hyperlink r:id="rId402" ref="C107"/>
    <hyperlink r:id="rId403" ref="E107"/>
    <hyperlink r:id="rId404" ref="S107"/>
    <hyperlink r:id="rId405" ref="B108"/>
    <hyperlink r:id="rId406" ref="C108"/>
    <hyperlink r:id="rId407" ref="E108"/>
    <hyperlink r:id="rId408" ref="S108"/>
    <hyperlink r:id="rId409" ref="B109"/>
    <hyperlink r:id="rId410" ref="C109"/>
    <hyperlink r:id="rId411" ref="E109"/>
    <hyperlink r:id="rId412" ref="S109"/>
    <hyperlink r:id="rId413" ref="B110"/>
    <hyperlink r:id="rId414" ref="C110"/>
    <hyperlink r:id="rId415" ref="E110"/>
    <hyperlink r:id="rId416" ref="S110"/>
    <hyperlink r:id="rId417" ref="B111"/>
    <hyperlink r:id="rId418" ref="C111"/>
    <hyperlink r:id="rId419" ref="E111"/>
    <hyperlink r:id="rId420" ref="S111"/>
    <hyperlink r:id="rId421" ref="B112"/>
    <hyperlink r:id="rId422" ref="C112"/>
    <hyperlink r:id="rId423" ref="E112"/>
    <hyperlink r:id="rId424" ref="S112"/>
    <hyperlink r:id="rId425" ref="B113"/>
    <hyperlink r:id="rId426" ref="C113"/>
    <hyperlink r:id="rId427" ref="E113"/>
    <hyperlink r:id="rId428" ref="S113"/>
    <hyperlink r:id="rId429" ref="B114"/>
    <hyperlink r:id="rId430" ref="C114"/>
    <hyperlink r:id="rId431" ref="E114"/>
    <hyperlink r:id="rId432" ref="S114"/>
    <hyperlink r:id="rId433" ref="B115"/>
    <hyperlink r:id="rId434" ref="C115"/>
    <hyperlink r:id="rId435" ref="E115"/>
    <hyperlink r:id="rId436" ref="S115"/>
    <hyperlink r:id="rId437" ref="B116"/>
    <hyperlink r:id="rId438" ref="C116"/>
    <hyperlink r:id="rId439" ref="E116"/>
    <hyperlink r:id="rId440" ref="S116"/>
    <hyperlink r:id="rId441" ref="B117"/>
    <hyperlink r:id="rId442" ref="C117"/>
    <hyperlink r:id="rId443" ref="E117"/>
    <hyperlink r:id="rId444" ref="S117"/>
    <hyperlink r:id="rId445" ref="B118"/>
    <hyperlink r:id="rId446" ref="C118"/>
    <hyperlink r:id="rId447" ref="E118"/>
    <hyperlink r:id="rId448" ref="S118"/>
    <hyperlink r:id="rId449" ref="B119"/>
    <hyperlink r:id="rId450" ref="C119"/>
    <hyperlink r:id="rId451" ref="E119"/>
    <hyperlink r:id="rId452" ref="S119"/>
    <hyperlink r:id="rId453" ref="B120"/>
    <hyperlink r:id="rId454" ref="C120"/>
    <hyperlink r:id="rId455" ref="E120"/>
    <hyperlink r:id="rId456" ref="S120"/>
    <hyperlink r:id="rId457" ref="B121"/>
    <hyperlink r:id="rId458" ref="C121"/>
    <hyperlink r:id="rId459" ref="E121"/>
    <hyperlink r:id="rId460" ref="S121"/>
    <hyperlink r:id="rId461" ref="B122"/>
    <hyperlink r:id="rId462" ref="C122"/>
    <hyperlink r:id="rId463" ref="E122"/>
    <hyperlink r:id="rId464" ref="S122"/>
    <hyperlink r:id="rId465" ref="B123"/>
    <hyperlink r:id="rId466" ref="C123"/>
    <hyperlink r:id="rId467" ref="E123"/>
    <hyperlink r:id="rId468" ref="S123"/>
    <hyperlink r:id="rId469" ref="B124"/>
    <hyperlink r:id="rId470" ref="C124"/>
    <hyperlink r:id="rId471" ref="E124"/>
    <hyperlink r:id="rId472" ref="S124"/>
    <hyperlink r:id="rId473" ref="B125"/>
    <hyperlink r:id="rId474" ref="C125"/>
    <hyperlink r:id="rId475" ref="E125"/>
    <hyperlink r:id="rId476" ref="S125"/>
    <hyperlink r:id="rId477" ref="B126"/>
    <hyperlink r:id="rId478" ref="C126"/>
    <hyperlink r:id="rId479" ref="E126"/>
    <hyperlink r:id="rId480" ref="S126"/>
    <hyperlink r:id="rId481" ref="B127"/>
    <hyperlink r:id="rId482" ref="C127"/>
    <hyperlink r:id="rId483" ref="E127"/>
    <hyperlink r:id="rId484" ref="S127"/>
    <hyperlink r:id="rId485" ref="B128"/>
    <hyperlink r:id="rId486" ref="C128"/>
    <hyperlink r:id="rId487" ref="E128"/>
    <hyperlink r:id="rId488" ref="S128"/>
    <hyperlink r:id="rId489" ref="B129"/>
    <hyperlink r:id="rId490" ref="C129"/>
    <hyperlink r:id="rId491" ref="E129"/>
    <hyperlink r:id="rId492" ref="S129"/>
    <hyperlink r:id="rId493" ref="B130"/>
    <hyperlink r:id="rId494" ref="C130"/>
    <hyperlink r:id="rId495" ref="E130"/>
    <hyperlink r:id="rId496" ref="S130"/>
    <hyperlink r:id="rId497" ref="B131"/>
    <hyperlink r:id="rId498" ref="C131"/>
    <hyperlink r:id="rId499" ref="E131"/>
    <hyperlink r:id="rId500" ref="S131"/>
    <hyperlink r:id="rId501" ref="B133"/>
    <hyperlink r:id="rId502" ref="C133"/>
    <hyperlink r:id="rId503" ref="E133"/>
    <hyperlink r:id="rId504" ref="S133"/>
    <hyperlink r:id="rId505" ref="B134"/>
    <hyperlink r:id="rId506" ref="C134"/>
    <hyperlink r:id="rId507" ref="E134"/>
    <hyperlink r:id="rId508" ref="S134"/>
    <hyperlink r:id="rId509" ref="B135"/>
    <hyperlink r:id="rId510" ref="C135"/>
    <hyperlink r:id="rId511" ref="E135"/>
    <hyperlink r:id="rId512" ref="S135"/>
    <hyperlink r:id="rId513" ref="B136"/>
    <hyperlink r:id="rId514" ref="C136"/>
    <hyperlink r:id="rId515" ref="E136"/>
    <hyperlink r:id="rId516" ref="S136"/>
    <hyperlink r:id="rId517" ref="B137"/>
    <hyperlink r:id="rId518" ref="C137"/>
    <hyperlink r:id="rId519" ref="E137"/>
    <hyperlink r:id="rId520" ref="S137"/>
    <hyperlink r:id="rId521" ref="B138"/>
    <hyperlink r:id="rId522" ref="C138"/>
    <hyperlink r:id="rId523" ref="E138"/>
    <hyperlink r:id="rId524" ref="S138"/>
    <hyperlink r:id="rId525" ref="B139"/>
    <hyperlink r:id="rId526" ref="C139"/>
    <hyperlink r:id="rId527" ref="E139"/>
    <hyperlink r:id="rId528" ref="S139"/>
    <hyperlink r:id="rId529" ref="B140"/>
    <hyperlink r:id="rId530" ref="C140"/>
    <hyperlink r:id="rId531" ref="E140"/>
    <hyperlink r:id="rId532" ref="S140"/>
    <hyperlink r:id="rId533" ref="B141"/>
    <hyperlink r:id="rId534" ref="C141"/>
    <hyperlink r:id="rId535" ref="E141"/>
    <hyperlink r:id="rId536" ref="S141"/>
    <hyperlink r:id="rId537" ref="B142"/>
    <hyperlink r:id="rId538" ref="C142"/>
    <hyperlink r:id="rId539" ref="E142"/>
    <hyperlink r:id="rId540" ref="S142"/>
    <hyperlink r:id="rId541" ref="B143"/>
    <hyperlink r:id="rId542" ref="C143"/>
    <hyperlink r:id="rId543" ref="E143"/>
    <hyperlink r:id="rId544" ref="S143"/>
    <hyperlink r:id="rId545" ref="B144"/>
    <hyperlink r:id="rId546" ref="C144"/>
    <hyperlink r:id="rId547" ref="E144"/>
    <hyperlink r:id="rId548" ref="S144"/>
    <hyperlink r:id="rId549" ref="B145"/>
    <hyperlink r:id="rId550" ref="C145"/>
    <hyperlink r:id="rId551" ref="E145"/>
    <hyperlink r:id="rId552" ref="S145"/>
    <hyperlink r:id="rId553" ref="B146"/>
    <hyperlink r:id="rId554" ref="C146"/>
    <hyperlink r:id="rId555" ref="E146"/>
    <hyperlink r:id="rId556" ref="S146"/>
    <hyperlink r:id="rId557" ref="B147"/>
    <hyperlink r:id="rId558" ref="C147"/>
    <hyperlink r:id="rId559" ref="E147"/>
    <hyperlink r:id="rId560" ref="S147"/>
    <hyperlink r:id="rId561" ref="B148"/>
    <hyperlink r:id="rId562" ref="C148"/>
    <hyperlink r:id="rId563" ref="E148"/>
    <hyperlink r:id="rId564" ref="S148"/>
    <hyperlink r:id="rId565" ref="B149"/>
    <hyperlink r:id="rId566" ref="C149"/>
    <hyperlink r:id="rId567" ref="E149"/>
    <hyperlink r:id="rId568" ref="S149"/>
    <hyperlink r:id="rId569" ref="B150"/>
    <hyperlink r:id="rId570" ref="C150"/>
    <hyperlink r:id="rId571" ref="E150"/>
    <hyperlink r:id="rId572" ref="S150"/>
    <hyperlink r:id="rId573" ref="B151"/>
    <hyperlink r:id="rId574" ref="C151"/>
    <hyperlink r:id="rId575" ref="E151"/>
    <hyperlink r:id="rId576" ref="S151"/>
    <hyperlink r:id="rId577" ref="B152"/>
    <hyperlink r:id="rId578" ref="C152"/>
    <hyperlink r:id="rId579" ref="E152"/>
    <hyperlink r:id="rId580" ref="S152"/>
    <hyperlink r:id="rId581" ref="B153"/>
    <hyperlink r:id="rId582" ref="C153"/>
    <hyperlink r:id="rId583" ref="E153"/>
    <hyperlink r:id="rId584" ref="S153"/>
    <hyperlink r:id="rId585" ref="B154"/>
    <hyperlink r:id="rId586" ref="C154"/>
    <hyperlink r:id="rId587" ref="E154"/>
    <hyperlink r:id="rId588" ref="S154"/>
    <hyperlink r:id="rId589" ref="B155"/>
    <hyperlink r:id="rId590" ref="C155"/>
    <hyperlink r:id="rId591" ref="E155"/>
    <hyperlink r:id="rId592" ref="S155"/>
    <hyperlink r:id="rId593" ref="B156"/>
    <hyperlink r:id="rId594" ref="C156"/>
    <hyperlink r:id="rId595" ref="E156"/>
    <hyperlink r:id="rId596" ref="S156"/>
    <hyperlink r:id="rId597" ref="B157"/>
    <hyperlink r:id="rId598" ref="C157"/>
    <hyperlink r:id="rId599" ref="E157"/>
    <hyperlink r:id="rId600" ref="S157"/>
    <hyperlink r:id="rId601" ref="B159"/>
    <hyperlink r:id="rId602" ref="C159"/>
    <hyperlink r:id="rId603" ref="E159"/>
    <hyperlink r:id="rId604" ref="S159"/>
    <hyperlink r:id="rId605" ref="B160"/>
    <hyperlink r:id="rId606" ref="C160"/>
    <hyperlink r:id="rId607" ref="E160"/>
    <hyperlink r:id="rId608" ref="S160"/>
    <hyperlink r:id="rId609" ref="B161"/>
    <hyperlink r:id="rId610" ref="C161"/>
    <hyperlink r:id="rId611" ref="E161"/>
    <hyperlink r:id="rId612" ref="S161"/>
    <hyperlink r:id="rId613" ref="B162"/>
    <hyperlink r:id="rId614" ref="C162"/>
    <hyperlink r:id="rId615" ref="E162"/>
    <hyperlink r:id="rId616" ref="S162"/>
    <hyperlink r:id="rId617" ref="B163"/>
    <hyperlink r:id="rId618" ref="C163"/>
    <hyperlink r:id="rId619" ref="E163"/>
    <hyperlink r:id="rId620" ref="S163"/>
    <hyperlink r:id="rId621" ref="B164"/>
    <hyperlink r:id="rId622" ref="C164"/>
    <hyperlink r:id="rId623" ref="E164"/>
    <hyperlink r:id="rId624" ref="S164"/>
    <hyperlink r:id="rId625" ref="B165"/>
    <hyperlink r:id="rId626" ref="C165"/>
    <hyperlink r:id="rId627" ref="E165"/>
    <hyperlink r:id="rId628" ref="S165"/>
    <hyperlink r:id="rId629" ref="B166"/>
    <hyperlink r:id="rId630" ref="C166"/>
    <hyperlink r:id="rId631" ref="E166"/>
    <hyperlink r:id="rId632" ref="S166"/>
    <hyperlink r:id="rId633" ref="B167"/>
    <hyperlink r:id="rId634" ref="C167"/>
    <hyperlink r:id="rId635" ref="E167"/>
    <hyperlink r:id="rId636" ref="S167"/>
    <hyperlink r:id="rId637" ref="B168"/>
    <hyperlink r:id="rId638" ref="C168"/>
    <hyperlink r:id="rId639" ref="E168"/>
    <hyperlink r:id="rId640" ref="S168"/>
    <hyperlink r:id="rId641" ref="B169"/>
    <hyperlink r:id="rId642" ref="C169"/>
    <hyperlink r:id="rId643" ref="E169"/>
    <hyperlink r:id="rId644" ref="S169"/>
    <hyperlink r:id="rId645" ref="B170"/>
    <hyperlink r:id="rId646" ref="C170"/>
    <hyperlink r:id="rId647" ref="E170"/>
    <hyperlink r:id="rId648" ref="S170"/>
    <hyperlink r:id="rId649" ref="B171"/>
    <hyperlink r:id="rId650" ref="C171"/>
    <hyperlink r:id="rId651" ref="E171"/>
    <hyperlink r:id="rId652" ref="S171"/>
    <hyperlink r:id="rId653" ref="B172"/>
    <hyperlink r:id="rId654" ref="C172"/>
    <hyperlink r:id="rId655" ref="E172"/>
    <hyperlink r:id="rId656" ref="S172"/>
    <hyperlink r:id="rId657" ref="B173"/>
    <hyperlink r:id="rId658" ref="C173"/>
    <hyperlink r:id="rId659" ref="E173"/>
    <hyperlink r:id="rId660" ref="S173"/>
    <hyperlink r:id="rId661" ref="B174"/>
    <hyperlink r:id="rId662" ref="C174"/>
    <hyperlink r:id="rId663" ref="E174"/>
    <hyperlink r:id="rId664" ref="S174"/>
    <hyperlink r:id="rId665" ref="B175"/>
    <hyperlink r:id="rId666" ref="C175"/>
    <hyperlink r:id="rId667" ref="E175"/>
    <hyperlink r:id="rId668" ref="S175"/>
    <hyperlink r:id="rId669" ref="B176"/>
    <hyperlink r:id="rId670" ref="C176"/>
    <hyperlink r:id="rId671" ref="E176"/>
    <hyperlink r:id="rId672" ref="S176"/>
    <hyperlink r:id="rId673" ref="B177"/>
    <hyperlink r:id="rId674" ref="C177"/>
    <hyperlink r:id="rId675" ref="E177"/>
    <hyperlink r:id="rId676" ref="S177"/>
    <hyperlink r:id="rId677" ref="B178"/>
    <hyperlink r:id="rId678" ref="C178"/>
    <hyperlink r:id="rId679" ref="E178"/>
    <hyperlink r:id="rId680" ref="S178"/>
    <hyperlink r:id="rId681" ref="B179"/>
    <hyperlink r:id="rId682" ref="C179"/>
    <hyperlink r:id="rId683" ref="E179"/>
    <hyperlink r:id="rId684" ref="S179"/>
    <hyperlink r:id="rId685" ref="B180"/>
    <hyperlink r:id="rId686" ref="C180"/>
    <hyperlink r:id="rId687" ref="E180"/>
    <hyperlink r:id="rId688" ref="S180"/>
    <hyperlink r:id="rId689" ref="B181"/>
    <hyperlink r:id="rId690" ref="C181"/>
    <hyperlink r:id="rId691" ref="E181"/>
    <hyperlink r:id="rId692" ref="S181"/>
    <hyperlink r:id="rId693" ref="B182"/>
    <hyperlink r:id="rId694" ref="C182"/>
    <hyperlink r:id="rId695" ref="E182"/>
    <hyperlink r:id="rId696" ref="S182"/>
    <hyperlink r:id="rId697" ref="B183"/>
    <hyperlink r:id="rId698" ref="C183"/>
    <hyperlink r:id="rId699" ref="E183"/>
    <hyperlink r:id="rId700" ref="S183"/>
    <hyperlink r:id="rId701" ref="B185"/>
    <hyperlink r:id="rId702" ref="C185"/>
    <hyperlink r:id="rId703" ref="E185"/>
    <hyperlink r:id="rId704" ref="S185"/>
    <hyperlink r:id="rId705" ref="B186"/>
    <hyperlink r:id="rId706" ref="C186"/>
    <hyperlink r:id="rId707" ref="E186"/>
    <hyperlink r:id="rId708" ref="S186"/>
    <hyperlink r:id="rId709" ref="B187"/>
    <hyperlink r:id="rId710" ref="C187"/>
    <hyperlink r:id="rId711" ref="E187"/>
    <hyperlink r:id="rId712" ref="S187"/>
    <hyperlink r:id="rId713" ref="B188"/>
    <hyperlink r:id="rId714" ref="C188"/>
    <hyperlink r:id="rId715" ref="E188"/>
    <hyperlink r:id="rId716" ref="S188"/>
    <hyperlink r:id="rId717" ref="B189"/>
    <hyperlink r:id="rId718" ref="C189"/>
    <hyperlink r:id="rId719" ref="E189"/>
    <hyperlink r:id="rId720" ref="S189"/>
    <hyperlink r:id="rId721" ref="B190"/>
    <hyperlink r:id="rId722" ref="C190"/>
    <hyperlink r:id="rId723" ref="E190"/>
    <hyperlink r:id="rId724" ref="S190"/>
    <hyperlink r:id="rId725" ref="B191"/>
    <hyperlink r:id="rId726" ref="C191"/>
    <hyperlink r:id="rId727" ref="E191"/>
    <hyperlink r:id="rId728" ref="S191"/>
    <hyperlink r:id="rId729" ref="B192"/>
    <hyperlink r:id="rId730" ref="C192"/>
    <hyperlink r:id="rId731" ref="E192"/>
    <hyperlink r:id="rId732" ref="S192"/>
    <hyperlink r:id="rId733" ref="B193"/>
    <hyperlink r:id="rId734" ref="C193"/>
    <hyperlink r:id="rId735" ref="E193"/>
    <hyperlink r:id="rId736" ref="S193"/>
    <hyperlink r:id="rId737" ref="B194"/>
    <hyperlink r:id="rId738" ref="C194"/>
    <hyperlink r:id="rId739" ref="E194"/>
    <hyperlink r:id="rId740" ref="S194"/>
    <hyperlink r:id="rId741" ref="B195"/>
    <hyperlink r:id="rId742" ref="C195"/>
    <hyperlink r:id="rId743" ref="E195"/>
    <hyperlink r:id="rId744" ref="S195"/>
    <hyperlink r:id="rId745" ref="B196"/>
    <hyperlink r:id="rId746" ref="C196"/>
    <hyperlink r:id="rId747" ref="E196"/>
    <hyperlink r:id="rId748" ref="S196"/>
    <hyperlink r:id="rId749" ref="B197"/>
    <hyperlink r:id="rId750" ref="C197"/>
    <hyperlink r:id="rId751" ref="E197"/>
    <hyperlink r:id="rId752" ref="S197"/>
    <hyperlink r:id="rId753" ref="B198"/>
    <hyperlink r:id="rId754" ref="C198"/>
    <hyperlink r:id="rId755" ref="E198"/>
    <hyperlink r:id="rId756" ref="S198"/>
    <hyperlink r:id="rId757" ref="B199"/>
    <hyperlink r:id="rId758" ref="C199"/>
    <hyperlink r:id="rId759" ref="E199"/>
    <hyperlink r:id="rId760" ref="S199"/>
    <hyperlink r:id="rId761" ref="B200"/>
    <hyperlink r:id="rId762" ref="C200"/>
    <hyperlink r:id="rId763" ref="E200"/>
    <hyperlink r:id="rId764" ref="S200"/>
    <hyperlink r:id="rId765" ref="B201"/>
    <hyperlink r:id="rId766" ref="C201"/>
    <hyperlink r:id="rId767" ref="E201"/>
    <hyperlink r:id="rId768" ref="S201"/>
    <hyperlink r:id="rId769" ref="B202"/>
    <hyperlink r:id="rId770" ref="C202"/>
    <hyperlink r:id="rId771" ref="E202"/>
    <hyperlink r:id="rId772" ref="S202"/>
    <hyperlink r:id="rId773" ref="B203"/>
    <hyperlink r:id="rId774" ref="C203"/>
    <hyperlink r:id="rId775" ref="E203"/>
    <hyperlink r:id="rId776" ref="S203"/>
    <hyperlink r:id="rId777" ref="B204"/>
    <hyperlink r:id="rId778" ref="C204"/>
    <hyperlink r:id="rId779" ref="E204"/>
    <hyperlink r:id="rId780" ref="S204"/>
    <hyperlink r:id="rId781" ref="B205"/>
    <hyperlink r:id="rId782" ref="C205"/>
    <hyperlink r:id="rId783" ref="E205"/>
    <hyperlink r:id="rId784" ref="S205"/>
    <hyperlink r:id="rId785" ref="B206"/>
    <hyperlink r:id="rId786" ref="C206"/>
    <hyperlink r:id="rId787" ref="E206"/>
    <hyperlink r:id="rId788" ref="S206"/>
    <hyperlink r:id="rId789" ref="B207"/>
    <hyperlink r:id="rId790" ref="C207"/>
    <hyperlink r:id="rId791" ref="E207"/>
    <hyperlink r:id="rId792" ref="S207"/>
    <hyperlink r:id="rId793" ref="B208"/>
    <hyperlink r:id="rId794" ref="C208"/>
    <hyperlink r:id="rId795" ref="E208"/>
    <hyperlink r:id="rId796" ref="S208"/>
    <hyperlink r:id="rId797" ref="B209"/>
    <hyperlink r:id="rId798" ref="C209"/>
    <hyperlink r:id="rId799" ref="E209"/>
    <hyperlink r:id="rId800" ref="S209"/>
    <hyperlink r:id="rId801" ref="B211"/>
    <hyperlink r:id="rId802" ref="C211"/>
    <hyperlink r:id="rId803" ref="E211"/>
    <hyperlink r:id="rId804" ref="S211"/>
    <hyperlink r:id="rId805" ref="B212"/>
    <hyperlink r:id="rId806" ref="C212"/>
    <hyperlink r:id="rId807" ref="E212"/>
    <hyperlink r:id="rId808" ref="S212"/>
    <hyperlink r:id="rId809" ref="B213"/>
    <hyperlink r:id="rId810" ref="C213"/>
    <hyperlink r:id="rId811" ref="E213"/>
    <hyperlink r:id="rId812" ref="S213"/>
    <hyperlink r:id="rId813" ref="B214"/>
    <hyperlink r:id="rId814" ref="C214"/>
    <hyperlink r:id="rId815" ref="E214"/>
    <hyperlink r:id="rId816" ref="S214"/>
    <hyperlink r:id="rId817" ref="B215"/>
    <hyperlink r:id="rId818" ref="C215"/>
    <hyperlink r:id="rId819" ref="E215"/>
    <hyperlink r:id="rId820" ref="S215"/>
    <hyperlink r:id="rId821" ref="B216"/>
    <hyperlink r:id="rId822" ref="C216"/>
    <hyperlink r:id="rId823" ref="E216"/>
    <hyperlink r:id="rId824" ref="S216"/>
    <hyperlink r:id="rId825" ref="B217"/>
    <hyperlink r:id="rId826" ref="C217"/>
    <hyperlink r:id="rId827" ref="E217"/>
    <hyperlink r:id="rId828" ref="S217"/>
    <hyperlink r:id="rId829" ref="B218"/>
    <hyperlink r:id="rId830" ref="C218"/>
    <hyperlink r:id="rId831" ref="E218"/>
    <hyperlink r:id="rId832" ref="S218"/>
    <hyperlink r:id="rId833" ref="B219"/>
    <hyperlink r:id="rId834" ref="C219"/>
    <hyperlink r:id="rId835" ref="E219"/>
    <hyperlink r:id="rId836" ref="S219"/>
    <hyperlink r:id="rId837" ref="B220"/>
    <hyperlink r:id="rId838" ref="C220"/>
    <hyperlink r:id="rId839" ref="E220"/>
    <hyperlink r:id="rId840" ref="S220"/>
    <hyperlink r:id="rId841" ref="B221"/>
    <hyperlink r:id="rId842" ref="C221"/>
    <hyperlink r:id="rId843" ref="E221"/>
    <hyperlink r:id="rId844" ref="S221"/>
    <hyperlink r:id="rId845" ref="B222"/>
    <hyperlink r:id="rId846" ref="C222"/>
    <hyperlink r:id="rId847" ref="E222"/>
    <hyperlink r:id="rId848" ref="S222"/>
    <hyperlink r:id="rId849" ref="B223"/>
    <hyperlink r:id="rId850" ref="C223"/>
    <hyperlink r:id="rId851" ref="E223"/>
    <hyperlink r:id="rId852" ref="S223"/>
    <hyperlink r:id="rId853" ref="B224"/>
    <hyperlink r:id="rId854" ref="C224"/>
    <hyperlink r:id="rId855" ref="E224"/>
    <hyperlink r:id="rId856" ref="S224"/>
    <hyperlink r:id="rId857" ref="B225"/>
    <hyperlink r:id="rId858" ref="C225"/>
    <hyperlink r:id="rId859" ref="E225"/>
    <hyperlink r:id="rId860" ref="S225"/>
    <hyperlink r:id="rId861" ref="B226"/>
    <hyperlink r:id="rId862" ref="C226"/>
    <hyperlink r:id="rId863" ref="E226"/>
    <hyperlink r:id="rId864" ref="S226"/>
    <hyperlink r:id="rId865" ref="B227"/>
    <hyperlink r:id="rId866" ref="C227"/>
    <hyperlink r:id="rId867" ref="E227"/>
    <hyperlink r:id="rId868" ref="S227"/>
    <hyperlink r:id="rId869" ref="B228"/>
    <hyperlink r:id="rId870" ref="C228"/>
    <hyperlink r:id="rId871" ref="E228"/>
    <hyperlink r:id="rId872" ref="S228"/>
    <hyperlink r:id="rId873" ref="B229"/>
    <hyperlink r:id="rId874" ref="C229"/>
    <hyperlink r:id="rId875" ref="E229"/>
    <hyperlink r:id="rId876" ref="S229"/>
    <hyperlink r:id="rId877" ref="B230"/>
    <hyperlink r:id="rId878" ref="C230"/>
    <hyperlink r:id="rId879" ref="E230"/>
    <hyperlink r:id="rId880" ref="S230"/>
    <hyperlink r:id="rId881" ref="B231"/>
    <hyperlink r:id="rId882" ref="C231"/>
    <hyperlink r:id="rId883" ref="E231"/>
    <hyperlink r:id="rId884" ref="S231"/>
    <hyperlink r:id="rId885" ref="B232"/>
    <hyperlink r:id="rId886" ref="C232"/>
    <hyperlink r:id="rId887" ref="E232"/>
    <hyperlink r:id="rId888" ref="S232"/>
    <hyperlink r:id="rId889" ref="B233"/>
    <hyperlink r:id="rId890" ref="C233"/>
    <hyperlink r:id="rId891" ref="E233"/>
    <hyperlink r:id="rId892" ref="S233"/>
    <hyperlink r:id="rId893" ref="B234"/>
    <hyperlink r:id="rId894" ref="C234"/>
    <hyperlink r:id="rId895" ref="E234"/>
    <hyperlink r:id="rId896" ref="S234"/>
    <hyperlink r:id="rId897" ref="B235"/>
    <hyperlink r:id="rId898" ref="C235"/>
    <hyperlink r:id="rId899" ref="E235"/>
    <hyperlink r:id="rId900" ref="S235"/>
    <hyperlink r:id="rId901" ref="B237"/>
    <hyperlink r:id="rId902" ref="C237"/>
    <hyperlink r:id="rId903" ref="E237"/>
    <hyperlink r:id="rId904" ref="S237"/>
    <hyperlink r:id="rId905" ref="B238"/>
    <hyperlink r:id="rId906" ref="C238"/>
    <hyperlink r:id="rId907" ref="E238"/>
    <hyperlink r:id="rId908" ref="S238"/>
    <hyperlink r:id="rId909" ref="B239"/>
    <hyperlink r:id="rId910" ref="C239"/>
    <hyperlink r:id="rId911" ref="E239"/>
    <hyperlink r:id="rId912" ref="S239"/>
    <hyperlink r:id="rId913" ref="B240"/>
    <hyperlink r:id="rId914" ref="C240"/>
    <hyperlink r:id="rId915" ref="E240"/>
    <hyperlink r:id="rId916" ref="S240"/>
    <hyperlink r:id="rId917" ref="B241"/>
    <hyperlink r:id="rId918" ref="C241"/>
    <hyperlink r:id="rId919" ref="E241"/>
    <hyperlink r:id="rId920" ref="S241"/>
    <hyperlink r:id="rId921" ref="B242"/>
    <hyperlink r:id="rId922" ref="C242"/>
    <hyperlink r:id="rId923" ref="E242"/>
    <hyperlink r:id="rId924" ref="S242"/>
    <hyperlink r:id="rId925" ref="B243"/>
    <hyperlink r:id="rId926" ref="C243"/>
    <hyperlink r:id="rId927" ref="E243"/>
    <hyperlink r:id="rId928" ref="S243"/>
    <hyperlink r:id="rId929" ref="B244"/>
    <hyperlink r:id="rId930" ref="C244"/>
    <hyperlink r:id="rId931" ref="E244"/>
    <hyperlink r:id="rId932" ref="S244"/>
    <hyperlink r:id="rId933" ref="B245"/>
    <hyperlink r:id="rId934" ref="C245"/>
    <hyperlink r:id="rId935" ref="E245"/>
    <hyperlink r:id="rId936" ref="S245"/>
    <hyperlink r:id="rId937" ref="B246"/>
    <hyperlink r:id="rId938" ref="C246"/>
    <hyperlink r:id="rId939" ref="E246"/>
    <hyperlink r:id="rId940" ref="S246"/>
    <hyperlink r:id="rId941" ref="B247"/>
    <hyperlink r:id="rId942" ref="C247"/>
    <hyperlink r:id="rId943" ref="E247"/>
    <hyperlink r:id="rId944" ref="S247"/>
    <hyperlink r:id="rId945" ref="B248"/>
    <hyperlink r:id="rId946" ref="C248"/>
    <hyperlink r:id="rId947" ref="E248"/>
    <hyperlink r:id="rId948" ref="S248"/>
    <hyperlink r:id="rId949" ref="B249"/>
    <hyperlink r:id="rId950" ref="C249"/>
    <hyperlink r:id="rId951" ref="E249"/>
    <hyperlink r:id="rId952" ref="S249"/>
    <hyperlink r:id="rId953" ref="B250"/>
    <hyperlink r:id="rId954" ref="C250"/>
    <hyperlink r:id="rId955" ref="E250"/>
    <hyperlink r:id="rId956" ref="S250"/>
    <hyperlink r:id="rId957" ref="B251"/>
    <hyperlink r:id="rId958" ref="C251"/>
    <hyperlink r:id="rId959" ref="E251"/>
    <hyperlink r:id="rId960" ref="S251"/>
    <hyperlink r:id="rId961" ref="B252"/>
    <hyperlink r:id="rId962" ref="C252"/>
    <hyperlink r:id="rId963" ref="E252"/>
    <hyperlink r:id="rId964" ref="S252"/>
    <hyperlink r:id="rId965" ref="B253"/>
    <hyperlink r:id="rId966" ref="C253"/>
    <hyperlink r:id="rId967" ref="E253"/>
    <hyperlink r:id="rId968" ref="S253"/>
    <hyperlink r:id="rId969" ref="B254"/>
    <hyperlink r:id="rId970" ref="C254"/>
    <hyperlink r:id="rId971" ref="E254"/>
    <hyperlink r:id="rId972" ref="S254"/>
    <hyperlink r:id="rId973" ref="B255"/>
    <hyperlink r:id="rId974" ref="C255"/>
    <hyperlink r:id="rId975" ref="E255"/>
    <hyperlink r:id="rId976" ref="S255"/>
    <hyperlink r:id="rId977" ref="B256"/>
    <hyperlink r:id="rId978" ref="C256"/>
    <hyperlink r:id="rId979" ref="E256"/>
    <hyperlink r:id="rId980" ref="S256"/>
    <hyperlink r:id="rId981" ref="B257"/>
    <hyperlink r:id="rId982" ref="C257"/>
    <hyperlink r:id="rId983" ref="E257"/>
    <hyperlink r:id="rId984" ref="S257"/>
    <hyperlink r:id="rId985" ref="B258"/>
    <hyperlink r:id="rId986" ref="C258"/>
    <hyperlink r:id="rId987" ref="E258"/>
    <hyperlink r:id="rId988" ref="S258"/>
    <hyperlink r:id="rId989" ref="B259"/>
    <hyperlink r:id="rId990" ref="C259"/>
    <hyperlink r:id="rId991" ref="E259"/>
    <hyperlink r:id="rId992" ref="S259"/>
    <hyperlink r:id="rId993" ref="B260"/>
    <hyperlink r:id="rId994" ref="C260"/>
    <hyperlink r:id="rId995" ref="E260"/>
    <hyperlink r:id="rId996" ref="S260"/>
    <hyperlink r:id="rId997" ref="B261"/>
    <hyperlink r:id="rId998" ref="C261"/>
    <hyperlink r:id="rId999" ref="E261"/>
    <hyperlink r:id="rId1000" ref="S261"/>
    <hyperlink r:id="rId1001" ref="B263"/>
    <hyperlink r:id="rId1002" ref="C263"/>
    <hyperlink r:id="rId1003" ref="E263"/>
    <hyperlink r:id="rId1004" ref="S263"/>
    <hyperlink r:id="rId1005" ref="B264"/>
    <hyperlink r:id="rId1006" ref="C264"/>
    <hyperlink r:id="rId1007" ref="E264"/>
    <hyperlink r:id="rId1008" ref="S264"/>
    <hyperlink r:id="rId1009" ref="B265"/>
    <hyperlink r:id="rId1010" ref="C265"/>
    <hyperlink r:id="rId1011" ref="E265"/>
    <hyperlink r:id="rId1012" ref="S265"/>
    <hyperlink r:id="rId1013" ref="B266"/>
    <hyperlink r:id="rId1014" ref="C266"/>
    <hyperlink r:id="rId1015" ref="E266"/>
    <hyperlink r:id="rId1016" ref="S266"/>
    <hyperlink r:id="rId1017" ref="B267"/>
    <hyperlink r:id="rId1018" ref="C267"/>
    <hyperlink r:id="rId1019" ref="E267"/>
    <hyperlink r:id="rId1020" ref="S267"/>
    <hyperlink r:id="rId1021" ref="B268"/>
    <hyperlink r:id="rId1022" ref="C268"/>
    <hyperlink r:id="rId1023" ref="E268"/>
    <hyperlink r:id="rId1024" ref="S268"/>
    <hyperlink r:id="rId1025" ref="B269"/>
    <hyperlink r:id="rId1026" ref="C269"/>
    <hyperlink r:id="rId1027" ref="E269"/>
    <hyperlink r:id="rId1028" ref="S269"/>
    <hyperlink r:id="rId1029" ref="B270"/>
    <hyperlink r:id="rId1030" ref="C270"/>
    <hyperlink r:id="rId1031" ref="E270"/>
    <hyperlink r:id="rId1032" ref="S270"/>
    <hyperlink r:id="rId1033" ref="B271"/>
    <hyperlink r:id="rId1034" ref="C271"/>
    <hyperlink r:id="rId1035" ref="E271"/>
    <hyperlink r:id="rId1036" ref="S271"/>
    <hyperlink r:id="rId1037" ref="B272"/>
    <hyperlink r:id="rId1038" ref="C272"/>
    <hyperlink r:id="rId1039" ref="E272"/>
    <hyperlink r:id="rId1040" ref="S272"/>
    <hyperlink r:id="rId1041" ref="B273"/>
    <hyperlink r:id="rId1042" ref="C273"/>
    <hyperlink r:id="rId1043" ref="E273"/>
    <hyperlink r:id="rId1044" ref="S273"/>
    <hyperlink r:id="rId1045" ref="B274"/>
    <hyperlink r:id="rId1046" ref="C274"/>
    <hyperlink r:id="rId1047" ref="E274"/>
    <hyperlink r:id="rId1048" ref="S274"/>
    <hyperlink r:id="rId1049" ref="B275"/>
    <hyperlink r:id="rId1050" ref="C275"/>
    <hyperlink r:id="rId1051" ref="E275"/>
    <hyperlink r:id="rId1052" ref="S275"/>
    <hyperlink r:id="rId1053" ref="B276"/>
    <hyperlink r:id="rId1054" ref="C276"/>
    <hyperlink r:id="rId1055" ref="E276"/>
    <hyperlink r:id="rId1056" ref="S276"/>
    <hyperlink r:id="rId1057" ref="B277"/>
    <hyperlink r:id="rId1058" ref="C277"/>
    <hyperlink r:id="rId1059" ref="E277"/>
    <hyperlink r:id="rId1060" ref="S277"/>
    <hyperlink r:id="rId1061" ref="B278"/>
    <hyperlink r:id="rId1062" ref="C278"/>
    <hyperlink r:id="rId1063" ref="E278"/>
    <hyperlink r:id="rId1064" ref="S278"/>
    <hyperlink r:id="rId1065" ref="B279"/>
    <hyperlink r:id="rId1066" ref="C279"/>
    <hyperlink r:id="rId1067" ref="E279"/>
    <hyperlink r:id="rId1068" ref="S279"/>
    <hyperlink r:id="rId1069" ref="B280"/>
    <hyperlink r:id="rId1070" ref="C280"/>
    <hyperlink r:id="rId1071" ref="E280"/>
    <hyperlink r:id="rId1072" ref="S280"/>
    <hyperlink r:id="rId1073" ref="B281"/>
    <hyperlink r:id="rId1074" ref="C281"/>
    <hyperlink r:id="rId1075" ref="E281"/>
    <hyperlink r:id="rId1076" ref="S281"/>
    <hyperlink r:id="rId1077" ref="B282"/>
    <hyperlink r:id="rId1078" ref="C282"/>
    <hyperlink r:id="rId1079" ref="E282"/>
    <hyperlink r:id="rId1080" ref="S282"/>
    <hyperlink r:id="rId1081" ref="B283"/>
    <hyperlink r:id="rId1082" ref="C283"/>
    <hyperlink r:id="rId1083" ref="E283"/>
    <hyperlink r:id="rId1084" ref="S283"/>
    <hyperlink r:id="rId1085" ref="B284"/>
    <hyperlink r:id="rId1086" ref="C284"/>
    <hyperlink r:id="rId1087" ref="E284"/>
    <hyperlink r:id="rId1088" ref="S284"/>
    <hyperlink r:id="rId1089" ref="B285"/>
    <hyperlink r:id="rId1090" ref="C285"/>
    <hyperlink r:id="rId1091" ref="E285"/>
    <hyperlink r:id="rId1092" ref="S285"/>
    <hyperlink r:id="rId1093" ref="B286"/>
    <hyperlink r:id="rId1094" ref="C286"/>
    <hyperlink r:id="rId1095" ref="E286"/>
    <hyperlink r:id="rId1096" ref="S286"/>
    <hyperlink r:id="rId1097" ref="B287"/>
    <hyperlink r:id="rId1098" ref="C287"/>
    <hyperlink r:id="rId1099" ref="E287"/>
    <hyperlink r:id="rId1100" ref="S287"/>
    <hyperlink r:id="rId1101" ref="B289"/>
    <hyperlink r:id="rId1102" ref="C289"/>
    <hyperlink r:id="rId1103" ref="E289"/>
    <hyperlink r:id="rId1104" ref="S289"/>
    <hyperlink r:id="rId1105" ref="B290"/>
    <hyperlink r:id="rId1106" ref="C290"/>
    <hyperlink r:id="rId1107" ref="E290"/>
    <hyperlink r:id="rId1108" ref="S290"/>
    <hyperlink r:id="rId1109" ref="B291"/>
    <hyperlink r:id="rId1110" ref="C291"/>
    <hyperlink r:id="rId1111" ref="E291"/>
    <hyperlink r:id="rId1112" ref="S291"/>
    <hyperlink r:id="rId1113" ref="B292"/>
    <hyperlink r:id="rId1114" ref="C292"/>
    <hyperlink r:id="rId1115" ref="E292"/>
    <hyperlink r:id="rId1116" ref="S292"/>
    <hyperlink r:id="rId1117" ref="B293"/>
    <hyperlink r:id="rId1118" ref="C293"/>
    <hyperlink r:id="rId1119" ref="E293"/>
    <hyperlink r:id="rId1120" ref="S293"/>
    <hyperlink r:id="rId1121" ref="B294"/>
    <hyperlink r:id="rId1122" ref="C294"/>
    <hyperlink r:id="rId1123" ref="E294"/>
    <hyperlink r:id="rId1124" ref="S294"/>
    <hyperlink r:id="rId1125" ref="B295"/>
    <hyperlink r:id="rId1126" ref="C295"/>
    <hyperlink r:id="rId1127" ref="E295"/>
    <hyperlink r:id="rId1128" ref="S295"/>
    <hyperlink r:id="rId1129" ref="B296"/>
    <hyperlink r:id="rId1130" ref="C296"/>
    <hyperlink r:id="rId1131" ref="E296"/>
    <hyperlink r:id="rId1132" ref="S296"/>
    <hyperlink r:id="rId1133" ref="B297"/>
    <hyperlink r:id="rId1134" ref="C297"/>
    <hyperlink r:id="rId1135" ref="E297"/>
    <hyperlink r:id="rId1136" ref="S297"/>
    <hyperlink r:id="rId1137" ref="B298"/>
    <hyperlink r:id="rId1138" ref="C298"/>
    <hyperlink r:id="rId1139" ref="E298"/>
    <hyperlink r:id="rId1140" ref="S298"/>
    <hyperlink r:id="rId1141" ref="B299"/>
    <hyperlink r:id="rId1142" ref="C299"/>
    <hyperlink r:id="rId1143" ref="E299"/>
    <hyperlink r:id="rId1144" ref="S299"/>
    <hyperlink r:id="rId1145" ref="B300"/>
    <hyperlink r:id="rId1146" ref="C300"/>
    <hyperlink r:id="rId1147" ref="E300"/>
    <hyperlink r:id="rId1148" ref="S300"/>
    <hyperlink r:id="rId1149" ref="B301"/>
    <hyperlink r:id="rId1150" ref="C301"/>
    <hyperlink r:id="rId1151" ref="E301"/>
    <hyperlink r:id="rId1152" ref="S301"/>
    <hyperlink r:id="rId1153" ref="B302"/>
    <hyperlink r:id="rId1154" ref="C302"/>
    <hyperlink r:id="rId1155" ref="E302"/>
    <hyperlink r:id="rId1156" ref="S302"/>
    <hyperlink r:id="rId1157" ref="B303"/>
    <hyperlink r:id="rId1158" ref="C303"/>
    <hyperlink r:id="rId1159" ref="E303"/>
    <hyperlink r:id="rId1160" ref="S303"/>
    <hyperlink r:id="rId1161" ref="B304"/>
    <hyperlink r:id="rId1162" ref="C304"/>
    <hyperlink r:id="rId1163" ref="E304"/>
    <hyperlink r:id="rId1164" ref="S304"/>
    <hyperlink r:id="rId1165" ref="B305"/>
    <hyperlink r:id="rId1166" ref="C305"/>
    <hyperlink r:id="rId1167" ref="E305"/>
    <hyperlink r:id="rId1168" ref="S305"/>
    <hyperlink r:id="rId1169" ref="B306"/>
    <hyperlink r:id="rId1170" ref="C306"/>
    <hyperlink r:id="rId1171" ref="E306"/>
    <hyperlink r:id="rId1172" ref="S306"/>
    <hyperlink r:id="rId1173" ref="B307"/>
    <hyperlink r:id="rId1174" ref="C307"/>
    <hyperlink r:id="rId1175" ref="E307"/>
    <hyperlink r:id="rId1176" ref="S307"/>
    <hyperlink r:id="rId1177" ref="B308"/>
    <hyperlink r:id="rId1178" ref="C308"/>
    <hyperlink r:id="rId1179" ref="E308"/>
    <hyperlink r:id="rId1180" ref="S308"/>
    <hyperlink r:id="rId1181" ref="B309"/>
    <hyperlink r:id="rId1182" ref="C309"/>
    <hyperlink r:id="rId1183" ref="E309"/>
    <hyperlink r:id="rId1184" ref="S309"/>
    <hyperlink r:id="rId1185" ref="B310"/>
    <hyperlink r:id="rId1186" ref="C310"/>
    <hyperlink r:id="rId1187" ref="E310"/>
    <hyperlink r:id="rId1188" ref="S310"/>
    <hyperlink r:id="rId1189" ref="B311"/>
    <hyperlink r:id="rId1190" ref="C311"/>
    <hyperlink r:id="rId1191" ref="E311"/>
    <hyperlink r:id="rId1192" ref="S311"/>
    <hyperlink r:id="rId1193" ref="B312"/>
    <hyperlink r:id="rId1194" ref="C312"/>
    <hyperlink r:id="rId1195" ref="E312"/>
    <hyperlink r:id="rId1196" ref="S312"/>
    <hyperlink r:id="rId1197" ref="B313"/>
    <hyperlink r:id="rId1198" ref="C313"/>
    <hyperlink r:id="rId1199" ref="E313"/>
    <hyperlink r:id="rId1200" ref="S313"/>
    <hyperlink r:id="rId1201" ref="B315"/>
    <hyperlink r:id="rId1202" ref="C315"/>
    <hyperlink r:id="rId1203" ref="E315"/>
    <hyperlink r:id="rId1204" ref="S315"/>
    <hyperlink r:id="rId1205" ref="B316"/>
    <hyperlink r:id="rId1206" ref="C316"/>
    <hyperlink r:id="rId1207" ref="E316"/>
    <hyperlink r:id="rId1208" ref="S316"/>
    <hyperlink r:id="rId1209" ref="B317"/>
    <hyperlink r:id="rId1210" ref="C317"/>
    <hyperlink r:id="rId1211" ref="E317"/>
    <hyperlink r:id="rId1212" ref="S317"/>
    <hyperlink r:id="rId1213" ref="B318"/>
    <hyperlink r:id="rId1214" ref="C318"/>
    <hyperlink r:id="rId1215" ref="E318"/>
    <hyperlink r:id="rId1216" ref="S318"/>
    <hyperlink r:id="rId1217" ref="B319"/>
    <hyperlink r:id="rId1218" ref="C319"/>
    <hyperlink r:id="rId1219" ref="E319"/>
    <hyperlink r:id="rId1220" ref="S319"/>
    <hyperlink r:id="rId1221" ref="B320"/>
    <hyperlink r:id="rId1222" ref="C320"/>
    <hyperlink r:id="rId1223" ref="E320"/>
    <hyperlink r:id="rId1224" ref="S320"/>
    <hyperlink r:id="rId1225" ref="B321"/>
    <hyperlink r:id="rId1226" ref="C321"/>
    <hyperlink r:id="rId1227" ref="E321"/>
    <hyperlink r:id="rId1228" ref="S321"/>
    <hyperlink r:id="rId1229" ref="B322"/>
    <hyperlink r:id="rId1230" ref="C322"/>
    <hyperlink r:id="rId1231" ref="E322"/>
    <hyperlink r:id="rId1232" ref="S322"/>
    <hyperlink r:id="rId1233" ref="B323"/>
    <hyperlink r:id="rId1234" ref="C323"/>
    <hyperlink r:id="rId1235" ref="E323"/>
    <hyperlink r:id="rId1236" ref="S323"/>
    <hyperlink r:id="rId1237" ref="B324"/>
    <hyperlink r:id="rId1238" ref="C324"/>
    <hyperlink r:id="rId1239" ref="E324"/>
    <hyperlink r:id="rId1240" ref="S324"/>
    <hyperlink r:id="rId1241" ref="B325"/>
    <hyperlink r:id="rId1242" ref="C325"/>
    <hyperlink r:id="rId1243" ref="E325"/>
    <hyperlink r:id="rId1244" ref="S325"/>
    <hyperlink r:id="rId1245" ref="B326"/>
    <hyperlink r:id="rId1246" ref="C326"/>
    <hyperlink r:id="rId1247" ref="E326"/>
    <hyperlink r:id="rId1248" ref="S326"/>
    <hyperlink r:id="rId1249" ref="B327"/>
    <hyperlink r:id="rId1250" ref="C327"/>
    <hyperlink r:id="rId1251" ref="E327"/>
    <hyperlink r:id="rId1252" ref="S327"/>
    <hyperlink r:id="rId1253" ref="B328"/>
    <hyperlink r:id="rId1254" ref="C328"/>
    <hyperlink r:id="rId1255" ref="E328"/>
    <hyperlink r:id="rId1256" ref="S328"/>
    <hyperlink r:id="rId1257" ref="B329"/>
    <hyperlink r:id="rId1258" ref="C329"/>
    <hyperlink r:id="rId1259" ref="E329"/>
    <hyperlink r:id="rId1260" ref="S329"/>
    <hyperlink r:id="rId1261" ref="B330"/>
    <hyperlink r:id="rId1262" ref="C330"/>
    <hyperlink r:id="rId1263" ref="E330"/>
    <hyperlink r:id="rId1264" ref="S330"/>
    <hyperlink r:id="rId1265" ref="B331"/>
    <hyperlink r:id="rId1266" ref="C331"/>
    <hyperlink r:id="rId1267" ref="E331"/>
    <hyperlink r:id="rId1268" ref="S331"/>
    <hyperlink r:id="rId1269" ref="B332"/>
    <hyperlink r:id="rId1270" ref="C332"/>
    <hyperlink r:id="rId1271" ref="E332"/>
    <hyperlink r:id="rId1272" ref="S332"/>
    <hyperlink r:id="rId1273" ref="B333"/>
    <hyperlink r:id="rId1274" ref="C333"/>
    <hyperlink r:id="rId1275" ref="E333"/>
    <hyperlink r:id="rId1276" ref="S333"/>
    <hyperlink r:id="rId1277" ref="B334"/>
    <hyperlink r:id="rId1278" ref="C334"/>
    <hyperlink r:id="rId1279" ref="E334"/>
    <hyperlink r:id="rId1280" ref="S334"/>
    <hyperlink r:id="rId1281" ref="B335"/>
    <hyperlink r:id="rId1282" ref="C335"/>
    <hyperlink r:id="rId1283" ref="E335"/>
    <hyperlink r:id="rId1284" ref="S335"/>
    <hyperlink r:id="rId1285" ref="B336"/>
    <hyperlink r:id="rId1286" ref="C336"/>
    <hyperlink r:id="rId1287" ref="E336"/>
    <hyperlink r:id="rId1288" ref="S336"/>
    <hyperlink r:id="rId1289" ref="B337"/>
    <hyperlink r:id="rId1290" ref="C337"/>
    <hyperlink r:id="rId1291" ref="E337"/>
    <hyperlink r:id="rId1292" ref="S337"/>
    <hyperlink r:id="rId1293" ref="B338"/>
    <hyperlink r:id="rId1294" ref="C338"/>
    <hyperlink r:id="rId1295" ref="E338"/>
    <hyperlink r:id="rId1296" ref="S338"/>
    <hyperlink r:id="rId1297" ref="B339"/>
    <hyperlink r:id="rId1298" ref="C339"/>
    <hyperlink r:id="rId1299" ref="E339"/>
    <hyperlink r:id="rId1300" ref="S339"/>
    <hyperlink r:id="rId1301" ref="B341"/>
    <hyperlink r:id="rId1302" ref="C341"/>
    <hyperlink r:id="rId1303" ref="E341"/>
    <hyperlink r:id="rId1304" ref="S341"/>
    <hyperlink r:id="rId1305" ref="B342"/>
    <hyperlink r:id="rId1306" ref="C342"/>
    <hyperlink r:id="rId1307" ref="E342"/>
    <hyperlink r:id="rId1308" ref="S342"/>
    <hyperlink r:id="rId1309" ref="B343"/>
    <hyperlink r:id="rId1310" ref="C343"/>
    <hyperlink r:id="rId1311" ref="E343"/>
    <hyperlink r:id="rId1312" ref="S343"/>
    <hyperlink r:id="rId1313" ref="B344"/>
    <hyperlink r:id="rId1314" ref="C344"/>
    <hyperlink r:id="rId1315" ref="E344"/>
    <hyperlink r:id="rId1316" ref="S344"/>
    <hyperlink r:id="rId1317" ref="B345"/>
    <hyperlink r:id="rId1318" ref="C345"/>
    <hyperlink r:id="rId1319" ref="E345"/>
    <hyperlink r:id="rId1320" ref="S345"/>
    <hyperlink r:id="rId1321" ref="B346"/>
    <hyperlink r:id="rId1322" ref="C346"/>
    <hyperlink r:id="rId1323" ref="E346"/>
    <hyperlink r:id="rId1324" ref="S346"/>
    <hyperlink r:id="rId1325" ref="B347"/>
    <hyperlink r:id="rId1326" ref="C347"/>
    <hyperlink r:id="rId1327" ref="E347"/>
    <hyperlink r:id="rId1328" ref="S347"/>
    <hyperlink r:id="rId1329" ref="B348"/>
    <hyperlink r:id="rId1330" ref="C348"/>
    <hyperlink r:id="rId1331" ref="E348"/>
    <hyperlink r:id="rId1332" ref="S348"/>
    <hyperlink r:id="rId1333" ref="B349"/>
    <hyperlink r:id="rId1334" ref="C349"/>
    <hyperlink r:id="rId1335" ref="E349"/>
    <hyperlink r:id="rId1336" ref="S349"/>
    <hyperlink r:id="rId1337" ref="B350"/>
    <hyperlink r:id="rId1338" ref="C350"/>
    <hyperlink r:id="rId1339" ref="E350"/>
    <hyperlink r:id="rId1340" ref="S350"/>
    <hyperlink r:id="rId1341" ref="B351"/>
    <hyperlink r:id="rId1342" ref="C351"/>
    <hyperlink r:id="rId1343" ref="E351"/>
    <hyperlink r:id="rId1344" ref="S351"/>
    <hyperlink r:id="rId1345" ref="B352"/>
    <hyperlink r:id="rId1346" ref="C352"/>
    <hyperlink r:id="rId1347" ref="E352"/>
    <hyperlink r:id="rId1348" ref="S352"/>
    <hyperlink r:id="rId1349" ref="B353"/>
    <hyperlink r:id="rId1350" ref="C353"/>
    <hyperlink r:id="rId1351" ref="E353"/>
    <hyperlink r:id="rId1352" ref="S353"/>
    <hyperlink r:id="rId1353" ref="B354"/>
    <hyperlink r:id="rId1354" ref="C354"/>
    <hyperlink r:id="rId1355" ref="E354"/>
    <hyperlink r:id="rId1356" ref="S354"/>
    <hyperlink r:id="rId1357" ref="B355"/>
    <hyperlink r:id="rId1358" ref="C355"/>
    <hyperlink r:id="rId1359" ref="E355"/>
    <hyperlink r:id="rId1360" ref="S355"/>
    <hyperlink r:id="rId1361" ref="B356"/>
    <hyperlink r:id="rId1362" ref="C356"/>
    <hyperlink r:id="rId1363" ref="E356"/>
    <hyperlink r:id="rId1364" ref="S356"/>
    <hyperlink r:id="rId1365" ref="B357"/>
    <hyperlink r:id="rId1366" ref="C357"/>
    <hyperlink r:id="rId1367" ref="E357"/>
    <hyperlink r:id="rId1368" ref="S357"/>
    <hyperlink r:id="rId1369" ref="B358"/>
    <hyperlink r:id="rId1370" ref="C358"/>
    <hyperlink r:id="rId1371" ref="E358"/>
    <hyperlink r:id="rId1372" ref="S358"/>
    <hyperlink r:id="rId1373" ref="B359"/>
    <hyperlink r:id="rId1374" ref="C359"/>
    <hyperlink r:id="rId1375" ref="E359"/>
    <hyperlink r:id="rId1376" ref="S359"/>
    <hyperlink r:id="rId1377" ref="B360"/>
    <hyperlink r:id="rId1378" ref="C360"/>
    <hyperlink r:id="rId1379" ref="E360"/>
    <hyperlink r:id="rId1380" ref="S360"/>
    <hyperlink r:id="rId1381" ref="B361"/>
    <hyperlink r:id="rId1382" ref="C361"/>
    <hyperlink r:id="rId1383" ref="E361"/>
    <hyperlink r:id="rId1384" ref="S361"/>
    <hyperlink r:id="rId1385" ref="B362"/>
    <hyperlink r:id="rId1386" ref="C362"/>
    <hyperlink r:id="rId1387" ref="E362"/>
    <hyperlink r:id="rId1388" ref="S362"/>
    <hyperlink r:id="rId1389" ref="B363"/>
    <hyperlink r:id="rId1390" ref="C363"/>
    <hyperlink r:id="rId1391" ref="E363"/>
    <hyperlink r:id="rId1392" ref="S363"/>
    <hyperlink r:id="rId1393" ref="B364"/>
    <hyperlink r:id="rId1394" ref="C364"/>
    <hyperlink r:id="rId1395" ref="E364"/>
    <hyperlink r:id="rId1396" ref="S364"/>
    <hyperlink r:id="rId1397" ref="B365"/>
    <hyperlink r:id="rId1398" ref="C365"/>
    <hyperlink r:id="rId1399" ref="E365"/>
    <hyperlink r:id="rId1400" ref="S365"/>
    <hyperlink r:id="rId1401" ref="B367"/>
    <hyperlink r:id="rId1402" ref="C367"/>
    <hyperlink r:id="rId1403" ref="E367"/>
    <hyperlink r:id="rId1404" ref="S367"/>
    <hyperlink r:id="rId1405" ref="B368"/>
    <hyperlink r:id="rId1406" ref="C368"/>
    <hyperlink r:id="rId1407" ref="E368"/>
    <hyperlink r:id="rId1408" ref="S368"/>
    <hyperlink r:id="rId1409" ref="B369"/>
    <hyperlink r:id="rId1410" ref="C369"/>
    <hyperlink r:id="rId1411" ref="E369"/>
    <hyperlink r:id="rId1412" ref="S369"/>
    <hyperlink r:id="rId1413" ref="B370"/>
    <hyperlink r:id="rId1414" ref="C370"/>
    <hyperlink r:id="rId1415" ref="E370"/>
    <hyperlink r:id="rId1416" ref="S370"/>
    <hyperlink r:id="rId1417" ref="B371"/>
    <hyperlink r:id="rId1418" ref="C371"/>
    <hyperlink r:id="rId1419" ref="E371"/>
    <hyperlink r:id="rId1420" ref="S371"/>
    <hyperlink r:id="rId1421" ref="B372"/>
    <hyperlink r:id="rId1422" ref="C372"/>
    <hyperlink r:id="rId1423" ref="E372"/>
    <hyperlink r:id="rId1424" ref="S372"/>
    <hyperlink r:id="rId1425" ref="B373"/>
    <hyperlink r:id="rId1426" ref="C373"/>
    <hyperlink r:id="rId1427" ref="E373"/>
    <hyperlink r:id="rId1428" ref="S373"/>
    <hyperlink r:id="rId1429" ref="B374"/>
    <hyperlink r:id="rId1430" ref="C374"/>
    <hyperlink r:id="rId1431" ref="E374"/>
    <hyperlink r:id="rId1432" ref="S374"/>
    <hyperlink r:id="rId1433" ref="B375"/>
    <hyperlink r:id="rId1434" ref="C375"/>
    <hyperlink r:id="rId1435" ref="E375"/>
    <hyperlink r:id="rId1436" ref="S375"/>
    <hyperlink r:id="rId1437" ref="B376"/>
    <hyperlink r:id="rId1438" ref="C376"/>
    <hyperlink r:id="rId1439" ref="E376"/>
    <hyperlink r:id="rId1440" ref="S376"/>
    <hyperlink r:id="rId1441" ref="B377"/>
    <hyperlink r:id="rId1442" ref="C377"/>
    <hyperlink r:id="rId1443" ref="E377"/>
    <hyperlink r:id="rId1444" ref="S377"/>
    <hyperlink r:id="rId1445" ref="B378"/>
    <hyperlink r:id="rId1446" ref="C378"/>
    <hyperlink r:id="rId1447" ref="E378"/>
    <hyperlink r:id="rId1448" ref="S378"/>
    <hyperlink r:id="rId1449" ref="B379"/>
    <hyperlink r:id="rId1450" ref="C379"/>
    <hyperlink r:id="rId1451" ref="E379"/>
    <hyperlink r:id="rId1452" ref="S379"/>
    <hyperlink r:id="rId1453" ref="B380"/>
    <hyperlink r:id="rId1454" ref="C380"/>
    <hyperlink r:id="rId1455" ref="E380"/>
    <hyperlink r:id="rId1456" ref="S380"/>
    <hyperlink r:id="rId1457" ref="B381"/>
    <hyperlink r:id="rId1458" ref="C381"/>
    <hyperlink r:id="rId1459" ref="E381"/>
    <hyperlink r:id="rId1460" ref="S381"/>
    <hyperlink r:id="rId1461" ref="B382"/>
    <hyperlink r:id="rId1462" ref="C382"/>
    <hyperlink r:id="rId1463" ref="E382"/>
    <hyperlink r:id="rId1464" ref="S382"/>
    <hyperlink r:id="rId1465" ref="B383"/>
    <hyperlink r:id="rId1466" ref="C383"/>
    <hyperlink r:id="rId1467" ref="E383"/>
    <hyperlink r:id="rId1468" ref="S383"/>
    <hyperlink r:id="rId1469" ref="B384"/>
    <hyperlink r:id="rId1470" ref="C384"/>
    <hyperlink r:id="rId1471" ref="E384"/>
    <hyperlink r:id="rId1472" ref="S384"/>
    <hyperlink r:id="rId1473" ref="B385"/>
    <hyperlink r:id="rId1474" ref="C385"/>
    <hyperlink r:id="rId1475" ref="E385"/>
    <hyperlink r:id="rId1476" ref="S385"/>
    <hyperlink r:id="rId1477" ref="B386"/>
    <hyperlink r:id="rId1478" ref="C386"/>
    <hyperlink r:id="rId1479" ref="E386"/>
    <hyperlink r:id="rId1480" ref="S386"/>
    <hyperlink r:id="rId1481" ref="B387"/>
    <hyperlink r:id="rId1482" ref="C387"/>
    <hyperlink r:id="rId1483" ref="E387"/>
    <hyperlink r:id="rId1484" ref="S387"/>
    <hyperlink r:id="rId1485" ref="B388"/>
    <hyperlink r:id="rId1486" ref="C388"/>
    <hyperlink r:id="rId1487" ref="E388"/>
    <hyperlink r:id="rId1488" ref="S388"/>
    <hyperlink r:id="rId1489" ref="B389"/>
    <hyperlink r:id="rId1490" ref="C389"/>
    <hyperlink r:id="rId1491" ref="E389"/>
    <hyperlink r:id="rId1492" ref="S389"/>
    <hyperlink r:id="rId1493" ref="B390"/>
    <hyperlink r:id="rId1494" ref="C390"/>
    <hyperlink r:id="rId1495" ref="E390"/>
    <hyperlink r:id="rId1496" ref="S390"/>
    <hyperlink r:id="rId1497" ref="B391"/>
    <hyperlink r:id="rId1498" ref="C391"/>
    <hyperlink r:id="rId1499" ref="E391"/>
    <hyperlink r:id="rId1500" ref="S391"/>
    <hyperlink r:id="rId1501" ref="B393"/>
    <hyperlink r:id="rId1502" ref="C393"/>
    <hyperlink r:id="rId1503" ref="E393"/>
    <hyperlink r:id="rId1504" ref="S393"/>
    <hyperlink r:id="rId1505" ref="B394"/>
    <hyperlink r:id="rId1506" ref="C394"/>
    <hyperlink r:id="rId1507" ref="E394"/>
    <hyperlink r:id="rId1508" ref="S394"/>
    <hyperlink r:id="rId1509" ref="B395"/>
    <hyperlink r:id="rId1510" ref="C395"/>
    <hyperlink r:id="rId1511" ref="E395"/>
    <hyperlink r:id="rId1512" ref="S395"/>
    <hyperlink r:id="rId1513" ref="B396"/>
    <hyperlink r:id="rId1514" ref="C396"/>
    <hyperlink r:id="rId1515" ref="E396"/>
    <hyperlink r:id="rId1516" ref="S396"/>
    <hyperlink r:id="rId1517" ref="B397"/>
    <hyperlink r:id="rId1518" ref="C397"/>
    <hyperlink r:id="rId1519" ref="E397"/>
    <hyperlink r:id="rId1520" ref="S397"/>
    <hyperlink r:id="rId1521" ref="B398"/>
    <hyperlink r:id="rId1522" ref="C398"/>
    <hyperlink r:id="rId1523" ref="E398"/>
    <hyperlink r:id="rId1524" ref="S398"/>
    <hyperlink r:id="rId1525" ref="B399"/>
    <hyperlink r:id="rId1526" ref="C399"/>
    <hyperlink r:id="rId1527" ref="E399"/>
    <hyperlink r:id="rId1528" ref="S399"/>
    <hyperlink r:id="rId1529" ref="B400"/>
    <hyperlink r:id="rId1530" ref="C400"/>
    <hyperlink r:id="rId1531" ref="E400"/>
    <hyperlink r:id="rId1532" ref="S400"/>
    <hyperlink r:id="rId1533" ref="B401"/>
    <hyperlink r:id="rId1534" ref="C401"/>
    <hyperlink r:id="rId1535" ref="E401"/>
    <hyperlink r:id="rId1536" ref="S401"/>
    <hyperlink r:id="rId1537" ref="B402"/>
    <hyperlink r:id="rId1538" ref="C402"/>
    <hyperlink r:id="rId1539" ref="E402"/>
    <hyperlink r:id="rId1540" ref="S402"/>
    <hyperlink r:id="rId1541" ref="B403"/>
    <hyperlink r:id="rId1542" ref="C403"/>
    <hyperlink r:id="rId1543" ref="E403"/>
    <hyperlink r:id="rId1544" ref="S403"/>
    <hyperlink r:id="rId1545" ref="B404"/>
    <hyperlink r:id="rId1546" ref="C404"/>
    <hyperlink r:id="rId1547" ref="E404"/>
    <hyperlink r:id="rId1548" ref="S404"/>
    <hyperlink r:id="rId1549" ref="B405"/>
    <hyperlink r:id="rId1550" ref="C405"/>
    <hyperlink r:id="rId1551" ref="E405"/>
    <hyperlink r:id="rId1552" ref="S405"/>
    <hyperlink r:id="rId1553" ref="B406"/>
    <hyperlink r:id="rId1554" ref="C406"/>
    <hyperlink r:id="rId1555" ref="E406"/>
    <hyperlink r:id="rId1556" ref="S406"/>
    <hyperlink r:id="rId1557" ref="B407"/>
    <hyperlink r:id="rId1558" ref="C407"/>
    <hyperlink r:id="rId1559" ref="E407"/>
    <hyperlink r:id="rId1560" ref="S407"/>
    <hyperlink r:id="rId1561" ref="B408"/>
    <hyperlink r:id="rId1562" ref="C408"/>
    <hyperlink r:id="rId1563" ref="E408"/>
    <hyperlink r:id="rId1564" ref="S408"/>
    <hyperlink r:id="rId1565" ref="B409"/>
    <hyperlink r:id="rId1566" ref="C409"/>
    <hyperlink r:id="rId1567" ref="E409"/>
    <hyperlink r:id="rId1568" ref="S409"/>
    <hyperlink r:id="rId1569" ref="B410"/>
    <hyperlink r:id="rId1570" ref="C410"/>
    <hyperlink r:id="rId1571" ref="E410"/>
    <hyperlink r:id="rId1572" ref="S410"/>
    <hyperlink r:id="rId1573" ref="B411"/>
    <hyperlink r:id="rId1574" ref="C411"/>
    <hyperlink r:id="rId1575" ref="E411"/>
    <hyperlink r:id="rId1576" ref="S411"/>
    <hyperlink r:id="rId1577" ref="B412"/>
    <hyperlink r:id="rId1578" ref="C412"/>
    <hyperlink r:id="rId1579" ref="E412"/>
    <hyperlink r:id="rId1580" ref="S412"/>
    <hyperlink r:id="rId1581" ref="B413"/>
    <hyperlink r:id="rId1582" ref="C413"/>
    <hyperlink r:id="rId1583" ref="E413"/>
    <hyperlink r:id="rId1584" ref="S413"/>
    <hyperlink r:id="rId1585" ref="B414"/>
    <hyperlink r:id="rId1586" ref="C414"/>
    <hyperlink r:id="rId1587" ref="E414"/>
    <hyperlink r:id="rId1588" ref="S414"/>
    <hyperlink r:id="rId1589" ref="B415"/>
    <hyperlink r:id="rId1590" ref="C415"/>
    <hyperlink r:id="rId1591" ref="E415"/>
    <hyperlink r:id="rId1592" ref="S415"/>
    <hyperlink r:id="rId1593" ref="B416"/>
    <hyperlink r:id="rId1594" ref="C416"/>
    <hyperlink r:id="rId1595" ref="E416"/>
    <hyperlink r:id="rId1596" ref="S416"/>
    <hyperlink r:id="rId1597" ref="B417"/>
    <hyperlink r:id="rId1598" ref="C417"/>
    <hyperlink r:id="rId1599" ref="E417"/>
    <hyperlink r:id="rId1600" ref="S417"/>
    <hyperlink r:id="rId1601" ref="B419"/>
    <hyperlink r:id="rId1602" ref="C419"/>
    <hyperlink r:id="rId1603" ref="E419"/>
    <hyperlink r:id="rId1604" ref="S419"/>
    <hyperlink r:id="rId1605" ref="B420"/>
    <hyperlink r:id="rId1606" ref="C420"/>
    <hyperlink r:id="rId1607" ref="E420"/>
    <hyperlink r:id="rId1608" ref="S420"/>
    <hyperlink r:id="rId1609" ref="B421"/>
    <hyperlink r:id="rId1610" ref="C421"/>
    <hyperlink r:id="rId1611" ref="E421"/>
    <hyperlink r:id="rId1612" ref="S421"/>
    <hyperlink r:id="rId1613" ref="B422"/>
    <hyperlink r:id="rId1614" ref="C422"/>
    <hyperlink r:id="rId1615" ref="E422"/>
    <hyperlink r:id="rId1616" ref="S422"/>
    <hyperlink r:id="rId1617" ref="B423"/>
    <hyperlink r:id="rId1618" ref="C423"/>
    <hyperlink r:id="rId1619" ref="E423"/>
    <hyperlink r:id="rId1620" ref="S423"/>
    <hyperlink r:id="rId1621" ref="B424"/>
    <hyperlink r:id="rId1622" ref="C424"/>
    <hyperlink r:id="rId1623" ref="E424"/>
    <hyperlink r:id="rId1624" ref="S424"/>
    <hyperlink r:id="rId1625" ref="B425"/>
    <hyperlink r:id="rId1626" ref="C425"/>
    <hyperlink r:id="rId1627" ref="E425"/>
    <hyperlink r:id="rId1628" ref="S425"/>
    <hyperlink r:id="rId1629" ref="B426"/>
    <hyperlink r:id="rId1630" ref="C426"/>
    <hyperlink r:id="rId1631" ref="E426"/>
    <hyperlink r:id="rId1632" ref="S426"/>
    <hyperlink r:id="rId1633" ref="B427"/>
    <hyperlink r:id="rId1634" ref="C427"/>
    <hyperlink r:id="rId1635" ref="E427"/>
    <hyperlink r:id="rId1636" ref="S427"/>
    <hyperlink r:id="rId1637" ref="B428"/>
    <hyperlink r:id="rId1638" ref="C428"/>
    <hyperlink r:id="rId1639" ref="E428"/>
    <hyperlink r:id="rId1640" ref="S428"/>
    <hyperlink r:id="rId1641" ref="B429"/>
    <hyperlink r:id="rId1642" ref="C429"/>
    <hyperlink r:id="rId1643" ref="E429"/>
    <hyperlink r:id="rId1644" ref="S429"/>
    <hyperlink r:id="rId1645" ref="B430"/>
    <hyperlink r:id="rId1646" ref="C430"/>
    <hyperlink r:id="rId1647" ref="E430"/>
    <hyperlink r:id="rId1648" ref="S430"/>
    <hyperlink r:id="rId1649" ref="B431"/>
    <hyperlink r:id="rId1650" ref="C431"/>
    <hyperlink r:id="rId1651" ref="E431"/>
    <hyperlink r:id="rId1652" ref="S431"/>
    <hyperlink r:id="rId1653" ref="B432"/>
    <hyperlink r:id="rId1654" ref="C432"/>
    <hyperlink r:id="rId1655" ref="E432"/>
    <hyperlink r:id="rId1656" ref="S432"/>
    <hyperlink r:id="rId1657" ref="B433"/>
    <hyperlink r:id="rId1658" ref="C433"/>
    <hyperlink r:id="rId1659" ref="E433"/>
    <hyperlink r:id="rId1660" ref="S433"/>
    <hyperlink r:id="rId1661" ref="B434"/>
    <hyperlink r:id="rId1662" ref="C434"/>
    <hyperlink r:id="rId1663" ref="E434"/>
    <hyperlink r:id="rId1664" ref="S434"/>
    <hyperlink r:id="rId1665" ref="B435"/>
    <hyperlink r:id="rId1666" ref="C435"/>
    <hyperlink r:id="rId1667" ref="E435"/>
    <hyperlink r:id="rId1668" ref="S435"/>
    <hyperlink r:id="rId1669" ref="B436"/>
    <hyperlink r:id="rId1670" ref="C436"/>
    <hyperlink r:id="rId1671" ref="E436"/>
    <hyperlink r:id="rId1672" ref="S436"/>
    <hyperlink r:id="rId1673" ref="B437"/>
    <hyperlink r:id="rId1674" ref="C437"/>
    <hyperlink r:id="rId1675" ref="E437"/>
    <hyperlink r:id="rId1676" ref="S437"/>
    <hyperlink r:id="rId1677" ref="B438"/>
    <hyperlink r:id="rId1678" ref="C438"/>
    <hyperlink r:id="rId1679" ref="E438"/>
    <hyperlink r:id="rId1680" ref="S438"/>
    <hyperlink r:id="rId1681" ref="B439"/>
    <hyperlink r:id="rId1682" ref="C439"/>
    <hyperlink r:id="rId1683" ref="E439"/>
    <hyperlink r:id="rId1684" ref="S439"/>
    <hyperlink r:id="rId1685" ref="B440"/>
    <hyperlink r:id="rId1686" ref="C440"/>
    <hyperlink r:id="rId1687" ref="E440"/>
    <hyperlink r:id="rId1688" ref="S440"/>
    <hyperlink r:id="rId1689" ref="B441"/>
    <hyperlink r:id="rId1690" ref="C441"/>
    <hyperlink r:id="rId1691" ref="E441"/>
    <hyperlink r:id="rId1692" ref="S441"/>
    <hyperlink r:id="rId1693" ref="B442"/>
    <hyperlink r:id="rId1694" ref="C442"/>
    <hyperlink r:id="rId1695" ref="E442"/>
    <hyperlink r:id="rId1696" ref="S442"/>
    <hyperlink r:id="rId1697" ref="B443"/>
    <hyperlink r:id="rId1698" ref="C443"/>
    <hyperlink r:id="rId1699" ref="E443"/>
    <hyperlink r:id="rId1700" ref="S443"/>
    <hyperlink r:id="rId1701" ref="B445"/>
    <hyperlink r:id="rId1702" ref="C445"/>
    <hyperlink r:id="rId1703" ref="E445"/>
    <hyperlink r:id="rId1704" ref="S445"/>
    <hyperlink r:id="rId1705" ref="B446"/>
    <hyperlink r:id="rId1706" ref="C446"/>
    <hyperlink r:id="rId1707" ref="E446"/>
    <hyperlink r:id="rId1708" ref="S446"/>
    <hyperlink r:id="rId1709" ref="B447"/>
    <hyperlink r:id="rId1710" ref="C447"/>
    <hyperlink r:id="rId1711" ref="E447"/>
    <hyperlink r:id="rId1712" ref="S447"/>
    <hyperlink r:id="rId1713" ref="B448"/>
    <hyperlink r:id="rId1714" ref="C448"/>
    <hyperlink r:id="rId1715" ref="E448"/>
    <hyperlink r:id="rId1716" ref="S448"/>
    <hyperlink r:id="rId1717" ref="B449"/>
    <hyperlink r:id="rId1718" ref="C449"/>
    <hyperlink r:id="rId1719" ref="E449"/>
    <hyperlink r:id="rId1720" ref="S449"/>
    <hyperlink r:id="rId1721" ref="B450"/>
    <hyperlink r:id="rId1722" ref="C450"/>
    <hyperlink r:id="rId1723" ref="E450"/>
    <hyperlink r:id="rId1724" ref="S450"/>
    <hyperlink r:id="rId1725" ref="B451"/>
    <hyperlink r:id="rId1726" ref="C451"/>
    <hyperlink r:id="rId1727" ref="E451"/>
    <hyperlink r:id="rId1728" ref="S451"/>
    <hyperlink r:id="rId1729" ref="B452"/>
    <hyperlink r:id="rId1730" ref="C452"/>
    <hyperlink r:id="rId1731" ref="E452"/>
    <hyperlink r:id="rId1732" ref="S452"/>
    <hyperlink r:id="rId1733" ref="B453"/>
    <hyperlink r:id="rId1734" ref="C453"/>
    <hyperlink r:id="rId1735" ref="E453"/>
    <hyperlink r:id="rId1736" ref="S453"/>
    <hyperlink r:id="rId1737" ref="B454"/>
    <hyperlink r:id="rId1738" ref="C454"/>
    <hyperlink r:id="rId1739" ref="E454"/>
    <hyperlink r:id="rId1740" ref="S454"/>
    <hyperlink r:id="rId1741" ref="B455"/>
    <hyperlink r:id="rId1742" ref="C455"/>
    <hyperlink r:id="rId1743" ref="E455"/>
    <hyperlink r:id="rId1744" ref="S455"/>
    <hyperlink r:id="rId1745" ref="B456"/>
    <hyperlink r:id="rId1746" ref="C456"/>
    <hyperlink r:id="rId1747" ref="E456"/>
    <hyperlink r:id="rId1748" ref="S456"/>
    <hyperlink r:id="rId1749" ref="B457"/>
    <hyperlink r:id="rId1750" ref="C457"/>
    <hyperlink r:id="rId1751" ref="E457"/>
    <hyperlink r:id="rId1752" ref="S457"/>
    <hyperlink r:id="rId1753" ref="B458"/>
    <hyperlink r:id="rId1754" ref="C458"/>
    <hyperlink r:id="rId1755" ref="E458"/>
    <hyperlink r:id="rId1756" ref="S458"/>
    <hyperlink r:id="rId1757" ref="B459"/>
    <hyperlink r:id="rId1758" ref="C459"/>
    <hyperlink r:id="rId1759" ref="E459"/>
    <hyperlink r:id="rId1760" ref="S459"/>
    <hyperlink r:id="rId1761" ref="B460"/>
    <hyperlink r:id="rId1762" ref="C460"/>
    <hyperlink r:id="rId1763" ref="E460"/>
    <hyperlink r:id="rId1764" ref="S460"/>
    <hyperlink r:id="rId1765" ref="B461"/>
    <hyperlink r:id="rId1766" ref="C461"/>
    <hyperlink r:id="rId1767" ref="E461"/>
    <hyperlink r:id="rId1768" ref="S461"/>
    <hyperlink r:id="rId1769" ref="B462"/>
    <hyperlink r:id="rId1770" ref="C462"/>
    <hyperlink r:id="rId1771" ref="E462"/>
    <hyperlink r:id="rId1772" ref="S462"/>
    <hyperlink r:id="rId1773" ref="B463"/>
    <hyperlink r:id="rId1774" ref="C463"/>
    <hyperlink r:id="rId1775" ref="E463"/>
    <hyperlink r:id="rId1776" ref="S463"/>
    <hyperlink r:id="rId1777" ref="B464"/>
    <hyperlink r:id="rId1778" ref="C464"/>
    <hyperlink r:id="rId1779" ref="E464"/>
    <hyperlink r:id="rId1780" ref="S464"/>
    <hyperlink r:id="rId1781" ref="B465"/>
    <hyperlink r:id="rId1782" ref="C465"/>
    <hyperlink r:id="rId1783" ref="E465"/>
    <hyperlink r:id="rId1784" ref="S465"/>
    <hyperlink r:id="rId1785" ref="B466"/>
    <hyperlink r:id="rId1786" ref="C466"/>
    <hyperlink r:id="rId1787" ref="E466"/>
    <hyperlink r:id="rId1788" ref="S466"/>
    <hyperlink r:id="rId1789" ref="B467"/>
    <hyperlink r:id="rId1790" ref="C467"/>
    <hyperlink r:id="rId1791" ref="E467"/>
    <hyperlink r:id="rId1792" ref="S467"/>
    <hyperlink r:id="rId1793" ref="B468"/>
    <hyperlink r:id="rId1794" ref="C468"/>
    <hyperlink r:id="rId1795" ref="E468"/>
    <hyperlink r:id="rId1796" ref="S468"/>
    <hyperlink r:id="rId1797" ref="B469"/>
    <hyperlink r:id="rId1798" ref="C469"/>
    <hyperlink r:id="rId1799" ref="E469"/>
    <hyperlink r:id="rId1800" ref="S469"/>
    <hyperlink r:id="rId1801" ref="B471"/>
    <hyperlink r:id="rId1802" ref="C471"/>
    <hyperlink r:id="rId1803" ref="E471"/>
    <hyperlink r:id="rId1804" ref="S471"/>
    <hyperlink r:id="rId1805" ref="B472"/>
    <hyperlink r:id="rId1806" ref="C472"/>
    <hyperlink r:id="rId1807" ref="E472"/>
    <hyperlink r:id="rId1808" ref="S472"/>
    <hyperlink r:id="rId1809" ref="B473"/>
    <hyperlink r:id="rId1810" ref="C473"/>
    <hyperlink r:id="rId1811" ref="E473"/>
    <hyperlink r:id="rId1812" ref="S473"/>
    <hyperlink r:id="rId1813" ref="B474"/>
    <hyperlink r:id="rId1814" ref="C474"/>
    <hyperlink r:id="rId1815" ref="E474"/>
    <hyperlink r:id="rId1816" ref="S474"/>
    <hyperlink r:id="rId1817" ref="B475"/>
    <hyperlink r:id="rId1818" ref="C475"/>
    <hyperlink r:id="rId1819" ref="E475"/>
    <hyperlink r:id="rId1820" ref="S475"/>
    <hyperlink r:id="rId1821" ref="B476"/>
    <hyperlink r:id="rId1822" ref="C476"/>
    <hyperlink r:id="rId1823" ref="E476"/>
    <hyperlink r:id="rId1824" ref="S476"/>
    <hyperlink r:id="rId1825" ref="B477"/>
    <hyperlink r:id="rId1826" ref="C477"/>
    <hyperlink r:id="rId1827" ref="E477"/>
    <hyperlink r:id="rId1828" ref="S477"/>
    <hyperlink r:id="rId1829" ref="B478"/>
    <hyperlink r:id="rId1830" ref="C478"/>
    <hyperlink r:id="rId1831" ref="E478"/>
    <hyperlink r:id="rId1832" ref="S478"/>
    <hyperlink r:id="rId1833" ref="B479"/>
    <hyperlink r:id="rId1834" ref="C479"/>
    <hyperlink r:id="rId1835" ref="E479"/>
    <hyperlink r:id="rId1836" ref="S479"/>
    <hyperlink r:id="rId1837" ref="B480"/>
    <hyperlink r:id="rId1838" ref="C480"/>
    <hyperlink r:id="rId1839" ref="E480"/>
    <hyperlink r:id="rId1840" ref="S480"/>
    <hyperlink r:id="rId1841" ref="B481"/>
    <hyperlink r:id="rId1842" ref="C481"/>
    <hyperlink r:id="rId1843" ref="E481"/>
    <hyperlink r:id="rId1844" ref="S481"/>
    <hyperlink r:id="rId1845" ref="B482"/>
    <hyperlink r:id="rId1846" ref="C482"/>
    <hyperlink r:id="rId1847" ref="E482"/>
    <hyperlink r:id="rId1848" ref="S482"/>
    <hyperlink r:id="rId1849" ref="B483"/>
    <hyperlink r:id="rId1850" ref="C483"/>
    <hyperlink r:id="rId1851" ref="E483"/>
    <hyperlink r:id="rId1852" ref="S483"/>
    <hyperlink r:id="rId1853" ref="B484"/>
    <hyperlink r:id="rId1854" ref="C484"/>
    <hyperlink r:id="rId1855" ref="E484"/>
    <hyperlink r:id="rId1856" ref="S484"/>
    <hyperlink r:id="rId1857" ref="B485"/>
    <hyperlink r:id="rId1858" ref="C485"/>
    <hyperlink r:id="rId1859" ref="E485"/>
    <hyperlink r:id="rId1860" ref="S485"/>
    <hyperlink r:id="rId1861" ref="B486"/>
    <hyperlink r:id="rId1862" ref="C486"/>
    <hyperlink r:id="rId1863" ref="E486"/>
    <hyperlink r:id="rId1864" ref="S486"/>
    <hyperlink r:id="rId1865" ref="B487"/>
    <hyperlink r:id="rId1866" ref="C487"/>
    <hyperlink r:id="rId1867" ref="E487"/>
    <hyperlink r:id="rId1868" ref="S487"/>
    <hyperlink r:id="rId1869" ref="B488"/>
    <hyperlink r:id="rId1870" ref="C488"/>
    <hyperlink r:id="rId1871" ref="E488"/>
    <hyperlink r:id="rId1872" ref="S488"/>
    <hyperlink r:id="rId1873" ref="B489"/>
    <hyperlink r:id="rId1874" ref="C489"/>
    <hyperlink r:id="rId1875" ref="E489"/>
    <hyperlink r:id="rId1876" ref="S489"/>
    <hyperlink r:id="rId1877" ref="B490"/>
    <hyperlink r:id="rId1878" ref="C490"/>
    <hyperlink r:id="rId1879" ref="E490"/>
    <hyperlink r:id="rId1880" ref="S490"/>
    <hyperlink r:id="rId1881" ref="B491"/>
    <hyperlink r:id="rId1882" ref="C491"/>
    <hyperlink r:id="rId1883" ref="E491"/>
    <hyperlink r:id="rId1884" ref="S491"/>
    <hyperlink r:id="rId1885" ref="B492"/>
    <hyperlink r:id="rId1886" ref="C492"/>
    <hyperlink r:id="rId1887" ref="E492"/>
    <hyperlink r:id="rId1888" ref="S492"/>
    <hyperlink r:id="rId1889" ref="B493"/>
    <hyperlink r:id="rId1890" ref="C493"/>
    <hyperlink r:id="rId1891" ref="E493"/>
    <hyperlink r:id="rId1892" ref="S493"/>
    <hyperlink r:id="rId1893" ref="B494"/>
    <hyperlink r:id="rId1894" ref="C494"/>
    <hyperlink r:id="rId1895" ref="E494"/>
    <hyperlink r:id="rId1896" ref="S494"/>
    <hyperlink r:id="rId1897" ref="B495"/>
    <hyperlink r:id="rId1898" ref="C495"/>
    <hyperlink r:id="rId1899" ref="E495"/>
    <hyperlink r:id="rId1900" ref="S495"/>
    <hyperlink r:id="rId1901" ref="B497"/>
    <hyperlink r:id="rId1902" ref="C497"/>
    <hyperlink r:id="rId1903" ref="E497"/>
    <hyperlink r:id="rId1904" ref="S497"/>
    <hyperlink r:id="rId1905" ref="B498"/>
    <hyperlink r:id="rId1906" ref="C498"/>
    <hyperlink r:id="rId1907" ref="E498"/>
    <hyperlink r:id="rId1908" ref="S498"/>
    <hyperlink r:id="rId1909" ref="B499"/>
    <hyperlink r:id="rId1910" ref="C499"/>
    <hyperlink r:id="rId1911" ref="E499"/>
    <hyperlink r:id="rId1912" ref="S499"/>
    <hyperlink r:id="rId1913" ref="B500"/>
    <hyperlink r:id="rId1914" ref="C500"/>
    <hyperlink r:id="rId1915" ref="E500"/>
    <hyperlink r:id="rId1916" ref="S500"/>
    <hyperlink r:id="rId1917" ref="B501"/>
    <hyperlink r:id="rId1918" ref="C501"/>
    <hyperlink r:id="rId1919" ref="E501"/>
    <hyperlink r:id="rId1920" ref="S501"/>
    <hyperlink r:id="rId1921" ref="B502"/>
    <hyperlink r:id="rId1922" ref="C502"/>
    <hyperlink r:id="rId1923" ref="E502"/>
    <hyperlink r:id="rId1924" ref="S502"/>
    <hyperlink r:id="rId1925" ref="B503"/>
    <hyperlink r:id="rId1926" ref="C503"/>
    <hyperlink r:id="rId1927" ref="E503"/>
    <hyperlink r:id="rId1928" ref="S503"/>
    <hyperlink r:id="rId1929" ref="B504"/>
    <hyperlink r:id="rId1930" ref="C504"/>
    <hyperlink r:id="rId1931" ref="E504"/>
    <hyperlink r:id="rId1932" ref="S504"/>
    <hyperlink r:id="rId1933" ref="B505"/>
    <hyperlink r:id="rId1934" ref="C505"/>
    <hyperlink r:id="rId1935" ref="E505"/>
    <hyperlink r:id="rId1936" ref="S505"/>
    <hyperlink r:id="rId1937" ref="B506"/>
    <hyperlink r:id="rId1938" ref="C506"/>
    <hyperlink r:id="rId1939" ref="E506"/>
    <hyperlink r:id="rId1940" ref="S506"/>
    <hyperlink r:id="rId1941" ref="B507"/>
    <hyperlink r:id="rId1942" ref="C507"/>
    <hyperlink r:id="rId1943" ref="E507"/>
    <hyperlink r:id="rId1944" ref="S507"/>
    <hyperlink r:id="rId1945" ref="B508"/>
    <hyperlink r:id="rId1946" ref="C508"/>
    <hyperlink r:id="rId1947" ref="E508"/>
    <hyperlink r:id="rId1948" ref="S508"/>
    <hyperlink r:id="rId1949" ref="B509"/>
    <hyperlink r:id="rId1950" ref="C509"/>
    <hyperlink r:id="rId1951" ref="E509"/>
    <hyperlink r:id="rId1952" ref="S509"/>
    <hyperlink r:id="rId1953" ref="B510"/>
    <hyperlink r:id="rId1954" ref="C510"/>
    <hyperlink r:id="rId1955" ref="E510"/>
    <hyperlink r:id="rId1956" ref="S510"/>
    <hyperlink r:id="rId1957" ref="B511"/>
    <hyperlink r:id="rId1958" ref="C511"/>
    <hyperlink r:id="rId1959" ref="E511"/>
    <hyperlink r:id="rId1960" ref="S511"/>
    <hyperlink r:id="rId1961" ref="B512"/>
    <hyperlink r:id="rId1962" ref="C512"/>
    <hyperlink r:id="rId1963" ref="E512"/>
    <hyperlink r:id="rId1964" ref="S512"/>
    <hyperlink r:id="rId1965" ref="B513"/>
    <hyperlink r:id="rId1966" ref="C513"/>
    <hyperlink r:id="rId1967" ref="E513"/>
    <hyperlink r:id="rId1968" ref="S513"/>
    <hyperlink r:id="rId1969" ref="B514"/>
    <hyperlink r:id="rId1970" ref="C514"/>
    <hyperlink r:id="rId1971" ref="E514"/>
    <hyperlink r:id="rId1972" ref="S514"/>
    <hyperlink r:id="rId1973" ref="B515"/>
    <hyperlink r:id="rId1974" ref="C515"/>
    <hyperlink r:id="rId1975" ref="E515"/>
    <hyperlink r:id="rId1976" ref="S515"/>
    <hyperlink r:id="rId1977" ref="B516"/>
    <hyperlink r:id="rId1978" ref="C516"/>
    <hyperlink r:id="rId1979" ref="E516"/>
    <hyperlink r:id="rId1980" ref="S516"/>
    <hyperlink r:id="rId1981" ref="B517"/>
    <hyperlink r:id="rId1982" ref="C517"/>
    <hyperlink r:id="rId1983" ref="E517"/>
    <hyperlink r:id="rId1984" ref="S517"/>
    <hyperlink r:id="rId1985" ref="B518"/>
    <hyperlink r:id="rId1986" ref="C518"/>
    <hyperlink r:id="rId1987" ref="E518"/>
    <hyperlink r:id="rId1988" ref="S518"/>
    <hyperlink r:id="rId1989" ref="B519"/>
    <hyperlink r:id="rId1990" ref="C519"/>
    <hyperlink r:id="rId1991" ref="E519"/>
    <hyperlink r:id="rId1992" ref="S519"/>
    <hyperlink r:id="rId1993" ref="B520"/>
    <hyperlink r:id="rId1994" ref="C520"/>
    <hyperlink r:id="rId1995" ref="E520"/>
    <hyperlink r:id="rId1996" ref="S520"/>
    <hyperlink r:id="rId1997" ref="B521"/>
    <hyperlink r:id="rId1998" ref="C521"/>
    <hyperlink r:id="rId1999" ref="E521"/>
    <hyperlink r:id="rId2000" ref="S521"/>
    <hyperlink r:id="rId2001" ref="B523"/>
    <hyperlink r:id="rId2002" ref="C523"/>
    <hyperlink r:id="rId2003" ref="E523"/>
    <hyperlink r:id="rId2004" ref="S523"/>
    <hyperlink r:id="rId2005" ref="B524"/>
    <hyperlink r:id="rId2006" ref="C524"/>
    <hyperlink r:id="rId2007" ref="E524"/>
    <hyperlink r:id="rId2008" ref="S524"/>
    <hyperlink r:id="rId2009" ref="B525"/>
    <hyperlink r:id="rId2010" ref="C525"/>
    <hyperlink r:id="rId2011" ref="E525"/>
    <hyperlink r:id="rId2012" ref="S525"/>
    <hyperlink r:id="rId2013" ref="B526"/>
    <hyperlink r:id="rId2014" ref="C526"/>
    <hyperlink r:id="rId2015" ref="E526"/>
    <hyperlink r:id="rId2016" ref="S526"/>
    <hyperlink r:id="rId2017" ref="B527"/>
    <hyperlink r:id="rId2018" ref="C527"/>
    <hyperlink r:id="rId2019" ref="E527"/>
    <hyperlink r:id="rId2020" ref="S527"/>
    <hyperlink r:id="rId2021" ref="B528"/>
    <hyperlink r:id="rId2022" ref="C528"/>
    <hyperlink r:id="rId2023" ref="E528"/>
    <hyperlink r:id="rId2024" ref="S528"/>
    <hyperlink r:id="rId2025" ref="B529"/>
    <hyperlink r:id="rId2026" ref="C529"/>
    <hyperlink r:id="rId2027" ref="E529"/>
    <hyperlink r:id="rId2028" ref="S529"/>
    <hyperlink r:id="rId2029" ref="B530"/>
    <hyperlink r:id="rId2030" ref="C530"/>
    <hyperlink r:id="rId2031" ref="E530"/>
    <hyperlink r:id="rId2032" ref="S530"/>
    <hyperlink r:id="rId2033" ref="B531"/>
    <hyperlink r:id="rId2034" ref="C531"/>
    <hyperlink r:id="rId2035" ref="E531"/>
    <hyperlink r:id="rId2036" ref="S531"/>
    <hyperlink r:id="rId2037" ref="B532"/>
    <hyperlink r:id="rId2038" ref="C532"/>
    <hyperlink r:id="rId2039" ref="E532"/>
    <hyperlink r:id="rId2040" ref="S532"/>
    <hyperlink r:id="rId2041" ref="B533"/>
    <hyperlink r:id="rId2042" ref="C533"/>
    <hyperlink r:id="rId2043" ref="E533"/>
    <hyperlink r:id="rId2044" ref="S533"/>
    <hyperlink r:id="rId2045" ref="B534"/>
    <hyperlink r:id="rId2046" ref="C534"/>
    <hyperlink r:id="rId2047" ref="E534"/>
    <hyperlink r:id="rId2048" ref="S534"/>
    <hyperlink r:id="rId2049" ref="B535"/>
    <hyperlink r:id="rId2050" ref="C535"/>
    <hyperlink r:id="rId2051" ref="E535"/>
    <hyperlink r:id="rId2052" ref="S535"/>
    <hyperlink r:id="rId2053" ref="B536"/>
    <hyperlink r:id="rId2054" ref="C536"/>
    <hyperlink r:id="rId2055" ref="E536"/>
    <hyperlink r:id="rId2056" ref="S536"/>
    <hyperlink r:id="rId2057" ref="B537"/>
    <hyperlink r:id="rId2058" ref="C537"/>
    <hyperlink r:id="rId2059" ref="E537"/>
    <hyperlink r:id="rId2060" ref="S537"/>
    <hyperlink r:id="rId2061" ref="B538"/>
    <hyperlink r:id="rId2062" ref="C538"/>
    <hyperlink r:id="rId2063" ref="E538"/>
    <hyperlink r:id="rId2064" ref="S538"/>
    <hyperlink r:id="rId2065" ref="B539"/>
    <hyperlink r:id="rId2066" ref="C539"/>
    <hyperlink r:id="rId2067" ref="E539"/>
    <hyperlink r:id="rId2068" ref="S539"/>
    <hyperlink r:id="rId2069" ref="B540"/>
    <hyperlink r:id="rId2070" ref="C540"/>
    <hyperlink r:id="rId2071" ref="E540"/>
    <hyperlink r:id="rId2072" ref="S540"/>
    <hyperlink r:id="rId2073" ref="B541"/>
    <hyperlink r:id="rId2074" ref="C541"/>
    <hyperlink r:id="rId2075" ref="E541"/>
    <hyperlink r:id="rId2076" ref="S541"/>
    <hyperlink r:id="rId2077" ref="B542"/>
    <hyperlink r:id="rId2078" ref="C542"/>
    <hyperlink r:id="rId2079" ref="E542"/>
    <hyperlink r:id="rId2080" ref="S542"/>
    <hyperlink r:id="rId2081" ref="B543"/>
    <hyperlink r:id="rId2082" ref="C543"/>
    <hyperlink r:id="rId2083" ref="E543"/>
    <hyperlink r:id="rId2084" ref="S543"/>
    <hyperlink r:id="rId2085" ref="B544"/>
    <hyperlink r:id="rId2086" ref="C544"/>
    <hyperlink r:id="rId2087" ref="E544"/>
    <hyperlink r:id="rId2088" ref="S544"/>
    <hyperlink r:id="rId2089" ref="B545"/>
    <hyperlink r:id="rId2090" ref="C545"/>
    <hyperlink r:id="rId2091" ref="E545"/>
    <hyperlink r:id="rId2092" ref="S545"/>
    <hyperlink r:id="rId2093" ref="B546"/>
    <hyperlink r:id="rId2094" ref="C546"/>
    <hyperlink r:id="rId2095" ref="E546"/>
    <hyperlink r:id="rId2096" ref="S546"/>
    <hyperlink r:id="rId2097" ref="B547"/>
    <hyperlink r:id="rId2098" ref="C547"/>
    <hyperlink r:id="rId2099" ref="E547"/>
    <hyperlink r:id="rId2100" ref="S547"/>
    <hyperlink r:id="rId2101" ref="B549"/>
    <hyperlink r:id="rId2102" ref="C549"/>
    <hyperlink r:id="rId2103" ref="E549"/>
    <hyperlink r:id="rId2104" ref="S549"/>
    <hyperlink r:id="rId2105" ref="B550"/>
    <hyperlink r:id="rId2106" ref="C550"/>
    <hyperlink r:id="rId2107" ref="E550"/>
    <hyperlink r:id="rId2108" ref="S550"/>
    <hyperlink r:id="rId2109" ref="B551"/>
    <hyperlink r:id="rId2110" ref="C551"/>
    <hyperlink r:id="rId2111" ref="E551"/>
    <hyperlink r:id="rId2112" ref="S551"/>
    <hyperlink r:id="rId2113" ref="B552"/>
    <hyperlink r:id="rId2114" ref="C552"/>
    <hyperlink r:id="rId2115" ref="E552"/>
    <hyperlink r:id="rId2116" ref="S552"/>
    <hyperlink r:id="rId2117" ref="B553"/>
    <hyperlink r:id="rId2118" ref="C553"/>
    <hyperlink r:id="rId2119" ref="E553"/>
    <hyperlink r:id="rId2120" ref="S553"/>
    <hyperlink r:id="rId2121" ref="B554"/>
    <hyperlink r:id="rId2122" ref="C554"/>
    <hyperlink r:id="rId2123" ref="E554"/>
    <hyperlink r:id="rId2124" ref="S554"/>
    <hyperlink r:id="rId2125" ref="B555"/>
    <hyperlink r:id="rId2126" ref="C555"/>
    <hyperlink r:id="rId2127" ref="E555"/>
    <hyperlink r:id="rId2128" ref="S555"/>
    <hyperlink r:id="rId2129" ref="B556"/>
    <hyperlink r:id="rId2130" ref="C556"/>
    <hyperlink r:id="rId2131" ref="E556"/>
    <hyperlink r:id="rId2132" ref="S556"/>
    <hyperlink r:id="rId2133" ref="B557"/>
    <hyperlink r:id="rId2134" ref="C557"/>
    <hyperlink r:id="rId2135" ref="E557"/>
    <hyperlink r:id="rId2136" ref="S557"/>
    <hyperlink r:id="rId2137" ref="B558"/>
    <hyperlink r:id="rId2138" ref="C558"/>
    <hyperlink r:id="rId2139" ref="E558"/>
    <hyperlink r:id="rId2140" ref="S558"/>
    <hyperlink r:id="rId2141" ref="B559"/>
    <hyperlink r:id="rId2142" ref="C559"/>
    <hyperlink r:id="rId2143" ref="E559"/>
    <hyperlink r:id="rId2144" ref="S559"/>
    <hyperlink r:id="rId2145" ref="B560"/>
    <hyperlink r:id="rId2146" ref="C560"/>
    <hyperlink r:id="rId2147" ref="E560"/>
    <hyperlink r:id="rId2148" ref="S560"/>
    <hyperlink r:id="rId2149" ref="B561"/>
    <hyperlink r:id="rId2150" ref="C561"/>
    <hyperlink r:id="rId2151" ref="E561"/>
    <hyperlink r:id="rId2152" ref="S561"/>
    <hyperlink r:id="rId2153" ref="B562"/>
    <hyperlink r:id="rId2154" ref="C562"/>
    <hyperlink r:id="rId2155" ref="E562"/>
    <hyperlink r:id="rId2156" ref="S562"/>
    <hyperlink r:id="rId2157" ref="B563"/>
    <hyperlink r:id="rId2158" ref="C563"/>
    <hyperlink r:id="rId2159" ref="E563"/>
    <hyperlink r:id="rId2160" ref="S563"/>
    <hyperlink r:id="rId2161" ref="B564"/>
    <hyperlink r:id="rId2162" ref="C564"/>
    <hyperlink r:id="rId2163" ref="E564"/>
    <hyperlink r:id="rId2164" ref="S564"/>
    <hyperlink r:id="rId2165" ref="B565"/>
    <hyperlink r:id="rId2166" ref="C565"/>
    <hyperlink r:id="rId2167" ref="E565"/>
    <hyperlink r:id="rId2168" ref="S565"/>
    <hyperlink r:id="rId2169" ref="B566"/>
    <hyperlink r:id="rId2170" ref="C566"/>
    <hyperlink r:id="rId2171" ref="E566"/>
    <hyperlink r:id="rId2172" ref="S566"/>
    <hyperlink r:id="rId2173" ref="B567"/>
    <hyperlink r:id="rId2174" ref="C567"/>
    <hyperlink r:id="rId2175" ref="E567"/>
    <hyperlink r:id="rId2176" ref="S567"/>
    <hyperlink r:id="rId2177" ref="B568"/>
    <hyperlink r:id="rId2178" ref="C568"/>
    <hyperlink r:id="rId2179" ref="E568"/>
    <hyperlink r:id="rId2180" ref="S568"/>
    <hyperlink r:id="rId2181" ref="B569"/>
    <hyperlink r:id="rId2182" ref="C569"/>
    <hyperlink r:id="rId2183" ref="E569"/>
    <hyperlink r:id="rId2184" ref="S569"/>
    <hyperlink r:id="rId2185" ref="B570"/>
    <hyperlink r:id="rId2186" ref="C570"/>
    <hyperlink r:id="rId2187" ref="E570"/>
    <hyperlink r:id="rId2188" ref="S570"/>
    <hyperlink r:id="rId2189" ref="B571"/>
    <hyperlink r:id="rId2190" ref="C571"/>
    <hyperlink r:id="rId2191" ref="E571"/>
    <hyperlink r:id="rId2192" ref="S571"/>
    <hyperlink r:id="rId2193" ref="B572"/>
    <hyperlink r:id="rId2194" ref="C572"/>
    <hyperlink r:id="rId2195" ref="E572"/>
    <hyperlink r:id="rId2196" ref="S572"/>
    <hyperlink r:id="rId2197" ref="B573"/>
    <hyperlink r:id="rId2198" ref="C573"/>
    <hyperlink r:id="rId2199" ref="E573"/>
    <hyperlink r:id="rId2200" ref="S573"/>
    <hyperlink r:id="rId2201" ref="B575"/>
    <hyperlink r:id="rId2202" ref="C575"/>
    <hyperlink r:id="rId2203" ref="E575"/>
    <hyperlink r:id="rId2204" ref="S575"/>
  </hyperlinks>
  <drawing r:id="rId220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/>
      <c r="B1" s="2"/>
      <c r="C1" s="2"/>
      <c r="D1" s="2"/>
      <c r="E1" s="2"/>
      <c r="F1" s="2"/>
      <c r="G1" s="2"/>
      <c r="H1" s="2"/>
      <c r="I1" s="4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5"/>
    </row>
    <row r="2">
      <c r="A2" s="6" t="s">
        <v>3</v>
      </c>
      <c r="B2" s="49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13</v>
      </c>
      <c r="I2" s="4" t="s">
        <v>20</v>
      </c>
      <c r="J2" s="8" t="s">
        <v>21</v>
      </c>
      <c r="K2" s="8" t="s">
        <v>4622</v>
      </c>
      <c r="L2" s="8" t="s">
        <v>4623</v>
      </c>
      <c r="M2" s="8" t="s">
        <v>4624</v>
      </c>
      <c r="N2" s="8" t="s">
        <v>4625</v>
      </c>
      <c r="O2" s="8" t="s">
        <v>4626</v>
      </c>
      <c r="P2" s="8" t="s">
        <v>4627</v>
      </c>
      <c r="Q2" s="8" t="s">
        <v>4628</v>
      </c>
      <c r="R2" s="8" t="s">
        <v>4629</v>
      </c>
      <c r="S2" s="8" t="s">
        <v>4630</v>
      </c>
      <c r="T2" s="8" t="s">
        <v>4631</v>
      </c>
      <c r="U2" s="4" t="s">
        <v>23</v>
      </c>
    </row>
    <row r="3">
      <c r="A3" s="50">
        <v>1.0</v>
      </c>
      <c r="B3" s="13" t="s">
        <v>4632</v>
      </c>
      <c r="C3" s="11" t="s">
        <v>4633</v>
      </c>
      <c r="D3" s="12" t="s">
        <v>26</v>
      </c>
      <c r="E3" s="13" t="s">
        <v>4634</v>
      </c>
      <c r="F3" s="12">
        <v>24.0</v>
      </c>
      <c r="G3" s="12">
        <v>2000.0</v>
      </c>
      <c r="H3" s="15">
        <v>27.2</v>
      </c>
      <c r="I3" s="17">
        <v>0.11</v>
      </c>
      <c r="J3" s="19">
        <v>0.0</v>
      </c>
      <c r="K3" s="19">
        <v>0.0</v>
      </c>
      <c r="L3" s="18">
        <v>0.74</v>
      </c>
      <c r="M3" s="18">
        <v>1.88</v>
      </c>
      <c r="N3" s="18">
        <v>0.18</v>
      </c>
      <c r="O3" s="18">
        <v>1.36</v>
      </c>
      <c r="P3" s="18">
        <v>0.63</v>
      </c>
      <c r="Q3" s="18">
        <v>0.99</v>
      </c>
      <c r="R3" s="36"/>
      <c r="S3" s="36"/>
      <c r="T3" s="19">
        <v>0.0</v>
      </c>
      <c r="U3" s="20" t="s">
        <v>4635</v>
      </c>
    </row>
    <row r="4">
      <c r="A4" s="50">
        <v>2.0</v>
      </c>
      <c r="B4" s="13" t="s">
        <v>4636</v>
      </c>
      <c r="C4" s="11" t="s">
        <v>4637</v>
      </c>
      <c r="D4" s="12" t="s">
        <v>31</v>
      </c>
      <c r="E4" s="13" t="s">
        <v>4638</v>
      </c>
      <c r="F4" s="12">
        <v>15.0</v>
      </c>
      <c r="G4" s="12">
        <v>2009.0</v>
      </c>
      <c r="H4" s="15">
        <v>0.2</v>
      </c>
      <c r="I4" s="22">
        <v>0.0</v>
      </c>
      <c r="J4" s="19">
        <v>0.0</v>
      </c>
      <c r="K4" s="19">
        <v>0.0</v>
      </c>
      <c r="L4" s="19">
        <v>0.0</v>
      </c>
      <c r="M4" s="19">
        <v>0.0</v>
      </c>
      <c r="N4" s="18">
        <v>5.0</v>
      </c>
      <c r="O4" s="19">
        <v>0.0</v>
      </c>
      <c r="P4" s="18">
        <v>5.0</v>
      </c>
      <c r="Q4" s="19">
        <v>0.0</v>
      </c>
      <c r="R4" s="36"/>
      <c r="S4" s="36"/>
      <c r="T4" s="19">
        <v>0.0</v>
      </c>
      <c r="U4" s="20" t="s">
        <v>4639</v>
      </c>
    </row>
    <row r="5">
      <c r="A5" s="50">
        <v>3.0</v>
      </c>
      <c r="B5" s="13" t="s">
        <v>4640</v>
      </c>
      <c r="C5" s="11" t="s">
        <v>4641</v>
      </c>
      <c r="D5" s="12" t="s">
        <v>36</v>
      </c>
      <c r="E5" s="13" t="s">
        <v>4642</v>
      </c>
      <c r="F5" s="12">
        <v>19.0</v>
      </c>
      <c r="G5" s="12">
        <v>2006.0</v>
      </c>
      <c r="H5" s="15">
        <v>1.8</v>
      </c>
      <c r="I5" s="22">
        <v>0.0</v>
      </c>
      <c r="J5" s="19">
        <v>0.0</v>
      </c>
      <c r="K5" s="19">
        <v>0.0</v>
      </c>
      <c r="L5" s="18">
        <v>1.67</v>
      </c>
      <c r="M5" s="18">
        <v>0.56</v>
      </c>
      <c r="N5" s="19">
        <v>0.0</v>
      </c>
      <c r="O5" s="18">
        <v>1.67</v>
      </c>
      <c r="P5" s="18">
        <v>1.11</v>
      </c>
      <c r="Q5" s="18">
        <v>2.22</v>
      </c>
      <c r="R5" s="36"/>
      <c r="S5" s="36"/>
      <c r="T5" s="19">
        <v>0.0</v>
      </c>
      <c r="U5" s="20" t="s">
        <v>4643</v>
      </c>
    </row>
    <row r="6">
      <c r="A6" s="50">
        <v>4.0</v>
      </c>
      <c r="B6" s="13" t="s">
        <v>4644</v>
      </c>
      <c r="C6" s="11" t="s">
        <v>4645</v>
      </c>
      <c r="D6" s="12" t="s">
        <v>41</v>
      </c>
      <c r="E6" s="13" t="s">
        <v>4646</v>
      </c>
      <c r="F6" s="12">
        <v>27.0</v>
      </c>
      <c r="G6" s="12">
        <v>1997.0</v>
      </c>
      <c r="H6" s="15">
        <v>3.2</v>
      </c>
      <c r="I6" s="22">
        <v>0.0</v>
      </c>
      <c r="J6" s="19">
        <v>0.0</v>
      </c>
      <c r="K6" s="19">
        <v>0.0</v>
      </c>
      <c r="L6" s="18">
        <v>0.63</v>
      </c>
      <c r="M6" s="19">
        <v>0.0</v>
      </c>
      <c r="N6" s="19">
        <v>0.0</v>
      </c>
      <c r="O6" s="18">
        <v>0.31</v>
      </c>
      <c r="P6" s="19">
        <v>0.0</v>
      </c>
      <c r="Q6" s="18">
        <v>0.31</v>
      </c>
      <c r="R6" s="36"/>
      <c r="S6" s="36"/>
      <c r="T6" s="19">
        <v>0.0</v>
      </c>
      <c r="U6" s="20" t="s">
        <v>4647</v>
      </c>
    </row>
    <row r="7">
      <c r="A7" s="50">
        <v>5.0</v>
      </c>
      <c r="B7" s="13" t="s">
        <v>4648</v>
      </c>
      <c r="C7" s="11" t="s">
        <v>4649</v>
      </c>
      <c r="D7" s="12" t="s">
        <v>36</v>
      </c>
      <c r="E7" s="13" t="s">
        <v>4650</v>
      </c>
      <c r="F7" s="12">
        <v>19.0</v>
      </c>
      <c r="G7" s="12">
        <v>2006.0</v>
      </c>
      <c r="H7" s="15">
        <v>7.4</v>
      </c>
      <c r="I7" s="17">
        <v>0.14</v>
      </c>
      <c r="J7" s="19">
        <v>0.0</v>
      </c>
      <c r="K7" s="19">
        <v>0.0</v>
      </c>
      <c r="L7" s="18">
        <v>0.27</v>
      </c>
      <c r="M7" s="18">
        <v>1.22</v>
      </c>
      <c r="N7" s="18">
        <v>0.27</v>
      </c>
      <c r="O7" s="18">
        <v>0.14</v>
      </c>
      <c r="P7" s="18">
        <v>1.62</v>
      </c>
      <c r="Q7" s="18">
        <v>1.08</v>
      </c>
      <c r="R7" s="36"/>
      <c r="S7" s="36"/>
      <c r="T7" s="19">
        <v>0.0</v>
      </c>
      <c r="U7" s="20" t="s">
        <v>4651</v>
      </c>
    </row>
    <row r="8">
      <c r="A8" s="50">
        <v>6.0</v>
      </c>
      <c r="B8" s="13" t="s">
        <v>4652</v>
      </c>
      <c r="C8" s="11" t="s">
        <v>4653</v>
      </c>
      <c r="D8" s="12" t="s">
        <v>31</v>
      </c>
      <c r="E8" s="13" t="s">
        <v>4654</v>
      </c>
      <c r="F8" s="12">
        <v>26.0</v>
      </c>
      <c r="G8" s="12">
        <v>1999.0</v>
      </c>
      <c r="H8" s="15">
        <v>19.7</v>
      </c>
      <c r="I8" s="17">
        <v>0.41</v>
      </c>
      <c r="J8" s="19">
        <v>0.0</v>
      </c>
      <c r="K8" s="19">
        <v>0.0</v>
      </c>
      <c r="L8" s="18">
        <v>1.83</v>
      </c>
      <c r="M8" s="18">
        <v>0.66</v>
      </c>
      <c r="N8" s="18">
        <v>0.05</v>
      </c>
      <c r="O8" s="18">
        <v>0.15</v>
      </c>
      <c r="P8" s="18">
        <v>1.52</v>
      </c>
      <c r="Q8" s="18">
        <v>1.22</v>
      </c>
      <c r="R8" s="36"/>
      <c r="S8" s="36"/>
      <c r="T8" s="19">
        <v>0.0</v>
      </c>
      <c r="U8" s="20" t="s">
        <v>4655</v>
      </c>
    </row>
    <row r="9">
      <c r="A9" s="50">
        <v>7.0</v>
      </c>
      <c r="B9" s="13" t="s">
        <v>4656</v>
      </c>
      <c r="C9" s="11" t="s">
        <v>4657</v>
      </c>
      <c r="D9" s="12" t="s">
        <v>36</v>
      </c>
      <c r="E9" s="13" t="s">
        <v>4658</v>
      </c>
      <c r="F9" s="12">
        <v>27.0</v>
      </c>
      <c r="G9" s="12">
        <v>1997.0</v>
      </c>
      <c r="H9" s="15">
        <v>8.8</v>
      </c>
      <c r="I9" s="17">
        <v>0.23</v>
      </c>
      <c r="J9" s="19">
        <v>0.0</v>
      </c>
      <c r="K9" s="19">
        <v>0.0</v>
      </c>
      <c r="L9" s="18">
        <v>0.68</v>
      </c>
      <c r="M9" s="19">
        <v>0.0</v>
      </c>
      <c r="N9" s="18">
        <v>0.11</v>
      </c>
      <c r="O9" s="19">
        <v>0.0</v>
      </c>
      <c r="P9" s="18">
        <v>1.02</v>
      </c>
      <c r="Q9" s="18">
        <v>0.68</v>
      </c>
      <c r="R9" s="36"/>
      <c r="S9" s="36"/>
      <c r="T9" s="19">
        <v>0.0</v>
      </c>
      <c r="U9" s="20" t="s">
        <v>4659</v>
      </c>
    </row>
    <row r="10">
      <c r="A10" s="50">
        <v>8.0</v>
      </c>
      <c r="B10" s="13" t="s">
        <v>4660</v>
      </c>
      <c r="C10" s="11" t="s">
        <v>4661</v>
      </c>
      <c r="D10" s="12" t="s">
        <v>26</v>
      </c>
      <c r="E10" s="13" t="s">
        <v>4662</v>
      </c>
      <c r="F10" s="12">
        <v>23.0</v>
      </c>
      <c r="G10" s="12">
        <v>2002.0</v>
      </c>
      <c r="H10" s="15">
        <v>7.3</v>
      </c>
      <c r="I10" s="17">
        <v>0.27</v>
      </c>
      <c r="J10" s="19">
        <v>0.0</v>
      </c>
      <c r="K10" s="19">
        <v>0.0</v>
      </c>
      <c r="L10" s="18">
        <v>2.47</v>
      </c>
      <c r="M10" s="18">
        <v>0.41</v>
      </c>
      <c r="N10" s="18">
        <v>0.55</v>
      </c>
      <c r="O10" s="18">
        <v>3.7</v>
      </c>
      <c r="P10" s="18">
        <v>0.27</v>
      </c>
      <c r="Q10" s="18">
        <v>1.1</v>
      </c>
      <c r="R10" s="36"/>
      <c r="S10" s="36"/>
      <c r="T10" s="19">
        <v>0.0</v>
      </c>
      <c r="U10" s="20" t="s">
        <v>4663</v>
      </c>
    </row>
    <row r="11">
      <c r="A11" s="50">
        <v>9.0</v>
      </c>
      <c r="B11" s="13" t="s">
        <v>4664</v>
      </c>
      <c r="C11" s="11" t="s">
        <v>4665</v>
      </c>
      <c r="D11" s="12" t="s">
        <v>31</v>
      </c>
      <c r="E11" s="13" t="s">
        <v>4666</v>
      </c>
      <c r="F11" s="12">
        <v>25.0</v>
      </c>
      <c r="G11" s="12">
        <v>2000.0</v>
      </c>
      <c r="H11" s="15">
        <v>12.1</v>
      </c>
      <c r="I11" s="17">
        <v>0.17</v>
      </c>
      <c r="J11" s="19">
        <v>0.0</v>
      </c>
      <c r="K11" s="19">
        <v>0.0</v>
      </c>
      <c r="L11" s="18">
        <v>2.4</v>
      </c>
      <c r="M11" s="18">
        <v>1.9</v>
      </c>
      <c r="N11" s="18">
        <v>0.41</v>
      </c>
      <c r="O11" s="18">
        <v>3.22</v>
      </c>
      <c r="P11" s="18">
        <v>0.5</v>
      </c>
      <c r="Q11" s="18">
        <v>1.4</v>
      </c>
      <c r="R11" s="36"/>
      <c r="S11" s="36"/>
      <c r="T11" s="19">
        <v>0.0</v>
      </c>
      <c r="U11" s="20" t="s">
        <v>4667</v>
      </c>
    </row>
    <row r="12">
      <c r="A12" s="50">
        <v>10.0</v>
      </c>
      <c r="B12" s="13" t="s">
        <v>4668</v>
      </c>
      <c r="C12" s="11" t="s">
        <v>4669</v>
      </c>
      <c r="D12" s="12" t="s">
        <v>36</v>
      </c>
      <c r="E12" s="13" t="s">
        <v>4670</v>
      </c>
      <c r="F12" s="12">
        <v>28.0</v>
      </c>
      <c r="G12" s="12">
        <v>1997.0</v>
      </c>
      <c r="H12" s="15">
        <v>12.2</v>
      </c>
      <c r="I12" s="17">
        <v>0.08</v>
      </c>
      <c r="J12" s="18">
        <v>0.08</v>
      </c>
      <c r="K12" s="19">
        <v>0.0</v>
      </c>
      <c r="L12" s="18">
        <v>0.82</v>
      </c>
      <c r="M12" s="18">
        <v>0.41</v>
      </c>
      <c r="N12" s="18">
        <v>0.08</v>
      </c>
      <c r="O12" s="18">
        <v>1.07</v>
      </c>
      <c r="P12" s="18">
        <v>1.15</v>
      </c>
      <c r="Q12" s="18">
        <v>1.72</v>
      </c>
      <c r="R12" s="36"/>
      <c r="S12" s="36"/>
      <c r="T12" s="19">
        <v>0.0</v>
      </c>
      <c r="U12" s="20" t="s">
        <v>4671</v>
      </c>
    </row>
    <row r="13">
      <c r="A13" s="50">
        <v>11.0</v>
      </c>
      <c r="B13" s="13" t="s">
        <v>4672</v>
      </c>
      <c r="C13" s="11" t="s">
        <v>4673</v>
      </c>
      <c r="D13" s="12" t="s">
        <v>36</v>
      </c>
      <c r="E13" s="13" t="s">
        <v>4674</v>
      </c>
      <c r="F13" s="12">
        <v>29.0</v>
      </c>
      <c r="G13" s="12">
        <v>1996.0</v>
      </c>
      <c r="H13" s="15">
        <v>2.0</v>
      </c>
      <c r="I13" s="22">
        <v>0.0</v>
      </c>
      <c r="J13" s="19">
        <v>0.0</v>
      </c>
      <c r="K13" s="19">
        <v>0.0</v>
      </c>
      <c r="L13" s="19">
        <v>0.0</v>
      </c>
      <c r="M13" s="18">
        <v>0.5</v>
      </c>
      <c r="N13" s="19">
        <v>0.0</v>
      </c>
      <c r="O13" s="18">
        <v>1.0</v>
      </c>
      <c r="P13" s="18">
        <v>0.5</v>
      </c>
      <c r="Q13" s="19">
        <v>0.0</v>
      </c>
      <c r="R13" s="36"/>
      <c r="S13" s="36"/>
      <c r="T13" s="19">
        <v>0.0</v>
      </c>
      <c r="U13" s="20" t="s">
        <v>4675</v>
      </c>
    </row>
    <row r="14">
      <c r="A14" s="50">
        <v>12.0</v>
      </c>
      <c r="B14" s="13" t="s">
        <v>4676</v>
      </c>
      <c r="C14" s="11" t="s">
        <v>4677</v>
      </c>
      <c r="D14" s="12" t="s">
        <v>36</v>
      </c>
      <c r="E14" s="13" t="s">
        <v>4678</v>
      </c>
      <c r="F14" s="12">
        <v>28.0</v>
      </c>
      <c r="G14" s="12">
        <v>1996.0</v>
      </c>
      <c r="H14" s="15">
        <v>17.6</v>
      </c>
      <c r="I14" s="17">
        <v>0.17</v>
      </c>
      <c r="J14" s="19">
        <v>0.0</v>
      </c>
      <c r="K14" s="19">
        <v>0.0</v>
      </c>
      <c r="L14" s="18">
        <v>0.74</v>
      </c>
      <c r="M14" s="18">
        <v>0.85</v>
      </c>
      <c r="N14" s="19">
        <v>0.0</v>
      </c>
      <c r="O14" s="18">
        <v>2.22</v>
      </c>
      <c r="P14" s="18">
        <v>1.48</v>
      </c>
      <c r="Q14" s="18">
        <v>1.19</v>
      </c>
      <c r="R14" s="36"/>
      <c r="S14" s="36"/>
      <c r="T14" s="19">
        <v>0.0</v>
      </c>
      <c r="U14" s="20" t="s">
        <v>4679</v>
      </c>
    </row>
    <row r="15">
      <c r="A15" s="50">
        <v>13.0</v>
      </c>
      <c r="B15" s="13" t="s">
        <v>4680</v>
      </c>
      <c r="C15" s="11" t="s">
        <v>4681</v>
      </c>
      <c r="D15" s="12" t="s">
        <v>36</v>
      </c>
      <c r="E15" s="13" t="s">
        <v>4682</v>
      </c>
      <c r="F15" s="12">
        <v>24.0</v>
      </c>
      <c r="G15" s="12">
        <v>2001.0</v>
      </c>
      <c r="H15" s="15">
        <v>10.8</v>
      </c>
      <c r="I15" s="17">
        <v>0.19</v>
      </c>
      <c r="J15" s="19">
        <v>0.0</v>
      </c>
      <c r="K15" s="19">
        <v>0.0</v>
      </c>
      <c r="L15" s="18">
        <v>1.57</v>
      </c>
      <c r="M15" s="18">
        <v>0.93</v>
      </c>
      <c r="N15" s="19">
        <v>0.0</v>
      </c>
      <c r="O15" s="18">
        <v>2.04</v>
      </c>
      <c r="P15" s="18">
        <v>1.2</v>
      </c>
      <c r="Q15" s="18">
        <v>1.94</v>
      </c>
      <c r="R15" s="36"/>
      <c r="S15" s="36"/>
      <c r="T15" s="19">
        <v>0.0</v>
      </c>
      <c r="U15" s="20" t="s">
        <v>4683</v>
      </c>
    </row>
    <row r="16">
      <c r="A16" s="50">
        <v>14.0</v>
      </c>
      <c r="B16" s="13" t="s">
        <v>4684</v>
      </c>
      <c r="C16" s="11" t="s">
        <v>4685</v>
      </c>
      <c r="D16" s="12" t="s">
        <v>36</v>
      </c>
      <c r="E16" s="13" t="s">
        <v>4686</v>
      </c>
      <c r="F16" s="12">
        <v>27.0</v>
      </c>
      <c r="G16" s="12">
        <v>1998.0</v>
      </c>
      <c r="H16" s="15">
        <v>20.1</v>
      </c>
      <c r="I16" s="17">
        <v>0.2</v>
      </c>
      <c r="J16" s="19">
        <v>0.0</v>
      </c>
      <c r="K16" s="19">
        <v>0.0</v>
      </c>
      <c r="L16" s="18">
        <v>1.14</v>
      </c>
      <c r="M16" s="18">
        <v>0.25</v>
      </c>
      <c r="N16" s="19">
        <v>0.0</v>
      </c>
      <c r="O16" s="18">
        <v>0.35</v>
      </c>
      <c r="P16" s="18">
        <v>0.75</v>
      </c>
      <c r="Q16" s="18">
        <v>1.14</v>
      </c>
      <c r="R16" s="36"/>
      <c r="S16" s="36"/>
      <c r="T16" s="19">
        <v>0.0</v>
      </c>
      <c r="U16" s="20" t="s">
        <v>4687</v>
      </c>
    </row>
    <row r="17">
      <c r="A17" s="50">
        <v>15.0</v>
      </c>
      <c r="B17" s="13" t="s">
        <v>4688</v>
      </c>
      <c r="C17" s="11" t="s">
        <v>4689</v>
      </c>
      <c r="D17" s="12" t="s">
        <v>36</v>
      </c>
      <c r="E17" s="13" t="s">
        <v>4690</v>
      </c>
      <c r="F17" s="12">
        <v>30.0</v>
      </c>
      <c r="G17" s="12">
        <v>1995.0</v>
      </c>
      <c r="H17" s="15">
        <v>7.7</v>
      </c>
      <c r="I17" s="17">
        <v>0.13</v>
      </c>
      <c r="J17" s="19">
        <v>0.0</v>
      </c>
      <c r="K17" s="19">
        <v>0.0</v>
      </c>
      <c r="L17" s="18">
        <v>0.39</v>
      </c>
      <c r="M17" s="18">
        <v>1.04</v>
      </c>
      <c r="N17" s="18">
        <v>0.13</v>
      </c>
      <c r="O17" s="18">
        <v>0.52</v>
      </c>
      <c r="P17" s="18">
        <v>0.65</v>
      </c>
      <c r="Q17" s="18">
        <v>0.78</v>
      </c>
      <c r="R17" s="36"/>
      <c r="S17" s="36"/>
      <c r="T17" s="19">
        <v>0.0</v>
      </c>
      <c r="U17" s="20" t="s">
        <v>4691</v>
      </c>
    </row>
    <row r="18">
      <c r="A18" s="50">
        <v>16.0</v>
      </c>
      <c r="B18" s="13" t="s">
        <v>4692</v>
      </c>
      <c r="C18" s="11" t="s">
        <v>4693</v>
      </c>
      <c r="D18" s="12" t="s">
        <v>31</v>
      </c>
      <c r="E18" s="13" t="s">
        <v>4694</v>
      </c>
      <c r="F18" s="12">
        <v>22.0</v>
      </c>
      <c r="G18" s="12">
        <v>2002.0</v>
      </c>
      <c r="H18" s="15">
        <v>7.7</v>
      </c>
      <c r="I18" s="17">
        <v>0.52</v>
      </c>
      <c r="J18" s="19">
        <v>0.0</v>
      </c>
      <c r="K18" s="19">
        <v>0.0</v>
      </c>
      <c r="L18" s="18">
        <v>1.3</v>
      </c>
      <c r="M18" s="18">
        <v>1.56</v>
      </c>
      <c r="N18" s="18">
        <v>0.13</v>
      </c>
      <c r="O18" s="18">
        <v>0.78</v>
      </c>
      <c r="P18" s="18">
        <v>0.26</v>
      </c>
      <c r="Q18" s="18">
        <v>1.17</v>
      </c>
      <c r="R18" s="36"/>
      <c r="S18" s="36"/>
      <c r="T18" s="19">
        <v>0.0</v>
      </c>
      <c r="U18" s="20" t="s">
        <v>4695</v>
      </c>
    </row>
    <row r="19">
      <c r="A19" s="50">
        <v>17.0</v>
      </c>
      <c r="B19" s="13" t="s">
        <v>4696</v>
      </c>
      <c r="C19" s="11" t="s">
        <v>4697</v>
      </c>
      <c r="D19" s="12" t="s">
        <v>36</v>
      </c>
      <c r="E19" s="13" t="s">
        <v>4698</v>
      </c>
      <c r="F19" s="12">
        <v>28.0</v>
      </c>
      <c r="G19" s="12">
        <v>1996.0</v>
      </c>
      <c r="H19" s="15">
        <v>31.1</v>
      </c>
      <c r="I19" s="17">
        <v>0.19</v>
      </c>
      <c r="J19" s="19">
        <v>0.0</v>
      </c>
      <c r="K19" s="19">
        <v>0.0</v>
      </c>
      <c r="L19" s="18">
        <v>1.09</v>
      </c>
      <c r="M19" s="18">
        <v>0.32</v>
      </c>
      <c r="N19" s="18">
        <v>0.16</v>
      </c>
      <c r="O19" s="18">
        <v>0.35</v>
      </c>
      <c r="P19" s="18">
        <v>1.16</v>
      </c>
      <c r="Q19" s="18">
        <v>0.58</v>
      </c>
      <c r="R19" s="36"/>
      <c r="S19" s="36"/>
      <c r="T19" s="19">
        <v>0.0</v>
      </c>
      <c r="U19" s="20" t="s">
        <v>4699</v>
      </c>
    </row>
    <row r="20">
      <c r="A20" s="50">
        <v>18.0</v>
      </c>
      <c r="B20" s="13" t="s">
        <v>4700</v>
      </c>
      <c r="C20" s="11" t="s">
        <v>4701</v>
      </c>
      <c r="D20" s="12" t="s">
        <v>98</v>
      </c>
      <c r="E20" s="13" t="s">
        <v>4702</v>
      </c>
      <c r="F20" s="12">
        <v>32.0</v>
      </c>
      <c r="G20" s="12">
        <v>1992.0</v>
      </c>
      <c r="H20" s="15">
        <v>26.0</v>
      </c>
      <c r="I20" s="17">
        <v>0.04</v>
      </c>
      <c r="J20" s="19">
        <v>0.0</v>
      </c>
      <c r="K20" s="19">
        <v>0.0</v>
      </c>
      <c r="L20" s="18">
        <v>0.04</v>
      </c>
      <c r="M20" s="18">
        <v>0.27</v>
      </c>
      <c r="N20" s="19">
        <v>0.0</v>
      </c>
      <c r="O20" s="19">
        <v>0.0</v>
      </c>
      <c r="P20" s="19">
        <v>0.0</v>
      </c>
      <c r="Q20" s="19">
        <v>0.0</v>
      </c>
      <c r="R20" s="36"/>
      <c r="S20" s="36"/>
      <c r="T20" s="19">
        <v>0.0</v>
      </c>
      <c r="U20" s="20" t="s">
        <v>4703</v>
      </c>
    </row>
    <row r="21">
      <c r="A21" s="50">
        <v>19.0</v>
      </c>
      <c r="B21" s="13" t="s">
        <v>4704</v>
      </c>
      <c r="C21" s="11" t="s">
        <v>4705</v>
      </c>
      <c r="D21" s="12" t="s">
        <v>36</v>
      </c>
      <c r="E21" s="13" t="s">
        <v>4706</v>
      </c>
      <c r="F21" s="12">
        <v>20.0</v>
      </c>
      <c r="G21" s="12">
        <v>2005.0</v>
      </c>
      <c r="H21" s="15">
        <v>1.5</v>
      </c>
      <c r="I21" s="22">
        <v>0.0</v>
      </c>
      <c r="J21" s="19">
        <v>0.0</v>
      </c>
      <c r="K21" s="19">
        <v>0.0</v>
      </c>
      <c r="L21" s="19">
        <v>0.0</v>
      </c>
      <c r="M21" s="19">
        <v>0.0</v>
      </c>
      <c r="N21" s="19">
        <v>0.0</v>
      </c>
      <c r="O21" s="19">
        <v>0.0</v>
      </c>
      <c r="P21" s="18">
        <v>2.0</v>
      </c>
      <c r="Q21" s="18">
        <v>2.0</v>
      </c>
      <c r="R21" s="36"/>
      <c r="S21" s="36"/>
      <c r="T21" s="19">
        <v>0.0</v>
      </c>
      <c r="U21" s="20" t="s">
        <v>4707</v>
      </c>
    </row>
    <row r="22">
      <c r="A22" s="50">
        <v>20.0</v>
      </c>
      <c r="B22" s="13" t="s">
        <v>4708</v>
      </c>
      <c r="C22" s="11" t="s">
        <v>4709</v>
      </c>
      <c r="D22" s="12" t="s">
        <v>107</v>
      </c>
      <c r="E22" s="13" t="s">
        <v>4710</v>
      </c>
      <c r="F22" s="12">
        <v>20.0</v>
      </c>
      <c r="G22" s="12">
        <v>2004.0</v>
      </c>
      <c r="H22" s="15">
        <v>0.1</v>
      </c>
      <c r="I22" s="22">
        <v>0.0</v>
      </c>
      <c r="J22" s="19">
        <v>0.0</v>
      </c>
      <c r="K22" s="19">
        <v>0.0</v>
      </c>
      <c r="L22" s="19">
        <v>0.0</v>
      </c>
      <c r="M22" s="18">
        <v>10.0</v>
      </c>
      <c r="N22" s="19">
        <v>0.0</v>
      </c>
      <c r="O22" s="19">
        <v>0.0</v>
      </c>
      <c r="P22" s="19">
        <v>0.0</v>
      </c>
      <c r="Q22" s="19">
        <v>0.0</v>
      </c>
      <c r="R22" s="36"/>
      <c r="S22" s="36"/>
      <c r="T22" s="19">
        <v>0.0</v>
      </c>
      <c r="U22" s="20" t="s">
        <v>4711</v>
      </c>
    </row>
    <row r="23">
      <c r="A23" s="50">
        <v>21.0</v>
      </c>
      <c r="B23" s="13" t="s">
        <v>4712</v>
      </c>
      <c r="C23" s="11" t="s">
        <v>4713</v>
      </c>
      <c r="D23" s="12" t="s">
        <v>107</v>
      </c>
      <c r="E23" s="13" t="s">
        <v>4714</v>
      </c>
      <c r="F23" s="12">
        <v>24.0</v>
      </c>
      <c r="G23" s="12">
        <v>2000.0</v>
      </c>
      <c r="H23" s="15">
        <v>0.8</v>
      </c>
      <c r="I23" s="22">
        <v>0.0</v>
      </c>
      <c r="J23" s="19">
        <v>0.0</v>
      </c>
      <c r="K23" s="19">
        <v>0.0</v>
      </c>
      <c r="L23" s="18">
        <v>1.25</v>
      </c>
      <c r="M23" s="18">
        <v>1.25</v>
      </c>
      <c r="N23" s="19">
        <v>0.0</v>
      </c>
      <c r="O23" s="19">
        <v>0.0</v>
      </c>
      <c r="P23" s="19">
        <v>0.0</v>
      </c>
      <c r="Q23" s="19">
        <v>0.0</v>
      </c>
      <c r="R23" s="36"/>
      <c r="S23" s="36"/>
      <c r="T23" s="19">
        <v>0.0</v>
      </c>
      <c r="U23" s="20" t="s">
        <v>4715</v>
      </c>
    </row>
    <row r="24">
      <c r="A24" s="50">
        <v>22.0</v>
      </c>
      <c r="B24" s="13" t="s">
        <v>4716</v>
      </c>
      <c r="C24" s="11" t="s">
        <v>4717</v>
      </c>
      <c r="D24" s="12" t="s">
        <v>31</v>
      </c>
      <c r="E24" s="13" t="s">
        <v>4718</v>
      </c>
      <c r="F24" s="12">
        <v>24.0</v>
      </c>
      <c r="G24" s="12">
        <v>2000.0</v>
      </c>
      <c r="H24" s="15">
        <v>34.7</v>
      </c>
      <c r="I24" s="17">
        <v>0.29</v>
      </c>
      <c r="J24" s="19">
        <v>0.0</v>
      </c>
      <c r="K24" s="19">
        <v>0.0</v>
      </c>
      <c r="L24" s="18">
        <v>1.44</v>
      </c>
      <c r="M24" s="18">
        <v>1.04</v>
      </c>
      <c r="N24" s="19">
        <v>0.0</v>
      </c>
      <c r="O24" s="18">
        <v>0.72</v>
      </c>
      <c r="P24" s="18">
        <v>1.44</v>
      </c>
      <c r="Q24" s="18">
        <v>1.33</v>
      </c>
      <c r="R24" s="36"/>
      <c r="S24" s="36"/>
      <c r="T24" s="19">
        <v>0.0</v>
      </c>
      <c r="U24" s="20" t="s">
        <v>4719</v>
      </c>
    </row>
    <row r="25">
      <c r="A25" s="50">
        <v>23.0</v>
      </c>
      <c r="B25" s="13" t="s">
        <v>4720</v>
      </c>
      <c r="C25" s="11" t="s">
        <v>4721</v>
      </c>
      <c r="D25" s="12" t="s">
        <v>36</v>
      </c>
      <c r="E25" s="13" t="s">
        <v>4722</v>
      </c>
      <c r="F25" s="12">
        <v>29.0</v>
      </c>
      <c r="G25" s="12">
        <v>1996.0</v>
      </c>
      <c r="H25" s="15">
        <v>31.9</v>
      </c>
      <c r="I25" s="17">
        <v>0.22</v>
      </c>
      <c r="J25" s="18">
        <v>0.03</v>
      </c>
      <c r="K25" s="19">
        <v>0.0</v>
      </c>
      <c r="L25" s="18">
        <v>0.94</v>
      </c>
      <c r="M25" s="18">
        <v>0.41</v>
      </c>
      <c r="N25" s="19">
        <v>0.0</v>
      </c>
      <c r="O25" s="18">
        <v>0.47</v>
      </c>
      <c r="P25" s="18">
        <v>1.07</v>
      </c>
      <c r="Q25" s="18">
        <v>0.82</v>
      </c>
      <c r="R25" s="36"/>
      <c r="S25" s="36"/>
      <c r="T25" s="19">
        <v>0.0</v>
      </c>
      <c r="U25" s="20" t="s">
        <v>4723</v>
      </c>
    </row>
    <row r="26">
      <c r="A26" s="50">
        <v>24.0</v>
      </c>
      <c r="B26" s="13" t="s">
        <v>4724</v>
      </c>
      <c r="C26" s="11" t="s">
        <v>4725</v>
      </c>
      <c r="D26" s="12" t="s">
        <v>31</v>
      </c>
      <c r="E26" s="13" t="s">
        <v>4726</v>
      </c>
      <c r="F26" s="12">
        <v>22.0</v>
      </c>
      <c r="G26" s="12">
        <v>2002.0</v>
      </c>
      <c r="H26" s="15">
        <v>37.0</v>
      </c>
      <c r="I26" s="17">
        <v>0.22</v>
      </c>
      <c r="J26" s="19">
        <v>0.0</v>
      </c>
      <c r="K26" s="19">
        <v>0.0</v>
      </c>
      <c r="L26" s="18">
        <v>1.54</v>
      </c>
      <c r="M26" s="18">
        <v>2.16</v>
      </c>
      <c r="N26" s="18">
        <v>0.05</v>
      </c>
      <c r="O26" s="18">
        <v>4.73</v>
      </c>
      <c r="P26" s="18">
        <v>1.11</v>
      </c>
      <c r="Q26" s="18">
        <v>1.62</v>
      </c>
      <c r="R26" s="36"/>
      <c r="S26" s="36"/>
      <c r="T26" s="19">
        <v>0.0</v>
      </c>
      <c r="U26" s="20" t="s">
        <v>4727</v>
      </c>
    </row>
    <row r="27">
      <c r="A27" s="50">
        <v>25.0</v>
      </c>
      <c r="B27" s="13" t="s">
        <v>4728</v>
      </c>
      <c r="C27" s="11" t="s">
        <v>4729</v>
      </c>
      <c r="D27" s="12" t="s">
        <v>31</v>
      </c>
      <c r="E27" s="13" t="s">
        <v>4730</v>
      </c>
      <c r="F27" s="12">
        <v>24.0</v>
      </c>
      <c r="G27" s="12">
        <v>2001.0</v>
      </c>
      <c r="H27" s="15">
        <v>30.7</v>
      </c>
      <c r="I27" s="17">
        <v>0.39</v>
      </c>
      <c r="J27" s="19">
        <v>0.0</v>
      </c>
      <c r="K27" s="19">
        <v>0.0</v>
      </c>
      <c r="L27" s="18">
        <v>1.53</v>
      </c>
      <c r="M27" s="18">
        <v>1.4</v>
      </c>
      <c r="N27" s="19">
        <v>0.0</v>
      </c>
      <c r="O27" s="18">
        <v>1.3</v>
      </c>
      <c r="P27" s="18">
        <v>0.81</v>
      </c>
      <c r="Q27" s="18">
        <v>1.37</v>
      </c>
      <c r="R27" s="36"/>
      <c r="S27" s="36"/>
      <c r="T27" s="19">
        <v>0.0</v>
      </c>
      <c r="U27" s="20" t="s">
        <v>4731</v>
      </c>
    </row>
    <row r="28">
      <c r="A28" s="37" t="s">
        <v>3</v>
      </c>
      <c r="B28" s="51" t="s">
        <v>4</v>
      </c>
      <c r="C28" s="39" t="s">
        <v>5</v>
      </c>
      <c r="D28" s="39" t="s">
        <v>6</v>
      </c>
      <c r="E28" s="39" t="s">
        <v>7</v>
      </c>
      <c r="F28" s="39" t="s">
        <v>8</v>
      </c>
      <c r="G28" s="39" t="s">
        <v>9</v>
      </c>
      <c r="H28" s="39" t="s">
        <v>13</v>
      </c>
      <c r="I28" s="40" t="s">
        <v>20</v>
      </c>
      <c r="J28" s="39" t="s">
        <v>21</v>
      </c>
      <c r="K28" s="39" t="s">
        <v>4622</v>
      </c>
      <c r="L28" s="39" t="s">
        <v>4623</v>
      </c>
      <c r="M28" s="39" t="s">
        <v>4624</v>
      </c>
      <c r="N28" s="39" t="s">
        <v>4625</v>
      </c>
      <c r="O28" s="39" t="s">
        <v>4626</v>
      </c>
      <c r="P28" s="39" t="s">
        <v>4627</v>
      </c>
      <c r="Q28" s="39" t="s">
        <v>4628</v>
      </c>
      <c r="R28" s="39" t="s">
        <v>4629</v>
      </c>
      <c r="S28" s="39" t="s">
        <v>4630</v>
      </c>
      <c r="T28" s="39" t="s">
        <v>4631</v>
      </c>
      <c r="U28" s="40" t="s">
        <v>23</v>
      </c>
    </row>
    <row r="29">
      <c r="A29" s="50">
        <v>26.0</v>
      </c>
      <c r="B29" s="13" t="s">
        <v>4732</v>
      </c>
      <c r="C29" s="11" t="s">
        <v>4733</v>
      </c>
      <c r="D29" s="12" t="s">
        <v>31</v>
      </c>
      <c r="E29" s="13" t="s">
        <v>4734</v>
      </c>
      <c r="F29" s="12">
        <v>22.0</v>
      </c>
      <c r="G29" s="12">
        <v>2003.0</v>
      </c>
      <c r="H29" s="15">
        <v>4.5</v>
      </c>
      <c r="I29" s="17">
        <v>0.22</v>
      </c>
      <c r="J29" s="19">
        <v>0.0</v>
      </c>
      <c r="K29" s="19">
        <v>0.0</v>
      </c>
      <c r="L29" s="18">
        <v>2.44</v>
      </c>
      <c r="M29" s="18">
        <v>0.67</v>
      </c>
      <c r="N29" s="18">
        <v>0.22</v>
      </c>
      <c r="O29" s="18">
        <v>1.56</v>
      </c>
      <c r="P29" s="18">
        <v>1.11</v>
      </c>
      <c r="Q29" s="18">
        <v>1.56</v>
      </c>
      <c r="R29" s="36"/>
      <c r="S29" s="36"/>
      <c r="T29" s="19">
        <v>0.0</v>
      </c>
      <c r="U29" s="20" t="s">
        <v>4735</v>
      </c>
    </row>
    <row r="30">
      <c r="A30" s="50">
        <v>27.0</v>
      </c>
      <c r="B30" s="13" t="s">
        <v>4736</v>
      </c>
      <c r="C30" s="11" t="s">
        <v>4737</v>
      </c>
      <c r="D30" s="12" t="s">
        <v>31</v>
      </c>
      <c r="E30" s="13" t="s">
        <v>4738</v>
      </c>
      <c r="F30" s="12">
        <v>25.0</v>
      </c>
      <c r="G30" s="12">
        <v>1999.0</v>
      </c>
      <c r="H30" s="15">
        <v>30.2</v>
      </c>
      <c r="I30" s="17">
        <v>0.13</v>
      </c>
      <c r="J30" s="19">
        <v>0.0</v>
      </c>
      <c r="K30" s="19">
        <v>0.0</v>
      </c>
      <c r="L30" s="18">
        <v>0.89</v>
      </c>
      <c r="M30" s="18">
        <v>1.56</v>
      </c>
      <c r="N30" s="18">
        <v>0.3</v>
      </c>
      <c r="O30" s="18">
        <v>2.65</v>
      </c>
      <c r="P30" s="18">
        <v>0.53</v>
      </c>
      <c r="Q30" s="18">
        <v>0.7</v>
      </c>
      <c r="R30" s="36"/>
      <c r="S30" s="36"/>
      <c r="T30" s="19">
        <v>0.0</v>
      </c>
      <c r="U30" s="20" t="s">
        <v>4739</v>
      </c>
    </row>
    <row r="31">
      <c r="A31" s="50">
        <v>28.0</v>
      </c>
      <c r="B31" s="13" t="s">
        <v>4740</v>
      </c>
      <c r="C31" s="11" t="s">
        <v>4741</v>
      </c>
      <c r="D31" s="12" t="s">
        <v>98</v>
      </c>
      <c r="E31" s="13" t="s">
        <v>4742</v>
      </c>
      <c r="F31" s="12">
        <v>32.0</v>
      </c>
      <c r="G31" s="12">
        <v>1993.0</v>
      </c>
      <c r="H31" s="15">
        <v>20.0</v>
      </c>
      <c r="I31" s="22">
        <v>0.0</v>
      </c>
      <c r="J31" s="19">
        <v>0.0</v>
      </c>
      <c r="K31" s="19">
        <v>0.0</v>
      </c>
      <c r="L31" s="18">
        <v>0.05</v>
      </c>
      <c r="M31" s="18">
        <v>0.05</v>
      </c>
      <c r="N31" s="19">
        <v>0.0</v>
      </c>
      <c r="O31" s="19">
        <v>0.0</v>
      </c>
      <c r="P31" s="18">
        <v>0.05</v>
      </c>
      <c r="Q31" s="19">
        <v>0.0</v>
      </c>
      <c r="R31" s="36"/>
      <c r="S31" s="36"/>
      <c r="T31" s="19">
        <v>0.0</v>
      </c>
      <c r="U31" s="20" t="s">
        <v>4743</v>
      </c>
    </row>
    <row r="32">
      <c r="A32" s="50">
        <v>29.0</v>
      </c>
      <c r="B32" s="13" t="s">
        <v>4744</v>
      </c>
      <c r="C32" s="11" t="s">
        <v>4745</v>
      </c>
      <c r="D32" s="12" t="s">
        <v>107</v>
      </c>
      <c r="E32" s="13" t="s">
        <v>4746</v>
      </c>
      <c r="F32" s="12">
        <v>27.0</v>
      </c>
      <c r="G32" s="12">
        <v>1997.0</v>
      </c>
      <c r="H32" s="15">
        <v>12.5</v>
      </c>
      <c r="I32" s="17">
        <v>0.08</v>
      </c>
      <c r="J32" s="19">
        <v>0.0</v>
      </c>
      <c r="K32" s="19">
        <v>0.0</v>
      </c>
      <c r="L32" s="18">
        <v>2.08</v>
      </c>
      <c r="M32" s="18">
        <v>0.72</v>
      </c>
      <c r="N32" s="18">
        <v>0.24</v>
      </c>
      <c r="O32" s="18">
        <v>2.4</v>
      </c>
      <c r="P32" s="18">
        <v>0.56</v>
      </c>
      <c r="Q32" s="18">
        <v>2.16</v>
      </c>
      <c r="R32" s="36"/>
      <c r="S32" s="36"/>
      <c r="T32" s="19">
        <v>0.0</v>
      </c>
      <c r="U32" s="20" t="s">
        <v>4747</v>
      </c>
    </row>
    <row r="33">
      <c r="A33" s="50">
        <v>30.0</v>
      </c>
      <c r="B33" s="13" t="s">
        <v>4748</v>
      </c>
      <c r="C33" s="11" t="s">
        <v>4749</v>
      </c>
      <c r="D33" s="12" t="s">
        <v>107</v>
      </c>
      <c r="E33" s="13" t="s">
        <v>4750</v>
      </c>
      <c r="F33" s="12">
        <v>28.0</v>
      </c>
      <c r="G33" s="12">
        <v>1997.0</v>
      </c>
      <c r="H33" s="15">
        <v>12.7</v>
      </c>
      <c r="I33" s="17">
        <v>0.24</v>
      </c>
      <c r="J33" s="19">
        <v>0.0</v>
      </c>
      <c r="K33" s="19">
        <v>0.0</v>
      </c>
      <c r="L33" s="18">
        <v>0.94</v>
      </c>
      <c r="M33" s="18">
        <v>0.24</v>
      </c>
      <c r="N33" s="18">
        <v>0.39</v>
      </c>
      <c r="O33" s="18">
        <v>0.39</v>
      </c>
      <c r="P33" s="18">
        <v>0.08</v>
      </c>
      <c r="Q33" s="18">
        <v>0.31</v>
      </c>
      <c r="R33" s="36"/>
      <c r="S33" s="36"/>
      <c r="T33" s="19">
        <v>0.0</v>
      </c>
      <c r="U33" s="20" t="s">
        <v>4751</v>
      </c>
    </row>
    <row r="34">
      <c r="A34" s="50">
        <v>31.0</v>
      </c>
      <c r="B34" s="13" t="s">
        <v>4752</v>
      </c>
      <c r="C34" s="11" t="s">
        <v>4753</v>
      </c>
      <c r="D34" s="12" t="s">
        <v>31</v>
      </c>
      <c r="E34" s="13" t="s">
        <v>4754</v>
      </c>
      <c r="F34" s="12">
        <v>18.0</v>
      </c>
      <c r="G34" s="12">
        <v>2007.0</v>
      </c>
      <c r="H34" s="15">
        <v>5.9</v>
      </c>
      <c r="I34" s="22">
        <v>0.0</v>
      </c>
      <c r="J34" s="19">
        <v>0.0</v>
      </c>
      <c r="K34" s="19">
        <v>0.0</v>
      </c>
      <c r="L34" s="18">
        <v>1.02</v>
      </c>
      <c r="M34" s="18">
        <v>2.54</v>
      </c>
      <c r="N34" s="18">
        <v>0.34</v>
      </c>
      <c r="O34" s="18">
        <v>0.51</v>
      </c>
      <c r="P34" s="18">
        <v>0.68</v>
      </c>
      <c r="Q34" s="18">
        <v>1.69</v>
      </c>
      <c r="R34" s="36"/>
      <c r="S34" s="36"/>
      <c r="T34" s="19">
        <v>0.0</v>
      </c>
      <c r="U34" s="20" t="s">
        <v>4755</v>
      </c>
    </row>
    <row r="35">
      <c r="A35" s="50">
        <v>32.0</v>
      </c>
      <c r="B35" s="13" t="s">
        <v>4756</v>
      </c>
      <c r="C35" s="11" t="s">
        <v>4757</v>
      </c>
      <c r="D35" s="12" t="s">
        <v>41</v>
      </c>
      <c r="E35" s="13" t="s">
        <v>4758</v>
      </c>
      <c r="F35" s="12">
        <v>24.0</v>
      </c>
      <c r="G35" s="12">
        <v>2000.0</v>
      </c>
      <c r="H35" s="15">
        <v>15.8</v>
      </c>
      <c r="I35" s="17">
        <v>0.06</v>
      </c>
      <c r="J35" s="19">
        <v>0.0</v>
      </c>
      <c r="K35" s="19">
        <v>0.0</v>
      </c>
      <c r="L35" s="18">
        <v>1.14</v>
      </c>
      <c r="M35" s="18">
        <v>1.08</v>
      </c>
      <c r="N35" s="18">
        <v>0.38</v>
      </c>
      <c r="O35" s="19">
        <v>0.0</v>
      </c>
      <c r="P35" s="18">
        <v>0.32</v>
      </c>
      <c r="Q35" s="18">
        <v>0.25</v>
      </c>
      <c r="R35" s="36"/>
      <c r="S35" s="36"/>
      <c r="T35" s="19">
        <v>0.0</v>
      </c>
      <c r="U35" s="20" t="s">
        <v>4759</v>
      </c>
    </row>
    <row r="36">
      <c r="A36" s="50">
        <v>33.0</v>
      </c>
      <c r="B36" s="13" t="s">
        <v>4760</v>
      </c>
      <c r="C36" s="11" t="s">
        <v>4761</v>
      </c>
      <c r="D36" s="12" t="s">
        <v>98</v>
      </c>
      <c r="E36" s="13" t="s">
        <v>4762</v>
      </c>
      <c r="F36" s="12">
        <v>30.0</v>
      </c>
      <c r="G36" s="12">
        <v>1994.0</v>
      </c>
      <c r="H36" s="15">
        <v>1.0</v>
      </c>
      <c r="I36" s="22">
        <v>0.0</v>
      </c>
      <c r="J36" s="19">
        <v>0.0</v>
      </c>
      <c r="K36" s="19">
        <v>0.0</v>
      </c>
      <c r="L36" s="19">
        <v>0.0</v>
      </c>
      <c r="M36" s="19">
        <v>0.0</v>
      </c>
      <c r="N36" s="19">
        <v>0.0</v>
      </c>
      <c r="O36" s="19">
        <v>0.0</v>
      </c>
      <c r="P36" s="19">
        <v>0.0</v>
      </c>
      <c r="Q36" s="19">
        <v>0.0</v>
      </c>
      <c r="R36" s="36"/>
      <c r="S36" s="36"/>
      <c r="T36" s="19">
        <v>0.0</v>
      </c>
      <c r="U36" s="20" t="s">
        <v>4763</v>
      </c>
    </row>
    <row r="37">
      <c r="A37" s="50">
        <v>34.0</v>
      </c>
      <c r="B37" s="13" t="s">
        <v>4764</v>
      </c>
      <c r="C37" s="11" t="s">
        <v>4765</v>
      </c>
      <c r="D37" s="12" t="s">
        <v>41</v>
      </c>
      <c r="E37" s="13" t="s">
        <v>4766</v>
      </c>
      <c r="F37" s="12">
        <v>27.0</v>
      </c>
      <c r="G37" s="12">
        <v>1997.0</v>
      </c>
      <c r="H37" s="15">
        <v>5.5</v>
      </c>
      <c r="I37" s="17">
        <v>0.36</v>
      </c>
      <c r="J37" s="19">
        <v>0.0</v>
      </c>
      <c r="K37" s="19">
        <v>0.0</v>
      </c>
      <c r="L37" s="18">
        <v>1.82</v>
      </c>
      <c r="M37" s="18">
        <v>1.27</v>
      </c>
      <c r="N37" s="18">
        <v>1.09</v>
      </c>
      <c r="O37" s="18">
        <v>0.18</v>
      </c>
      <c r="P37" s="18">
        <v>0.18</v>
      </c>
      <c r="Q37" s="18">
        <v>0.18</v>
      </c>
      <c r="R37" s="36"/>
      <c r="S37" s="36"/>
      <c r="T37" s="19">
        <v>0.0</v>
      </c>
      <c r="U37" s="20" t="s">
        <v>4767</v>
      </c>
    </row>
    <row r="38">
      <c r="A38" s="50">
        <v>35.0</v>
      </c>
      <c r="B38" s="13" t="s">
        <v>4768</v>
      </c>
      <c r="C38" s="11" t="s">
        <v>4769</v>
      </c>
      <c r="D38" s="12" t="s">
        <v>31</v>
      </c>
      <c r="E38" s="13" t="s">
        <v>4770</v>
      </c>
      <c r="F38" s="12">
        <v>21.0</v>
      </c>
      <c r="G38" s="12">
        <v>2003.0</v>
      </c>
      <c r="H38" s="15">
        <v>21.4</v>
      </c>
      <c r="I38" s="17">
        <v>0.05</v>
      </c>
      <c r="J38" s="19">
        <v>0.0</v>
      </c>
      <c r="K38" s="19">
        <v>0.0</v>
      </c>
      <c r="L38" s="18">
        <v>1.12</v>
      </c>
      <c r="M38" s="18">
        <v>1.31</v>
      </c>
      <c r="N38" s="19">
        <v>0.0</v>
      </c>
      <c r="O38" s="18">
        <v>1.12</v>
      </c>
      <c r="P38" s="18">
        <v>1.21</v>
      </c>
      <c r="Q38" s="18">
        <v>1.17</v>
      </c>
      <c r="R38" s="36"/>
      <c r="S38" s="36"/>
      <c r="T38" s="19">
        <v>0.0</v>
      </c>
      <c r="U38" s="20" t="s">
        <v>4771</v>
      </c>
    </row>
    <row r="39">
      <c r="A39" s="50">
        <v>36.0</v>
      </c>
      <c r="B39" s="13" t="s">
        <v>4772</v>
      </c>
      <c r="C39" s="11" t="s">
        <v>4773</v>
      </c>
      <c r="D39" s="12" t="s">
        <v>36</v>
      </c>
      <c r="E39" s="13" t="s">
        <v>4774</v>
      </c>
      <c r="F39" s="12">
        <v>24.0</v>
      </c>
      <c r="G39" s="12">
        <v>2001.0</v>
      </c>
      <c r="H39" s="15">
        <v>5.2</v>
      </c>
      <c r="I39" s="17">
        <v>0.38</v>
      </c>
      <c r="J39" s="19">
        <v>0.0</v>
      </c>
      <c r="K39" s="19">
        <v>0.0</v>
      </c>
      <c r="L39" s="18">
        <v>1.15</v>
      </c>
      <c r="M39" s="18">
        <v>0.38</v>
      </c>
      <c r="N39" s="19">
        <v>0.0</v>
      </c>
      <c r="O39" s="19">
        <v>0.0</v>
      </c>
      <c r="P39" s="18">
        <v>1.73</v>
      </c>
      <c r="Q39" s="18">
        <v>0.96</v>
      </c>
      <c r="R39" s="36"/>
      <c r="S39" s="36"/>
      <c r="T39" s="19">
        <v>0.0</v>
      </c>
      <c r="U39" s="20" t="s">
        <v>4775</v>
      </c>
    </row>
    <row r="40">
      <c r="A40" s="50">
        <v>37.0</v>
      </c>
      <c r="B40" s="13" t="s">
        <v>4776</v>
      </c>
      <c r="C40" s="11" t="s">
        <v>4777</v>
      </c>
      <c r="D40" s="12" t="s">
        <v>31</v>
      </c>
      <c r="E40" s="13" t="s">
        <v>4778</v>
      </c>
      <c r="F40" s="12">
        <v>27.0</v>
      </c>
      <c r="G40" s="12">
        <v>1997.0</v>
      </c>
      <c r="H40" s="15">
        <v>5.1</v>
      </c>
      <c r="I40" s="17">
        <v>0.2</v>
      </c>
      <c r="J40" s="19">
        <v>0.0</v>
      </c>
      <c r="K40" s="19">
        <v>0.0</v>
      </c>
      <c r="L40" s="18">
        <v>1.18</v>
      </c>
      <c r="M40" s="18">
        <v>0.98</v>
      </c>
      <c r="N40" s="18">
        <v>0.2</v>
      </c>
      <c r="O40" s="18">
        <v>3.73</v>
      </c>
      <c r="P40" s="18">
        <v>0.78</v>
      </c>
      <c r="Q40" s="18">
        <v>1.18</v>
      </c>
      <c r="R40" s="36"/>
      <c r="S40" s="36"/>
      <c r="T40" s="19">
        <v>0.0</v>
      </c>
      <c r="U40" s="20" t="s">
        <v>4779</v>
      </c>
    </row>
    <row r="41">
      <c r="A41" s="50">
        <v>38.0</v>
      </c>
      <c r="B41" s="13" t="s">
        <v>4780</v>
      </c>
      <c r="C41" s="11" t="s">
        <v>4781</v>
      </c>
      <c r="D41" s="12" t="s">
        <v>31</v>
      </c>
      <c r="E41" s="13" t="s">
        <v>4782</v>
      </c>
      <c r="F41" s="12">
        <v>22.0</v>
      </c>
      <c r="G41" s="12">
        <v>2002.0</v>
      </c>
      <c r="H41" s="15">
        <v>6.1</v>
      </c>
      <c r="I41" s="17">
        <v>0.16</v>
      </c>
      <c r="J41" s="19">
        <v>0.0</v>
      </c>
      <c r="K41" s="19">
        <v>0.0</v>
      </c>
      <c r="L41" s="18">
        <v>1.48</v>
      </c>
      <c r="M41" s="18">
        <v>2.3</v>
      </c>
      <c r="N41" s="19">
        <v>0.0</v>
      </c>
      <c r="O41" s="18">
        <v>6.23</v>
      </c>
      <c r="P41" s="19">
        <v>0.0</v>
      </c>
      <c r="Q41" s="18">
        <v>0.49</v>
      </c>
      <c r="R41" s="36"/>
      <c r="S41" s="36"/>
      <c r="T41" s="19">
        <v>0.0</v>
      </c>
      <c r="U41" s="20" t="s">
        <v>4783</v>
      </c>
    </row>
    <row r="42">
      <c r="A42" s="50">
        <v>39.0</v>
      </c>
      <c r="B42" s="13" t="s">
        <v>4784</v>
      </c>
      <c r="C42" s="11" t="s">
        <v>4785</v>
      </c>
      <c r="D42" s="12" t="s">
        <v>31</v>
      </c>
      <c r="E42" s="13" t="s">
        <v>4786</v>
      </c>
      <c r="F42" s="12">
        <v>21.0</v>
      </c>
      <c r="G42" s="12">
        <v>2004.0</v>
      </c>
      <c r="H42" s="15">
        <v>18.4</v>
      </c>
      <c r="I42" s="17">
        <v>0.27</v>
      </c>
      <c r="J42" s="19">
        <v>0.0</v>
      </c>
      <c r="K42" s="19">
        <v>0.0</v>
      </c>
      <c r="L42" s="18">
        <v>1.68</v>
      </c>
      <c r="M42" s="18">
        <v>1.3</v>
      </c>
      <c r="N42" s="19">
        <v>0.0</v>
      </c>
      <c r="O42" s="19">
        <v>0.0</v>
      </c>
      <c r="P42" s="18">
        <v>1.52</v>
      </c>
      <c r="Q42" s="18">
        <v>1.14</v>
      </c>
      <c r="R42" s="36"/>
      <c r="S42" s="36"/>
      <c r="T42" s="19">
        <v>0.0</v>
      </c>
      <c r="U42" s="20" t="s">
        <v>4787</v>
      </c>
    </row>
    <row r="43">
      <c r="A43" s="50">
        <v>40.0</v>
      </c>
      <c r="B43" s="13" t="s">
        <v>4788</v>
      </c>
      <c r="C43" s="11" t="s">
        <v>4789</v>
      </c>
      <c r="D43" s="12" t="s">
        <v>36</v>
      </c>
      <c r="E43" s="13" t="s">
        <v>4790</v>
      </c>
      <c r="F43" s="12">
        <v>25.0</v>
      </c>
      <c r="G43" s="12">
        <v>1999.0</v>
      </c>
      <c r="H43" s="15">
        <v>23.9</v>
      </c>
      <c r="I43" s="17">
        <v>0.17</v>
      </c>
      <c r="J43" s="18">
        <v>0.04</v>
      </c>
      <c r="K43" s="19">
        <v>0.0</v>
      </c>
      <c r="L43" s="18">
        <v>1.21</v>
      </c>
      <c r="M43" s="18">
        <v>1.21</v>
      </c>
      <c r="N43" s="18">
        <v>0.13</v>
      </c>
      <c r="O43" s="18">
        <v>0.04</v>
      </c>
      <c r="P43" s="18">
        <v>0.84</v>
      </c>
      <c r="Q43" s="18">
        <v>0.71</v>
      </c>
      <c r="R43" s="36"/>
      <c r="S43" s="36"/>
      <c r="T43" s="19">
        <v>0.0</v>
      </c>
      <c r="U43" s="20" t="s">
        <v>4791</v>
      </c>
    </row>
    <row r="44">
      <c r="A44" s="50">
        <v>41.0</v>
      </c>
      <c r="B44" s="13" t="s">
        <v>4792</v>
      </c>
      <c r="C44" s="11" t="s">
        <v>4793</v>
      </c>
      <c r="D44" s="12" t="s">
        <v>31</v>
      </c>
      <c r="E44" s="13" t="s">
        <v>4794</v>
      </c>
      <c r="F44" s="12">
        <v>31.0</v>
      </c>
      <c r="G44" s="12">
        <v>1993.0</v>
      </c>
      <c r="H44" s="15">
        <v>9.5</v>
      </c>
      <c r="I44" s="17">
        <v>0.11</v>
      </c>
      <c r="J44" s="19">
        <v>0.0</v>
      </c>
      <c r="K44" s="19">
        <v>0.0</v>
      </c>
      <c r="L44" s="18">
        <v>0.95</v>
      </c>
      <c r="M44" s="18">
        <v>0.84</v>
      </c>
      <c r="N44" s="19">
        <v>0.0</v>
      </c>
      <c r="O44" s="19">
        <v>0.0</v>
      </c>
      <c r="P44" s="18">
        <v>0.21</v>
      </c>
      <c r="Q44" s="18">
        <v>1.16</v>
      </c>
      <c r="R44" s="36"/>
      <c r="S44" s="36"/>
      <c r="T44" s="19">
        <v>0.0</v>
      </c>
      <c r="U44" s="20" t="s">
        <v>4795</v>
      </c>
    </row>
    <row r="45">
      <c r="A45" s="50">
        <v>42.0</v>
      </c>
      <c r="B45" s="13" t="s">
        <v>4796</v>
      </c>
      <c r="C45" s="11" t="s">
        <v>4797</v>
      </c>
      <c r="D45" s="12" t="s">
        <v>107</v>
      </c>
      <c r="E45" s="13" t="s">
        <v>4798</v>
      </c>
      <c r="F45" s="12">
        <v>35.0</v>
      </c>
      <c r="G45" s="12">
        <v>1989.0</v>
      </c>
      <c r="H45" s="15">
        <v>0.5</v>
      </c>
      <c r="I45" s="17">
        <v>4.0</v>
      </c>
      <c r="J45" s="19">
        <v>0.0</v>
      </c>
      <c r="K45" s="19">
        <v>0.0</v>
      </c>
      <c r="L45" s="18">
        <v>4.0</v>
      </c>
      <c r="M45" s="18">
        <v>4.0</v>
      </c>
      <c r="N45" s="18">
        <v>4.0</v>
      </c>
      <c r="O45" s="19">
        <v>0.0</v>
      </c>
      <c r="P45" s="19">
        <v>0.0</v>
      </c>
      <c r="Q45" s="19">
        <v>0.0</v>
      </c>
      <c r="R45" s="36"/>
      <c r="S45" s="36"/>
      <c r="T45" s="19">
        <v>0.0</v>
      </c>
      <c r="U45" s="20" t="s">
        <v>4799</v>
      </c>
    </row>
    <row r="46">
      <c r="A46" s="50">
        <v>43.0</v>
      </c>
      <c r="B46" s="13" t="s">
        <v>4800</v>
      </c>
      <c r="C46" s="11" t="s">
        <v>4801</v>
      </c>
      <c r="D46" s="12" t="s">
        <v>107</v>
      </c>
      <c r="E46" s="13" t="s">
        <v>4802</v>
      </c>
      <c r="F46" s="12">
        <v>27.0</v>
      </c>
      <c r="G46" s="12">
        <v>1997.0</v>
      </c>
      <c r="H46" s="15">
        <v>21.8</v>
      </c>
      <c r="I46" s="17">
        <v>0.05</v>
      </c>
      <c r="J46" s="19">
        <v>0.0</v>
      </c>
      <c r="K46" s="19">
        <v>0.0</v>
      </c>
      <c r="L46" s="18">
        <v>0.78</v>
      </c>
      <c r="M46" s="18">
        <v>1.06</v>
      </c>
      <c r="N46" s="18">
        <v>0.14</v>
      </c>
      <c r="O46" s="18">
        <v>3.39</v>
      </c>
      <c r="P46" s="18">
        <v>0.14</v>
      </c>
      <c r="Q46" s="18">
        <v>0.23</v>
      </c>
      <c r="R46" s="36"/>
      <c r="S46" s="36"/>
      <c r="T46" s="19">
        <v>0.0</v>
      </c>
      <c r="U46" s="20" t="s">
        <v>4803</v>
      </c>
    </row>
    <row r="47">
      <c r="A47" s="50">
        <v>44.0</v>
      </c>
      <c r="B47" s="13" t="s">
        <v>4804</v>
      </c>
      <c r="C47" s="11" t="s">
        <v>4805</v>
      </c>
      <c r="D47" s="12" t="s">
        <v>41</v>
      </c>
      <c r="E47" s="13" t="s">
        <v>4806</v>
      </c>
      <c r="F47" s="12">
        <v>22.0</v>
      </c>
      <c r="G47" s="12">
        <v>2002.0</v>
      </c>
      <c r="H47" s="15">
        <v>21.3</v>
      </c>
      <c r="I47" s="17">
        <v>0.14</v>
      </c>
      <c r="J47" s="19">
        <v>0.0</v>
      </c>
      <c r="K47" s="19">
        <v>0.0</v>
      </c>
      <c r="L47" s="18">
        <v>2.16</v>
      </c>
      <c r="M47" s="18">
        <v>0.38</v>
      </c>
      <c r="N47" s="18">
        <v>0.61</v>
      </c>
      <c r="O47" s="18">
        <v>0.19</v>
      </c>
      <c r="P47" s="18">
        <v>0.23</v>
      </c>
      <c r="Q47" s="18">
        <v>0.19</v>
      </c>
      <c r="R47" s="36"/>
      <c r="S47" s="36"/>
      <c r="T47" s="19">
        <v>0.0</v>
      </c>
      <c r="U47" s="20" t="s">
        <v>4807</v>
      </c>
    </row>
    <row r="48">
      <c r="A48" s="50">
        <v>45.0</v>
      </c>
      <c r="B48" s="13" t="s">
        <v>4808</v>
      </c>
      <c r="C48" s="11" t="s">
        <v>4809</v>
      </c>
      <c r="D48" s="12" t="s">
        <v>36</v>
      </c>
      <c r="E48" s="13" t="s">
        <v>4810</v>
      </c>
      <c r="F48" s="12">
        <v>25.0</v>
      </c>
      <c r="G48" s="12">
        <v>1999.0</v>
      </c>
      <c r="H48" s="15">
        <v>28.2</v>
      </c>
      <c r="I48" s="17">
        <v>0.18</v>
      </c>
      <c r="J48" s="19">
        <v>0.0</v>
      </c>
      <c r="K48" s="19">
        <v>0.0</v>
      </c>
      <c r="L48" s="18">
        <v>0.99</v>
      </c>
      <c r="M48" s="18">
        <v>1.42</v>
      </c>
      <c r="N48" s="18">
        <v>0.04</v>
      </c>
      <c r="O48" s="18">
        <v>0.5</v>
      </c>
      <c r="P48" s="18">
        <v>0.78</v>
      </c>
      <c r="Q48" s="18">
        <v>1.13</v>
      </c>
      <c r="R48" s="36"/>
      <c r="S48" s="36"/>
      <c r="T48" s="19">
        <v>0.0</v>
      </c>
      <c r="U48" s="20" t="s">
        <v>4811</v>
      </c>
    </row>
    <row r="49">
      <c r="A49" s="50">
        <v>46.0</v>
      </c>
      <c r="B49" s="13" t="s">
        <v>4812</v>
      </c>
      <c r="C49" s="11" t="s">
        <v>4813</v>
      </c>
      <c r="D49" s="12" t="s">
        <v>98</v>
      </c>
      <c r="E49" s="13" t="s">
        <v>4814</v>
      </c>
      <c r="F49" s="12">
        <v>27.0</v>
      </c>
      <c r="G49" s="12">
        <v>1998.0</v>
      </c>
      <c r="H49" s="15">
        <v>6.0</v>
      </c>
      <c r="I49" s="22">
        <v>0.0</v>
      </c>
      <c r="J49" s="19">
        <v>0.0</v>
      </c>
      <c r="K49" s="19">
        <v>0.0</v>
      </c>
      <c r="L49" s="19">
        <v>0.0</v>
      </c>
      <c r="M49" s="18">
        <v>0.5</v>
      </c>
      <c r="N49" s="19">
        <v>0.0</v>
      </c>
      <c r="O49" s="19">
        <v>0.0</v>
      </c>
      <c r="P49" s="19">
        <v>0.0</v>
      </c>
      <c r="Q49" s="19">
        <v>0.0</v>
      </c>
      <c r="R49" s="36"/>
      <c r="S49" s="36"/>
      <c r="T49" s="19">
        <v>0.0</v>
      </c>
      <c r="U49" s="20" t="s">
        <v>4815</v>
      </c>
    </row>
    <row r="50">
      <c r="A50" s="50">
        <v>47.0</v>
      </c>
      <c r="B50" s="13" t="s">
        <v>4816</v>
      </c>
      <c r="C50" s="11" t="s">
        <v>4817</v>
      </c>
      <c r="D50" s="12" t="s">
        <v>26</v>
      </c>
      <c r="E50" s="13" t="s">
        <v>4818</v>
      </c>
      <c r="F50" s="12">
        <v>27.0</v>
      </c>
      <c r="G50" s="12">
        <v>1998.0</v>
      </c>
      <c r="H50" s="15">
        <v>13.9</v>
      </c>
      <c r="I50" s="17">
        <v>0.36</v>
      </c>
      <c r="J50" s="19">
        <v>0.0</v>
      </c>
      <c r="K50" s="19">
        <v>0.0</v>
      </c>
      <c r="L50" s="18">
        <v>1.44</v>
      </c>
      <c r="M50" s="18">
        <v>2.95</v>
      </c>
      <c r="N50" s="19">
        <v>0.0</v>
      </c>
      <c r="O50" s="18">
        <v>1.8</v>
      </c>
      <c r="P50" s="18">
        <v>0.65</v>
      </c>
      <c r="Q50" s="18">
        <v>1.08</v>
      </c>
      <c r="R50" s="36"/>
      <c r="S50" s="36"/>
      <c r="T50" s="19">
        <v>0.0</v>
      </c>
      <c r="U50" s="20" t="s">
        <v>4819</v>
      </c>
    </row>
    <row r="51">
      <c r="A51" s="50">
        <v>48.0</v>
      </c>
      <c r="B51" s="13" t="s">
        <v>4820</v>
      </c>
      <c r="C51" s="11" t="s">
        <v>4821</v>
      </c>
      <c r="D51" s="12" t="s">
        <v>98</v>
      </c>
      <c r="E51" s="13" t="s">
        <v>4822</v>
      </c>
      <c r="F51" s="12">
        <v>32.0</v>
      </c>
      <c r="G51" s="12">
        <v>1993.0</v>
      </c>
      <c r="H51" s="15">
        <v>1.0</v>
      </c>
      <c r="I51" s="22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36"/>
      <c r="S51" s="36"/>
      <c r="T51" s="19">
        <v>0.0</v>
      </c>
      <c r="U51" s="20" t="s">
        <v>4823</v>
      </c>
    </row>
    <row r="52">
      <c r="A52" s="50">
        <v>49.0</v>
      </c>
      <c r="B52" s="13" t="s">
        <v>4824</v>
      </c>
      <c r="C52" s="11" t="s">
        <v>4825</v>
      </c>
      <c r="D52" s="12" t="s">
        <v>31</v>
      </c>
      <c r="E52" s="13" t="s">
        <v>4826</v>
      </c>
      <c r="F52" s="12">
        <v>28.0</v>
      </c>
      <c r="G52" s="12">
        <v>1997.0</v>
      </c>
      <c r="H52" s="15">
        <v>20.9</v>
      </c>
      <c r="I52" s="17">
        <v>0.33</v>
      </c>
      <c r="J52" s="19">
        <v>0.0</v>
      </c>
      <c r="K52" s="19">
        <v>0.0</v>
      </c>
      <c r="L52" s="18">
        <v>0.91</v>
      </c>
      <c r="M52" s="18">
        <v>0.38</v>
      </c>
      <c r="N52" s="18">
        <v>0.05</v>
      </c>
      <c r="O52" s="18">
        <v>0.33</v>
      </c>
      <c r="P52" s="18">
        <v>1.72</v>
      </c>
      <c r="Q52" s="18">
        <v>1.72</v>
      </c>
      <c r="R52" s="36"/>
      <c r="S52" s="36"/>
      <c r="T52" s="19">
        <v>0.0</v>
      </c>
      <c r="U52" s="20" t="s">
        <v>4827</v>
      </c>
    </row>
    <row r="53">
      <c r="A53" s="50">
        <v>50.0</v>
      </c>
      <c r="B53" s="13" t="s">
        <v>4828</v>
      </c>
      <c r="C53" s="11" t="s">
        <v>4829</v>
      </c>
      <c r="D53" s="12" t="s">
        <v>98</v>
      </c>
      <c r="E53" s="13" t="s">
        <v>4830</v>
      </c>
      <c r="F53" s="12">
        <v>32.0</v>
      </c>
      <c r="G53" s="12">
        <v>1993.0</v>
      </c>
      <c r="H53" s="15">
        <v>3.0</v>
      </c>
      <c r="I53" s="22">
        <v>0.0</v>
      </c>
      <c r="J53" s="19">
        <v>0.0</v>
      </c>
      <c r="K53" s="19">
        <v>0.0</v>
      </c>
      <c r="L53" s="19">
        <v>0.0</v>
      </c>
      <c r="M53" s="18">
        <v>0.67</v>
      </c>
      <c r="N53" s="19">
        <v>0.0</v>
      </c>
      <c r="O53" s="19">
        <v>0.0</v>
      </c>
      <c r="P53" s="19">
        <v>0.0</v>
      </c>
      <c r="Q53" s="19">
        <v>0.0</v>
      </c>
      <c r="R53" s="36"/>
      <c r="S53" s="36"/>
      <c r="T53" s="19">
        <v>0.0</v>
      </c>
      <c r="U53" s="20" t="s">
        <v>4831</v>
      </c>
    </row>
    <row r="54">
      <c r="A54" s="37" t="s">
        <v>3</v>
      </c>
      <c r="B54" s="51" t="s">
        <v>4</v>
      </c>
      <c r="C54" s="39" t="s">
        <v>5</v>
      </c>
      <c r="D54" s="39" t="s">
        <v>6</v>
      </c>
      <c r="E54" s="39" t="s">
        <v>7</v>
      </c>
      <c r="F54" s="39" t="s">
        <v>8</v>
      </c>
      <c r="G54" s="39" t="s">
        <v>9</v>
      </c>
      <c r="H54" s="39" t="s">
        <v>13</v>
      </c>
      <c r="I54" s="40" t="s">
        <v>20</v>
      </c>
      <c r="J54" s="39" t="s">
        <v>21</v>
      </c>
      <c r="K54" s="39" t="s">
        <v>4622</v>
      </c>
      <c r="L54" s="39" t="s">
        <v>4623</v>
      </c>
      <c r="M54" s="39" t="s">
        <v>4624</v>
      </c>
      <c r="N54" s="39" t="s">
        <v>4625</v>
      </c>
      <c r="O54" s="39" t="s">
        <v>4626</v>
      </c>
      <c r="P54" s="39" t="s">
        <v>4627</v>
      </c>
      <c r="Q54" s="39" t="s">
        <v>4628</v>
      </c>
      <c r="R54" s="39" t="s">
        <v>4629</v>
      </c>
      <c r="S54" s="39" t="s">
        <v>4630</v>
      </c>
      <c r="T54" s="39" t="s">
        <v>4631</v>
      </c>
      <c r="U54" s="40" t="s">
        <v>23</v>
      </c>
    </row>
    <row r="55">
      <c r="A55" s="50">
        <v>51.0</v>
      </c>
      <c r="B55" s="13" t="s">
        <v>4832</v>
      </c>
      <c r="C55" s="11" t="s">
        <v>4833</v>
      </c>
      <c r="D55" s="12" t="s">
        <v>31</v>
      </c>
      <c r="E55" s="13" t="s">
        <v>4834</v>
      </c>
      <c r="F55" s="12">
        <v>27.0</v>
      </c>
      <c r="G55" s="12">
        <v>1998.0</v>
      </c>
      <c r="H55" s="15">
        <v>32.3</v>
      </c>
      <c r="I55" s="17">
        <v>0.15</v>
      </c>
      <c r="J55" s="19">
        <v>0.0</v>
      </c>
      <c r="K55" s="19">
        <v>0.0</v>
      </c>
      <c r="L55" s="18">
        <v>1.08</v>
      </c>
      <c r="M55" s="18">
        <v>0.43</v>
      </c>
      <c r="N55" s="18">
        <v>0.03</v>
      </c>
      <c r="O55" s="18">
        <v>0.4</v>
      </c>
      <c r="P55" s="18">
        <v>0.8</v>
      </c>
      <c r="Q55" s="18">
        <v>1.27</v>
      </c>
      <c r="R55" s="36"/>
      <c r="S55" s="36"/>
      <c r="T55" s="18">
        <v>0.03</v>
      </c>
      <c r="U55" s="20" t="s">
        <v>4835</v>
      </c>
    </row>
    <row r="56">
      <c r="A56" s="50">
        <v>52.0</v>
      </c>
      <c r="B56" s="13" t="s">
        <v>4836</v>
      </c>
      <c r="C56" s="11" t="s">
        <v>4837</v>
      </c>
      <c r="D56" s="12" t="s">
        <v>31</v>
      </c>
      <c r="E56" s="13" t="s">
        <v>4838</v>
      </c>
      <c r="F56" s="12">
        <v>19.0</v>
      </c>
      <c r="G56" s="12">
        <v>2006.0</v>
      </c>
      <c r="H56" s="15">
        <v>10.7</v>
      </c>
      <c r="I56" s="17">
        <v>0.19</v>
      </c>
      <c r="J56" s="19">
        <v>0.0</v>
      </c>
      <c r="K56" s="19">
        <v>0.0</v>
      </c>
      <c r="L56" s="18">
        <v>2.24</v>
      </c>
      <c r="M56" s="18">
        <v>0.65</v>
      </c>
      <c r="N56" s="18">
        <v>0.28</v>
      </c>
      <c r="O56" s="18">
        <v>1.78</v>
      </c>
      <c r="P56" s="18">
        <v>0.28</v>
      </c>
      <c r="Q56" s="18">
        <v>1.31</v>
      </c>
      <c r="R56" s="36"/>
      <c r="S56" s="36"/>
      <c r="T56" s="19">
        <v>0.0</v>
      </c>
      <c r="U56" s="20" t="s">
        <v>4839</v>
      </c>
    </row>
    <row r="57">
      <c r="A57" s="50">
        <v>53.0</v>
      </c>
      <c r="B57" s="13" t="s">
        <v>4840</v>
      </c>
      <c r="C57" s="11" t="s">
        <v>4841</v>
      </c>
      <c r="D57" s="12" t="s">
        <v>41</v>
      </c>
      <c r="E57" s="13" t="s">
        <v>4842</v>
      </c>
      <c r="F57" s="12">
        <v>27.0</v>
      </c>
      <c r="G57" s="12">
        <v>1998.0</v>
      </c>
      <c r="H57" s="15">
        <v>17.4</v>
      </c>
      <c r="I57" s="17">
        <v>0.17</v>
      </c>
      <c r="J57" s="19">
        <v>0.0</v>
      </c>
      <c r="K57" s="19">
        <v>0.0</v>
      </c>
      <c r="L57" s="18">
        <v>1.84</v>
      </c>
      <c r="M57" s="18">
        <v>0.69</v>
      </c>
      <c r="N57" s="18">
        <v>0.52</v>
      </c>
      <c r="O57" s="18">
        <v>0.11</v>
      </c>
      <c r="P57" s="18">
        <v>0.06</v>
      </c>
      <c r="Q57" s="18">
        <v>0.29</v>
      </c>
      <c r="R57" s="36"/>
      <c r="S57" s="36"/>
      <c r="T57" s="19">
        <v>0.0</v>
      </c>
      <c r="U57" s="20" t="s">
        <v>4843</v>
      </c>
    </row>
    <row r="58">
      <c r="A58" s="50">
        <v>54.0</v>
      </c>
      <c r="B58" s="13" t="s">
        <v>4844</v>
      </c>
      <c r="C58" s="11" t="s">
        <v>4845</v>
      </c>
      <c r="D58" s="12" t="s">
        <v>36</v>
      </c>
      <c r="E58" s="13" t="s">
        <v>4846</v>
      </c>
      <c r="F58" s="12">
        <v>26.0</v>
      </c>
      <c r="G58" s="12">
        <v>1999.0</v>
      </c>
      <c r="H58" s="15">
        <v>21.0</v>
      </c>
      <c r="I58" s="17">
        <v>0.19</v>
      </c>
      <c r="J58" s="19">
        <v>0.0</v>
      </c>
      <c r="K58" s="19">
        <v>0.0</v>
      </c>
      <c r="L58" s="18">
        <v>0.9</v>
      </c>
      <c r="M58" s="18">
        <v>0.48</v>
      </c>
      <c r="N58" s="19">
        <v>0.0</v>
      </c>
      <c r="O58" s="18">
        <v>0.05</v>
      </c>
      <c r="P58" s="18">
        <v>1.05</v>
      </c>
      <c r="Q58" s="18">
        <v>0.62</v>
      </c>
      <c r="R58" s="36"/>
      <c r="S58" s="36"/>
      <c r="T58" s="19">
        <v>0.0</v>
      </c>
      <c r="U58" s="20" t="s">
        <v>4847</v>
      </c>
    </row>
    <row r="59">
      <c r="A59" s="50">
        <v>55.0</v>
      </c>
      <c r="B59" s="13" t="s">
        <v>4848</v>
      </c>
      <c r="C59" s="11" t="s">
        <v>4849</v>
      </c>
      <c r="D59" s="12" t="s">
        <v>31</v>
      </c>
      <c r="E59" s="13" t="s">
        <v>4850</v>
      </c>
      <c r="F59" s="12">
        <v>28.0</v>
      </c>
      <c r="G59" s="12">
        <v>1996.0</v>
      </c>
      <c r="H59" s="15">
        <v>6.7</v>
      </c>
      <c r="I59" s="17">
        <v>0.6</v>
      </c>
      <c r="J59" s="19">
        <v>0.0</v>
      </c>
      <c r="K59" s="19">
        <v>0.0</v>
      </c>
      <c r="L59" s="18">
        <v>1.19</v>
      </c>
      <c r="M59" s="18">
        <v>0.9</v>
      </c>
      <c r="N59" s="19">
        <v>0.0</v>
      </c>
      <c r="O59" s="18">
        <v>0.15</v>
      </c>
      <c r="P59" s="18">
        <v>1.19</v>
      </c>
      <c r="Q59" s="18">
        <v>1.64</v>
      </c>
      <c r="R59" s="36"/>
      <c r="S59" s="36"/>
      <c r="T59" s="19">
        <v>0.0</v>
      </c>
      <c r="U59" s="20" t="s">
        <v>4851</v>
      </c>
    </row>
    <row r="60">
      <c r="A60" s="50">
        <v>56.0</v>
      </c>
      <c r="B60" s="13" t="s">
        <v>4852</v>
      </c>
      <c r="C60" s="11" t="s">
        <v>4853</v>
      </c>
      <c r="D60" s="12" t="s">
        <v>98</v>
      </c>
      <c r="E60" s="13" t="s">
        <v>4854</v>
      </c>
      <c r="F60" s="12">
        <v>34.0</v>
      </c>
      <c r="G60" s="12">
        <v>1991.0</v>
      </c>
      <c r="H60" s="15">
        <v>6.5</v>
      </c>
      <c r="I60" s="17">
        <v>0.31</v>
      </c>
      <c r="J60" s="19">
        <v>0.0</v>
      </c>
      <c r="K60" s="19">
        <v>0.0</v>
      </c>
      <c r="L60" s="18">
        <v>0.15</v>
      </c>
      <c r="M60" s="18">
        <v>0.15</v>
      </c>
      <c r="N60" s="19">
        <v>0.0</v>
      </c>
      <c r="O60" s="19">
        <v>0.0</v>
      </c>
      <c r="P60" s="19">
        <v>0.0</v>
      </c>
      <c r="Q60" s="19">
        <v>0.0</v>
      </c>
      <c r="R60" s="36"/>
      <c r="S60" s="36"/>
      <c r="T60" s="19">
        <v>0.0</v>
      </c>
      <c r="U60" s="20" t="s">
        <v>4855</v>
      </c>
    </row>
    <row r="61">
      <c r="A61" s="50">
        <v>57.0</v>
      </c>
      <c r="B61" s="13" t="s">
        <v>4856</v>
      </c>
      <c r="C61" s="11" t="s">
        <v>4857</v>
      </c>
      <c r="D61" s="12" t="s">
        <v>26</v>
      </c>
      <c r="E61" s="13" t="s">
        <v>4858</v>
      </c>
      <c r="F61" s="12">
        <v>22.0</v>
      </c>
      <c r="G61" s="12">
        <v>2003.0</v>
      </c>
      <c r="H61" s="15">
        <v>5.2</v>
      </c>
      <c r="I61" s="17">
        <v>0.19</v>
      </c>
      <c r="J61" s="19">
        <v>0.0</v>
      </c>
      <c r="K61" s="19">
        <v>0.0</v>
      </c>
      <c r="L61" s="18">
        <v>0.96</v>
      </c>
      <c r="M61" s="18">
        <v>1.73</v>
      </c>
      <c r="N61" s="19">
        <v>0.0</v>
      </c>
      <c r="O61" s="18">
        <v>0.96</v>
      </c>
      <c r="P61" s="18">
        <v>0.58</v>
      </c>
      <c r="Q61" s="18">
        <v>0.96</v>
      </c>
      <c r="R61" s="36"/>
      <c r="S61" s="36"/>
      <c r="T61" s="19">
        <v>0.0</v>
      </c>
      <c r="U61" s="20" t="s">
        <v>4859</v>
      </c>
    </row>
    <row r="62">
      <c r="A62" s="50">
        <v>58.0</v>
      </c>
      <c r="B62" s="13" t="s">
        <v>4860</v>
      </c>
      <c r="C62" s="11" t="s">
        <v>4861</v>
      </c>
      <c r="D62" s="12" t="s">
        <v>31</v>
      </c>
      <c r="E62" s="13" t="s">
        <v>4862</v>
      </c>
      <c r="F62" s="12">
        <v>22.0</v>
      </c>
      <c r="G62" s="12">
        <v>2003.0</v>
      </c>
      <c r="H62" s="15">
        <v>6.3</v>
      </c>
      <c r="I62" s="22">
        <v>0.0</v>
      </c>
      <c r="J62" s="19">
        <v>0.0</v>
      </c>
      <c r="K62" s="19">
        <v>0.0</v>
      </c>
      <c r="L62" s="18">
        <v>0.63</v>
      </c>
      <c r="M62" s="18">
        <v>1.27</v>
      </c>
      <c r="N62" s="19">
        <v>0.0</v>
      </c>
      <c r="O62" s="18">
        <v>1.43</v>
      </c>
      <c r="P62" s="18">
        <v>0.95</v>
      </c>
      <c r="Q62" s="18">
        <v>1.11</v>
      </c>
      <c r="R62" s="36"/>
      <c r="S62" s="36"/>
      <c r="T62" s="19">
        <v>0.0</v>
      </c>
      <c r="U62" s="20" t="s">
        <v>4863</v>
      </c>
    </row>
    <row r="63">
      <c r="A63" s="50">
        <v>59.0</v>
      </c>
      <c r="B63" s="13" t="s">
        <v>4864</v>
      </c>
      <c r="C63" s="11" t="s">
        <v>4865</v>
      </c>
      <c r="D63" s="12" t="s">
        <v>264</v>
      </c>
      <c r="E63" s="13" t="s">
        <v>4866</v>
      </c>
      <c r="F63" s="12">
        <v>21.0</v>
      </c>
      <c r="G63" s="12">
        <v>2004.0</v>
      </c>
      <c r="H63" s="15">
        <v>11.7</v>
      </c>
      <c r="I63" s="17">
        <v>0.43</v>
      </c>
      <c r="J63" s="19">
        <v>0.0</v>
      </c>
      <c r="K63" s="19">
        <v>0.0</v>
      </c>
      <c r="L63" s="18">
        <v>1.45</v>
      </c>
      <c r="M63" s="18">
        <v>1.71</v>
      </c>
      <c r="N63" s="19">
        <v>0.0</v>
      </c>
      <c r="O63" s="18">
        <v>0.17</v>
      </c>
      <c r="P63" s="18">
        <v>0.34</v>
      </c>
      <c r="Q63" s="18">
        <v>1.62</v>
      </c>
      <c r="R63" s="36"/>
      <c r="S63" s="36"/>
      <c r="T63" s="19">
        <v>0.0</v>
      </c>
      <c r="U63" s="20" t="s">
        <v>4867</v>
      </c>
    </row>
    <row r="64">
      <c r="A64" s="50">
        <v>60.0</v>
      </c>
      <c r="B64" s="13" t="s">
        <v>4868</v>
      </c>
      <c r="C64" s="11" t="s">
        <v>4869</v>
      </c>
      <c r="D64" s="12" t="s">
        <v>264</v>
      </c>
      <c r="E64" s="13" t="s">
        <v>4870</v>
      </c>
      <c r="F64" s="12">
        <v>25.0</v>
      </c>
      <c r="G64" s="12">
        <v>2000.0</v>
      </c>
      <c r="H64" s="15">
        <v>31.0</v>
      </c>
      <c r="I64" s="17">
        <v>0.19</v>
      </c>
      <c r="J64" s="19">
        <v>0.0</v>
      </c>
      <c r="K64" s="19">
        <v>0.0</v>
      </c>
      <c r="L64" s="18">
        <v>1.26</v>
      </c>
      <c r="M64" s="18">
        <v>0.94</v>
      </c>
      <c r="N64" s="18">
        <v>0.32</v>
      </c>
      <c r="O64" s="18">
        <v>2.16</v>
      </c>
      <c r="P64" s="18">
        <v>0.97</v>
      </c>
      <c r="Q64" s="18">
        <v>1.39</v>
      </c>
      <c r="R64" s="36"/>
      <c r="S64" s="36"/>
      <c r="T64" s="19">
        <v>0.0</v>
      </c>
      <c r="U64" s="20" t="s">
        <v>4871</v>
      </c>
    </row>
    <row r="65">
      <c r="A65" s="50">
        <v>61.0</v>
      </c>
      <c r="B65" s="13" t="s">
        <v>4872</v>
      </c>
      <c r="C65" s="11" t="s">
        <v>4873</v>
      </c>
      <c r="D65" s="12" t="s">
        <v>36</v>
      </c>
      <c r="E65" s="13" t="s">
        <v>4874</v>
      </c>
      <c r="F65" s="12">
        <v>26.0</v>
      </c>
      <c r="G65" s="12">
        <v>1999.0</v>
      </c>
      <c r="H65" s="15">
        <v>4.8</v>
      </c>
      <c r="I65" s="17">
        <v>0.21</v>
      </c>
      <c r="J65" s="19">
        <v>0.0</v>
      </c>
      <c r="K65" s="19">
        <v>0.0</v>
      </c>
      <c r="L65" s="18">
        <v>1.46</v>
      </c>
      <c r="M65" s="19">
        <v>0.0</v>
      </c>
      <c r="N65" s="18">
        <v>0.21</v>
      </c>
      <c r="O65" s="18">
        <v>0.21</v>
      </c>
      <c r="P65" s="18">
        <v>1.46</v>
      </c>
      <c r="Q65" s="18">
        <v>0.83</v>
      </c>
      <c r="R65" s="36"/>
      <c r="S65" s="36"/>
      <c r="T65" s="19">
        <v>0.0</v>
      </c>
      <c r="U65" s="20" t="s">
        <v>4875</v>
      </c>
    </row>
    <row r="66">
      <c r="A66" s="50">
        <v>62.0</v>
      </c>
      <c r="B66" s="13" t="s">
        <v>4876</v>
      </c>
      <c r="C66" s="11" t="s">
        <v>4877</v>
      </c>
      <c r="D66" s="12" t="s">
        <v>36</v>
      </c>
      <c r="E66" s="13" t="s">
        <v>4878</v>
      </c>
      <c r="F66" s="12">
        <v>27.0</v>
      </c>
      <c r="G66" s="12">
        <v>1997.0</v>
      </c>
      <c r="H66" s="15">
        <v>8.9</v>
      </c>
      <c r="I66" s="17">
        <v>0.22</v>
      </c>
      <c r="J66" s="19">
        <v>0.0</v>
      </c>
      <c r="K66" s="19">
        <v>0.0</v>
      </c>
      <c r="L66" s="18">
        <v>0.79</v>
      </c>
      <c r="M66" s="18">
        <v>1.12</v>
      </c>
      <c r="N66" s="19">
        <v>0.0</v>
      </c>
      <c r="O66" s="18">
        <v>1.69</v>
      </c>
      <c r="P66" s="18">
        <v>1.8</v>
      </c>
      <c r="Q66" s="18">
        <v>1.24</v>
      </c>
      <c r="R66" s="36"/>
      <c r="S66" s="36"/>
      <c r="T66" s="19">
        <v>0.0</v>
      </c>
      <c r="U66" s="20" t="s">
        <v>4879</v>
      </c>
    </row>
    <row r="67">
      <c r="A67" s="50">
        <v>63.0</v>
      </c>
      <c r="B67" s="13" t="s">
        <v>4880</v>
      </c>
      <c r="C67" s="11" t="s">
        <v>4881</v>
      </c>
      <c r="D67" s="12" t="s">
        <v>36</v>
      </c>
      <c r="E67" s="13" t="s">
        <v>4882</v>
      </c>
      <c r="F67" s="12">
        <v>25.0</v>
      </c>
      <c r="G67" s="12">
        <v>2000.0</v>
      </c>
      <c r="H67" s="15">
        <v>20.4</v>
      </c>
      <c r="I67" s="17">
        <v>0.1</v>
      </c>
      <c r="J67" s="19">
        <v>0.0</v>
      </c>
      <c r="K67" s="19">
        <v>0.0</v>
      </c>
      <c r="L67" s="18">
        <v>0.64</v>
      </c>
      <c r="M67" s="18">
        <v>0.93</v>
      </c>
      <c r="N67" s="18">
        <v>0.05</v>
      </c>
      <c r="O67" s="18">
        <v>0.1</v>
      </c>
      <c r="P67" s="18">
        <v>1.23</v>
      </c>
      <c r="Q67" s="18">
        <v>0.69</v>
      </c>
      <c r="R67" s="36"/>
      <c r="S67" s="36"/>
      <c r="T67" s="18">
        <v>0.05</v>
      </c>
      <c r="U67" s="20" t="s">
        <v>4883</v>
      </c>
    </row>
    <row r="68">
      <c r="A68" s="50">
        <v>64.0</v>
      </c>
      <c r="B68" s="13" t="s">
        <v>4884</v>
      </c>
      <c r="C68" s="11" t="s">
        <v>4885</v>
      </c>
      <c r="D68" s="12" t="s">
        <v>26</v>
      </c>
      <c r="E68" s="13" t="s">
        <v>4886</v>
      </c>
      <c r="F68" s="12">
        <v>28.0</v>
      </c>
      <c r="G68" s="12">
        <v>1996.0</v>
      </c>
      <c r="H68" s="15">
        <v>37.8</v>
      </c>
      <c r="I68" s="17">
        <v>0.11</v>
      </c>
      <c r="J68" s="19">
        <v>0.0</v>
      </c>
      <c r="K68" s="19">
        <v>0.0</v>
      </c>
      <c r="L68" s="18">
        <v>0.5</v>
      </c>
      <c r="M68" s="18">
        <v>1.3</v>
      </c>
      <c r="N68" s="18">
        <v>0.45</v>
      </c>
      <c r="O68" s="18">
        <v>3.92</v>
      </c>
      <c r="P68" s="18">
        <v>0.71</v>
      </c>
      <c r="Q68" s="18">
        <v>0.74</v>
      </c>
      <c r="R68" s="36"/>
      <c r="S68" s="36"/>
      <c r="T68" s="19">
        <v>0.0</v>
      </c>
      <c r="U68" s="20" t="s">
        <v>4887</v>
      </c>
    </row>
    <row r="69">
      <c r="A69" s="50">
        <v>65.0</v>
      </c>
      <c r="B69" s="13" t="s">
        <v>4888</v>
      </c>
      <c r="C69" s="11" t="s">
        <v>4889</v>
      </c>
      <c r="D69" s="12" t="s">
        <v>36</v>
      </c>
      <c r="E69" s="13" t="s">
        <v>4890</v>
      </c>
      <c r="F69" s="12">
        <v>22.0</v>
      </c>
      <c r="G69" s="12">
        <v>2003.0</v>
      </c>
      <c r="H69" s="15">
        <v>10.3</v>
      </c>
      <c r="I69" s="17">
        <v>0.49</v>
      </c>
      <c r="J69" s="19">
        <v>0.0</v>
      </c>
      <c r="K69" s="19">
        <v>0.0</v>
      </c>
      <c r="L69" s="18">
        <v>1.75</v>
      </c>
      <c r="M69" s="18">
        <v>1.94</v>
      </c>
      <c r="N69" s="18">
        <v>0.1</v>
      </c>
      <c r="O69" s="18">
        <v>2.23</v>
      </c>
      <c r="P69" s="18">
        <v>1.17</v>
      </c>
      <c r="Q69" s="18">
        <v>1.46</v>
      </c>
      <c r="R69" s="36"/>
      <c r="S69" s="36"/>
      <c r="T69" s="19">
        <v>0.0</v>
      </c>
      <c r="U69" s="20" t="s">
        <v>4891</v>
      </c>
    </row>
    <row r="70">
      <c r="A70" s="50">
        <v>66.0</v>
      </c>
      <c r="B70" s="13" t="s">
        <v>4892</v>
      </c>
      <c r="C70" s="11" t="s">
        <v>4893</v>
      </c>
      <c r="D70" s="12" t="s">
        <v>36</v>
      </c>
      <c r="E70" s="13" t="s">
        <v>4894</v>
      </c>
      <c r="F70" s="12">
        <v>23.0</v>
      </c>
      <c r="G70" s="12">
        <v>2002.0</v>
      </c>
      <c r="H70" s="15">
        <v>7.6</v>
      </c>
      <c r="I70" s="17">
        <v>0.13</v>
      </c>
      <c r="J70" s="19">
        <v>0.0</v>
      </c>
      <c r="K70" s="19">
        <v>0.0</v>
      </c>
      <c r="L70" s="18">
        <v>0.39</v>
      </c>
      <c r="M70" s="18">
        <v>0.13</v>
      </c>
      <c r="N70" s="18">
        <v>0.13</v>
      </c>
      <c r="O70" s="18">
        <v>0.39</v>
      </c>
      <c r="P70" s="18">
        <v>1.45</v>
      </c>
      <c r="Q70" s="18">
        <v>0.79</v>
      </c>
      <c r="R70" s="36"/>
      <c r="S70" s="36"/>
      <c r="T70" s="19">
        <v>0.0</v>
      </c>
      <c r="U70" s="20" t="s">
        <v>4895</v>
      </c>
    </row>
    <row r="71">
      <c r="A71" s="50">
        <v>67.0</v>
      </c>
      <c r="B71" s="13" t="s">
        <v>4896</v>
      </c>
      <c r="C71" s="11" t="s">
        <v>4897</v>
      </c>
      <c r="D71" s="12" t="s">
        <v>41</v>
      </c>
      <c r="E71" s="13" t="s">
        <v>4898</v>
      </c>
      <c r="F71" s="12">
        <v>23.0</v>
      </c>
      <c r="G71" s="12">
        <v>2002.0</v>
      </c>
      <c r="H71" s="15">
        <v>21.4</v>
      </c>
      <c r="I71" s="17">
        <v>0.28</v>
      </c>
      <c r="J71" s="19">
        <v>0.0</v>
      </c>
      <c r="K71" s="19">
        <v>0.0</v>
      </c>
      <c r="L71" s="18">
        <v>1.54</v>
      </c>
      <c r="M71" s="18">
        <v>1.73</v>
      </c>
      <c r="N71" s="18">
        <v>0.37</v>
      </c>
      <c r="O71" s="18">
        <v>0.09</v>
      </c>
      <c r="P71" s="19">
        <v>0.0</v>
      </c>
      <c r="Q71" s="18">
        <v>0.09</v>
      </c>
      <c r="R71" s="36"/>
      <c r="S71" s="36"/>
      <c r="T71" s="19">
        <v>0.0</v>
      </c>
      <c r="U71" s="20" t="s">
        <v>4899</v>
      </c>
    </row>
    <row r="72">
      <c r="A72" s="50">
        <v>68.0</v>
      </c>
      <c r="B72" s="13" t="s">
        <v>4900</v>
      </c>
      <c r="C72" s="11" t="s">
        <v>4901</v>
      </c>
      <c r="D72" s="12" t="s">
        <v>41</v>
      </c>
      <c r="E72" s="13" t="s">
        <v>4902</v>
      </c>
      <c r="F72" s="12">
        <v>23.0</v>
      </c>
      <c r="G72" s="12">
        <v>2001.0</v>
      </c>
      <c r="H72" s="15">
        <v>9.6</v>
      </c>
      <c r="I72" s="22">
        <v>0.0</v>
      </c>
      <c r="J72" s="19">
        <v>0.0</v>
      </c>
      <c r="K72" s="19">
        <v>0.0</v>
      </c>
      <c r="L72" s="18">
        <v>1.46</v>
      </c>
      <c r="M72" s="18">
        <v>1.67</v>
      </c>
      <c r="N72" s="18">
        <v>0.63</v>
      </c>
      <c r="O72" s="18">
        <v>0.31</v>
      </c>
      <c r="P72" s="18">
        <v>0.31</v>
      </c>
      <c r="Q72" s="18">
        <v>0.31</v>
      </c>
      <c r="R72" s="36"/>
      <c r="S72" s="36"/>
      <c r="T72" s="19">
        <v>0.0</v>
      </c>
      <c r="U72" s="20" t="s">
        <v>4903</v>
      </c>
    </row>
    <row r="73">
      <c r="A73" s="50">
        <v>69.0</v>
      </c>
      <c r="B73" s="13" t="s">
        <v>4904</v>
      </c>
      <c r="C73" s="11" t="s">
        <v>4905</v>
      </c>
      <c r="D73" s="12" t="s">
        <v>31</v>
      </c>
      <c r="E73" s="13" t="s">
        <v>4906</v>
      </c>
      <c r="F73" s="12">
        <v>28.0</v>
      </c>
      <c r="G73" s="12">
        <v>1997.0</v>
      </c>
      <c r="H73" s="15">
        <v>13.4</v>
      </c>
      <c r="I73" s="17">
        <v>0.52</v>
      </c>
      <c r="J73" s="19">
        <v>0.0</v>
      </c>
      <c r="K73" s="19">
        <v>0.0</v>
      </c>
      <c r="L73" s="18">
        <v>0.82</v>
      </c>
      <c r="M73" s="18">
        <v>0.97</v>
      </c>
      <c r="N73" s="18">
        <v>0.15</v>
      </c>
      <c r="O73" s="18">
        <v>4.4</v>
      </c>
      <c r="P73" s="18">
        <v>0.3</v>
      </c>
      <c r="Q73" s="18">
        <v>0.97</v>
      </c>
      <c r="R73" s="36"/>
      <c r="S73" s="36"/>
      <c r="T73" s="19">
        <v>0.0</v>
      </c>
      <c r="U73" s="20" t="s">
        <v>4907</v>
      </c>
    </row>
    <row r="74">
      <c r="A74" s="50">
        <v>70.0</v>
      </c>
      <c r="B74" s="13" t="s">
        <v>4908</v>
      </c>
      <c r="C74" s="11" t="s">
        <v>4909</v>
      </c>
      <c r="D74" s="12" t="s">
        <v>26</v>
      </c>
      <c r="E74" s="13" t="s">
        <v>4910</v>
      </c>
      <c r="F74" s="12">
        <v>26.0</v>
      </c>
      <c r="G74" s="12">
        <v>1998.0</v>
      </c>
      <c r="H74" s="15">
        <v>11.4</v>
      </c>
      <c r="I74" s="22">
        <v>0.0</v>
      </c>
      <c r="J74" s="19">
        <v>0.0</v>
      </c>
      <c r="K74" s="19">
        <v>0.0</v>
      </c>
      <c r="L74" s="18">
        <v>0.09</v>
      </c>
      <c r="M74" s="19">
        <v>0.0</v>
      </c>
      <c r="N74" s="18">
        <v>0.35</v>
      </c>
      <c r="O74" s="18">
        <v>3.68</v>
      </c>
      <c r="P74" s="18">
        <v>0.53</v>
      </c>
      <c r="Q74" s="18">
        <v>0.26</v>
      </c>
      <c r="R74" s="36"/>
      <c r="S74" s="36"/>
      <c r="T74" s="19">
        <v>0.0</v>
      </c>
      <c r="U74" s="20" t="s">
        <v>4911</v>
      </c>
    </row>
    <row r="75">
      <c r="A75" s="50">
        <v>71.0</v>
      </c>
      <c r="B75" s="13" t="s">
        <v>4912</v>
      </c>
      <c r="C75" s="11" t="s">
        <v>4913</v>
      </c>
      <c r="D75" s="12" t="s">
        <v>31</v>
      </c>
      <c r="E75" s="13" t="s">
        <v>4914</v>
      </c>
      <c r="F75" s="12">
        <v>28.0</v>
      </c>
      <c r="G75" s="12">
        <v>1996.0</v>
      </c>
      <c r="H75" s="15">
        <v>19.5</v>
      </c>
      <c r="I75" s="17">
        <v>0.31</v>
      </c>
      <c r="J75" s="19">
        <v>0.0</v>
      </c>
      <c r="K75" s="19">
        <v>0.0</v>
      </c>
      <c r="L75" s="18">
        <v>2.1</v>
      </c>
      <c r="M75" s="18">
        <v>2.31</v>
      </c>
      <c r="N75" s="18">
        <v>0.05</v>
      </c>
      <c r="O75" s="18">
        <v>0.51</v>
      </c>
      <c r="P75" s="18">
        <v>0.67</v>
      </c>
      <c r="Q75" s="18">
        <v>1.38</v>
      </c>
      <c r="R75" s="36"/>
      <c r="S75" s="36"/>
      <c r="T75" s="19">
        <v>0.0</v>
      </c>
      <c r="U75" s="20" t="s">
        <v>4915</v>
      </c>
    </row>
    <row r="76">
      <c r="A76" s="50">
        <v>72.0</v>
      </c>
      <c r="B76" s="13" t="s">
        <v>4916</v>
      </c>
      <c r="C76" s="11" t="s">
        <v>4917</v>
      </c>
      <c r="D76" s="12" t="s">
        <v>264</v>
      </c>
      <c r="E76" s="13" t="s">
        <v>4918</v>
      </c>
      <c r="F76" s="12">
        <v>22.0</v>
      </c>
      <c r="G76" s="12">
        <v>2002.0</v>
      </c>
      <c r="H76" s="15">
        <v>26.3</v>
      </c>
      <c r="I76" s="17">
        <v>0.11</v>
      </c>
      <c r="J76" s="19">
        <v>0.0</v>
      </c>
      <c r="K76" s="19">
        <v>0.0</v>
      </c>
      <c r="L76" s="18">
        <v>0.65</v>
      </c>
      <c r="M76" s="18">
        <v>0.91</v>
      </c>
      <c r="N76" s="18">
        <v>0.11</v>
      </c>
      <c r="O76" s="18">
        <v>6.31</v>
      </c>
      <c r="P76" s="18">
        <v>1.25</v>
      </c>
      <c r="Q76" s="18">
        <v>1.33</v>
      </c>
      <c r="R76" s="36"/>
      <c r="S76" s="36"/>
      <c r="T76" s="19">
        <v>0.0</v>
      </c>
      <c r="U76" s="20" t="s">
        <v>4919</v>
      </c>
    </row>
    <row r="77">
      <c r="A77" s="50">
        <v>73.0</v>
      </c>
      <c r="B77" s="13" t="s">
        <v>4920</v>
      </c>
      <c r="C77" s="11" t="s">
        <v>4921</v>
      </c>
      <c r="D77" s="12" t="s">
        <v>36</v>
      </c>
      <c r="E77" s="13" t="s">
        <v>4922</v>
      </c>
      <c r="F77" s="12">
        <v>26.0</v>
      </c>
      <c r="G77" s="12">
        <v>1998.0</v>
      </c>
      <c r="H77" s="15">
        <v>28.4</v>
      </c>
      <c r="I77" s="17">
        <v>0.14</v>
      </c>
      <c r="J77" s="19">
        <v>0.0</v>
      </c>
      <c r="K77" s="19">
        <v>0.0</v>
      </c>
      <c r="L77" s="18">
        <v>1.02</v>
      </c>
      <c r="M77" s="18">
        <v>0.39</v>
      </c>
      <c r="N77" s="18">
        <v>0.07</v>
      </c>
      <c r="O77" s="18">
        <v>0.21</v>
      </c>
      <c r="P77" s="18">
        <v>0.95</v>
      </c>
      <c r="Q77" s="18">
        <v>1.06</v>
      </c>
      <c r="R77" s="36"/>
      <c r="S77" s="36"/>
      <c r="T77" s="19">
        <v>0.0</v>
      </c>
      <c r="U77" s="20" t="s">
        <v>4923</v>
      </c>
    </row>
    <row r="78">
      <c r="A78" s="50">
        <v>74.0</v>
      </c>
      <c r="B78" s="13" t="s">
        <v>4924</v>
      </c>
      <c r="C78" s="11" t="s">
        <v>4925</v>
      </c>
      <c r="D78" s="12" t="s">
        <v>31</v>
      </c>
      <c r="E78" s="13" t="s">
        <v>4926</v>
      </c>
      <c r="F78" s="12">
        <v>20.0</v>
      </c>
      <c r="G78" s="12">
        <v>2004.0</v>
      </c>
      <c r="H78" s="15">
        <v>0.5</v>
      </c>
      <c r="I78" s="22">
        <v>0.0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36"/>
      <c r="S78" s="36"/>
      <c r="T78" s="19">
        <v>0.0</v>
      </c>
      <c r="U78" s="20" t="s">
        <v>4927</v>
      </c>
    </row>
    <row r="79">
      <c r="A79" s="50">
        <v>75.0</v>
      </c>
      <c r="B79" s="13" t="s">
        <v>4928</v>
      </c>
      <c r="C79" s="11" t="s">
        <v>4929</v>
      </c>
      <c r="D79" s="12" t="s">
        <v>31</v>
      </c>
      <c r="E79" s="13" t="s">
        <v>4930</v>
      </c>
      <c r="F79" s="12">
        <v>20.0</v>
      </c>
      <c r="G79" s="12">
        <v>2004.0</v>
      </c>
      <c r="H79" s="15">
        <v>0.4</v>
      </c>
      <c r="I79" s="17">
        <v>2.5</v>
      </c>
      <c r="J79" s="19">
        <v>0.0</v>
      </c>
      <c r="K79" s="19">
        <v>0.0</v>
      </c>
      <c r="L79" s="18">
        <v>2.5</v>
      </c>
      <c r="M79" s="19">
        <v>0.0</v>
      </c>
      <c r="N79" s="19">
        <v>0.0</v>
      </c>
      <c r="O79" s="18">
        <v>5.0</v>
      </c>
      <c r="P79" s="18">
        <v>2.5</v>
      </c>
      <c r="Q79" s="19">
        <v>0.0</v>
      </c>
      <c r="R79" s="36"/>
      <c r="S79" s="36"/>
      <c r="T79" s="19">
        <v>0.0</v>
      </c>
      <c r="U79" s="20" t="s">
        <v>4931</v>
      </c>
    </row>
    <row r="80">
      <c r="A80" s="37" t="s">
        <v>3</v>
      </c>
      <c r="B80" s="51" t="s">
        <v>4</v>
      </c>
      <c r="C80" s="39" t="s">
        <v>5</v>
      </c>
      <c r="D80" s="39" t="s">
        <v>6</v>
      </c>
      <c r="E80" s="39" t="s">
        <v>7</v>
      </c>
      <c r="F80" s="39" t="s">
        <v>8</v>
      </c>
      <c r="G80" s="39" t="s">
        <v>9</v>
      </c>
      <c r="H80" s="39" t="s">
        <v>13</v>
      </c>
      <c r="I80" s="40" t="s">
        <v>20</v>
      </c>
      <c r="J80" s="39" t="s">
        <v>21</v>
      </c>
      <c r="K80" s="39" t="s">
        <v>4622</v>
      </c>
      <c r="L80" s="39" t="s">
        <v>4623</v>
      </c>
      <c r="M80" s="39" t="s">
        <v>4624</v>
      </c>
      <c r="N80" s="39" t="s">
        <v>4625</v>
      </c>
      <c r="O80" s="39" t="s">
        <v>4626</v>
      </c>
      <c r="P80" s="39" t="s">
        <v>4627</v>
      </c>
      <c r="Q80" s="39" t="s">
        <v>4628</v>
      </c>
      <c r="R80" s="39" t="s">
        <v>4629</v>
      </c>
      <c r="S80" s="39" t="s">
        <v>4630</v>
      </c>
      <c r="T80" s="39" t="s">
        <v>4631</v>
      </c>
      <c r="U80" s="40" t="s">
        <v>23</v>
      </c>
    </row>
    <row r="81">
      <c r="A81" s="50">
        <v>76.0</v>
      </c>
      <c r="B81" s="13" t="s">
        <v>4932</v>
      </c>
      <c r="C81" s="11" t="s">
        <v>4933</v>
      </c>
      <c r="D81" s="12" t="s">
        <v>36</v>
      </c>
      <c r="E81" s="13" t="s">
        <v>4934</v>
      </c>
      <c r="F81" s="12">
        <v>33.0</v>
      </c>
      <c r="G81" s="12">
        <v>1992.0</v>
      </c>
      <c r="H81" s="15">
        <v>24.4</v>
      </c>
      <c r="I81" s="17">
        <v>0.45</v>
      </c>
      <c r="J81" s="18">
        <v>0.04</v>
      </c>
      <c r="K81" s="18">
        <v>0.04</v>
      </c>
      <c r="L81" s="18">
        <v>1.48</v>
      </c>
      <c r="M81" s="18">
        <v>0.53</v>
      </c>
      <c r="N81" s="18">
        <v>0.12</v>
      </c>
      <c r="O81" s="18">
        <v>0.57</v>
      </c>
      <c r="P81" s="18">
        <v>0.82</v>
      </c>
      <c r="Q81" s="18">
        <v>1.07</v>
      </c>
      <c r="R81" s="36"/>
      <c r="S81" s="36"/>
      <c r="T81" s="19">
        <v>0.0</v>
      </c>
      <c r="U81" s="20" t="s">
        <v>4935</v>
      </c>
    </row>
    <row r="82">
      <c r="A82" s="50">
        <v>77.0</v>
      </c>
      <c r="B82" s="13" t="s">
        <v>4936</v>
      </c>
      <c r="C82" s="11" t="s">
        <v>4937</v>
      </c>
      <c r="D82" s="12" t="s">
        <v>31</v>
      </c>
      <c r="E82" s="13" t="s">
        <v>4938</v>
      </c>
      <c r="F82" s="12">
        <v>17.0</v>
      </c>
      <c r="G82" s="12">
        <v>2008.0</v>
      </c>
      <c r="H82" s="15">
        <v>0.2</v>
      </c>
      <c r="I82" s="22">
        <v>0.0</v>
      </c>
      <c r="J82" s="19">
        <v>0.0</v>
      </c>
      <c r="K82" s="19">
        <v>0.0</v>
      </c>
      <c r="L82" s="19">
        <v>0.0</v>
      </c>
      <c r="M82" s="18">
        <v>5.0</v>
      </c>
      <c r="N82" s="19">
        <v>0.0</v>
      </c>
      <c r="O82" s="18">
        <v>15.0</v>
      </c>
      <c r="P82" s="19">
        <v>0.0</v>
      </c>
      <c r="Q82" s="19">
        <v>0.0</v>
      </c>
      <c r="R82" s="36"/>
      <c r="S82" s="36"/>
      <c r="T82" s="19">
        <v>0.0</v>
      </c>
      <c r="U82" s="20" t="s">
        <v>4939</v>
      </c>
    </row>
    <row r="83">
      <c r="A83" s="50">
        <v>78.0</v>
      </c>
      <c r="B83" s="13" t="s">
        <v>4940</v>
      </c>
      <c r="C83" s="11" t="s">
        <v>4941</v>
      </c>
      <c r="D83" s="12" t="s">
        <v>36</v>
      </c>
      <c r="E83" s="13" t="s">
        <v>4942</v>
      </c>
      <c r="F83" s="12">
        <v>16.0</v>
      </c>
      <c r="G83" s="12">
        <v>2008.0</v>
      </c>
      <c r="H83" s="21">
        <v>0.0</v>
      </c>
      <c r="I83" s="23">
        <v>0.0</v>
      </c>
      <c r="J83" s="21">
        <v>0.0</v>
      </c>
      <c r="K83" s="21">
        <v>0.0</v>
      </c>
      <c r="L83" s="21">
        <v>0.0</v>
      </c>
      <c r="M83" s="21">
        <v>0.0</v>
      </c>
      <c r="N83" s="21">
        <v>0.0</v>
      </c>
      <c r="O83" s="21">
        <v>0.0</v>
      </c>
      <c r="P83" s="21">
        <v>0.0</v>
      </c>
      <c r="Q83" s="21">
        <v>0.0</v>
      </c>
      <c r="R83" s="36"/>
      <c r="S83" s="36"/>
      <c r="T83" s="21">
        <v>0.0</v>
      </c>
      <c r="U83" s="20" t="s">
        <v>4943</v>
      </c>
    </row>
    <row r="84">
      <c r="A84" s="50">
        <v>79.0</v>
      </c>
      <c r="B84" s="13" t="s">
        <v>4944</v>
      </c>
      <c r="C84" s="11" t="s">
        <v>4945</v>
      </c>
      <c r="D84" s="12" t="s">
        <v>345</v>
      </c>
      <c r="E84" s="13" t="s">
        <v>4946</v>
      </c>
      <c r="F84" s="12">
        <v>31.0</v>
      </c>
      <c r="G84" s="12">
        <v>1993.0</v>
      </c>
      <c r="H84" s="15">
        <v>0.1</v>
      </c>
      <c r="I84" s="22">
        <v>0.0</v>
      </c>
      <c r="J84" s="19">
        <v>0.0</v>
      </c>
      <c r="K84" s="19">
        <v>0.0</v>
      </c>
      <c r="L84" s="18">
        <v>10.0</v>
      </c>
      <c r="M84" s="19">
        <v>0.0</v>
      </c>
      <c r="N84" s="18">
        <v>10.0</v>
      </c>
      <c r="O84" s="19">
        <v>0.0</v>
      </c>
      <c r="P84" s="19">
        <v>0.0</v>
      </c>
      <c r="Q84" s="18">
        <v>10.0</v>
      </c>
      <c r="R84" s="36"/>
      <c r="S84" s="36"/>
      <c r="T84" s="19">
        <v>0.0</v>
      </c>
      <c r="U84" s="20" t="s">
        <v>4947</v>
      </c>
    </row>
    <row r="85">
      <c r="A85" s="50">
        <v>80.0</v>
      </c>
      <c r="B85" s="13" t="s">
        <v>4948</v>
      </c>
      <c r="C85" s="11" t="s">
        <v>4949</v>
      </c>
      <c r="D85" s="12" t="s">
        <v>31</v>
      </c>
      <c r="E85" s="13" t="s">
        <v>4950</v>
      </c>
      <c r="F85" s="12">
        <v>23.0</v>
      </c>
      <c r="G85" s="12">
        <v>2001.0</v>
      </c>
      <c r="H85" s="15">
        <v>31.1</v>
      </c>
      <c r="I85" s="17">
        <v>0.35</v>
      </c>
      <c r="J85" s="18">
        <v>0.03</v>
      </c>
      <c r="K85" s="19">
        <v>0.0</v>
      </c>
      <c r="L85" s="18">
        <v>1.74</v>
      </c>
      <c r="M85" s="18">
        <v>1.77</v>
      </c>
      <c r="N85" s="19">
        <v>0.0</v>
      </c>
      <c r="O85" s="18">
        <v>0.26</v>
      </c>
      <c r="P85" s="18">
        <v>1.9</v>
      </c>
      <c r="Q85" s="18">
        <v>1.51</v>
      </c>
      <c r="R85" s="36"/>
      <c r="S85" s="36"/>
      <c r="T85" s="19">
        <v>0.0</v>
      </c>
      <c r="U85" s="20" t="s">
        <v>4951</v>
      </c>
    </row>
    <row r="86">
      <c r="A86" s="50">
        <v>81.0</v>
      </c>
      <c r="B86" s="13" t="s">
        <v>4952</v>
      </c>
      <c r="C86" s="11" t="s">
        <v>4953</v>
      </c>
      <c r="D86" s="12" t="s">
        <v>31</v>
      </c>
      <c r="E86" s="13" t="s">
        <v>4954</v>
      </c>
      <c r="F86" s="12">
        <v>34.0</v>
      </c>
      <c r="G86" s="12">
        <v>1991.0</v>
      </c>
      <c r="H86" s="15">
        <v>8.6</v>
      </c>
      <c r="I86" s="17">
        <v>0.35</v>
      </c>
      <c r="J86" s="19">
        <v>0.0</v>
      </c>
      <c r="K86" s="19">
        <v>0.0</v>
      </c>
      <c r="L86" s="18">
        <v>1.16</v>
      </c>
      <c r="M86" s="18">
        <v>1.28</v>
      </c>
      <c r="N86" s="19">
        <v>0.0</v>
      </c>
      <c r="O86" s="18">
        <v>0.7</v>
      </c>
      <c r="P86" s="18">
        <v>0.47</v>
      </c>
      <c r="Q86" s="18">
        <v>0.47</v>
      </c>
      <c r="R86" s="36"/>
      <c r="S86" s="36"/>
      <c r="T86" s="19">
        <v>0.0</v>
      </c>
      <c r="U86" s="20" t="s">
        <v>4955</v>
      </c>
    </row>
    <row r="87">
      <c r="A87" s="50">
        <v>82.0</v>
      </c>
      <c r="B87" s="13" t="s">
        <v>4956</v>
      </c>
      <c r="C87" s="11" t="s">
        <v>4957</v>
      </c>
      <c r="D87" s="12" t="s">
        <v>36</v>
      </c>
      <c r="E87" s="13" t="s">
        <v>4958</v>
      </c>
      <c r="F87" s="12">
        <v>23.0</v>
      </c>
      <c r="G87" s="12">
        <v>2002.0</v>
      </c>
      <c r="H87" s="15">
        <v>18.9</v>
      </c>
      <c r="I87" s="17">
        <v>0.26</v>
      </c>
      <c r="J87" s="19">
        <v>0.0</v>
      </c>
      <c r="K87" s="19">
        <v>0.0</v>
      </c>
      <c r="L87" s="18">
        <v>1.38</v>
      </c>
      <c r="M87" s="18">
        <v>0.53</v>
      </c>
      <c r="N87" s="18">
        <v>0.21</v>
      </c>
      <c r="O87" s="18">
        <v>1.11</v>
      </c>
      <c r="P87" s="18">
        <v>0.69</v>
      </c>
      <c r="Q87" s="18">
        <v>1.01</v>
      </c>
      <c r="R87" s="36"/>
      <c r="S87" s="36"/>
      <c r="T87" s="19">
        <v>0.0</v>
      </c>
      <c r="U87" s="20" t="s">
        <v>4959</v>
      </c>
    </row>
    <row r="88">
      <c r="A88" s="50">
        <v>83.0</v>
      </c>
      <c r="B88" s="13" t="s">
        <v>4960</v>
      </c>
      <c r="C88" s="11" t="s">
        <v>4961</v>
      </c>
      <c r="D88" s="12" t="s">
        <v>41</v>
      </c>
      <c r="E88" s="13" t="s">
        <v>4962</v>
      </c>
      <c r="F88" s="12">
        <v>28.0</v>
      </c>
      <c r="G88" s="12">
        <v>1997.0</v>
      </c>
      <c r="H88" s="15">
        <v>30.2</v>
      </c>
      <c r="I88" s="17">
        <v>0.1</v>
      </c>
      <c r="J88" s="19">
        <v>0.0</v>
      </c>
      <c r="K88" s="19">
        <v>0.0</v>
      </c>
      <c r="L88" s="18">
        <v>1.49</v>
      </c>
      <c r="M88" s="18">
        <v>1.23</v>
      </c>
      <c r="N88" s="18">
        <v>0.86</v>
      </c>
      <c r="O88" s="18">
        <v>0.3</v>
      </c>
      <c r="P88" s="18">
        <v>0.17</v>
      </c>
      <c r="Q88" s="18">
        <v>0.13</v>
      </c>
      <c r="R88" s="36"/>
      <c r="S88" s="36"/>
      <c r="T88" s="19">
        <v>0.0</v>
      </c>
      <c r="U88" s="20" t="s">
        <v>4963</v>
      </c>
    </row>
    <row r="89">
      <c r="A89" s="50">
        <v>84.0</v>
      </c>
      <c r="B89" s="13" t="s">
        <v>4964</v>
      </c>
      <c r="C89" s="11" t="s">
        <v>4965</v>
      </c>
      <c r="D89" s="12" t="s">
        <v>36</v>
      </c>
      <c r="E89" s="13" t="s">
        <v>4966</v>
      </c>
      <c r="F89" s="12">
        <v>19.0</v>
      </c>
      <c r="G89" s="12">
        <v>2006.0</v>
      </c>
      <c r="H89" s="15">
        <v>14.8</v>
      </c>
      <c r="I89" s="17">
        <v>0.2</v>
      </c>
      <c r="J89" s="19">
        <v>0.0</v>
      </c>
      <c r="K89" s="19">
        <v>0.0</v>
      </c>
      <c r="L89" s="18">
        <v>0.81</v>
      </c>
      <c r="M89" s="18">
        <v>0.47</v>
      </c>
      <c r="N89" s="19">
        <v>0.0</v>
      </c>
      <c r="O89" s="18">
        <v>0.34</v>
      </c>
      <c r="P89" s="18">
        <v>0.81</v>
      </c>
      <c r="Q89" s="18">
        <v>1.49</v>
      </c>
      <c r="R89" s="36"/>
      <c r="S89" s="36"/>
      <c r="T89" s="19">
        <v>0.0</v>
      </c>
      <c r="U89" s="20" t="s">
        <v>4967</v>
      </c>
    </row>
    <row r="90">
      <c r="A90" s="50">
        <v>85.0</v>
      </c>
      <c r="B90" s="13" t="s">
        <v>4968</v>
      </c>
      <c r="C90" s="11" t="s">
        <v>4969</v>
      </c>
      <c r="D90" s="12" t="s">
        <v>31</v>
      </c>
      <c r="E90" s="13" t="s">
        <v>4970</v>
      </c>
      <c r="F90" s="12">
        <v>19.0</v>
      </c>
      <c r="G90" s="12">
        <v>2006.0</v>
      </c>
      <c r="H90" s="15">
        <v>1.0</v>
      </c>
      <c r="I90" s="22">
        <v>0.0</v>
      </c>
      <c r="J90" s="19">
        <v>0.0</v>
      </c>
      <c r="K90" s="19">
        <v>0.0</v>
      </c>
      <c r="L90" s="19">
        <v>0.0</v>
      </c>
      <c r="M90" s="18">
        <v>1.0</v>
      </c>
      <c r="N90" s="19">
        <v>0.0</v>
      </c>
      <c r="O90" s="18">
        <v>3.0</v>
      </c>
      <c r="P90" s="19">
        <v>0.0</v>
      </c>
      <c r="Q90" s="18">
        <v>1.0</v>
      </c>
      <c r="R90" s="36"/>
      <c r="S90" s="36"/>
      <c r="T90" s="19">
        <v>0.0</v>
      </c>
      <c r="U90" s="20" t="s">
        <v>4971</v>
      </c>
    </row>
    <row r="91">
      <c r="A91" s="50">
        <v>86.0</v>
      </c>
      <c r="B91" s="13" t="s">
        <v>4972</v>
      </c>
      <c r="C91" s="11" t="s">
        <v>4973</v>
      </c>
      <c r="D91" s="12" t="s">
        <v>31</v>
      </c>
      <c r="E91" s="13" t="s">
        <v>4974</v>
      </c>
      <c r="F91" s="12">
        <v>22.0</v>
      </c>
      <c r="G91" s="12">
        <v>2002.0</v>
      </c>
      <c r="H91" s="15">
        <v>1.1</v>
      </c>
      <c r="I91" s="22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8">
        <v>4.55</v>
      </c>
      <c r="P91" s="19">
        <v>0.0</v>
      </c>
      <c r="Q91" s="18">
        <v>1.82</v>
      </c>
      <c r="R91" s="36"/>
      <c r="S91" s="36"/>
      <c r="T91" s="19">
        <v>0.0</v>
      </c>
      <c r="U91" s="20" t="s">
        <v>4975</v>
      </c>
    </row>
    <row r="92">
      <c r="A92" s="50">
        <v>87.0</v>
      </c>
      <c r="B92" s="13" t="s">
        <v>4976</v>
      </c>
      <c r="C92" s="11" t="s">
        <v>4977</v>
      </c>
      <c r="D92" s="12" t="s">
        <v>31</v>
      </c>
      <c r="E92" s="13" t="s">
        <v>4978</v>
      </c>
      <c r="F92" s="12">
        <v>33.0</v>
      </c>
      <c r="G92" s="12">
        <v>1992.0</v>
      </c>
      <c r="H92" s="15">
        <v>28.6</v>
      </c>
      <c r="I92" s="17">
        <v>0.38</v>
      </c>
      <c r="J92" s="18">
        <v>0.03</v>
      </c>
      <c r="K92" s="18">
        <v>0.03</v>
      </c>
      <c r="L92" s="18">
        <v>1.61</v>
      </c>
      <c r="M92" s="18">
        <v>1.26</v>
      </c>
      <c r="N92" s="18">
        <v>0.17</v>
      </c>
      <c r="O92" s="18">
        <v>0.66</v>
      </c>
      <c r="P92" s="18">
        <v>1.05</v>
      </c>
      <c r="Q92" s="18">
        <v>1.57</v>
      </c>
      <c r="R92" s="36"/>
      <c r="S92" s="36"/>
      <c r="T92" s="19">
        <v>0.0</v>
      </c>
      <c r="U92" s="20" t="s">
        <v>4979</v>
      </c>
    </row>
    <row r="93">
      <c r="A93" s="50">
        <v>88.0</v>
      </c>
      <c r="B93" s="13" t="s">
        <v>4980</v>
      </c>
      <c r="C93" s="11" t="s">
        <v>4981</v>
      </c>
      <c r="D93" s="12" t="s">
        <v>36</v>
      </c>
      <c r="E93" s="13" t="s">
        <v>4982</v>
      </c>
      <c r="F93" s="12">
        <v>27.0</v>
      </c>
      <c r="G93" s="12">
        <v>1997.0</v>
      </c>
      <c r="H93" s="15">
        <v>33.5</v>
      </c>
      <c r="I93" s="17">
        <v>0.27</v>
      </c>
      <c r="J93" s="19">
        <v>0.0</v>
      </c>
      <c r="K93" s="19">
        <v>0.0</v>
      </c>
      <c r="L93" s="18">
        <v>1.25</v>
      </c>
      <c r="M93" s="18">
        <v>0.9</v>
      </c>
      <c r="N93" s="18">
        <v>0.12</v>
      </c>
      <c r="O93" s="18">
        <v>3.91</v>
      </c>
      <c r="P93" s="18">
        <v>0.72</v>
      </c>
      <c r="Q93" s="18">
        <v>0.96</v>
      </c>
      <c r="R93" s="36"/>
      <c r="S93" s="36"/>
      <c r="T93" s="19">
        <v>0.0</v>
      </c>
      <c r="U93" s="20" t="s">
        <v>4983</v>
      </c>
    </row>
    <row r="94">
      <c r="A94" s="50">
        <v>89.0</v>
      </c>
      <c r="B94" s="13" t="s">
        <v>4984</v>
      </c>
      <c r="C94" s="11" t="s">
        <v>4985</v>
      </c>
      <c r="D94" s="12" t="s">
        <v>345</v>
      </c>
      <c r="E94" s="13" t="s">
        <v>4986</v>
      </c>
      <c r="F94" s="12">
        <v>29.0</v>
      </c>
      <c r="G94" s="12">
        <v>1995.0</v>
      </c>
      <c r="H94" s="15">
        <v>20.5</v>
      </c>
      <c r="I94" s="17">
        <v>0.2</v>
      </c>
      <c r="J94" s="19">
        <v>0.0</v>
      </c>
      <c r="K94" s="19">
        <v>0.0</v>
      </c>
      <c r="L94" s="18">
        <v>0.88</v>
      </c>
      <c r="M94" s="18">
        <v>0.54</v>
      </c>
      <c r="N94" s="18">
        <v>0.05</v>
      </c>
      <c r="O94" s="18">
        <v>2.34</v>
      </c>
      <c r="P94" s="18">
        <v>1.37</v>
      </c>
      <c r="Q94" s="18">
        <v>1.17</v>
      </c>
      <c r="R94" s="36"/>
      <c r="S94" s="36"/>
      <c r="T94" s="19">
        <v>0.0</v>
      </c>
      <c r="U94" s="20" t="s">
        <v>4987</v>
      </c>
    </row>
    <row r="95">
      <c r="A95" s="50">
        <v>90.0</v>
      </c>
      <c r="B95" s="13" t="s">
        <v>4988</v>
      </c>
      <c r="C95" s="11" t="s">
        <v>4989</v>
      </c>
      <c r="D95" s="12" t="s">
        <v>41</v>
      </c>
      <c r="E95" s="13" t="s">
        <v>4990</v>
      </c>
      <c r="F95" s="12">
        <v>26.0</v>
      </c>
      <c r="G95" s="12">
        <v>1998.0</v>
      </c>
      <c r="H95" s="15">
        <v>15.4</v>
      </c>
      <c r="I95" s="17">
        <v>0.39</v>
      </c>
      <c r="J95" s="19">
        <v>0.0</v>
      </c>
      <c r="K95" s="19">
        <v>0.0</v>
      </c>
      <c r="L95" s="18">
        <v>2.08</v>
      </c>
      <c r="M95" s="18">
        <v>1.04</v>
      </c>
      <c r="N95" s="18">
        <v>0.58</v>
      </c>
      <c r="O95" s="18">
        <v>0.58</v>
      </c>
      <c r="P95" s="18">
        <v>0.39</v>
      </c>
      <c r="Q95" s="18">
        <v>0.58</v>
      </c>
      <c r="R95" s="36"/>
      <c r="S95" s="36"/>
      <c r="T95" s="19">
        <v>0.0</v>
      </c>
      <c r="U95" s="20" t="s">
        <v>4991</v>
      </c>
    </row>
    <row r="96">
      <c r="A96" s="50">
        <v>91.0</v>
      </c>
      <c r="B96" s="13" t="s">
        <v>4992</v>
      </c>
      <c r="C96" s="11" t="s">
        <v>4993</v>
      </c>
      <c r="D96" s="12" t="s">
        <v>36</v>
      </c>
      <c r="E96" s="13" t="s">
        <v>4994</v>
      </c>
      <c r="F96" s="12">
        <v>26.0</v>
      </c>
      <c r="G96" s="12">
        <v>1999.0</v>
      </c>
      <c r="H96" s="15">
        <v>30.9</v>
      </c>
      <c r="I96" s="17">
        <v>0.1</v>
      </c>
      <c r="J96" s="18">
        <v>0.03</v>
      </c>
      <c r="K96" s="19">
        <v>0.0</v>
      </c>
      <c r="L96" s="18">
        <v>0.65</v>
      </c>
      <c r="M96" s="18">
        <v>0.58</v>
      </c>
      <c r="N96" s="18">
        <v>0.06</v>
      </c>
      <c r="O96" s="18">
        <v>0.16</v>
      </c>
      <c r="P96" s="18">
        <v>1.2</v>
      </c>
      <c r="Q96" s="18">
        <v>0.71</v>
      </c>
      <c r="R96" s="36"/>
      <c r="S96" s="36"/>
      <c r="T96" s="19">
        <v>0.0</v>
      </c>
      <c r="U96" s="20" t="s">
        <v>4995</v>
      </c>
    </row>
    <row r="97">
      <c r="A97" s="50">
        <v>92.0</v>
      </c>
      <c r="B97" s="13" t="s">
        <v>4996</v>
      </c>
      <c r="C97" s="11" t="s">
        <v>4997</v>
      </c>
      <c r="D97" s="12" t="s">
        <v>31</v>
      </c>
      <c r="E97" s="13" t="s">
        <v>4998</v>
      </c>
      <c r="F97" s="12">
        <v>21.0</v>
      </c>
      <c r="G97" s="12">
        <v>2003.0</v>
      </c>
      <c r="H97" s="15">
        <v>19.8</v>
      </c>
      <c r="I97" s="17">
        <v>0.05</v>
      </c>
      <c r="J97" s="19">
        <v>0.0</v>
      </c>
      <c r="K97" s="19">
        <v>0.0</v>
      </c>
      <c r="L97" s="18">
        <v>0.91</v>
      </c>
      <c r="M97" s="18">
        <v>1.72</v>
      </c>
      <c r="N97" s="18">
        <v>0.05</v>
      </c>
      <c r="O97" s="18">
        <v>4.04</v>
      </c>
      <c r="P97" s="18">
        <v>0.35</v>
      </c>
      <c r="Q97" s="18">
        <v>0.81</v>
      </c>
      <c r="R97" s="36"/>
      <c r="S97" s="36"/>
      <c r="T97" s="19">
        <v>0.0</v>
      </c>
      <c r="U97" s="20" t="s">
        <v>4999</v>
      </c>
    </row>
    <row r="98">
      <c r="A98" s="50">
        <v>93.0</v>
      </c>
      <c r="B98" s="13" t="s">
        <v>5000</v>
      </c>
      <c r="C98" s="11" t="s">
        <v>5001</v>
      </c>
      <c r="D98" s="12" t="s">
        <v>31</v>
      </c>
      <c r="E98" s="13" t="s">
        <v>5002</v>
      </c>
      <c r="F98" s="12">
        <v>27.0</v>
      </c>
      <c r="G98" s="12">
        <v>1997.0</v>
      </c>
      <c r="H98" s="15">
        <v>3.8</v>
      </c>
      <c r="I98" s="17">
        <v>0.79</v>
      </c>
      <c r="J98" s="19">
        <v>0.0</v>
      </c>
      <c r="K98" s="19">
        <v>0.0</v>
      </c>
      <c r="L98" s="18">
        <v>2.89</v>
      </c>
      <c r="M98" s="18">
        <v>1.84</v>
      </c>
      <c r="N98" s="18">
        <v>0.53</v>
      </c>
      <c r="O98" s="18">
        <v>4.47</v>
      </c>
      <c r="P98" s="18">
        <v>1.05</v>
      </c>
      <c r="Q98" s="18">
        <v>1.32</v>
      </c>
      <c r="R98" s="36"/>
      <c r="S98" s="36"/>
      <c r="T98" s="19">
        <v>0.0</v>
      </c>
      <c r="U98" s="20" t="s">
        <v>5003</v>
      </c>
    </row>
    <row r="99">
      <c r="A99" s="50">
        <v>94.0</v>
      </c>
      <c r="B99" s="13" t="s">
        <v>5004</v>
      </c>
      <c r="C99" s="11" t="s">
        <v>5005</v>
      </c>
      <c r="D99" s="12" t="s">
        <v>31</v>
      </c>
      <c r="E99" s="13" t="s">
        <v>5006</v>
      </c>
      <c r="F99" s="12">
        <v>21.0</v>
      </c>
      <c r="G99" s="12">
        <v>2003.0</v>
      </c>
      <c r="H99" s="15">
        <v>0.3</v>
      </c>
      <c r="I99" s="22">
        <v>0.0</v>
      </c>
      <c r="J99" s="19">
        <v>0.0</v>
      </c>
      <c r="K99" s="19">
        <v>0.0</v>
      </c>
      <c r="L99" s="18">
        <v>10.0</v>
      </c>
      <c r="M99" s="18">
        <v>3.33</v>
      </c>
      <c r="N99" s="19">
        <v>0.0</v>
      </c>
      <c r="O99" s="19">
        <v>0.0</v>
      </c>
      <c r="P99" s="19">
        <v>0.0</v>
      </c>
      <c r="Q99" s="19">
        <v>0.0</v>
      </c>
      <c r="R99" s="36"/>
      <c r="S99" s="36"/>
      <c r="T99" s="19">
        <v>0.0</v>
      </c>
      <c r="U99" s="20" t="s">
        <v>5007</v>
      </c>
    </row>
    <row r="100">
      <c r="A100" s="50">
        <v>95.0</v>
      </c>
      <c r="B100" s="13" t="s">
        <v>5008</v>
      </c>
      <c r="C100" s="11" t="s">
        <v>5009</v>
      </c>
      <c r="D100" s="12" t="s">
        <v>31</v>
      </c>
      <c r="E100" s="13" t="s">
        <v>5010</v>
      </c>
      <c r="F100" s="12">
        <v>30.0</v>
      </c>
      <c r="G100" s="12">
        <v>1995.0</v>
      </c>
      <c r="H100" s="15">
        <v>11.0</v>
      </c>
      <c r="I100" s="17">
        <v>0.27</v>
      </c>
      <c r="J100" s="18">
        <v>0.09</v>
      </c>
      <c r="K100" s="19">
        <v>0.0</v>
      </c>
      <c r="L100" s="18">
        <v>1.45</v>
      </c>
      <c r="M100" s="18">
        <v>2.0</v>
      </c>
      <c r="N100" s="18">
        <v>0.09</v>
      </c>
      <c r="O100" s="18">
        <v>1.55</v>
      </c>
      <c r="P100" s="18">
        <v>1.0</v>
      </c>
      <c r="Q100" s="18">
        <v>1.82</v>
      </c>
      <c r="R100" s="36"/>
      <c r="S100" s="36"/>
      <c r="T100" s="19">
        <v>0.0</v>
      </c>
      <c r="U100" s="20" t="s">
        <v>5011</v>
      </c>
    </row>
    <row r="101">
      <c r="A101" s="50">
        <v>96.0</v>
      </c>
      <c r="B101" s="13" t="s">
        <v>5012</v>
      </c>
      <c r="C101" s="11" t="s">
        <v>5013</v>
      </c>
      <c r="D101" s="12" t="s">
        <v>31</v>
      </c>
      <c r="E101" s="13" t="s">
        <v>5014</v>
      </c>
      <c r="F101" s="12">
        <v>26.0</v>
      </c>
      <c r="G101" s="12">
        <v>1999.0</v>
      </c>
      <c r="H101" s="15">
        <v>12.0</v>
      </c>
      <c r="I101" s="22">
        <v>0.0</v>
      </c>
      <c r="J101" s="19">
        <v>0.0</v>
      </c>
      <c r="K101" s="19">
        <v>0.0</v>
      </c>
      <c r="L101" s="18">
        <v>0.42</v>
      </c>
      <c r="M101" s="18">
        <v>1.0</v>
      </c>
      <c r="N101" s="18">
        <v>0.25</v>
      </c>
      <c r="O101" s="18">
        <v>3.58</v>
      </c>
      <c r="P101" s="18">
        <v>0.5</v>
      </c>
      <c r="Q101" s="18">
        <v>0.33</v>
      </c>
      <c r="R101" s="36"/>
      <c r="S101" s="36"/>
      <c r="T101" s="19">
        <v>0.0</v>
      </c>
      <c r="U101" s="20" t="s">
        <v>5015</v>
      </c>
    </row>
    <row r="102">
      <c r="A102" s="50">
        <v>97.0</v>
      </c>
      <c r="B102" s="13" t="s">
        <v>5016</v>
      </c>
      <c r="C102" s="11" t="s">
        <v>5017</v>
      </c>
      <c r="D102" s="12" t="s">
        <v>36</v>
      </c>
      <c r="E102" s="13" t="s">
        <v>5018</v>
      </c>
      <c r="F102" s="12">
        <v>23.0</v>
      </c>
      <c r="G102" s="12">
        <v>2002.0</v>
      </c>
      <c r="H102" s="15">
        <v>3.6</v>
      </c>
      <c r="I102" s="17">
        <v>0.56</v>
      </c>
      <c r="J102" s="19">
        <v>0.0</v>
      </c>
      <c r="K102" s="19">
        <v>0.0</v>
      </c>
      <c r="L102" s="18">
        <v>1.11</v>
      </c>
      <c r="M102" s="18">
        <v>0.56</v>
      </c>
      <c r="N102" s="19">
        <v>0.0</v>
      </c>
      <c r="O102" s="18">
        <v>0.83</v>
      </c>
      <c r="P102" s="18">
        <v>1.39</v>
      </c>
      <c r="Q102" s="18">
        <v>1.39</v>
      </c>
      <c r="R102" s="36"/>
      <c r="S102" s="36"/>
      <c r="T102" s="19">
        <v>0.0</v>
      </c>
      <c r="U102" s="20" t="s">
        <v>5019</v>
      </c>
    </row>
    <row r="103">
      <c r="A103" s="50">
        <v>98.0</v>
      </c>
      <c r="B103" s="13" t="s">
        <v>5020</v>
      </c>
      <c r="C103" s="11" t="s">
        <v>5021</v>
      </c>
      <c r="D103" s="12" t="s">
        <v>264</v>
      </c>
      <c r="E103" s="13" t="s">
        <v>5022</v>
      </c>
      <c r="F103" s="12">
        <v>34.0</v>
      </c>
      <c r="G103" s="12">
        <v>1991.0</v>
      </c>
      <c r="H103" s="15">
        <v>6.6</v>
      </c>
      <c r="I103" s="17">
        <v>0.15</v>
      </c>
      <c r="J103" s="19">
        <v>0.0</v>
      </c>
      <c r="K103" s="19">
        <v>0.0</v>
      </c>
      <c r="L103" s="18">
        <v>0.61</v>
      </c>
      <c r="M103" s="18">
        <v>0.3</v>
      </c>
      <c r="N103" s="19">
        <v>0.0</v>
      </c>
      <c r="O103" s="18">
        <v>2.27</v>
      </c>
      <c r="P103" s="18">
        <v>1.06</v>
      </c>
      <c r="Q103" s="18">
        <v>1.36</v>
      </c>
      <c r="R103" s="36"/>
      <c r="S103" s="36"/>
      <c r="T103" s="19">
        <v>0.0</v>
      </c>
      <c r="U103" s="20" t="s">
        <v>5023</v>
      </c>
    </row>
    <row r="104">
      <c r="A104" s="50">
        <v>99.0</v>
      </c>
      <c r="B104" s="13" t="s">
        <v>5024</v>
      </c>
      <c r="C104" s="11" t="s">
        <v>5025</v>
      </c>
      <c r="D104" s="12" t="s">
        <v>36</v>
      </c>
      <c r="E104" s="13" t="s">
        <v>5026</v>
      </c>
      <c r="F104" s="12">
        <v>36.0</v>
      </c>
      <c r="G104" s="12">
        <v>1988.0</v>
      </c>
      <c r="H104" s="15">
        <v>0.2</v>
      </c>
      <c r="I104" s="22">
        <v>0.0</v>
      </c>
      <c r="J104" s="19">
        <v>0.0</v>
      </c>
      <c r="K104" s="19">
        <v>0.0</v>
      </c>
      <c r="L104" s="19">
        <v>0.0</v>
      </c>
      <c r="M104" s="18">
        <v>5.0</v>
      </c>
      <c r="N104" s="19">
        <v>0.0</v>
      </c>
      <c r="O104" s="18">
        <v>15.0</v>
      </c>
      <c r="P104" s="19">
        <v>0.0</v>
      </c>
      <c r="Q104" s="19">
        <v>0.0</v>
      </c>
      <c r="R104" s="36"/>
      <c r="S104" s="36"/>
      <c r="T104" s="19">
        <v>0.0</v>
      </c>
      <c r="U104" s="20" t="s">
        <v>5027</v>
      </c>
    </row>
    <row r="105">
      <c r="A105" s="50">
        <v>100.0</v>
      </c>
      <c r="B105" s="13" t="s">
        <v>5028</v>
      </c>
      <c r="C105" s="11" t="s">
        <v>5029</v>
      </c>
      <c r="D105" s="12" t="s">
        <v>36</v>
      </c>
      <c r="E105" s="13" t="s">
        <v>5030</v>
      </c>
      <c r="F105" s="12">
        <v>24.0</v>
      </c>
      <c r="G105" s="12">
        <v>2001.0</v>
      </c>
      <c r="H105" s="15">
        <v>33.1</v>
      </c>
      <c r="I105" s="17">
        <v>0.21</v>
      </c>
      <c r="J105" s="19">
        <v>0.0</v>
      </c>
      <c r="K105" s="19">
        <v>0.0</v>
      </c>
      <c r="L105" s="18">
        <v>0.6</v>
      </c>
      <c r="M105" s="18">
        <v>0.51</v>
      </c>
      <c r="N105" s="18">
        <v>0.06</v>
      </c>
      <c r="O105" s="18">
        <v>0.03</v>
      </c>
      <c r="P105" s="18">
        <v>1.09</v>
      </c>
      <c r="Q105" s="18">
        <v>0.39</v>
      </c>
      <c r="R105" s="36"/>
      <c r="S105" s="36"/>
      <c r="T105" s="18">
        <v>0.03</v>
      </c>
      <c r="U105" s="20" t="s">
        <v>5031</v>
      </c>
    </row>
    <row r="106">
      <c r="A106" s="37" t="s">
        <v>3</v>
      </c>
      <c r="B106" s="51" t="s">
        <v>4</v>
      </c>
      <c r="C106" s="39" t="s">
        <v>5</v>
      </c>
      <c r="D106" s="39" t="s">
        <v>6</v>
      </c>
      <c r="E106" s="39" t="s">
        <v>7</v>
      </c>
      <c r="F106" s="39" t="s">
        <v>8</v>
      </c>
      <c r="G106" s="39" t="s">
        <v>9</v>
      </c>
      <c r="H106" s="39" t="s">
        <v>13</v>
      </c>
      <c r="I106" s="40" t="s">
        <v>20</v>
      </c>
      <c r="J106" s="39" t="s">
        <v>21</v>
      </c>
      <c r="K106" s="39" t="s">
        <v>4622</v>
      </c>
      <c r="L106" s="39" t="s">
        <v>4623</v>
      </c>
      <c r="M106" s="39" t="s">
        <v>4624</v>
      </c>
      <c r="N106" s="39" t="s">
        <v>4625</v>
      </c>
      <c r="O106" s="39" t="s">
        <v>4626</v>
      </c>
      <c r="P106" s="39" t="s">
        <v>4627</v>
      </c>
      <c r="Q106" s="39" t="s">
        <v>4628</v>
      </c>
      <c r="R106" s="39" t="s">
        <v>4629</v>
      </c>
      <c r="S106" s="39" t="s">
        <v>4630</v>
      </c>
      <c r="T106" s="39" t="s">
        <v>4631</v>
      </c>
      <c r="U106" s="40" t="s">
        <v>23</v>
      </c>
    </row>
    <row r="107">
      <c r="A107" s="50">
        <v>101.0</v>
      </c>
      <c r="B107" s="13" t="s">
        <v>5032</v>
      </c>
      <c r="C107" s="11" t="s">
        <v>5033</v>
      </c>
      <c r="D107" s="12" t="s">
        <v>36</v>
      </c>
      <c r="E107" s="13" t="s">
        <v>5034</v>
      </c>
      <c r="F107" s="12">
        <v>22.0</v>
      </c>
      <c r="G107" s="12">
        <v>2003.0</v>
      </c>
      <c r="H107" s="15">
        <v>2.5</v>
      </c>
      <c r="I107" s="22">
        <v>0.0</v>
      </c>
      <c r="J107" s="19">
        <v>0.0</v>
      </c>
      <c r="K107" s="19">
        <v>0.0</v>
      </c>
      <c r="L107" s="18">
        <v>0.4</v>
      </c>
      <c r="M107" s="18">
        <v>0.8</v>
      </c>
      <c r="N107" s="19">
        <v>0.0</v>
      </c>
      <c r="O107" s="18">
        <v>0.4</v>
      </c>
      <c r="P107" s="18">
        <v>2.0</v>
      </c>
      <c r="Q107" s="18">
        <v>0.8</v>
      </c>
      <c r="R107" s="36"/>
      <c r="S107" s="36"/>
      <c r="T107" s="19">
        <v>0.0</v>
      </c>
      <c r="U107" s="20" t="s">
        <v>5035</v>
      </c>
    </row>
    <row r="108">
      <c r="A108" s="50">
        <v>102.0</v>
      </c>
      <c r="B108" s="13" t="s">
        <v>5036</v>
      </c>
      <c r="C108" s="11" t="s">
        <v>5037</v>
      </c>
      <c r="D108" s="12" t="s">
        <v>264</v>
      </c>
      <c r="E108" s="13" t="s">
        <v>5038</v>
      </c>
      <c r="F108" s="12">
        <v>28.0</v>
      </c>
      <c r="G108" s="12">
        <v>1997.0</v>
      </c>
      <c r="H108" s="15">
        <v>9.7</v>
      </c>
      <c r="I108" s="17">
        <v>0.1</v>
      </c>
      <c r="J108" s="18">
        <v>0.1</v>
      </c>
      <c r="K108" s="19">
        <v>0.0</v>
      </c>
      <c r="L108" s="18">
        <v>0.82</v>
      </c>
      <c r="M108" s="18">
        <v>0.52</v>
      </c>
      <c r="N108" s="19">
        <v>0.0</v>
      </c>
      <c r="O108" s="18">
        <v>4.54</v>
      </c>
      <c r="P108" s="18">
        <v>2.16</v>
      </c>
      <c r="Q108" s="18">
        <v>1.75</v>
      </c>
      <c r="R108" s="36"/>
      <c r="S108" s="36"/>
      <c r="T108" s="19">
        <v>0.0</v>
      </c>
      <c r="U108" s="20" t="s">
        <v>5039</v>
      </c>
    </row>
    <row r="109">
      <c r="A109" s="50">
        <v>103.0</v>
      </c>
      <c r="B109" s="13" t="s">
        <v>5040</v>
      </c>
      <c r="C109" s="11" t="s">
        <v>5041</v>
      </c>
      <c r="D109" s="12" t="s">
        <v>36</v>
      </c>
      <c r="E109" s="13" t="s">
        <v>5042</v>
      </c>
      <c r="F109" s="12">
        <v>21.0</v>
      </c>
      <c r="G109" s="12">
        <v>2003.0</v>
      </c>
      <c r="H109" s="15">
        <v>2.2</v>
      </c>
      <c r="I109" s="17">
        <v>0.91</v>
      </c>
      <c r="J109" s="19">
        <v>0.0</v>
      </c>
      <c r="K109" s="19">
        <v>0.0</v>
      </c>
      <c r="L109" s="18">
        <v>1.82</v>
      </c>
      <c r="M109" s="19">
        <v>0.0</v>
      </c>
      <c r="N109" s="19">
        <v>0.0</v>
      </c>
      <c r="O109" s="19">
        <v>0.0</v>
      </c>
      <c r="P109" s="18">
        <v>0.45</v>
      </c>
      <c r="Q109" s="18">
        <v>0.91</v>
      </c>
      <c r="R109" s="36"/>
      <c r="S109" s="36"/>
      <c r="T109" s="19">
        <v>0.0</v>
      </c>
      <c r="U109" s="20" t="s">
        <v>5043</v>
      </c>
    </row>
    <row r="110">
      <c r="A110" s="50">
        <v>104.0</v>
      </c>
      <c r="B110" s="13" t="s">
        <v>5044</v>
      </c>
      <c r="C110" s="11" t="s">
        <v>5045</v>
      </c>
      <c r="D110" s="12" t="s">
        <v>36</v>
      </c>
      <c r="E110" s="13" t="s">
        <v>5046</v>
      </c>
      <c r="F110" s="12">
        <v>27.0</v>
      </c>
      <c r="G110" s="12">
        <v>1998.0</v>
      </c>
      <c r="H110" s="15">
        <v>30.1</v>
      </c>
      <c r="I110" s="17">
        <v>0.27</v>
      </c>
      <c r="J110" s="18">
        <v>0.03</v>
      </c>
      <c r="K110" s="19">
        <v>0.0</v>
      </c>
      <c r="L110" s="18">
        <v>1.5</v>
      </c>
      <c r="M110" s="18">
        <v>0.96</v>
      </c>
      <c r="N110" s="18">
        <v>0.17</v>
      </c>
      <c r="O110" s="18">
        <v>1.36</v>
      </c>
      <c r="P110" s="18">
        <v>0.93</v>
      </c>
      <c r="Q110" s="18">
        <v>1.33</v>
      </c>
      <c r="R110" s="36"/>
      <c r="S110" s="36"/>
      <c r="T110" s="19">
        <v>0.0</v>
      </c>
      <c r="U110" s="20" t="s">
        <v>5047</v>
      </c>
    </row>
    <row r="111">
      <c r="A111" s="50">
        <v>105.0</v>
      </c>
      <c r="B111" s="13" t="s">
        <v>5048</v>
      </c>
      <c r="C111" s="11" t="s">
        <v>5049</v>
      </c>
      <c r="D111" s="12" t="s">
        <v>36</v>
      </c>
      <c r="E111" s="13" t="s">
        <v>5050</v>
      </c>
      <c r="F111" s="12">
        <v>25.0</v>
      </c>
      <c r="G111" s="12">
        <v>1999.0</v>
      </c>
      <c r="H111" s="15">
        <v>10.4</v>
      </c>
      <c r="I111" s="17">
        <v>0.58</v>
      </c>
      <c r="J111" s="19">
        <v>0.0</v>
      </c>
      <c r="K111" s="19">
        <v>0.0</v>
      </c>
      <c r="L111" s="18">
        <v>0.96</v>
      </c>
      <c r="M111" s="18">
        <v>0.1</v>
      </c>
      <c r="N111" s="18">
        <v>0.1</v>
      </c>
      <c r="O111" s="18">
        <v>0.19</v>
      </c>
      <c r="P111" s="18">
        <v>1.44</v>
      </c>
      <c r="Q111" s="18">
        <v>0.96</v>
      </c>
      <c r="R111" s="36"/>
      <c r="S111" s="36"/>
      <c r="T111" s="19">
        <v>0.0</v>
      </c>
      <c r="U111" s="20" t="s">
        <v>5051</v>
      </c>
    </row>
    <row r="112">
      <c r="A112" s="50">
        <v>106.0</v>
      </c>
      <c r="B112" s="13" t="s">
        <v>5052</v>
      </c>
      <c r="C112" s="11" t="s">
        <v>5053</v>
      </c>
      <c r="D112" s="12" t="s">
        <v>31</v>
      </c>
      <c r="E112" s="13" t="s">
        <v>5054</v>
      </c>
      <c r="F112" s="12">
        <v>29.0</v>
      </c>
      <c r="G112" s="12">
        <v>1996.0</v>
      </c>
      <c r="H112" s="15">
        <v>16.8</v>
      </c>
      <c r="I112" s="17">
        <v>0.12</v>
      </c>
      <c r="J112" s="19">
        <v>0.0</v>
      </c>
      <c r="K112" s="19">
        <v>0.0</v>
      </c>
      <c r="L112" s="18">
        <v>0.95</v>
      </c>
      <c r="M112" s="18">
        <v>1.07</v>
      </c>
      <c r="N112" s="19">
        <v>0.0</v>
      </c>
      <c r="O112" s="18">
        <v>0.71</v>
      </c>
      <c r="P112" s="18">
        <v>1.43</v>
      </c>
      <c r="Q112" s="18">
        <v>1.13</v>
      </c>
      <c r="R112" s="36"/>
      <c r="S112" s="36"/>
      <c r="T112" s="18">
        <v>0.06</v>
      </c>
      <c r="U112" s="20" t="s">
        <v>5055</v>
      </c>
    </row>
    <row r="113">
      <c r="A113" s="50">
        <v>107.0</v>
      </c>
      <c r="B113" s="13" t="s">
        <v>5056</v>
      </c>
      <c r="C113" s="11" t="s">
        <v>5057</v>
      </c>
      <c r="D113" s="12" t="s">
        <v>36</v>
      </c>
      <c r="E113" s="13" t="s">
        <v>5058</v>
      </c>
      <c r="F113" s="12">
        <v>20.0</v>
      </c>
      <c r="G113" s="12">
        <v>2005.0</v>
      </c>
      <c r="H113" s="15">
        <v>5.7</v>
      </c>
      <c r="I113" s="22">
        <v>0.0</v>
      </c>
      <c r="J113" s="19">
        <v>0.0</v>
      </c>
      <c r="K113" s="19">
        <v>0.0</v>
      </c>
      <c r="L113" s="19">
        <v>0.0</v>
      </c>
      <c r="M113" s="18">
        <v>1.05</v>
      </c>
      <c r="N113" s="19">
        <v>0.0</v>
      </c>
      <c r="O113" s="18">
        <v>0.35</v>
      </c>
      <c r="P113" s="18">
        <v>0.88</v>
      </c>
      <c r="Q113" s="18">
        <v>0.88</v>
      </c>
      <c r="R113" s="36"/>
      <c r="S113" s="36"/>
      <c r="T113" s="19">
        <v>0.0</v>
      </c>
      <c r="U113" s="20" t="s">
        <v>5059</v>
      </c>
    </row>
    <row r="114">
      <c r="A114" s="50">
        <v>108.0</v>
      </c>
      <c r="B114" s="13" t="s">
        <v>5060</v>
      </c>
      <c r="C114" s="11" t="s">
        <v>5061</v>
      </c>
      <c r="D114" s="12" t="s">
        <v>26</v>
      </c>
      <c r="E114" s="13" t="s">
        <v>5062</v>
      </c>
      <c r="F114" s="12">
        <v>26.0</v>
      </c>
      <c r="G114" s="12">
        <v>1999.0</v>
      </c>
      <c r="H114" s="15">
        <v>27.7</v>
      </c>
      <c r="I114" s="17">
        <v>0.14</v>
      </c>
      <c r="J114" s="19">
        <v>0.0</v>
      </c>
      <c r="K114" s="19">
        <v>0.0</v>
      </c>
      <c r="L114" s="18">
        <v>1.01</v>
      </c>
      <c r="M114" s="18">
        <v>1.95</v>
      </c>
      <c r="N114" s="18">
        <v>0.07</v>
      </c>
      <c r="O114" s="18">
        <v>1.77</v>
      </c>
      <c r="P114" s="18">
        <v>0.76</v>
      </c>
      <c r="Q114" s="18">
        <v>0.83</v>
      </c>
      <c r="R114" s="36"/>
      <c r="S114" s="36"/>
      <c r="T114" s="19">
        <v>0.0</v>
      </c>
      <c r="U114" s="20" t="s">
        <v>5063</v>
      </c>
    </row>
    <row r="115">
      <c r="A115" s="50">
        <v>109.0</v>
      </c>
      <c r="B115" s="13" t="s">
        <v>5064</v>
      </c>
      <c r="C115" s="11" t="s">
        <v>5065</v>
      </c>
      <c r="D115" s="12" t="s">
        <v>345</v>
      </c>
      <c r="E115" s="13" t="s">
        <v>5066</v>
      </c>
      <c r="F115" s="12">
        <v>26.0</v>
      </c>
      <c r="G115" s="12">
        <v>1999.0</v>
      </c>
      <c r="H115" s="15">
        <v>29.0</v>
      </c>
      <c r="I115" s="17">
        <v>0.17</v>
      </c>
      <c r="J115" s="19">
        <v>0.0</v>
      </c>
      <c r="K115" s="19">
        <v>0.0</v>
      </c>
      <c r="L115" s="18">
        <v>0.86</v>
      </c>
      <c r="M115" s="18">
        <v>0.48</v>
      </c>
      <c r="N115" s="18">
        <v>0.14</v>
      </c>
      <c r="O115" s="18">
        <v>1.97</v>
      </c>
      <c r="P115" s="18">
        <v>0.9</v>
      </c>
      <c r="Q115" s="18">
        <v>1.03</v>
      </c>
      <c r="R115" s="36"/>
      <c r="S115" s="36"/>
      <c r="T115" s="19">
        <v>0.0</v>
      </c>
      <c r="U115" s="20" t="s">
        <v>5067</v>
      </c>
    </row>
    <row r="116">
      <c r="A116" s="50">
        <v>110.0</v>
      </c>
      <c r="B116" s="13" t="s">
        <v>5068</v>
      </c>
      <c r="C116" s="11" t="s">
        <v>5069</v>
      </c>
      <c r="D116" s="12" t="s">
        <v>31</v>
      </c>
      <c r="E116" s="13" t="s">
        <v>5070</v>
      </c>
      <c r="F116" s="12">
        <v>25.0</v>
      </c>
      <c r="G116" s="12">
        <v>2000.0</v>
      </c>
      <c r="H116" s="15">
        <v>22.8</v>
      </c>
      <c r="I116" s="22">
        <v>0.0</v>
      </c>
      <c r="J116" s="19">
        <v>0.0</v>
      </c>
      <c r="K116" s="19">
        <v>0.0</v>
      </c>
      <c r="L116" s="18">
        <v>0.79</v>
      </c>
      <c r="M116" s="18">
        <v>1.01</v>
      </c>
      <c r="N116" s="18">
        <v>0.18</v>
      </c>
      <c r="O116" s="18">
        <v>4.17</v>
      </c>
      <c r="P116" s="18">
        <v>1.05</v>
      </c>
      <c r="Q116" s="18">
        <v>1.49</v>
      </c>
      <c r="R116" s="36"/>
      <c r="S116" s="36"/>
      <c r="T116" s="19">
        <v>0.0</v>
      </c>
      <c r="U116" s="20" t="s">
        <v>5071</v>
      </c>
    </row>
    <row r="117">
      <c r="A117" s="50">
        <v>111.0</v>
      </c>
      <c r="B117" s="13" t="s">
        <v>5072</v>
      </c>
      <c r="C117" s="11" t="s">
        <v>5073</v>
      </c>
      <c r="D117" s="12" t="s">
        <v>36</v>
      </c>
      <c r="E117" s="13" t="s">
        <v>5074</v>
      </c>
      <c r="F117" s="12">
        <v>26.0</v>
      </c>
      <c r="G117" s="12">
        <v>1998.0</v>
      </c>
      <c r="H117" s="15">
        <v>16.6</v>
      </c>
      <c r="I117" s="17">
        <v>0.48</v>
      </c>
      <c r="J117" s="19">
        <v>0.0</v>
      </c>
      <c r="K117" s="19">
        <v>0.0</v>
      </c>
      <c r="L117" s="18">
        <v>1.27</v>
      </c>
      <c r="M117" s="18">
        <v>0.78</v>
      </c>
      <c r="N117" s="19">
        <v>0.0</v>
      </c>
      <c r="O117" s="18">
        <v>0.42</v>
      </c>
      <c r="P117" s="18">
        <v>1.51</v>
      </c>
      <c r="Q117" s="18">
        <v>0.78</v>
      </c>
      <c r="R117" s="36"/>
      <c r="S117" s="36"/>
      <c r="T117" s="19">
        <v>0.0</v>
      </c>
      <c r="U117" s="20" t="s">
        <v>5075</v>
      </c>
    </row>
    <row r="118">
      <c r="A118" s="50">
        <v>112.0</v>
      </c>
      <c r="B118" s="13" t="s">
        <v>5076</v>
      </c>
      <c r="C118" s="11" t="s">
        <v>5077</v>
      </c>
      <c r="D118" s="12" t="s">
        <v>98</v>
      </c>
      <c r="E118" s="13" t="s">
        <v>5078</v>
      </c>
      <c r="F118" s="12">
        <v>34.0</v>
      </c>
      <c r="G118" s="12">
        <v>1990.0</v>
      </c>
      <c r="H118" s="15">
        <v>22.0</v>
      </c>
      <c r="I118" s="17">
        <v>0.05</v>
      </c>
      <c r="J118" s="19">
        <v>0.0</v>
      </c>
      <c r="K118" s="19">
        <v>0.0</v>
      </c>
      <c r="L118" s="19">
        <v>0.0</v>
      </c>
      <c r="M118" s="18">
        <v>0.32</v>
      </c>
      <c r="N118" s="19">
        <v>0.0</v>
      </c>
      <c r="O118" s="19">
        <v>0.0</v>
      </c>
      <c r="P118" s="19">
        <v>0.0</v>
      </c>
      <c r="Q118" s="19">
        <v>0.0</v>
      </c>
      <c r="R118" s="36"/>
      <c r="S118" s="36"/>
      <c r="T118" s="19">
        <v>0.0</v>
      </c>
      <c r="U118" s="20" t="s">
        <v>5079</v>
      </c>
    </row>
    <row r="119">
      <c r="A119" s="50">
        <v>113.0</v>
      </c>
      <c r="B119" s="13" t="s">
        <v>5080</v>
      </c>
      <c r="C119" s="11" t="s">
        <v>5081</v>
      </c>
      <c r="D119" s="12" t="s">
        <v>31</v>
      </c>
      <c r="E119" s="13" t="s">
        <v>5082</v>
      </c>
      <c r="F119" s="12">
        <v>26.0</v>
      </c>
      <c r="G119" s="12">
        <v>1998.0</v>
      </c>
      <c r="H119" s="21">
        <v>0.0</v>
      </c>
      <c r="I119" s="23">
        <v>0.0</v>
      </c>
      <c r="J119" s="21">
        <v>0.0</v>
      </c>
      <c r="K119" s="21">
        <v>0.0</v>
      </c>
      <c r="L119" s="21">
        <v>0.0</v>
      </c>
      <c r="M119" s="21">
        <v>0.0</v>
      </c>
      <c r="N119" s="21">
        <v>0.0</v>
      </c>
      <c r="O119" s="21">
        <v>0.0</v>
      </c>
      <c r="P119" s="21">
        <v>0.0</v>
      </c>
      <c r="Q119" s="21">
        <v>0.0</v>
      </c>
      <c r="R119" s="36"/>
      <c r="S119" s="36"/>
      <c r="T119" s="21">
        <v>0.0</v>
      </c>
      <c r="U119" s="20" t="s">
        <v>5083</v>
      </c>
    </row>
    <row r="120">
      <c r="A120" s="50">
        <v>114.0</v>
      </c>
      <c r="B120" s="13" t="s">
        <v>5084</v>
      </c>
      <c r="C120" s="11" t="s">
        <v>5085</v>
      </c>
      <c r="D120" s="12" t="s">
        <v>36</v>
      </c>
      <c r="E120" s="13" t="s">
        <v>5086</v>
      </c>
      <c r="F120" s="12">
        <v>32.0</v>
      </c>
      <c r="G120" s="12">
        <v>1993.0</v>
      </c>
      <c r="H120" s="15">
        <v>1.5</v>
      </c>
      <c r="I120" s="17">
        <v>0.67</v>
      </c>
      <c r="J120" s="19">
        <v>0.0</v>
      </c>
      <c r="K120" s="19">
        <v>0.0</v>
      </c>
      <c r="L120" s="18">
        <v>1.33</v>
      </c>
      <c r="M120" s="19">
        <v>0.0</v>
      </c>
      <c r="N120" s="19">
        <v>0.0</v>
      </c>
      <c r="O120" s="18">
        <v>2.0</v>
      </c>
      <c r="P120" s="18">
        <v>0.67</v>
      </c>
      <c r="Q120" s="18">
        <v>2.67</v>
      </c>
      <c r="R120" s="36"/>
      <c r="S120" s="36"/>
      <c r="T120" s="19">
        <v>0.0</v>
      </c>
      <c r="U120" s="20" t="s">
        <v>5087</v>
      </c>
    </row>
    <row r="121">
      <c r="A121" s="50">
        <v>115.0</v>
      </c>
      <c r="B121" s="13" t="s">
        <v>5088</v>
      </c>
      <c r="C121" s="11" t="s">
        <v>5089</v>
      </c>
      <c r="D121" s="12" t="s">
        <v>345</v>
      </c>
      <c r="E121" s="13" t="s">
        <v>5090</v>
      </c>
      <c r="F121" s="12">
        <v>24.0</v>
      </c>
      <c r="G121" s="12">
        <v>2000.0</v>
      </c>
      <c r="H121" s="15">
        <v>15.7</v>
      </c>
      <c r="I121" s="17">
        <v>0.13</v>
      </c>
      <c r="J121" s="19">
        <v>0.0</v>
      </c>
      <c r="K121" s="19">
        <v>0.0</v>
      </c>
      <c r="L121" s="18">
        <v>1.15</v>
      </c>
      <c r="M121" s="18">
        <v>1.34</v>
      </c>
      <c r="N121" s="18">
        <v>0.06</v>
      </c>
      <c r="O121" s="18">
        <v>4.9</v>
      </c>
      <c r="P121" s="18">
        <v>0.7</v>
      </c>
      <c r="Q121" s="18">
        <v>0.64</v>
      </c>
      <c r="R121" s="36"/>
      <c r="S121" s="36"/>
      <c r="T121" s="19">
        <v>0.0</v>
      </c>
      <c r="U121" s="20" t="s">
        <v>5091</v>
      </c>
    </row>
    <row r="122">
      <c r="A122" s="50">
        <v>116.0</v>
      </c>
      <c r="B122" s="13" t="s">
        <v>5092</v>
      </c>
      <c r="C122" s="11" t="s">
        <v>5093</v>
      </c>
      <c r="D122" s="12" t="s">
        <v>41</v>
      </c>
      <c r="E122" s="13" t="s">
        <v>5094</v>
      </c>
      <c r="F122" s="12">
        <v>22.0</v>
      </c>
      <c r="G122" s="12">
        <v>2003.0</v>
      </c>
      <c r="H122" s="15">
        <v>12.3</v>
      </c>
      <c r="I122" s="17">
        <v>0.33</v>
      </c>
      <c r="J122" s="19">
        <v>0.0</v>
      </c>
      <c r="K122" s="19">
        <v>0.0</v>
      </c>
      <c r="L122" s="18">
        <v>2.03</v>
      </c>
      <c r="M122" s="18">
        <v>1.54</v>
      </c>
      <c r="N122" s="18">
        <v>0.41</v>
      </c>
      <c r="O122" s="18">
        <v>0.49</v>
      </c>
      <c r="P122" s="18">
        <v>0.08</v>
      </c>
      <c r="Q122" s="18">
        <v>0.24</v>
      </c>
      <c r="R122" s="36"/>
      <c r="S122" s="36"/>
      <c r="T122" s="19">
        <v>0.0</v>
      </c>
      <c r="U122" s="20" t="s">
        <v>5095</v>
      </c>
    </row>
    <row r="123">
      <c r="A123" s="50">
        <v>117.0</v>
      </c>
      <c r="B123" s="13" t="s">
        <v>5096</v>
      </c>
      <c r="C123" s="11" t="s">
        <v>5097</v>
      </c>
      <c r="D123" s="12" t="s">
        <v>36</v>
      </c>
      <c r="E123" s="13" t="s">
        <v>5098</v>
      </c>
      <c r="F123" s="12">
        <v>23.0</v>
      </c>
      <c r="G123" s="12">
        <v>2001.0</v>
      </c>
      <c r="H123" s="15">
        <v>30.7</v>
      </c>
      <c r="I123" s="17">
        <v>0.07</v>
      </c>
      <c r="J123" s="19">
        <v>0.0</v>
      </c>
      <c r="K123" s="19">
        <v>0.0</v>
      </c>
      <c r="L123" s="18">
        <v>0.49</v>
      </c>
      <c r="M123" s="18">
        <v>0.36</v>
      </c>
      <c r="N123" s="19">
        <v>0.0</v>
      </c>
      <c r="O123" s="19">
        <v>0.0</v>
      </c>
      <c r="P123" s="18">
        <v>0.85</v>
      </c>
      <c r="Q123" s="18">
        <v>0.29</v>
      </c>
      <c r="R123" s="36"/>
      <c r="S123" s="36"/>
      <c r="T123" s="19">
        <v>0.0</v>
      </c>
      <c r="U123" s="20" t="s">
        <v>5099</v>
      </c>
    </row>
    <row r="124">
      <c r="A124" s="50">
        <v>118.0</v>
      </c>
      <c r="B124" s="13" t="s">
        <v>5100</v>
      </c>
      <c r="C124" s="11" t="s">
        <v>5101</v>
      </c>
      <c r="D124" s="12" t="s">
        <v>31</v>
      </c>
      <c r="E124" s="13" t="s">
        <v>5102</v>
      </c>
      <c r="F124" s="12">
        <v>18.0</v>
      </c>
      <c r="G124" s="12">
        <v>2007.0</v>
      </c>
      <c r="H124" s="15">
        <v>0.5</v>
      </c>
      <c r="I124" s="22">
        <v>0.0</v>
      </c>
      <c r="J124" s="19">
        <v>0.0</v>
      </c>
      <c r="K124" s="19">
        <v>0.0</v>
      </c>
      <c r="L124" s="19">
        <v>0.0</v>
      </c>
      <c r="M124" s="18">
        <v>2.0</v>
      </c>
      <c r="N124" s="19">
        <v>0.0</v>
      </c>
      <c r="O124" s="18">
        <v>4.0</v>
      </c>
      <c r="P124" s="19">
        <v>0.0</v>
      </c>
      <c r="Q124" s="18">
        <v>2.0</v>
      </c>
      <c r="R124" s="36"/>
      <c r="S124" s="36"/>
      <c r="T124" s="19">
        <v>0.0</v>
      </c>
      <c r="U124" s="20" t="s">
        <v>5103</v>
      </c>
    </row>
    <row r="125">
      <c r="A125" s="50">
        <v>119.0</v>
      </c>
      <c r="B125" s="13" t="s">
        <v>5104</v>
      </c>
      <c r="C125" s="11" t="s">
        <v>5105</v>
      </c>
      <c r="D125" s="12" t="s">
        <v>26</v>
      </c>
      <c r="E125" s="13" t="s">
        <v>5106</v>
      </c>
      <c r="F125" s="12">
        <v>21.0</v>
      </c>
      <c r="G125" s="12">
        <v>2003.0</v>
      </c>
      <c r="H125" s="15">
        <v>8.8</v>
      </c>
      <c r="I125" s="22">
        <v>0.0</v>
      </c>
      <c r="J125" s="19">
        <v>0.0</v>
      </c>
      <c r="K125" s="19">
        <v>0.0</v>
      </c>
      <c r="L125" s="18">
        <v>1.25</v>
      </c>
      <c r="M125" s="18">
        <v>1.14</v>
      </c>
      <c r="N125" s="18">
        <v>0.11</v>
      </c>
      <c r="O125" s="18">
        <v>1.93</v>
      </c>
      <c r="P125" s="18">
        <v>0.11</v>
      </c>
      <c r="Q125" s="18">
        <v>1.25</v>
      </c>
      <c r="R125" s="36"/>
      <c r="S125" s="36"/>
      <c r="T125" s="19">
        <v>0.0</v>
      </c>
      <c r="U125" s="20" t="s">
        <v>5107</v>
      </c>
    </row>
    <row r="126">
      <c r="A126" s="50">
        <v>120.0</v>
      </c>
      <c r="B126" s="13" t="s">
        <v>5108</v>
      </c>
      <c r="C126" s="11" t="s">
        <v>5109</v>
      </c>
      <c r="D126" s="12" t="s">
        <v>31</v>
      </c>
      <c r="E126" s="13" t="s">
        <v>5110</v>
      </c>
      <c r="F126" s="12">
        <v>26.0</v>
      </c>
      <c r="G126" s="12">
        <v>1998.0</v>
      </c>
      <c r="H126" s="15">
        <v>29.2</v>
      </c>
      <c r="I126" s="17">
        <v>0.21</v>
      </c>
      <c r="J126" s="19">
        <v>0.0</v>
      </c>
      <c r="K126" s="19">
        <v>0.0</v>
      </c>
      <c r="L126" s="18">
        <v>1.1</v>
      </c>
      <c r="M126" s="18">
        <v>1.64</v>
      </c>
      <c r="N126" s="18">
        <v>0.07</v>
      </c>
      <c r="O126" s="18">
        <v>3.84</v>
      </c>
      <c r="P126" s="18">
        <v>0.48</v>
      </c>
      <c r="Q126" s="18">
        <v>0.89</v>
      </c>
      <c r="R126" s="36"/>
      <c r="S126" s="36"/>
      <c r="T126" s="19">
        <v>0.0</v>
      </c>
      <c r="U126" s="20" t="s">
        <v>5111</v>
      </c>
    </row>
    <row r="127">
      <c r="A127" s="50">
        <v>121.0</v>
      </c>
      <c r="B127" s="13" t="s">
        <v>5112</v>
      </c>
      <c r="C127" s="11" t="s">
        <v>5113</v>
      </c>
      <c r="D127" s="12" t="s">
        <v>36</v>
      </c>
      <c r="E127" s="13" t="s">
        <v>5114</v>
      </c>
      <c r="F127" s="12">
        <v>24.0</v>
      </c>
      <c r="G127" s="12">
        <v>2001.0</v>
      </c>
      <c r="H127" s="15">
        <v>14.2</v>
      </c>
      <c r="I127" s="17">
        <v>0.07</v>
      </c>
      <c r="J127" s="19">
        <v>0.0</v>
      </c>
      <c r="K127" s="19">
        <v>0.0</v>
      </c>
      <c r="L127" s="18">
        <v>0.56</v>
      </c>
      <c r="M127" s="18">
        <v>0.28</v>
      </c>
      <c r="N127" s="18">
        <v>0.14</v>
      </c>
      <c r="O127" s="18">
        <v>0.07</v>
      </c>
      <c r="P127" s="18">
        <v>0.7</v>
      </c>
      <c r="Q127" s="18">
        <v>1.06</v>
      </c>
      <c r="R127" s="36"/>
      <c r="S127" s="36"/>
      <c r="T127" s="19">
        <v>0.0</v>
      </c>
      <c r="U127" s="20" t="s">
        <v>5115</v>
      </c>
    </row>
    <row r="128">
      <c r="A128" s="50">
        <v>122.0</v>
      </c>
      <c r="B128" s="13" t="s">
        <v>5116</v>
      </c>
      <c r="C128" s="11" t="s">
        <v>5117</v>
      </c>
      <c r="D128" s="12" t="s">
        <v>31</v>
      </c>
      <c r="E128" s="13" t="s">
        <v>5118</v>
      </c>
      <c r="F128" s="12">
        <v>23.0</v>
      </c>
      <c r="G128" s="12">
        <v>2002.0</v>
      </c>
      <c r="H128" s="15">
        <v>26.0</v>
      </c>
      <c r="I128" s="17">
        <v>0.08</v>
      </c>
      <c r="J128" s="19">
        <v>0.0</v>
      </c>
      <c r="K128" s="19">
        <v>0.0</v>
      </c>
      <c r="L128" s="18">
        <v>0.92</v>
      </c>
      <c r="M128" s="18">
        <v>1.46</v>
      </c>
      <c r="N128" s="18">
        <v>0.46</v>
      </c>
      <c r="O128" s="18">
        <v>1.77</v>
      </c>
      <c r="P128" s="18">
        <v>0.58</v>
      </c>
      <c r="Q128" s="18">
        <v>0.88</v>
      </c>
      <c r="R128" s="36"/>
      <c r="S128" s="36"/>
      <c r="T128" s="19">
        <v>0.0</v>
      </c>
      <c r="U128" s="20" t="s">
        <v>5119</v>
      </c>
    </row>
    <row r="129">
      <c r="A129" s="50">
        <v>123.0</v>
      </c>
      <c r="B129" s="13" t="s">
        <v>5120</v>
      </c>
      <c r="C129" s="11" t="s">
        <v>5121</v>
      </c>
      <c r="D129" s="12" t="s">
        <v>31</v>
      </c>
      <c r="E129" s="13" t="s">
        <v>5122</v>
      </c>
      <c r="F129" s="12">
        <v>21.0</v>
      </c>
      <c r="G129" s="12">
        <v>2004.0</v>
      </c>
      <c r="H129" s="15">
        <v>15.6</v>
      </c>
      <c r="I129" s="17">
        <v>0.38</v>
      </c>
      <c r="J129" s="19">
        <v>0.0</v>
      </c>
      <c r="K129" s="19">
        <v>0.0</v>
      </c>
      <c r="L129" s="18">
        <v>1.22</v>
      </c>
      <c r="M129" s="18">
        <v>1.73</v>
      </c>
      <c r="N129" s="18">
        <v>0.19</v>
      </c>
      <c r="O129" s="18">
        <v>2.05</v>
      </c>
      <c r="P129" s="18">
        <v>0.26</v>
      </c>
      <c r="Q129" s="18">
        <v>0.45</v>
      </c>
      <c r="R129" s="36"/>
      <c r="S129" s="36"/>
      <c r="T129" s="19">
        <v>0.0</v>
      </c>
      <c r="U129" s="20" t="s">
        <v>5123</v>
      </c>
    </row>
    <row r="130">
      <c r="A130" s="50">
        <v>124.0</v>
      </c>
      <c r="B130" s="13" t="s">
        <v>5124</v>
      </c>
      <c r="C130" s="11" t="s">
        <v>5125</v>
      </c>
      <c r="D130" s="12" t="s">
        <v>36</v>
      </c>
      <c r="E130" s="13" t="s">
        <v>5126</v>
      </c>
      <c r="F130" s="12">
        <v>28.0</v>
      </c>
      <c r="G130" s="12">
        <v>1997.0</v>
      </c>
      <c r="H130" s="15">
        <v>23.8</v>
      </c>
      <c r="I130" s="17">
        <v>0.13</v>
      </c>
      <c r="J130" s="19">
        <v>0.0</v>
      </c>
      <c r="K130" s="19">
        <v>0.0</v>
      </c>
      <c r="L130" s="18">
        <v>0.63</v>
      </c>
      <c r="M130" s="18">
        <v>0.38</v>
      </c>
      <c r="N130" s="19">
        <v>0.0</v>
      </c>
      <c r="O130" s="18">
        <v>0.38</v>
      </c>
      <c r="P130" s="18">
        <v>0.97</v>
      </c>
      <c r="Q130" s="18">
        <v>0.25</v>
      </c>
      <c r="R130" s="36"/>
      <c r="S130" s="36"/>
      <c r="T130" s="19">
        <v>0.0</v>
      </c>
      <c r="U130" s="20" t="s">
        <v>5127</v>
      </c>
    </row>
    <row r="131">
      <c r="A131" s="50">
        <v>125.0</v>
      </c>
      <c r="B131" s="13" t="s">
        <v>5128</v>
      </c>
      <c r="C131" s="11" t="s">
        <v>5129</v>
      </c>
      <c r="D131" s="12" t="s">
        <v>31</v>
      </c>
      <c r="E131" s="13" t="s">
        <v>5130</v>
      </c>
      <c r="F131" s="12">
        <v>19.0</v>
      </c>
      <c r="G131" s="12">
        <v>2006.0</v>
      </c>
      <c r="H131" s="15">
        <v>4.0</v>
      </c>
      <c r="I131" s="17">
        <v>0.5</v>
      </c>
      <c r="J131" s="19">
        <v>0.0</v>
      </c>
      <c r="K131" s="19">
        <v>0.0</v>
      </c>
      <c r="L131" s="18">
        <v>2.75</v>
      </c>
      <c r="M131" s="18">
        <v>2.75</v>
      </c>
      <c r="N131" s="19">
        <v>0.0</v>
      </c>
      <c r="O131" s="18">
        <v>1.75</v>
      </c>
      <c r="P131" s="18">
        <v>1.5</v>
      </c>
      <c r="Q131" s="18">
        <v>0.75</v>
      </c>
      <c r="R131" s="36"/>
      <c r="S131" s="36"/>
      <c r="T131" s="19">
        <v>0.0</v>
      </c>
      <c r="U131" s="20" t="s">
        <v>5131</v>
      </c>
    </row>
    <row r="132">
      <c r="A132" s="37" t="s">
        <v>3</v>
      </c>
      <c r="B132" s="51" t="s">
        <v>4</v>
      </c>
      <c r="C132" s="39" t="s">
        <v>5</v>
      </c>
      <c r="D132" s="39" t="s">
        <v>6</v>
      </c>
      <c r="E132" s="39" t="s">
        <v>7</v>
      </c>
      <c r="F132" s="39" t="s">
        <v>8</v>
      </c>
      <c r="G132" s="39" t="s">
        <v>9</v>
      </c>
      <c r="H132" s="39" t="s">
        <v>13</v>
      </c>
      <c r="I132" s="40" t="s">
        <v>20</v>
      </c>
      <c r="J132" s="39" t="s">
        <v>21</v>
      </c>
      <c r="K132" s="39" t="s">
        <v>4622</v>
      </c>
      <c r="L132" s="39" t="s">
        <v>4623</v>
      </c>
      <c r="M132" s="39" t="s">
        <v>4624</v>
      </c>
      <c r="N132" s="39" t="s">
        <v>4625</v>
      </c>
      <c r="O132" s="39" t="s">
        <v>4626</v>
      </c>
      <c r="P132" s="39" t="s">
        <v>4627</v>
      </c>
      <c r="Q132" s="39" t="s">
        <v>4628</v>
      </c>
      <c r="R132" s="39" t="s">
        <v>4629</v>
      </c>
      <c r="S132" s="39" t="s">
        <v>4630</v>
      </c>
      <c r="T132" s="39" t="s">
        <v>4631</v>
      </c>
      <c r="U132" s="40" t="s">
        <v>23</v>
      </c>
    </row>
    <row r="133">
      <c r="A133" s="50">
        <v>126.0</v>
      </c>
      <c r="B133" s="13" t="s">
        <v>5132</v>
      </c>
      <c r="C133" s="11" t="s">
        <v>5133</v>
      </c>
      <c r="D133" s="12" t="s">
        <v>36</v>
      </c>
      <c r="E133" s="13" t="s">
        <v>5134</v>
      </c>
      <c r="F133" s="12">
        <v>32.0</v>
      </c>
      <c r="G133" s="12">
        <v>1993.0</v>
      </c>
      <c r="H133" s="15">
        <v>20.6</v>
      </c>
      <c r="I133" s="17">
        <v>0.15</v>
      </c>
      <c r="J133" s="19">
        <v>0.0</v>
      </c>
      <c r="K133" s="19">
        <v>0.0</v>
      </c>
      <c r="L133" s="18">
        <v>0.68</v>
      </c>
      <c r="M133" s="18">
        <v>0.58</v>
      </c>
      <c r="N133" s="18">
        <v>0.15</v>
      </c>
      <c r="O133" s="18">
        <v>5.24</v>
      </c>
      <c r="P133" s="18">
        <v>0.63</v>
      </c>
      <c r="Q133" s="18">
        <v>1.26</v>
      </c>
      <c r="R133" s="36"/>
      <c r="S133" s="36"/>
      <c r="T133" s="19">
        <v>0.0</v>
      </c>
      <c r="U133" s="20" t="s">
        <v>5135</v>
      </c>
    </row>
    <row r="134">
      <c r="A134" s="50">
        <v>127.0</v>
      </c>
      <c r="B134" s="13" t="s">
        <v>5136</v>
      </c>
      <c r="C134" s="11" t="s">
        <v>5137</v>
      </c>
      <c r="D134" s="12" t="s">
        <v>36</v>
      </c>
      <c r="E134" s="13" t="s">
        <v>5138</v>
      </c>
      <c r="F134" s="12">
        <v>28.0</v>
      </c>
      <c r="G134" s="12">
        <v>1997.0</v>
      </c>
      <c r="H134" s="15">
        <v>9.1</v>
      </c>
      <c r="I134" s="17">
        <v>0.22</v>
      </c>
      <c r="J134" s="19">
        <v>0.0</v>
      </c>
      <c r="K134" s="19">
        <v>0.0</v>
      </c>
      <c r="L134" s="18">
        <v>0.99</v>
      </c>
      <c r="M134" s="18">
        <v>0.33</v>
      </c>
      <c r="N134" s="19">
        <v>0.0</v>
      </c>
      <c r="O134" s="18">
        <v>0.11</v>
      </c>
      <c r="P134" s="18">
        <v>0.66</v>
      </c>
      <c r="Q134" s="18">
        <v>0.22</v>
      </c>
      <c r="R134" s="36"/>
      <c r="S134" s="36"/>
      <c r="T134" s="19">
        <v>0.0</v>
      </c>
      <c r="U134" s="20" t="s">
        <v>5139</v>
      </c>
    </row>
    <row r="135">
      <c r="A135" s="50">
        <v>128.0</v>
      </c>
      <c r="B135" s="13" t="s">
        <v>5140</v>
      </c>
      <c r="C135" s="11" t="s">
        <v>5141</v>
      </c>
      <c r="D135" s="12" t="s">
        <v>345</v>
      </c>
      <c r="E135" s="13" t="s">
        <v>5142</v>
      </c>
      <c r="F135" s="12">
        <v>20.0</v>
      </c>
      <c r="G135" s="12">
        <v>2004.0</v>
      </c>
      <c r="H135" s="15">
        <v>30.1</v>
      </c>
      <c r="I135" s="17">
        <v>0.2</v>
      </c>
      <c r="J135" s="19">
        <v>0.0</v>
      </c>
      <c r="K135" s="19">
        <v>0.0</v>
      </c>
      <c r="L135" s="18">
        <v>0.93</v>
      </c>
      <c r="M135" s="18">
        <v>0.83</v>
      </c>
      <c r="N135" s="18">
        <v>0.07</v>
      </c>
      <c r="O135" s="18">
        <v>3.62</v>
      </c>
      <c r="P135" s="18">
        <v>1.06</v>
      </c>
      <c r="Q135" s="18">
        <v>0.63</v>
      </c>
      <c r="R135" s="36"/>
      <c r="S135" s="36"/>
      <c r="T135" s="19">
        <v>0.0</v>
      </c>
      <c r="U135" s="20" t="s">
        <v>5143</v>
      </c>
    </row>
    <row r="136">
      <c r="A136" s="50">
        <v>129.0</v>
      </c>
      <c r="B136" s="13" t="s">
        <v>5144</v>
      </c>
      <c r="C136" s="11" t="s">
        <v>5145</v>
      </c>
      <c r="D136" s="12" t="s">
        <v>36</v>
      </c>
      <c r="E136" s="13" t="s">
        <v>5146</v>
      </c>
      <c r="F136" s="12">
        <v>27.0</v>
      </c>
      <c r="G136" s="12">
        <v>1998.0</v>
      </c>
      <c r="H136" s="15">
        <v>13.9</v>
      </c>
      <c r="I136" s="17">
        <v>0.07</v>
      </c>
      <c r="J136" s="19">
        <v>0.0</v>
      </c>
      <c r="K136" s="19">
        <v>0.0</v>
      </c>
      <c r="L136" s="18">
        <v>0.36</v>
      </c>
      <c r="M136" s="18">
        <v>0.29</v>
      </c>
      <c r="N136" s="18">
        <v>0.07</v>
      </c>
      <c r="O136" s="19">
        <v>0.0</v>
      </c>
      <c r="P136" s="18">
        <v>0.86</v>
      </c>
      <c r="Q136" s="18">
        <v>0.72</v>
      </c>
      <c r="R136" s="36"/>
      <c r="S136" s="36"/>
      <c r="T136" s="18">
        <v>0.07</v>
      </c>
      <c r="U136" s="20" t="s">
        <v>5147</v>
      </c>
    </row>
    <row r="137">
      <c r="A137" s="50">
        <v>130.0</v>
      </c>
      <c r="B137" s="13" t="s">
        <v>5148</v>
      </c>
      <c r="C137" s="11" t="s">
        <v>5149</v>
      </c>
      <c r="D137" s="12" t="s">
        <v>345</v>
      </c>
      <c r="E137" s="13" t="s">
        <v>5150</v>
      </c>
      <c r="F137" s="12">
        <v>33.0</v>
      </c>
      <c r="G137" s="12">
        <v>1992.0</v>
      </c>
      <c r="H137" s="15">
        <v>8.7</v>
      </c>
      <c r="I137" s="17">
        <v>0.46</v>
      </c>
      <c r="J137" s="19">
        <v>0.0</v>
      </c>
      <c r="K137" s="19">
        <v>0.0</v>
      </c>
      <c r="L137" s="18">
        <v>1.84</v>
      </c>
      <c r="M137" s="18">
        <v>0.69</v>
      </c>
      <c r="N137" s="19">
        <v>0.0</v>
      </c>
      <c r="O137" s="18">
        <v>0.92</v>
      </c>
      <c r="P137" s="18">
        <v>0.8</v>
      </c>
      <c r="Q137" s="18">
        <v>0.92</v>
      </c>
      <c r="R137" s="36"/>
      <c r="S137" s="36"/>
      <c r="T137" s="19">
        <v>0.0</v>
      </c>
      <c r="U137" s="20" t="s">
        <v>5151</v>
      </c>
    </row>
    <row r="138">
      <c r="A138" s="50">
        <v>131.0</v>
      </c>
      <c r="B138" s="13" t="s">
        <v>5152</v>
      </c>
      <c r="C138" s="11" t="s">
        <v>5153</v>
      </c>
      <c r="D138" s="12" t="s">
        <v>26</v>
      </c>
      <c r="E138" s="13" t="s">
        <v>5154</v>
      </c>
      <c r="F138" s="12">
        <v>23.0</v>
      </c>
      <c r="G138" s="12">
        <v>2002.0</v>
      </c>
      <c r="H138" s="15">
        <v>19.8</v>
      </c>
      <c r="I138" s="22">
        <v>0.0</v>
      </c>
      <c r="J138" s="19">
        <v>0.0</v>
      </c>
      <c r="K138" s="19">
        <v>0.0</v>
      </c>
      <c r="L138" s="18">
        <v>1.16</v>
      </c>
      <c r="M138" s="18">
        <v>3.08</v>
      </c>
      <c r="N138" s="18">
        <v>0.15</v>
      </c>
      <c r="O138" s="18">
        <v>3.13</v>
      </c>
      <c r="P138" s="18">
        <v>0.61</v>
      </c>
      <c r="Q138" s="18">
        <v>0.81</v>
      </c>
      <c r="R138" s="36"/>
      <c r="S138" s="36"/>
      <c r="T138" s="19">
        <v>0.0</v>
      </c>
      <c r="U138" s="20" t="s">
        <v>5155</v>
      </c>
    </row>
    <row r="139">
      <c r="A139" s="50">
        <v>132.0</v>
      </c>
      <c r="B139" s="13" t="s">
        <v>5156</v>
      </c>
      <c r="C139" s="11" t="s">
        <v>5157</v>
      </c>
      <c r="D139" s="12" t="s">
        <v>31</v>
      </c>
      <c r="E139" s="13" t="s">
        <v>5158</v>
      </c>
      <c r="F139" s="12">
        <v>27.0</v>
      </c>
      <c r="G139" s="12">
        <v>1998.0</v>
      </c>
      <c r="H139" s="15">
        <v>13.1</v>
      </c>
      <c r="I139" s="17">
        <v>0.23</v>
      </c>
      <c r="J139" s="19">
        <v>0.0</v>
      </c>
      <c r="K139" s="19">
        <v>0.0</v>
      </c>
      <c r="L139" s="18">
        <v>1.22</v>
      </c>
      <c r="M139" s="18">
        <v>0.84</v>
      </c>
      <c r="N139" s="19">
        <v>0.0</v>
      </c>
      <c r="O139" s="18">
        <v>1.07</v>
      </c>
      <c r="P139" s="18">
        <v>0.46</v>
      </c>
      <c r="Q139" s="18">
        <v>2.29</v>
      </c>
      <c r="R139" s="36"/>
      <c r="S139" s="36"/>
      <c r="T139" s="19">
        <v>0.0</v>
      </c>
      <c r="U139" s="20" t="s">
        <v>5159</v>
      </c>
    </row>
    <row r="140">
      <c r="A140" s="50">
        <v>133.0</v>
      </c>
      <c r="B140" s="13" t="s">
        <v>5160</v>
      </c>
      <c r="C140" s="11" t="s">
        <v>5161</v>
      </c>
      <c r="D140" s="12" t="s">
        <v>98</v>
      </c>
      <c r="E140" s="13" t="s">
        <v>5162</v>
      </c>
      <c r="F140" s="12">
        <v>26.0</v>
      </c>
      <c r="G140" s="12">
        <v>1999.0</v>
      </c>
      <c r="H140" s="15">
        <v>34.0</v>
      </c>
      <c r="I140" s="17">
        <v>0.24</v>
      </c>
      <c r="J140" s="19">
        <v>0.0</v>
      </c>
      <c r="K140" s="19">
        <v>0.0</v>
      </c>
      <c r="L140" s="19">
        <v>0.0</v>
      </c>
      <c r="M140" s="18">
        <v>0.12</v>
      </c>
      <c r="N140" s="19">
        <v>0.0</v>
      </c>
      <c r="O140" s="19">
        <v>0.0</v>
      </c>
      <c r="P140" s="18">
        <v>0.03</v>
      </c>
      <c r="Q140" s="19">
        <v>0.0</v>
      </c>
      <c r="R140" s="36"/>
      <c r="S140" s="36"/>
      <c r="T140" s="19">
        <v>0.0</v>
      </c>
      <c r="U140" s="20" t="s">
        <v>5163</v>
      </c>
    </row>
    <row r="141">
      <c r="A141" s="50">
        <v>134.0</v>
      </c>
      <c r="B141" s="13" t="s">
        <v>5164</v>
      </c>
      <c r="C141" s="11" t="s">
        <v>5165</v>
      </c>
      <c r="D141" s="12" t="s">
        <v>41</v>
      </c>
      <c r="E141" s="13" t="s">
        <v>5166</v>
      </c>
      <c r="F141" s="12">
        <v>18.0</v>
      </c>
      <c r="G141" s="12">
        <v>2006.0</v>
      </c>
      <c r="H141" s="15">
        <v>0.5</v>
      </c>
      <c r="I141" s="22">
        <v>0.0</v>
      </c>
      <c r="J141" s="19">
        <v>0.0</v>
      </c>
      <c r="K141" s="19">
        <v>0.0</v>
      </c>
      <c r="L141" s="18">
        <v>4.0</v>
      </c>
      <c r="M141" s="18">
        <v>6.0</v>
      </c>
      <c r="N141" s="19">
        <v>0.0</v>
      </c>
      <c r="O141" s="18">
        <v>4.0</v>
      </c>
      <c r="P141" s="19">
        <v>0.0</v>
      </c>
      <c r="Q141" s="19">
        <v>0.0</v>
      </c>
      <c r="R141" s="36"/>
      <c r="S141" s="36"/>
      <c r="T141" s="19">
        <v>0.0</v>
      </c>
      <c r="U141" s="20" t="s">
        <v>5167</v>
      </c>
    </row>
    <row r="142">
      <c r="A142" s="50">
        <v>135.0</v>
      </c>
      <c r="B142" s="13" t="s">
        <v>5168</v>
      </c>
      <c r="C142" s="11" t="s">
        <v>5169</v>
      </c>
      <c r="D142" s="12" t="s">
        <v>31</v>
      </c>
      <c r="E142" s="13" t="s">
        <v>5170</v>
      </c>
      <c r="F142" s="12">
        <v>20.0</v>
      </c>
      <c r="G142" s="12">
        <v>2004.0</v>
      </c>
      <c r="H142" s="15">
        <v>16.1</v>
      </c>
      <c r="I142" s="17">
        <v>0.31</v>
      </c>
      <c r="J142" s="19">
        <v>0.0</v>
      </c>
      <c r="K142" s="19">
        <v>0.0</v>
      </c>
      <c r="L142" s="18">
        <v>1.43</v>
      </c>
      <c r="M142" s="18">
        <v>2.92</v>
      </c>
      <c r="N142" s="18">
        <v>0.43</v>
      </c>
      <c r="O142" s="18">
        <v>3.54</v>
      </c>
      <c r="P142" s="18">
        <v>0.99</v>
      </c>
      <c r="Q142" s="18">
        <v>1.86</v>
      </c>
      <c r="R142" s="36"/>
      <c r="S142" s="36"/>
      <c r="T142" s="19">
        <v>0.0</v>
      </c>
      <c r="U142" s="20" t="s">
        <v>5171</v>
      </c>
    </row>
    <row r="143">
      <c r="A143" s="50">
        <v>136.0</v>
      </c>
      <c r="B143" s="13" t="s">
        <v>5172</v>
      </c>
      <c r="C143" s="11" t="s">
        <v>5173</v>
      </c>
      <c r="D143" s="12" t="s">
        <v>31</v>
      </c>
      <c r="E143" s="13" t="s">
        <v>5174</v>
      </c>
      <c r="F143" s="12">
        <v>15.0</v>
      </c>
      <c r="G143" s="12">
        <v>2009.0</v>
      </c>
      <c r="H143" s="15">
        <v>1.7</v>
      </c>
      <c r="I143" s="22">
        <v>0.0</v>
      </c>
      <c r="J143" s="19">
        <v>0.0</v>
      </c>
      <c r="K143" s="19">
        <v>0.0</v>
      </c>
      <c r="L143" s="18">
        <v>1.18</v>
      </c>
      <c r="M143" s="18">
        <v>4.12</v>
      </c>
      <c r="N143" s="19">
        <v>0.0</v>
      </c>
      <c r="O143" s="18">
        <v>3.53</v>
      </c>
      <c r="P143" s="18">
        <v>0.59</v>
      </c>
      <c r="Q143" s="18">
        <v>1.18</v>
      </c>
      <c r="R143" s="36"/>
      <c r="S143" s="36"/>
      <c r="T143" s="19">
        <v>0.0</v>
      </c>
      <c r="U143" s="20" t="s">
        <v>5175</v>
      </c>
    </row>
    <row r="144">
      <c r="A144" s="50">
        <v>137.0</v>
      </c>
      <c r="B144" s="13" t="s">
        <v>5176</v>
      </c>
      <c r="C144" s="11" t="s">
        <v>5177</v>
      </c>
      <c r="D144" s="12" t="s">
        <v>36</v>
      </c>
      <c r="E144" s="13" t="s">
        <v>5178</v>
      </c>
      <c r="F144" s="12">
        <v>23.0</v>
      </c>
      <c r="G144" s="12">
        <v>2002.0</v>
      </c>
      <c r="H144" s="15">
        <v>5.7</v>
      </c>
      <c r="I144" s="22">
        <v>0.0</v>
      </c>
      <c r="J144" s="19">
        <v>0.0</v>
      </c>
      <c r="K144" s="19">
        <v>0.0</v>
      </c>
      <c r="L144" s="18">
        <v>1.58</v>
      </c>
      <c r="M144" s="18">
        <v>0.18</v>
      </c>
      <c r="N144" s="19">
        <v>0.0</v>
      </c>
      <c r="O144" s="18">
        <v>0.53</v>
      </c>
      <c r="P144" s="18">
        <v>2.81</v>
      </c>
      <c r="Q144" s="18">
        <v>0.53</v>
      </c>
      <c r="R144" s="36"/>
      <c r="S144" s="36"/>
      <c r="T144" s="19">
        <v>0.0</v>
      </c>
      <c r="U144" s="20" t="s">
        <v>5179</v>
      </c>
    </row>
    <row r="145">
      <c r="A145" s="50">
        <v>138.0</v>
      </c>
      <c r="B145" s="13" t="s">
        <v>5180</v>
      </c>
      <c r="C145" s="11" t="s">
        <v>5181</v>
      </c>
      <c r="D145" s="12" t="s">
        <v>31</v>
      </c>
      <c r="E145" s="13" t="s">
        <v>5182</v>
      </c>
      <c r="F145" s="12">
        <v>16.0</v>
      </c>
      <c r="G145" s="12">
        <v>2009.0</v>
      </c>
      <c r="H145" s="15">
        <v>0.1</v>
      </c>
      <c r="I145" s="22">
        <v>0.0</v>
      </c>
      <c r="J145" s="19">
        <v>0.0</v>
      </c>
      <c r="K145" s="19">
        <v>0.0</v>
      </c>
      <c r="L145" s="18">
        <v>10.0</v>
      </c>
      <c r="M145" s="19">
        <v>0.0</v>
      </c>
      <c r="N145" s="19">
        <v>0.0</v>
      </c>
      <c r="O145" s="19">
        <v>0.0</v>
      </c>
      <c r="P145" s="19">
        <v>0.0</v>
      </c>
      <c r="Q145" s="18">
        <v>10.0</v>
      </c>
      <c r="R145" s="36"/>
      <c r="S145" s="36"/>
      <c r="T145" s="19">
        <v>0.0</v>
      </c>
      <c r="U145" s="20" t="s">
        <v>5183</v>
      </c>
    </row>
    <row r="146">
      <c r="A146" s="50">
        <v>139.0</v>
      </c>
      <c r="B146" s="13" t="s">
        <v>5184</v>
      </c>
      <c r="C146" s="11" t="s">
        <v>5185</v>
      </c>
      <c r="D146" s="12" t="s">
        <v>98</v>
      </c>
      <c r="E146" s="13" t="s">
        <v>5186</v>
      </c>
      <c r="F146" s="12">
        <v>36.0</v>
      </c>
      <c r="G146" s="12">
        <v>1989.0</v>
      </c>
      <c r="H146" s="15">
        <v>35.0</v>
      </c>
      <c r="I146" s="17">
        <v>0.03</v>
      </c>
      <c r="J146" s="19">
        <v>0.0</v>
      </c>
      <c r="K146" s="19">
        <v>0.0</v>
      </c>
      <c r="L146" s="19">
        <v>0.0</v>
      </c>
      <c r="M146" s="18">
        <v>0.23</v>
      </c>
      <c r="N146" s="19">
        <v>0.0</v>
      </c>
      <c r="O146" s="19">
        <v>0.0</v>
      </c>
      <c r="P146" s="19">
        <v>0.0</v>
      </c>
      <c r="Q146" s="18">
        <v>0.03</v>
      </c>
      <c r="R146" s="36"/>
      <c r="S146" s="36"/>
      <c r="T146" s="19">
        <v>0.0</v>
      </c>
      <c r="U146" s="20" t="s">
        <v>5187</v>
      </c>
    </row>
    <row r="147">
      <c r="A147" s="50">
        <v>140.0</v>
      </c>
      <c r="B147" s="13" t="s">
        <v>5188</v>
      </c>
      <c r="C147" s="11" t="s">
        <v>5189</v>
      </c>
      <c r="D147" s="12" t="s">
        <v>36</v>
      </c>
      <c r="E147" s="13" t="s">
        <v>5190</v>
      </c>
      <c r="F147" s="12">
        <v>33.0</v>
      </c>
      <c r="G147" s="12">
        <v>1991.0</v>
      </c>
      <c r="H147" s="15">
        <v>31.5</v>
      </c>
      <c r="I147" s="17">
        <v>0.32</v>
      </c>
      <c r="J147" s="19">
        <v>0.0</v>
      </c>
      <c r="K147" s="19">
        <v>0.0</v>
      </c>
      <c r="L147" s="18">
        <v>0.44</v>
      </c>
      <c r="M147" s="18">
        <v>0.38</v>
      </c>
      <c r="N147" s="18">
        <v>0.03</v>
      </c>
      <c r="O147" s="18">
        <v>0.16</v>
      </c>
      <c r="P147" s="18">
        <v>0.95</v>
      </c>
      <c r="Q147" s="18">
        <v>0.7</v>
      </c>
      <c r="R147" s="36"/>
      <c r="S147" s="36"/>
      <c r="T147" s="19">
        <v>0.0</v>
      </c>
      <c r="U147" s="20" t="s">
        <v>5191</v>
      </c>
    </row>
    <row r="148">
      <c r="A148" s="50">
        <v>141.0</v>
      </c>
      <c r="B148" s="13" t="s">
        <v>5192</v>
      </c>
      <c r="C148" s="11" t="s">
        <v>5193</v>
      </c>
      <c r="D148" s="12" t="s">
        <v>31</v>
      </c>
      <c r="E148" s="13" t="s">
        <v>5194</v>
      </c>
      <c r="F148" s="12">
        <v>20.0</v>
      </c>
      <c r="G148" s="12">
        <v>2004.0</v>
      </c>
      <c r="H148" s="15">
        <v>0.1</v>
      </c>
      <c r="I148" s="22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36"/>
      <c r="S148" s="36"/>
      <c r="T148" s="19">
        <v>0.0</v>
      </c>
      <c r="U148" s="20" t="s">
        <v>5195</v>
      </c>
    </row>
    <row r="149">
      <c r="A149" s="50">
        <v>142.0</v>
      </c>
      <c r="B149" s="13" t="s">
        <v>5196</v>
      </c>
      <c r="C149" s="11" t="s">
        <v>5197</v>
      </c>
      <c r="D149" s="12" t="s">
        <v>41</v>
      </c>
      <c r="E149" s="13" t="s">
        <v>5198</v>
      </c>
      <c r="F149" s="12">
        <v>27.0</v>
      </c>
      <c r="G149" s="12">
        <v>1998.0</v>
      </c>
      <c r="H149" s="21">
        <v>0.0</v>
      </c>
      <c r="I149" s="23">
        <v>0.0</v>
      </c>
      <c r="J149" s="21">
        <v>0.0</v>
      </c>
      <c r="K149" s="21">
        <v>0.0</v>
      </c>
      <c r="L149" s="21">
        <v>0.0</v>
      </c>
      <c r="M149" s="15">
        <v>1.0</v>
      </c>
      <c r="N149" s="21">
        <v>0.0</v>
      </c>
      <c r="O149" s="21">
        <v>0.0</v>
      </c>
      <c r="P149" s="21">
        <v>0.0</v>
      </c>
      <c r="Q149" s="15">
        <v>1.0</v>
      </c>
      <c r="R149" s="36"/>
      <c r="S149" s="36"/>
      <c r="T149" s="21">
        <v>0.0</v>
      </c>
      <c r="U149" s="20" t="s">
        <v>5199</v>
      </c>
    </row>
    <row r="150">
      <c r="A150" s="50">
        <v>143.0</v>
      </c>
      <c r="B150" s="13" t="s">
        <v>5200</v>
      </c>
      <c r="C150" s="11" t="s">
        <v>5201</v>
      </c>
      <c r="D150" s="12" t="s">
        <v>31</v>
      </c>
      <c r="E150" s="13" t="s">
        <v>5202</v>
      </c>
      <c r="F150" s="12">
        <v>19.0</v>
      </c>
      <c r="G150" s="12">
        <v>2006.0</v>
      </c>
      <c r="H150" s="15">
        <v>0.2</v>
      </c>
      <c r="I150" s="22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36"/>
      <c r="S150" s="36"/>
      <c r="T150" s="19">
        <v>0.0</v>
      </c>
      <c r="U150" s="20" t="s">
        <v>5203</v>
      </c>
    </row>
    <row r="151">
      <c r="A151" s="50">
        <v>144.0</v>
      </c>
      <c r="B151" s="13" t="s">
        <v>5204</v>
      </c>
      <c r="C151" s="11" t="s">
        <v>5205</v>
      </c>
      <c r="D151" s="12" t="s">
        <v>31</v>
      </c>
      <c r="E151" s="13" t="s">
        <v>5206</v>
      </c>
      <c r="F151" s="12">
        <v>19.0</v>
      </c>
      <c r="G151" s="12">
        <v>2006.0</v>
      </c>
      <c r="H151" s="15">
        <v>0.5</v>
      </c>
      <c r="I151" s="22">
        <v>0.0</v>
      </c>
      <c r="J151" s="19">
        <v>0.0</v>
      </c>
      <c r="K151" s="19">
        <v>0.0</v>
      </c>
      <c r="L151" s="19">
        <v>0.0</v>
      </c>
      <c r="M151" s="18">
        <v>2.0</v>
      </c>
      <c r="N151" s="19">
        <v>0.0</v>
      </c>
      <c r="O151" s="18">
        <v>4.0</v>
      </c>
      <c r="P151" s="18">
        <v>2.0</v>
      </c>
      <c r="Q151" s="19">
        <v>0.0</v>
      </c>
      <c r="R151" s="36"/>
      <c r="S151" s="36"/>
      <c r="T151" s="19">
        <v>0.0</v>
      </c>
      <c r="U151" s="20" t="s">
        <v>5207</v>
      </c>
    </row>
    <row r="152">
      <c r="A152" s="50">
        <v>145.0</v>
      </c>
      <c r="B152" s="13" t="s">
        <v>5208</v>
      </c>
      <c r="C152" s="11" t="s">
        <v>5209</v>
      </c>
      <c r="D152" s="12" t="s">
        <v>26</v>
      </c>
      <c r="E152" s="13" t="s">
        <v>5210</v>
      </c>
      <c r="F152" s="12">
        <v>26.0</v>
      </c>
      <c r="G152" s="12">
        <v>1998.0</v>
      </c>
      <c r="H152" s="15">
        <v>11.9</v>
      </c>
      <c r="I152" s="22">
        <v>0.0</v>
      </c>
      <c r="J152" s="19">
        <v>0.0</v>
      </c>
      <c r="K152" s="19">
        <v>0.0</v>
      </c>
      <c r="L152" s="18">
        <v>0.59</v>
      </c>
      <c r="M152" s="18">
        <v>1.51</v>
      </c>
      <c r="N152" s="18">
        <v>0.08</v>
      </c>
      <c r="O152" s="18">
        <v>1.6</v>
      </c>
      <c r="P152" s="18">
        <v>0.25</v>
      </c>
      <c r="Q152" s="18">
        <v>0.5</v>
      </c>
      <c r="R152" s="36"/>
      <c r="S152" s="36"/>
      <c r="T152" s="19">
        <v>0.0</v>
      </c>
      <c r="U152" s="20" t="s">
        <v>5211</v>
      </c>
    </row>
    <row r="153">
      <c r="A153" s="50">
        <v>146.0</v>
      </c>
      <c r="B153" s="13" t="s">
        <v>5212</v>
      </c>
      <c r="C153" s="11" t="s">
        <v>5213</v>
      </c>
      <c r="D153" s="12" t="s">
        <v>36</v>
      </c>
      <c r="E153" s="13" t="s">
        <v>5214</v>
      </c>
      <c r="F153" s="12">
        <v>26.0</v>
      </c>
      <c r="G153" s="12">
        <v>1998.0</v>
      </c>
      <c r="H153" s="15">
        <v>17.1</v>
      </c>
      <c r="I153" s="22">
        <v>0.0</v>
      </c>
      <c r="J153" s="19">
        <v>0.0</v>
      </c>
      <c r="K153" s="19">
        <v>0.0</v>
      </c>
      <c r="L153" s="18">
        <v>0.29</v>
      </c>
      <c r="M153" s="18">
        <v>0.41</v>
      </c>
      <c r="N153" s="18">
        <v>0.12</v>
      </c>
      <c r="O153" s="18">
        <v>0.06</v>
      </c>
      <c r="P153" s="18">
        <v>0.7</v>
      </c>
      <c r="Q153" s="18">
        <v>0.99</v>
      </c>
      <c r="R153" s="36"/>
      <c r="S153" s="36"/>
      <c r="T153" s="19">
        <v>0.0</v>
      </c>
      <c r="U153" s="20" t="s">
        <v>5215</v>
      </c>
    </row>
    <row r="154">
      <c r="A154" s="50">
        <v>147.0</v>
      </c>
      <c r="B154" s="13" t="s">
        <v>5216</v>
      </c>
      <c r="C154" s="11" t="s">
        <v>5217</v>
      </c>
      <c r="D154" s="12" t="s">
        <v>41</v>
      </c>
      <c r="E154" s="13" t="s">
        <v>5218</v>
      </c>
      <c r="F154" s="12">
        <v>23.0</v>
      </c>
      <c r="G154" s="12">
        <v>2002.0</v>
      </c>
      <c r="H154" s="15">
        <v>20.0</v>
      </c>
      <c r="I154" s="22">
        <v>0.0</v>
      </c>
      <c r="J154" s="19">
        <v>0.0</v>
      </c>
      <c r="K154" s="19">
        <v>0.0</v>
      </c>
      <c r="L154" s="18">
        <v>1.75</v>
      </c>
      <c r="M154" s="18">
        <v>0.6</v>
      </c>
      <c r="N154" s="18">
        <v>0.5</v>
      </c>
      <c r="O154" s="18">
        <v>0.35</v>
      </c>
      <c r="P154" s="18">
        <v>0.2</v>
      </c>
      <c r="Q154" s="18">
        <v>0.35</v>
      </c>
      <c r="R154" s="36"/>
      <c r="S154" s="36"/>
      <c r="T154" s="19">
        <v>0.0</v>
      </c>
      <c r="U154" s="20" t="s">
        <v>5219</v>
      </c>
    </row>
    <row r="155">
      <c r="A155" s="50">
        <v>148.0</v>
      </c>
      <c r="B155" s="13" t="s">
        <v>5220</v>
      </c>
      <c r="C155" s="11" t="s">
        <v>5221</v>
      </c>
      <c r="D155" s="12" t="s">
        <v>107</v>
      </c>
      <c r="E155" s="13" t="s">
        <v>5222</v>
      </c>
      <c r="F155" s="12">
        <v>23.0</v>
      </c>
      <c r="G155" s="12">
        <v>2002.0</v>
      </c>
      <c r="H155" s="15">
        <v>14.7</v>
      </c>
      <c r="I155" s="22">
        <v>0.0</v>
      </c>
      <c r="J155" s="19">
        <v>0.0</v>
      </c>
      <c r="K155" s="19">
        <v>0.0</v>
      </c>
      <c r="L155" s="18">
        <v>0.54</v>
      </c>
      <c r="M155" s="18">
        <v>1.7</v>
      </c>
      <c r="N155" s="18">
        <v>0.14</v>
      </c>
      <c r="O155" s="18">
        <v>5.65</v>
      </c>
      <c r="P155" s="18">
        <v>0.2</v>
      </c>
      <c r="Q155" s="18">
        <v>0.75</v>
      </c>
      <c r="R155" s="36"/>
      <c r="S155" s="36"/>
      <c r="T155" s="19">
        <v>0.0</v>
      </c>
      <c r="U155" s="20" t="s">
        <v>5223</v>
      </c>
    </row>
    <row r="156">
      <c r="A156" s="50">
        <v>149.0</v>
      </c>
      <c r="B156" s="13" t="s">
        <v>5224</v>
      </c>
      <c r="C156" s="11" t="s">
        <v>5225</v>
      </c>
      <c r="D156" s="12" t="s">
        <v>98</v>
      </c>
      <c r="E156" s="13" t="s">
        <v>5226</v>
      </c>
      <c r="F156" s="12">
        <v>22.0</v>
      </c>
      <c r="G156" s="12">
        <v>2003.0</v>
      </c>
      <c r="H156" s="15">
        <v>3.0</v>
      </c>
      <c r="I156" s="22">
        <v>0.0</v>
      </c>
      <c r="J156" s="19">
        <v>0.0</v>
      </c>
      <c r="K156" s="19">
        <v>0.0</v>
      </c>
      <c r="L156" s="19">
        <v>0.0</v>
      </c>
      <c r="M156" s="18">
        <v>0.33</v>
      </c>
      <c r="N156" s="19">
        <v>0.0</v>
      </c>
      <c r="O156" s="19">
        <v>0.0</v>
      </c>
      <c r="P156" s="19">
        <v>0.0</v>
      </c>
      <c r="Q156" s="19">
        <v>0.0</v>
      </c>
      <c r="R156" s="36"/>
      <c r="S156" s="36"/>
      <c r="T156" s="19">
        <v>0.0</v>
      </c>
      <c r="U156" s="20" t="s">
        <v>5227</v>
      </c>
    </row>
    <row r="157">
      <c r="A157" s="50">
        <v>150.0</v>
      </c>
      <c r="B157" s="13" t="s">
        <v>5228</v>
      </c>
      <c r="C157" s="11" t="s">
        <v>5229</v>
      </c>
      <c r="D157" s="12" t="s">
        <v>107</v>
      </c>
      <c r="E157" s="13" t="s">
        <v>5230</v>
      </c>
      <c r="F157" s="12">
        <v>22.0</v>
      </c>
      <c r="G157" s="12">
        <v>2003.0</v>
      </c>
      <c r="H157" s="21">
        <v>0.0</v>
      </c>
      <c r="I157" s="23">
        <v>0.0</v>
      </c>
      <c r="J157" s="21">
        <v>0.0</v>
      </c>
      <c r="K157" s="21">
        <v>0.0</v>
      </c>
      <c r="L157" s="21">
        <v>0.0</v>
      </c>
      <c r="M157" s="21">
        <v>0.0</v>
      </c>
      <c r="N157" s="21">
        <v>0.0</v>
      </c>
      <c r="O157" s="21">
        <v>0.0</v>
      </c>
      <c r="P157" s="21">
        <v>0.0</v>
      </c>
      <c r="Q157" s="21">
        <v>0.0</v>
      </c>
      <c r="R157" s="36"/>
      <c r="S157" s="36"/>
      <c r="T157" s="21">
        <v>0.0</v>
      </c>
      <c r="U157" s="20" t="s">
        <v>5231</v>
      </c>
    </row>
    <row r="158">
      <c r="A158" s="37" t="s">
        <v>3</v>
      </c>
      <c r="B158" s="51" t="s">
        <v>4</v>
      </c>
      <c r="C158" s="39" t="s">
        <v>5</v>
      </c>
      <c r="D158" s="39" t="s">
        <v>6</v>
      </c>
      <c r="E158" s="39" t="s">
        <v>7</v>
      </c>
      <c r="F158" s="39" t="s">
        <v>8</v>
      </c>
      <c r="G158" s="39" t="s">
        <v>9</v>
      </c>
      <c r="H158" s="39" t="s">
        <v>13</v>
      </c>
      <c r="I158" s="40" t="s">
        <v>20</v>
      </c>
      <c r="J158" s="39" t="s">
        <v>21</v>
      </c>
      <c r="K158" s="39" t="s">
        <v>4622</v>
      </c>
      <c r="L158" s="39" t="s">
        <v>4623</v>
      </c>
      <c r="M158" s="39" t="s">
        <v>4624</v>
      </c>
      <c r="N158" s="39" t="s">
        <v>4625</v>
      </c>
      <c r="O158" s="39" t="s">
        <v>4626</v>
      </c>
      <c r="P158" s="39" t="s">
        <v>4627</v>
      </c>
      <c r="Q158" s="39" t="s">
        <v>4628</v>
      </c>
      <c r="R158" s="39" t="s">
        <v>4629</v>
      </c>
      <c r="S158" s="39" t="s">
        <v>4630</v>
      </c>
      <c r="T158" s="39" t="s">
        <v>4631</v>
      </c>
      <c r="U158" s="40" t="s">
        <v>23</v>
      </c>
    </row>
    <row r="159">
      <c r="A159" s="50">
        <v>151.0</v>
      </c>
      <c r="B159" s="13" t="s">
        <v>5232</v>
      </c>
      <c r="C159" s="11" t="s">
        <v>5233</v>
      </c>
      <c r="D159" s="12" t="s">
        <v>31</v>
      </c>
      <c r="E159" s="13" t="s">
        <v>5234</v>
      </c>
      <c r="F159" s="12">
        <v>22.0</v>
      </c>
      <c r="G159" s="12">
        <v>2003.0</v>
      </c>
      <c r="H159" s="15">
        <v>1.2</v>
      </c>
      <c r="I159" s="22">
        <v>0.0</v>
      </c>
      <c r="J159" s="19">
        <v>0.0</v>
      </c>
      <c r="K159" s="19">
        <v>0.0</v>
      </c>
      <c r="L159" s="19">
        <v>0.0</v>
      </c>
      <c r="M159" s="18">
        <v>1.67</v>
      </c>
      <c r="N159" s="19">
        <v>0.0</v>
      </c>
      <c r="O159" s="18">
        <v>2.5</v>
      </c>
      <c r="P159" s="19">
        <v>0.0</v>
      </c>
      <c r="Q159" s="19">
        <v>0.0</v>
      </c>
      <c r="R159" s="36"/>
      <c r="S159" s="36"/>
      <c r="T159" s="19">
        <v>0.0</v>
      </c>
      <c r="U159" s="20" t="s">
        <v>5235</v>
      </c>
    </row>
    <row r="160">
      <c r="A160" s="50">
        <v>152.0</v>
      </c>
      <c r="B160" s="13" t="s">
        <v>5236</v>
      </c>
      <c r="C160" s="11" t="s">
        <v>5237</v>
      </c>
      <c r="D160" s="12" t="s">
        <v>36</v>
      </c>
      <c r="E160" s="13" t="s">
        <v>5238</v>
      </c>
      <c r="F160" s="12">
        <v>32.0</v>
      </c>
      <c r="G160" s="12">
        <v>1993.0</v>
      </c>
      <c r="H160" s="15">
        <v>1.9</v>
      </c>
      <c r="I160" s="17">
        <v>0.53</v>
      </c>
      <c r="J160" s="19">
        <v>0.0</v>
      </c>
      <c r="K160" s="19">
        <v>0.0</v>
      </c>
      <c r="L160" s="18">
        <v>1.05</v>
      </c>
      <c r="M160" s="18">
        <v>1.58</v>
      </c>
      <c r="N160" s="19">
        <v>0.0</v>
      </c>
      <c r="O160" s="18">
        <v>1.58</v>
      </c>
      <c r="P160" s="19">
        <v>0.0</v>
      </c>
      <c r="Q160" s="18">
        <v>1.58</v>
      </c>
      <c r="R160" s="36"/>
      <c r="S160" s="36"/>
      <c r="T160" s="19">
        <v>0.0</v>
      </c>
      <c r="U160" s="20" t="s">
        <v>5239</v>
      </c>
    </row>
    <row r="161">
      <c r="A161" s="50">
        <v>153.0</v>
      </c>
      <c r="B161" s="13" t="s">
        <v>5240</v>
      </c>
      <c r="C161" s="11" t="s">
        <v>5241</v>
      </c>
      <c r="D161" s="12" t="s">
        <v>31</v>
      </c>
      <c r="E161" s="13" t="s">
        <v>5242</v>
      </c>
      <c r="F161" s="12">
        <v>20.0</v>
      </c>
      <c r="G161" s="12">
        <v>2005.0</v>
      </c>
      <c r="H161" s="15">
        <v>0.5</v>
      </c>
      <c r="I161" s="22">
        <v>0.0</v>
      </c>
      <c r="J161" s="19">
        <v>0.0</v>
      </c>
      <c r="K161" s="19">
        <v>0.0</v>
      </c>
      <c r="L161" s="18">
        <v>4.0</v>
      </c>
      <c r="M161" s="18">
        <v>4.0</v>
      </c>
      <c r="N161" s="19">
        <v>0.0</v>
      </c>
      <c r="O161" s="18">
        <v>4.0</v>
      </c>
      <c r="P161" s="19">
        <v>0.0</v>
      </c>
      <c r="Q161" s="18">
        <v>2.0</v>
      </c>
      <c r="R161" s="36"/>
      <c r="S161" s="36"/>
      <c r="T161" s="19">
        <v>0.0</v>
      </c>
      <c r="U161" s="20" t="s">
        <v>5243</v>
      </c>
    </row>
    <row r="162">
      <c r="A162" s="50">
        <v>154.0</v>
      </c>
      <c r="B162" s="13" t="s">
        <v>5244</v>
      </c>
      <c r="C162" s="11" t="s">
        <v>5245</v>
      </c>
      <c r="D162" s="12" t="s">
        <v>31</v>
      </c>
      <c r="E162" s="13" t="s">
        <v>5246</v>
      </c>
      <c r="F162" s="12">
        <v>20.0</v>
      </c>
      <c r="G162" s="12">
        <v>2005.0</v>
      </c>
      <c r="H162" s="15">
        <v>0.3</v>
      </c>
      <c r="I162" s="17">
        <v>6.67</v>
      </c>
      <c r="J162" s="19">
        <v>0.0</v>
      </c>
      <c r="K162" s="19">
        <v>0.0</v>
      </c>
      <c r="L162" s="18">
        <v>10.0</v>
      </c>
      <c r="M162" s="18">
        <v>3.33</v>
      </c>
      <c r="N162" s="19">
        <v>0.0</v>
      </c>
      <c r="O162" s="19">
        <v>0.0</v>
      </c>
      <c r="P162" s="19">
        <v>0.0</v>
      </c>
      <c r="Q162" s="18">
        <v>10.0</v>
      </c>
      <c r="R162" s="36"/>
      <c r="S162" s="36"/>
      <c r="T162" s="19">
        <v>0.0</v>
      </c>
      <c r="U162" s="20" t="s">
        <v>5247</v>
      </c>
    </row>
    <row r="163">
      <c r="A163" s="50">
        <v>155.0</v>
      </c>
      <c r="B163" s="13" t="s">
        <v>5248</v>
      </c>
      <c r="C163" s="11" t="s">
        <v>5249</v>
      </c>
      <c r="D163" s="12" t="s">
        <v>36</v>
      </c>
      <c r="E163" s="13" t="s">
        <v>5250</v>
      </c>
      <c r="F163" s="12">
        <v>23.0</v>
      </c>
      <c r="G163" s="12">
        <v>2002.0</v>
      </c>
      <c r="H163" s="15">
        <v>32.6</v>
      </c>
      <c r="I163" s="17">
        <v>0.03</v>
      </c>
      <c r="J163" s="19">
        <v>0.0</v>
      </c>
      <c r="K163" s="19">
        <v>0.0</v>
      </c>
      <c r="L163" s="18">
        <v>0.4</v>
      </c>
      <c r="M163" s="18">
        <v>0.37</v>
      </c>
      <c r="N163" s="19">
        <v>0.0</v>
      </c>
      <c r="O163" s="18">
        <v>0.18</v>
      </c>
      <c r="P163" s="18">
        <v>1.13</v>
      </c>
      <c r="Q163" s="18">
        <v>0.83</v>
      </c>
      <c r="R163" s="36"/>
      <c r="S163" s="36"/>
      <c r="T163" s="18">
        <v>0.06</v>
      </c>
      <c r="U163" s="20" t="s">
        <v>5251</v>
      </c>
    </row>
    <row r="164">
      <c r="A164" s="50">
        <v>156.0</v>
      </c>
      <c r="B164" s="13" t="s">
        <v>5252</v>
      </c>
      <c r="C164" s="11" t="s">
        <v>5253</v>
      </c>
      <c r="D164" s="12" t="s">
        <v>41</v>
      </c>
      <c r="E164" s="13" t="s">
        <v>5254</v>
      </c>
      <c r="F164" s="12">
        <v>25.0</v>
      </c>
      <c r="G164" s="12">
        <v>1999.0</v>
      </c>
      <c r="H164" s="15">
        <v>30.5</v>
      </c>
      <c r="I164" s="17">
        <v>0.07</v>
      </c>
      <c r="J164" s="19">
        <v>0.0</v>
      </c>
      <c r="K164" s="19">
        <v>0.0</v>
      </c>
      <c r="L164" s="18">
        <v>0.85</v>
      </c>
      <c r="M164" s="18">
        <v>1.21</v>
      </c>
      <c r="N164" s="18">
        <v>0.92</v>
      </c>
      <c r="O164" s="18">
        <v>0.1</v>
      </c>
      <c r="P164" s="18">
        <v>0.2</v>
      </c>
      <c r="Q164" s="18">
        <v>0.16</v>
      </c>
      <c r="R164" s="36"/>
      <c r="S164" s="36"/>
      <c r="T164" s="19">
        <v>0.0</v>
      </c>
      <c r="U164" s="20" t="s">
        <v>5255</v>
      </c>
    </row>
    <row r="165">
      <c r="A165" s="50">
        <v>157.0</v>
      </c>
      <c r="B165" s="13" t="s">
        <v>5256</v>
      </c>
      <c r="C165" s="11" t="s">
        <v>5257</v>
      </c>
      <c r="D165" s="12" t="s">
        <v>31</v>
      </c>
      <c r="E165" s="13" t="s">
        <v>5258</v>
      </c>
      <c r="F165" s="12">
        <v>27.0</v>
      </c>
      <c r="G165" s="12">
        <v>1998.0</v>
      </c>
      <c r="H165" s="15">
        <v>0.9</v>
      </c>
      <c r="I165" s="22">
        <v>0.0</v>
      </c>
      <c r="J165" s="19">
        <v>0.0</v>
      </c>
      <c r="K165" s="19">
        <v>0.0</v>
      </c>
      <c r="L165" s="18">
        <v>2.22</v>
      </c>
      <c r="M165" s="18">
        <v>1.11</v>
      </c>
      <c r="N165" s="19">
        <v>0.0</v>
      </c>
      <c r="O165" s="18">
        <v>4.44</v>
      </c>
      <c r="P165" s="19">
        <v>0.0</v>
      </c>
      <c r="Q165" s="18">
        <v>1.11</v>
      </c>
      <c r="R165" s="36"/>
      <c r="S165" s="36"/>
      <c r="T165" s="19">
        <v>0.0</v>
      </c>
      <c r="U165" s="20" t="s">
        <v>5259</v>
      </c>
    </row>
    <row r="166">
      <c r="A166" s="50">
        <v>158.0</v>
      </c>
      <c r="B166" s="13" t="s">
        <v>5260</v>
      </c>
      <c r="C166" s="11" t="s">
        <v>5261</v>
      </c>
      <c r="D166" s="12" t="s">
        <v>26</v>
      </c>
      <c r="E166" s="13" t="s">
        <v>5262</v>
      </c>
      <c r="F166" s="12">
        <v>27.0</v>
      </c>
      <c r="G166" s="12">
        <v>1998.0</v>
      </c>
      <c r="H166" s="15">
        <v>20.1</v>
      </c>
      <c r="I166" s="17">
        <v>0.05</v>
      </c>
      <c r="J166" s="19">
        <v>0.0</v>
      </c>
      <c r="K166" s="19">
        <v>0.0</v>
      </c>
      <c r="L166" s="18">
        <v>0.7</v>
      </c>
      <c r="M166" s="18">
        <v>1.89</v>
      </c>
      <c r="N166" s="18">
        <v>0.05</v>
      </c>
      <c r="O166" s="18">
        <v>0.4</v>
      </c>
      <c r="P166" s="18">
        <v>0.55</v>
      </c>
      <c r="Q166" s="18">
        <v>0.65</v>
      </c>
      <c r="R166" s="36"/>
      <c r="S166" s="36"/>
      <c r="T166" s="19">
        <v>0.0</v>
      </c>
      <c r="U166" s="20" t="s">
        <v>5263</v>
      </c>
    </row>
    <row r="167">
      <c r="A167" s="50">
        <v>159.0</v>
      </c>
      <c r="B167" s="13" t="s">
        <v>5264</v>
      </c>
      <c r="C167" s="11" t="s">
        <v>5265</v>
      </c>
      <c r="D167" s="12" t="s">
        <v>31</v>
      </c>
      <c r="E167" s="13" t="s">
        <v>5266</v>
      </c>
      <c r="F167" s="12">
        <v>30.0</v>
      </c>
      <c r="G167" s="12">
        <v>1994.0</v>
      </c>
      <c r="H167" s="15">
        <v>34.0</v>
      </c>
      <c r="I167" s="17">
        <v>0.15</v>
      </c>
      <c r="J167" s="19">
        <v>0.0</v>
      </c>
      <c r="K167" s="19">
        <v>0.0</v>
      </c>
      <c r="L167" s="18">
        <v>0.71</v>
      </c>
      <c r="M167" s="18">
        <v>1.03</v>
      </c>
      <c r="N167" s="18">
        <v>0.12</v>
      </c>
      <c r="O167" s="18">
        <v>5.32</v>
      </c>
      <c r="P167" s="18">
        <v>0.62</v>
      </c>
      <c r="Q167" s="18">
        <v>1.03</v>
      </c>
      <c r="R167" s="36"/>
      <c r="S167" s="36"/>
      <c r="T167" s="19">
        <v>0.0</v>
      </c>
      <c r="U167" s="20" t="s">
        <v>5267</v>
      </c>
    </row>
    <row r="168">
      <c r="A168" s="50">
        <v>160.0</v>
      </c>
      <c r="B168" s="13" t="s">
        <v>5268</v>
      </c>
      <c r="C168" s="11" t="s">
        <v>5269</v>
      </c>
      <c r="D168" s="12" t="s">
        <v>31</v>
      </c>
      <c r="E168" s="13" t="s">
        <v>5270</v>
      </c>
      <c r="F168" s="12">
        <v>21.0</v>
      </c>
      <c r="G168" s="12">
        <v>2004.0</v>
      </c>
      <c r="H168" s="15">
        <v>33.5</v>
      </c>
      <c r="I168" s="17">
        <v>0.21</v>
      </c>
      <c r="J168" s="19">
        <v>0.0</v>
      </c>
      <c r="K168" s="19">
        <v>0.0</v>
      </c>
      <c r="L168" s="18">
        <v>1.46</v>
      </c>
      <c r="M168" s="18">
        <v>1.46</v>
      </c>
      <c r="N168" s="19">
        <v>0.0</v>
      </c>
      <c r="O168" s="18">
        <v>1.52</v>
      </c>
      <c r="P168" s="18">
        <v>1.07</v>
      </c>
      <c r="Q168" s="18">
        <v>2.0</v>
      </c>
      <c r="R168" s="36"/>
      <c r="S168" s="36"/>
      <c r="T168" s="19">
        <v>0.0</v>
      </c>
      <c r="U168" s="20" t="s">
        <v>5271</v>
      </c>
    </row>
    <row r="169">
      <c r="A169" s="50">
        <v>161.0</v>
      </c>
      <c r="B169" s="13" t="s">
        <v>5272</v>
      </c>
      <c r="C169" s="11" t="s">
        <v>5273</v>
      </c>
      <c r="D169" s="12" t="s">
        <v>31</v>
      </c>
      <c r="E169" s="13" t="s">
        <v>5274</v>
      </c>
      <c r="F169" s="12">
        <v>24.0</v>
      </c>
      <c r="G169" s="12">
        <v>2001.0</v>
      </c>
      <c r="H169" s="15">
        <v>34.6</v>
      </c>
      <c r="I169" s="17">
        <v>0.29</v>
      </c>
      <c r="J169" s="19">
        <v>0.0</v>
      </c>
      <c r="K169" s="19">
        <v>0.0</v>
      </c>
      <c r="L169" s="18">
        <v>1.04</v>
      </c>
      <c r="M169" s="18">
        <v>1.3</v>
      </c>
      <c r="N169" s="18">
        <v>0.03</v>
      </c>
      <c r="O169" s="18">
        <v>2.57</v>
      </c>
      <c r="P169" s="18">
        <v>0.58</v>
      </c>
      <c r="Q169" s="18">
        <v>0.69</v>
      </c>
      <c r="R169" s="36"/>
      <c r="S169" s="36"/>
      <c r="T169" s="19">
        <v>0.0</v>
      </c>
      <c r="U169" s="20" t="s">
        <v>5275</v>
      </c>
    </row>
    <row r="170">
      <c r="A170" s="50">
        <v>162.0</v>
      </c>
      <c r="B170" s="13" t="s">
        <v>5276</v>
      </c>
      <c r="C170" s="11" t="s">
        <v>5277</v>
      </c>
      <c r="D170" s="12" t="s">
        <v>41</v>
      </c>
      <c r="E170" s="13" t="s">
        <v>5278</v>
      </c>
      <c r="F170" s="12">
        <v>26.0</v>
      </c>
      <c r="G170" s="12">
        <v>1998.0</v>
      </c>
      <c r="H170" s="15">
        <v>19.6</v>
      </c>
      <c r="I170" s="17">
        <v>0.26</v>
      </c>
      <c r="J170" s="19">
        <v>0.0</v>
      </c>
      <c r="K170" s="19">
        <v>0.0</v>
      </c>
      <c r="L170" s="18">
        <v>2.6</v>
      </c>
      <c r="M170" s="18">
        <v>1.33</v>
      </c>
      <c r="N170" s="18">
        <v>0.15</v>
      </c>
      <c r="O170" s="18">
        <v>0.31</v>
      </c>
      <c r="P170" s="18">
        <v>0.31</v>
      </c>
      <c r="Q170" s="18">
        <v>0.51</v>
      </c>
      <c r="R170" s="36"/>
      <c r="S170" s="36"/>
      <c r="T170" s="19">
        <v>0.0</v>
      </c>
      <c r="U170" s="20" t="s">
        <v>5279</v>
      </c>
    </row>
    <row r="171">
      <c r="A171" s="50">
        <v>163.0</v>
      </c>
      <c r="B171" s="13" t="s">
        <v>5280</v>
      </c>
      <c r="C171" s="11" t="s">
        <v>5281</v>
      </c>
      <c r="D171" s="12" t="s">
        <v>31</v>
      </c>
      <c r="E171" s="13" t="s">
        <v>5282</v>
      </c>
      <c r="F171" s="12">
        <v>18.0</v>
      </c>
      <c r="G171" s="12">
        <v>2007.0</v>
      </c>
      <c r="H171" s="15">
        <v>1.2</v>
      </c>
      <c r="I171" s="22">
        <v>0.0</v>
      </c>
      <c r="J171" s="19">
        <v>0.0</v>
      </c>
      <c r="K171" s="19">
        <v>0.0</v>
      </c>
      <c r="L171" s="18">
        <v>1.67</v>
      </c>
      <c r="M171" s="18">
        <v>0.83</v>
      </c>
      <c r="N171" s="19">
        <v>0.0</v>
      </c>
      <c r="O171" s="19">
        <v>0.0</v>
      </c>
      <c r="P171" s="18">
        <v>0.83</v>
      </c>
      <c r="Q171" s="18">
        <v>0.83</v>
      </c>
      <c r="R171" s="36"/>
      <c r="S171" s="36"/>
      <c r="T171" s="19">
        <v>0.0</v>
      </c>
      <c r="U171" s="20" t="s">
        <v>5283</v>
      </c>
    </row>
    <row r="172">
      <c r="A172" s="50">
        <v>164.0</v>
      </c>
      <c r="B172" s="13" t="s">
        <v>5284</v>
      </c>
      <c r="C172" s="11" t="s">
        <v>5285</v>
      </c>
      <c r="D172" s="12" t="s">
        <v>31</v>
      </c>
      <c r="E172" s="13" t="s">
        <v>5286</v>
      </c>
      <c r="F172" s="12">
        <v>18.0</v>
      </c>
      <c r="G172" s="12">
        <v>2007.0</v>
      </c>
      <c r="H172" s="15">
        <v>0.2</v>
      </c>
      <c r="I172" s="22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36"/>
      <c r="S172" s="36"/>
      <c r="T172" s="19">
        <v>0.0</v>
      </c>
      <c r="U172" s="20" t="s">
        <v>5287</v>
      </c>
    </row>
    <row r="173">
      <c r="A173" s="50">
        <v>165.0</v>
      </c>
      <c r="B173" s="13" t="s">
        <v>5288</v>
      </c>
      <c r="C173" s="11" t="s">
        <v>5289</v>
      </c>
      <c r="D173" s="12" t="s">
        <v>31</v>
      </c>
      <c r="E173" s="13" t="s">
        <v>5290</v>
      </c>
      <c r="F173" s="12">
        <v>25.0</v>
      </c>
      <c r="G173" s="12">
        <v>2000.0</v>
      </c>
      <c r="H173" s="15">
        <v>23.2</v>
      </c>
      <c r="I173" s="17">
        <v>0.17</v>
      </c>
      <c r="J173" s="19">
        <v>0.0</v>
      </c>
      <c r="K173" s="19">
        <v>0.0</v>
      </c>
      <c r="L173" s="18">
        <v>0.78</v>
      </c>
      <c r="M173" s="18">
        <v>1.34</v>
      </c>
      <c r="N173" s="18">
        <v>0.13</v>
      </c>
      <c r="O173" s="18">
        <v>5.13</v>
      </c>
      <c r="P173" s="18">
        <v>0.43</v>
      </c>
      <c r="Q173" s="18">
        <v>0.69</v>
      </c>
      <c r="R173" s="36"/>
      <c r="S173" s="36"/>
      <c r="T173" s="19">
        <v>0.0</v>
      </c>
      <c r="U173" s="20" t="s">
        <v>5291</v>
      </c>
    </row>
    <row r="174">
      <c r="A174" s="50">
        <v>166.0</v>
      </c>
      <c r="B174" s="13" t="s">
        <v>5292</v>
      </c>
      <c r="C174" s="11" t="s">
        <v>5293</v>
      </c>
      <c r="D174" s="12" t="s">
        <v>36</v>
      </c>
      <c r="E174" s="13" t="s">
        <v>5294</v>
      </c>
      <c r="F174" s="12">
        <v>24.0</v>
      </c>
      <c r="G174" s="12">
        <v>2000.0</v>
      </c>
      <c r="H174" s="15">
        <v>19.1</v>
      </c>
      <c r="I174" s="17">
        <v>0.47</v>
      </c>
      <c r="J174" s="18">
        <v>0.1</v>
      </c>
      <c r="K174" s="18">
        <v>0.1</v>
      </c>
      <c r="L174" s="18">
        <v>1.41</v>
      </c>
      <c r="M174" s="18">
        <v>0.89</v>
      </c>
      <c r="N174" s="18">
        <v>0.05</v>
      </c>
      <c r="O174" s="18">
        <v>0.1</v>
      </c>
      <c r="P174" s="18">
        <v>1.99</v>
      </c>
      <c r="Q174" s="18">
        <v>0.58</v>
      </c>
      <c r="R174" s="36"/>
      <c r="S174" s="36"/>
      <c r="T174" s="19">
        <v>0.0</v>
      </c>
      <c r="U174" s="20" t="s">
        <v>5295</v>
      </c>
    </row>
    <row r="175">
      <c r="A175" s="50">
        <v>167.0</v>
      </c>
      <c r="B175" s="13" t="s">
        <v>5296</v>
      </c>
      <c r="C175" s="11" t="s">
        <v>5297</v>
      </c>
      <c r="D175" s="12" t="s">
        <v>107</v>
      </c>
      <c r="E175" s="13" t="s">
        <v>5298</v>
      </c>
      <c r="F175" s="12">
        <v>24.0</v>
      </c>
      <c r="G175" s="12">
        <v>2000.0</v>
      </c>
      <c r="H175" s="15">
        <v>15.2</v>
      </c>
      <c r="I175" s="17">
        <v>0.26</v>
      </c>
      <c r="J175" s="19">
        <v>0.0</v>
      </c>
      <c r="K175" s="19">
        <v>0.0</v>
      </c>
      <c r="L175" s="18">
        <v>1.45</v>
      </c>
      <c r="M175" s="18">
        <v>0.86</v>
      </c>
      <c r="N175" s="18">
        <v>0.72</v>
      </c>
      <c r="O175" s="18">
        <v>0.39</v>
      </c>
      <c r="P175" s="18">
        <v>0.26</v>
      </c>
      <c r="Q175" s="18">
        <v>0.79</v>
      </c>
      <c r="R175" s="36"/>
      <c r="S175" s="36"/>
      <c r="T175" s="19">
        <v>0.0</v>
      </c>
      <c r="U175" s="20" t="s">
        <v>5299</v>
      </c>
    </row>
    <row r="176">
      <c r="A176" s="50">
        <v>168.0</v>
      </c>
      <c r="B176" s="13" t="s">
        <v>5300</v>
      </c>
      <c r="C176" s="11" t="s">
        <v>5301</v>
      </c>
      <c r="D176" s="12" t="s">
        <v>36</v>
      </c>
      <c r="E176" s="13" t="s">
        <v>5302</v>
      </c>
      <c r="F176" s="12">
        <v>20.0</v>
      </c>
      <c r="G176" s="12">
        <v>2005.0</v>
      </c>
      <c r="H176" s="21">
        <v>0.0</v>
      </c>
      <c r="I176" s="23">
        <v>0.0</v>
      </c>
      <c r="J176" s="21">
        <v>0.0</v>
      </c>
      <c r="K176" s="21">
        <v>0.0</v>
      </c>
      <c r="L176" s="21">
        <v>0.0</v>
      </c>
      <c r="M176" s="21">
        <v>0.0</v>
      </c>
      <c r="N176" s="21">
        <v>0.0</v>
      </c>
      <c r="O176" s="21">
        <v>0.0</v>
      </c>
      <c r="P176" s="21">
        <v>0.0</v>
      </c>
      <c r="Q176" s="21">
        <v>0.0</v>
      </c>
      <c r="R176" s="36"/>
      <c r="S176" s="36"/>
      <c r="T176" s="21">
        <v>0.0</v>
      </c>
      <c r="U176" s="20" t="s">
        <v>5303</v>
      </c>
    </row>
    <row r="177">
      <c r="A177" s="50">
        <v>169.0</v>
      </c>
      <c r="B177" s="13" t="s">
        <v>5304</v>
      </c>
      <c r="C177" s="11" t="s">
        <v>5305</v>
      </c>
      <c r="D177" s="12" t="s">
        <v>345</v>
      </c>
      <c r="E177" s="13" t="s">
        <v>5306</v>
      </c>
      <c r="F177" s="12">
        <v>24.0</v>
      </c>
      <c r="G177" s="12">
        <v>2000.0</v>
      </c>
      <c r="H177" s="15">
        <v>11.6</v>
      </c>
      <c r="I177" s="17">
        <v>0.09</v>
      </c>
      <c r="J177" s="19">
        <v>0.0</v>
      </c>
      <c r="K177" s="19">
        <v>0.0</v>
      </c>
      <c r="L177" s="18">
        <v>0.69</v>
      </c>
      <c r="M177" s="18">
        <v>1.81</v>
      </c>
      <c r="N177" s="18">
        <v>0.34</v>
      </c>
      <c r="O177" s="18">
        <v>4.4</v>
      </c>
      <c r="P177" s="18">
        <v>0.52</v>
      </c>
      <c r="Q177" s="18">
        <v>0.78</v>
      </c>
      <c r="R177" s="36"/>
      <c r="S177" s="36"/>
      <c r="T177" s="19">
        <v>0.0</v>
      </c>
      <c r="U177" s="20" t="s">
        <v>5307</v>
      </c>
    </row>
    <row r="178">
      <c r="A178" s="50">
        <v>170.0</v>
      </c>
      <c r="B178" s="13" t="s">
        <v>5308</v>
      </c>
      <c r="C178" s="11" t="s">
        <v>5309</v>
      </c>
      <c r="D178" s="12" t="s">
        <v>41</v>
      </c>
      <c r="E178" s="13" t="s">
        <v>5310</v>
      </c>
      <c r="F178" s="12">
        <v>32.0</v>
      </c>
      <c r="G178" s="12">
        <v>1993.0</v>
      </c>
      <c r="H178" s="15">
        <v>4.5</v>
      </c>
      <c r="I178" s="22">
        <v>0.0</v>
      </c>
      <c r="J178" s="19">
        <v>0.0</v>
      </c>
      <c r="K178" s="19">
        <v>0.0</v>
      </c>
      <c r="L178" s="18">
        <v>2.44</v>
      </c>
      <c r="M178" s="18">
        <v>0.22</v>
      </c>
      <c r="N178" s="18">
        <v>0.44</v>
      </c>
      <c r="O178" s="19">
        <v>0.0</v>
      </c>
      <c r="P178" s="18">
        <v>0.44</v>
      </c>
      <c r="Q178" s="18">
        <v>0.22</v>
      </c>
      <c r="R178" s="36"/>
      <c r="S178" s="36"/>
      <c r="T178" s="19">
        <v>0.0</v>
      </c>
      <c r="U178" s="20" t="s">
        <v>5311</v>
      </c>
    </row>
    <row r="179">
      <c r="A179" s="50">
        <v>171.0</v>
      </c>
      <c r="B179" s="13" t="s">
        <v>5312</v>
      </c>
      <c r="C179" s="11" t="s">
        <v>5313</v>
      </c>
      <c r="D179" s="12" t="s">
        <v>41</v>
      </c>
      <c r="E179" s="13" t="s">
        <v>5314</v>
      </c>
      <c r="F179" s="12">
        <v>18.0</v>
      </c>
      <c r="G179" s="12">
        <v>2007.0</v>
      </c>
      <c r="H179" s="21">
        <v>0.0</v>
      </c>
      <c r="I179" s="23">
        <v>0.0</v>
      </c>
      <c r="J179" s="21">
        <v>0.0</v>
      </c>
      <c r="K179" s="21">
        <v>0.0</v>
      </c>
      <c r="L179" s="15">
        <v>1.0</v>
      </c>
      <c r="M179" s="21">
        <v>0.0</v>
      </c>
      <c r="N179" s="21">
        <v>0.0</v>
      </c>
      <c r="O179" s="21">
        <v>0.0</v>
      </c>
      <c r="P179" s="21">
        <v>0.0</v>
      </c>
      <c r="Q179" s="21">
        <v>0.0</v>
      </c>
      <c r="R179" s="36"/>
      <c r="S179" s="36"/>
      <c r="T179" s="21">
        <v>0.0</v>
      </c>
      <c r="U179" s="20" t="s">
        <v>5315</v>
      </c>
    </row>
    <row r="180">
      <c r="A180" s="50">
        <v>172.0</v>
      </c>
      <c r="B180" s="13" t="s">
        <v>5316</v>
      </c>
      <c r="C180" s="11" t="s">
        <v>5317</v>
      </c>
      <c r="D180" s="12" t="s">
        <v>26</v>
      </c>
      <c r="E180" s="13" t="s">
        <v>5318</v>
      </c>
      <c r="F180" s="12">
        <v>26.0</v>
      </c>
      <c r="G180" s="12">
        <v>1999.0</v>
      </c>
      <c r="H180" s="15">
        <v>30.4</v>
      </c>
      <c r="I180" s="17">
        <v>0.1</v>
      </c>
      <c r="J180" s="19">
        <v>0.0</v>
      </c>
      <c r="K180" s="19">
        <v>0.0</v>
      </c>
      <c r="L180" s="18">
        <v>1.38</v>
      </c>
      <c r="M180" s="18">
        <v>1.45</v>
      </c>
      <c r="N180" s="18">
        <v>0.99</v>
      </c>
      <c r="O180" s="18">
        <v>2.83</v>
      </c>
      <c r="P180" s="18">
        <v>0.39</v>
      </c>
      <c r="Q180" s="18">
        <v>0.49</v>
      </c>
      <c r="R180" s="36"/>
      <c r="S180" s="36"/>
      <c r="T180" s="19">
        <v>0.0</v>
      </c>
      <c r="U180" s="20" t="s">
        <v>5319</v>
      </c>
    </row>
    <row r="181">
      <c r="A181" s="50">
        <v>173.0</v>
      </c>
      <c r="B181" s="13" t="s">
        <v>5320</v>
      </c>
      <c r="C181" s="11" t="s">
        <v>5321</v>
      </c>
      <c r="D181" s="12" t="s">
        <v>31</v>
      </c>
      <c r="E181" s="13" t="s">
        <v>5322</v>
      </c>
      <c r="F181" s="12">
        <v>25.0</v>
      </c>
      <c r="G181" s="12">
        <v>2000.0</v>
      </c>
      <c r="H181" s="15">
        <v>13.2</v>
      </c>
      <c r="I181" s="17">
        <v>0.15</v>
      </c>
      <c r="J181" s="19">
        <v>0.0</v>
      </c>
      <c r="K181" s="19">
        <v>0.0</v>
      </c>
      <c r="L181" s="18">
        <v>1.89</v>
      </c>
      <c r="M181" s="18">
        <v>1.74</v>
      </c>
      <c r="N181" s="18">
        <v>0.08</v>
      </c>
      <c r="O181" s="18">
        <v>1.74</v>
      </c>
      <c r="P181" s="18">
        <v>1.36</v>
      </c>
      <c r="Q181" s="18">
        <v>1.06</v>
      </c>
      <c r="R181" s="36"/>
      <c r="S181" s="36"/>
      <c r="T181" s="19">
        <v>0.0</v>
      </c>
      <c r="U181" s="20" t="s">
        <v>5323</v>
      </c>
    </row>
    <row r="182">
      <c r="A182" s="50">
        <v>174.0</v>
      </c>
      <c r="B182" s="13" t="s">
        <v>5324</v>
      </c>
      <c r="C182" s="11" t="s">
        <v>5325</v>
      </c>
      <c r="D182" s="12" t="s">
        <v>31</v>
      </c>
      <c r="E182" s="13" t="s">
        <v>5326</v>
      </c>
      <c r="F182" s="12">
        <v>35.0</v>
      </c>
      <c r="G182" s="12">
        <v>1989.0</v>
      </c>
      <c r="H182" s="15">
        <v>23.3</v>
      </c>
      <c r="I182" s="17">
        <v>0.04</v>
      </c>
      <c r="J182" s="18">
        <v>0.04</v>
      </c>
      <c r="K182" s="19">
        <v>0.0</v>
      </c>
      <c r="L182" s="18">
        <v>0.9</v>
      </c>
      <c r="M182" s="18">
        <v>1.33</v>
      </c>
      <c r="N182" s="19">
        <v>0.0</v>
      </c>
      <c r="O182" s="18">
        <v>0.82</v>
      </c>
      <c r="P182" s="18">
        <v>1.24</v>
      </c>
      <c r="Q182" s="18">
        <v>0.9</v>
      </c>
      <c r="R182" s="36"/>
      <c r="S182" s="36"/>
      <c r="T182" s="19">
        <v>0.0</v>
      </c>
      <c r="U182" s="20" t="s">
        <v>5327</v>
      </c>
    </row>
    <row r="183">
      <c r="A183" s="50">
        <v>175.0</v>
      </c>
      <c r="B183" s="13" t="s">
        <v>5328</v>
      </c>
      <c r="C183" s="11" t="s">
        <v>5329</v>
      </c>
      <c r="D183" s="12" t="s">
        <v>31</v>
      </c>
      <c r="E183" s="13" t="s">
        <v>5330</v>
      </c>
      <c r="F183" s="12">
        <v>19.0</v>
      </c>
      <c r="G183" s="12">
        <v>2005.0</v>
      </c>
      <c r="H183" s="15">
        <v>1.3</v>
      </c>
      <c r="I183" s="22">
        <v>0.0</v>
      </c>
      <c r="J183" s="19">
        <v>0.0</v>
      </c>
      <c r="K183" s="19">
        <v>0.0</v>
      </c>
      <c r="L183" s="18">
        <v>2.31</v>
      </c>
      <c r="M183" s="18">
        <v>0.77</v>
      </c>
      <c r="N183" s="19">
        <v>0.0</v>
      </c>
      <c r="O183" s="18">
        <v>3.08</v>
      </c>
      <c r="P183" s="18">
        <v>0.77</v>
      </c>
      <c r="Q183" s="18">
        <v>1.54</v>
      </c>
      <c r="R183" s="36"/>
      <c r="S183" s="36"/>
      <c r="T183" s="19">
        <v>0.0</v>
      </c>
      <c r="U183" s="20" t="s">
        <v>5331</v>
      </c>
    </row>
    <row r="184">
      <c r="A184" s="37" t="s">
        <v>3</v>
      </c>
      <c r="B184" s="51" t="s">
        <v>4</v>
      </c>
      <c r="C184" s="39" t="s">
        <v>5</v>
      </c>
      <c r="D184" s="39" t="s">
        <v>6</v>
      </c>
      <c r="E184" s="39" t="s">
        <v>7</v>
      </c>
      <c r="F184" s="39" t="s">
        <v>8</v>
      </c>
      <c r="G184" s="39" t="s">
        <v>9</v>
      </c>
      <c r="H184" s="39" t="s">
        <v>13</v>
      </c>
      <c r="I184" s="40" t="s">
        <v>20</v>
      </c>
      <c r="J184" s="39" t="s">
        <v>21</v>
      </c>
      <c r="K184" s="39" t="s">
        <v>4622</v>
      </c>
      <c r="L184" s="39" t="s">
        <v>4623</v>
      </c>
      <c r="M184" s="39" t="s">
        <v>4624</v>
      </c>
      <c r="N184" s="39" t="s">
        <v>4625</v>
      </c>
      <c r="O184" s="39" t="s">
        <v>4626</v>
      </c>
      <c r="P184" s="39" t="s">
        <v>4627</v>
      </c>
      <c r="Q184" s="39" t="s">
        <v>4628</v>
      </c>
      <c r="R184" s="39" t="s">
        <v>4629</v>
      </c>
      <c r="S184" s="39" t="s">
        <v>4630</v>
      </c>
      <c r="T184" s="39" t="s">
        <v>4631</v>
      </c>
      <c r="U184" s="40" t="s">
        <v>23</v>
      </c>
    </row>
    <row r="185">
      <c r="A185" s="50">
        <v>176.0</v>
      </c>
      <c r="B185" s="13" t="s">
        <v>5332</v>
      </c>
      <c r="C185" s="11" t="s">
        <v>5333</v>
      </c>
      <c r="D185" s="12" t="s">
        <v>36</v>
      </c>
      <c r="E185" s="13" t="s">
        <v>5334</v>
      </c>
      <c r="F185" s="12">
        <v>22.0</v>
      </c>
      <c r="G185" s="12">
        <v>2003.0</v>
      </c>
      <c r="H185" s="15">
        <v>1.0</v>
      </c>
      <c r="I185" s="22">
        <v>0.0</v>
      </c>
      <c r="J185" s="19">
        <v>0.0</v>
      </c>
      <c r="K185" s="19">
        <v>0.0</v>
      </c>
      <c r="L185" s="18">
        <v>1.0</v>
      </c>
      <c r="M185" s="19">
        <v>0.0</v>
      </c>
      <c r="N185" s="19">
        <v>0.0</v>
      </c>
      <c r="O185" s="18">
        <v>4.0</v>
      </c>
      <c r="P185" s="19">
        <v>0.0</v>
      </c>
      <c r="Q185" s="18">
        <v>4.0</v>
      </c>
      <c r="R185" s="36"/>
      <c r="S185" s="36"/>
      <c r="T185" s="19">
        <v>0.0</v>
      </c>
      <c r="U185" s="20" t="s">
        <v>5335</v>
      </c>
    </row>
    <row r="186">
      <c r="A186" s="50">
        <v>177.0</v>
      </c>
      <c r="B186" s="13" t="s">
        <v>5336</v>
      </c>
      <c r="C186" s="11" t="s">
        <v>5337</v>
      </c>
      <c r="D186" s="12" t="s">
        <v>31</v>
      </c>
      <c r="E186" s="13" t="s">
        <v>5338</v>
      </c>
      <c r="F186" s="12">
        <v>21.0</v>
      </c>
      <c r="G186" s="12">
        <v>2004.0</v>
      </c>
      <c r="H186" s="15">
        <v>14.1</v>
      </c>
      <c r="I186" s="17">
        <v>0.14</v>
      </c>
      <c r="J186" s="19">
        <v>0.0</v>
      </c>
      <c r="K186" s="19">
        <v>0.0</v>
      </c>
      <c r="L186" s="18">
        <v>0.64</v>
      </c>
      <c r="M186" s="18">
        <v>1.63</v>
      </c>
      <c r="N186" s="18">
        <v>0.14</v>
      </c>
      <c r="O186" s="18">
        <v>4.33</v>
      </c>
      <c r="P186" s="18">
        <v>0.28</v>
      </c>
      <c r="Q186" s="18">
        <v>0.92</v>
      </c>
      <c r="R186" s="36"/>
      <c r="S186" s="36"/>
      <c r="T186" s="19">
        <v>0.0</v>
      </c>
      <c r="U186" s="20" t="s">
        <v>5339</v>
      </c>
    </row>
    <row r="187">
      <c r="A187" s="50">
        <v>178.0</v>
      </c>
      <c r="B187" s="13" t="s">
        <v>5340</v>
      </c>
      <c r="C187" s="11" t="s">
        <v>5341</v>
      </c>
      <c r="D187" s="12" t="s">
        <v>264</v>
      </c>
      <c r="E187" s="13" t="s">
        <v>5342</v>
      </c>
      <c r="F187" s="12">
        <v>24.0</v>
      </c>
      <c r="G187" s="12">
        <v>2001.0</v>
      </c>
      <c r="H187" s="15">
        <v>37.9</v>
      </c>
      <c r="I187" s="17">
        <v>0.32</v>
      </c>
      <c r="J187" s="19">
        <v>0.0</v>
      </c>
      <c r="K187" s="19">
        <v>0.0</v>
      </c>
      <c r="L187" s="18">
        <v>1.03</v>
      </c>
      <c r="M187" s="18">
        <v>1.11</v>
      </c>
      <c r="N187" s="19">
        <v>0.0</v>
      </c>
      <c r="O187" s="18">
        <v>5.41</v>
      </c>
      <c r="P187" s="18">
        <v>1.5</v>
      </c>
      <c r="Q187" s="18">
        <v>1.9</v>
      </c>
      <c r="R187" s="36"/>
      <c r="S187" s="36"/>
      <c r="T187" s="19">
        <v>0.0</v>
      </c>
      <c r="U187" s="20" t="s">
        <v>5343</v>
      </c>
    </row>
    <row r="188">
      <c r="A188" s="50">
        <v>179.0</v>
      </c>
      <c r="B188" s="13" t="s">
        <v>5344</v>
      </c>
      <c r="C188" s="11" t="s">
        <v>5345</v>
      </c>
      <c r="D188" s="12" t="s">
        <v>345</v>
      </c>
      <c r="E188" s="13" t="s">
        <v>5346</v>
      </c>
      <c r="F188" s="12">
        <v>25.0</v>
      </c>
      <c r="G188" s="12">
        <v>2000.0</v>
      </c>
      <c r="H188" s="15">
        <v>18.8</v>
      </c>
      <c r="I188" s="17">
        <v>0.11</v>
      </c>
      <c r="J188" s="19">
        <v>0.0</v>
      </c>
      <c r="K188" s="19">
        <v>0.0</v>
      </c>
      <c r="L188" s="18">
        <v>0.8</v>
      </c>
      <c r="M188" s="18">
        <v>0.37</v>
      </c>
      <c r="N188" s="18">
        <v>0.05</v>
      </c>
      <c r="O188" s="18">
        <v>0.48</v>
      </c>
      <c r="P188" s="18">
        <v>1.06</v>
      </c>
      <c r="Q188" s="18">
        <v>1.17</v>
      </c>
      <c r="R188" s="36"/>
      <c r="S188" s="36"/>
      <c r="T188" s="19">
        <v>0.0</v>
      </c>
      <c r="U188" s="20" t="s">
        <v>5347</v>
      </c>
    </row>
    <row r="189">
      <c r="A189" s="50">
        <v>180.0</v>
      </c>
      <c r="B189" s="13" t="s">
        <v>5348</v>
      </c>
      <c r="C189" s="11" t="s">
        <v>5349</v>
      </c>
      <c r="D189" s="12" t="s">
        <v>41</v>
      </c>
      <c r="E189" s="13" t="s">
        <v>5350</v>
      </c>
      <c r="F189" s="12">
        <v>19.0</v>
      </c>
      <c r="G189" s="12">
        <v>2006.0</v>
      </c>
      <c r="H189" s="15">
        <v>1.6</v>
      </c>
      <c r="I189" s="17">
        <v>1.25</v>
      </c>
      <c r="J189" s="19">
        <v>0.0</v>
      </c>
      <c r="K189" s="19">
        <v>0.0</v>
      </c>
      <c r="L189" s="18">
        <v>3.75</v>
      </c>
      <c r="M189" s="18">
        <v>0.63</v>
      </c>
      <c r="N189" s="18">
        <v>1.25</v>
      </c>
      <c r="O189" s="18">
        <v>0.63</v>
      </c>
      <c r="P189" s="19">
        <v>0.0</v>
      </c>
      <c r="Q189" s="18">
        <v>1.25</v>
      </c>
      <c r="R189" s="36"/>
      <c r="S189" s="36"/>
      <c r="T189" s="19">
        <v>0.0</v>
      </c>
      <c r="U189" s="20" t="s">
        <v>5351</v>
      </c>
    </row>
    <row r="190">
      <c r="A190" s="50">
        <v>181.0</v>
      </c>
      <c r="B190" s="13" t="s">
        <v>5352</v>
      </c>
      <c r="C190" s="11" t="s">
        <v>5353</v>
      </c>
      <c r="D190" s="12" t="s">
        <v>31</v>
      </c>
      <c r="E190" s="13" t="s">
        <v>5354</v>
      </c>
      <c r="F190" s="12">
        <v>19.0</v>
      </c>
      <c r="G190" s="12">
        <v>2006.0</v>
      </c>
      <c r="H190" s="15">
        <v>2.4</v>
      </c>
      <c r="I190" s="22">
        <v>0.0</v>
      </c>
      <c r="J190" s="19">
        <v>0.0</v>
      </c>
      <c r="K190" s="19">
        <v>0.0</v>
      </c>
      <c r="L190" s="18">
        <v>1.25</v>
      </c>
      <c r="M190" s="18">
        <v>0.42</v>
      </c>
      <c r="N190" s="18">
        <v>0.83</v>
      </c>
      <c r="O190" s="18">
        <v>4.17</v>
      </c>
      <c r="P190" s="18">
        <v>0.83</v>
      </c>
      <c r="Q190" s="18">
        <v>1.25</v>
      </c>
      <c r="R190" s="36"/>
      <c r="S190" s="36"/>
      <c r="T190" s="19">
        <v>0.0</v>
      </c>
      <c r="U190" s="20" t="s">
        <v>5355</v>
      </c>
    </row>
    <row r="191">
      <c r="A191" s="50">
        <v>182.0</v>
      </c>
      <c r="B191" s="13" t="s">
        <v>5356</v>
      </c>
      <c r="C191" s="11" t="s">
        <v>5357</v>
      </c>
      <c r="D191" s="12" t="s">
        <v>31</v>
      </c>
      <c r="E191" s="13" t="s">
        <v>5358</v>
      </c>
      <c r="F191" s="12">
        <v>25.0</v>
      </c>
      <c r="G191" s="12">
        <v>2000.0</v>
      </c>
      <c r="H191" s="15">
        <v>34.4</v>
      </c>
      <c r="I191" s="17">
        <v>0.03</v>
      </c>
      <c r="J191" s="19">
        <v>0.0</v>
      </c>
      <c r="K191" s="19">
        <v>0.0</v>
      </c>
      <c r="L191" s="18">
        <v>0.76</v>
      </c>
      <c r="M191" s="18">
        <v>1.19</v>
      </c>
      <c r="N191" s="18">
        <v>0.15</v>
      </c>
      <c r="O191" s="18">
        <v>1.22</v>
      </c>
      <c r="P191" s="18">
        <v>0.35</v>
      </c>
      <c r="Q191" s="18">
        <v>0.47</v>
      </c>
      <c r="R191" s="36"/>
      <c r="S191" s="36"/>
      <c r="T191" s="19">
        <v>0.0</v>
      </c>
      <c r="U191" s="20" t="s">
        <v>5359</v>
      </c>
    </row>
    <row r="192">
      <c r="A192" s="50">
        <v>183.0</v>
      </c>
      <c r="B192" s="13" t="s">
        <v>5360</v>
      </c>
      <c r="C192" s="11" t="s">
        <v>5361</v>
      </c>
      <c r="D192" s="12" t="s">
        <v>31</v>
      </c>
      <c r="E192" s="13" t="s">
        <v>5362</v>
      </c>
      <c r="F192" s="12">
        <v>20.0</v>
      </c>
      <c r="G192" s="12">
        <v>2004.0</v>
      </c>
      <c r="H192" s="15">
        <v>5.5</v>
      </c>
      <c r="I192" s="22">
        <v>0.0</v>
      </c>
      <c r="J192" s="19">
        <v>0.0</v>
      </c>
      <c r="K192" s="19">
        <v>0.0</v>
      </c>
      <c r="L192" s="18">
        <v>1.09</v>
      </c>
      <c r="M192" s="18">
        <v>1.45</v>
      </c>
      <c r="N192" s="18">
        <v>0.36</v>
      </c>
      <c r="O192" s="18">
        <v>2.36</v>
      </c>
      <c r="P192" s="18">
        <v>0.36</v>
      </c>
      <c r="Q192" s="18">
        <v>0.73</v>
      </c>
      <c r="R192" s="36"/>
      <c r="S192" s="36"/>
      <c r="T192" s="19">
        <v>0.0</v>
      </c>
      <c r="U192" s="20" t="s">
        <v>5363</v>
      </c>
    </row>
    <row r="193">
      <c r="A193" s="50">
        <v>184.0</v>
      </c>
      <c r="B193" s="13" t="s">
        <v>5364</v>
      </c>
      <c r="C193" s="11" t="s">
        <v>5365</v>
      </c>
      <c r="D193" s="12" t="s">
        <v>41</v>
      </c>
      <c r="E193" s="13" t="s">
        <v>5366</v>
      </c>
      <c r="F193" s="12">
        <v>21.0</v>
      </c>
      <c r="G193" s="12">
        <v>2003.0</v>
      </c>
      <c r="H193" s="15">
        <v>6.0</v>
      </c>
      <c r="I193" s="17">
        <v>0.5</v>
      </c>
      <c r="J193" s="19">
        <v>0.0</v>
      </c>
      <c r="K193" s="19">
        <v>0.0</v>
      </c>
      <c r="L193" s="18">
        <v>1.17</v>
      </c>
      <c r="M193" s="18">
        <v>1.83</v>
      </c>
      <c r="N193" s="19">
        <v>0.0</v>
      </c>
      <c r="O193" s="18">
        <v>3.33</v>
      </c>
      <c r="P193" s="18">
        <v>0.5</v>
      </c>
      <c r="Q193" s="18">
        <v>2.17</v>
      </c>
      <c r="R193" s="36"/>
      <c r="S193" s="36"/>
      <c r="T193" s="19">
        <v>0.0</v>
      </c>
      <c r="U193" s="20" t="s">
        <v>5367</v>
      </c>
    </row>
    <row r="194">
      <c r="A194" s="50">
        <v>185.0</v>
      </c>
      <c r="B194" s="13" t="s">
        <v>5368</v>
      </c>
      <c r="C194" s="11" t="s">
        <v>5369</v>
      </c>
      <c r="D194" s="12" t="s">
        <v>26</v>
      </c>
      <c r="E194" s="13" t="s">
        <v>5370</v>
      </c>
      <c r="F194" s="12">
        <v>24.0</v>
      </c>
      <c r="G194" s="12">
        <v>2000.0</v>
      </c>
      <c r="H194" s="15">
        <v>5.1</v>
      </c>
      <c r="I194" s="17">
        <v>0.2</v>
      </c>
      <c r="J194" s="19">
        <v>0.0</v>
      </c>
      <c r="K194" s="19">
        <v>0.0</v>
      </c>
      <c r="L194" s="18">
        <v>1.37</v>
      </c>
      <c r="M194" s="18">
        <v>1.76</v>
      </c>
      <c r="N194" s="19">
        <v>0.0</v>
      </c>
      <c r="O194" s="18">
        <v>2.35</v>
      </c>
      <c r="P194" s="18">
        <v>0.2</v>
      </c>
      <c r="Q194" s="18">
        <v>0.98</v>
      </c>
      <c r="R194" s="36"/>
      <c r="S194" s="36"/>
      <c r="T194" s="19">
        <v>0.0</v>
      </c>
      <c r="U194" s="20" t="s">
        <v>5371</v>
      </c>
    </row>
    <row r="195">
      <c r="A195" s="50">
        <v>186.0</v>
      </c>
      <c r="B195" s="13" t="s">
        <v>5372</v>
      </c>
      <c r="C195" s="11" t="s">
        <v>5373</v>
      </c>
      <c r="D195" s="12" t="s">
        <v>31</v>
      </c>
      <c r="E195" s="13" t="s">
        <v>5374</v>
      </c>
      <c r="F195" s="12">
        <v>24.0</v>
      </c>
      <c r="G195" s="12">
        <v>2001.0</v>
      </c>
      <c r="H195" s="15">
        <v>31.4</v>
      </c>
      <c r="I195" s="17">
        <v>0.32</v>
      </c>
      <c r="J195" s="19">
        <v>0.0</v>
      </c>
      <c r="K195" s="19">
        <v>0.0</v>
      </c>
      <c r="L195" s="18">
        <v>2.2</v>
      </c>
      <c r="M195" s="18">
        <v>1.56</v>
      </c>
      <c r="N195" s="18">
        <v>0.03</v>
      </c>
      <c r="O195" s="18">
        <v>0.99</v>
      </c>
      <c r="P195" s="18">
        <v>1.15</v>
      </c>
      <c r="Q195" s="18">
        <v>2.17</v>
      </c>
      <c r="R195" s="36"/>
      <c r="S195" s="36"/>
      <c r="T195" s="19">
        <v>0.0</v>
      </c>
      <c r="U195" s="20" t="s">
        <v>5375</v>
      </c>
    </row>
    <row r="196">
      <c r="A196" s="50">
        <v>187.0</v>
      </c>
      <c r="B196" s="13" t="s">
        <v>5376</v>
      </c>
      <c r="C196" s="11" t="s">
        <v>5377</v>
      </c>
      <c r="D196" s="12" t="s">
        <v>26</v>
      </c>
      <c r="E196" s="13" t="s">
        <v>5378</v>
      </c>
      <c r="F196" s="12">
        <v>22.0</v>
      </c>
      <c r="G196" s="12">
        <v>2003.0</v>
      </c>
      <c r="H196" s="15">
        <v>10.7</v>
      </c>
      <c r="I196" s="22">
        <v>0.0</v>
      </c>
      <c r="J196" s="19">
        <v>0.0</v>
      </c>
      <c r="K196" s="19">
        <v>0.0</v>
      </c>
      <c r="L196" s="18">
        <v>0.56</v>
      </c>
      <c r="M196" s="18">
        <v>0.75</v>
      </c>
      <c r="N196" s="18">
        <v>0.28</v>
      </c>
      <c r="O196" s="18">
        <v>2.24</v>
      </c>
      <c r="P196" s="18">
        <v>1.03</v>
      </c>
      <c r="Q196" s="18">
        <v>1.68</v>
      </c>
      <c r="R196" s="36"/>
      <c r="S196" s="36"/>
      <c r="T196" s="19">
        <v>0.0</v>
      </c>
      <c r="U196" s="20" t="s">
        <v>5379</v>
      </c>
    </row>
    <row r="197">
      <c r="A197" s="50">
        <v>188.0</v>
      </c>
      <c r="B197" s="13" t="s">
        <v>5380</v>
      </c>
      <c r="C197" s="11" t="s">
        <v>5381</v>
      </c>
      <c r="D197" s="12" t="s">
        <v>36</v>
      </c>
      <c r="E197" s="13" t="s">
        <v>5382</v>
      </c>
      <c r="F197" s="12">
        <v>26.0</v>
      </c>
      <c r="G197" s="12">
        <v>1999.0</v>
      </c>
      <c r="H197" s="15">
        <v>15.8</v>
      </c>
      <c r="I197" s="17">
        <v>0.13</v>
      </c>
      <c r="J197" s="18">
        <v>0.06</v>
      </c>
      <c r="K197" s="19">
        <v>0.0</v>
      </c>
      <c r="L197" s="18">
        <v>0.7</v>
      </c>
      <c r="M197" s="18">
        <v>0.7</v>
      </c>
      <c r="N197" s="19">
        <v>0.0</v>
      </c>
      <c r="O197" s="18">
        <v>0.7</v>
      </c>
      <c r="P197" s="18">
        <v>0.82</v>
      </c>
      <c r="Q197" s="18">
        <v>0.7</v>
      </c>
      <c r="R197" s="36"/>
      <c r="S197" s="36"/>
      <c r="T197" s="19">
        <v>0.0</v>
      </c>
      <c r="U197" s="20" t="s">
        <v>5383</v>
      </c>
    </row>
    <row r="198">
      <c r="A198" s="50">
        <v>189.0</v>
      </c>
      <c r="B198" s="13" t="s">
        <v>5384</v>
      </c>
      <c r="C198" s="11" t="s">
        <v>5385</v>
      </c>
      <c r="D198" s="12" t="s">
        <v>26</v>
      </c>
      <c r="E198" s="13" t="s">
        <v>5386</v>
      </c>
      <c r="F198" s="12">
        <v>22.0</v>
      </c>
      <c r="G198" s="12">
        <v>2003.0</v>
      </c>
      <c r="H198" s="15">
        <v>23.6</v>
      </c>
      <c r="I198" s="17">
        <v>0.38</v>
      </c>
      <c r="J198" s="19">
        <v>0.0</v>
      </c>
      <c r="K198" s="19">
        <v>0.0</v>
      </c>
      <c r="L198" s="18">
        <v>2.08</v>
      </c>
      <c r="M198" s="18">
        <v>0.47</v>
      </c>
      <c r="N198" s="18">
        <v>0.04</v>
      </c>
      <c r="O198" s="18">
        <v>0.97</v>
      </c>
      <c r="P198" s="18">
        <v>0.81</v>
      </c>
      <c r="Q198" s="18">
        <v>2.08</v>
      </c>
      <c r="R198" s="36"/>
      <c r="S198" s="36"/>
      <c r="T198" s="19">
        <v>0.0</v>
      </c>
      <c r="U198" s="20" t="s">
        <v>5387</v>
      </c>
    </row>
    <row r="199">
      <c r="A199" s="50">
        <v>190.0</v>
      </c>
      <c r="B199" s="13" t="s">
        <v>5388</v>
      </c>
      <c r="C199" s="11" t="s">
        <v>5389</v>
      </c>
      <c r="D199" s="12" t="s">
        <v>36</v>
      </c>
      <c r="E199" s="13" t="s">
        <v>5390</v>
      </c>
      <c r="F199" s="12">
        <v>28.0</v>
      </c>
      <c r="G199" s="12">
        <v>1997.0</v>
      </c>
      <c r="H199" s="15">
        <v>6.7</v>
      </c>
      <c r="I199" s="17">
        <v>0.6</v>
      </c>
      <c r="J199" s="19">
        <v>0.0</v>
      </c>
      <c r="K199" s="19">
        <v>0.0</v>
      </c>
      <c r="L199" s="18">
        <v>2.09</v>
      </c>
      <c r="M199" s="19">
        <v>0.0</v>
      </c>
      <c r="N199" s="19">
        <v>0.0</v>
      </c>
      <c r="O199" s="18">
        <v>2.39</v>
      </c>
      <c r="P199" s="18">
        <v>1.19</v>
      </c>
      <c r="Q199" s="18">
        <v>1.04</v>
      </c>
      <c r="R199" s="36"/>
      <c r="S199" s="36"/>
      <c r="T199" s="19">
        <v>0.0</v>
      </c>
      <c r="U199" s="20" t="s">
        <v>5391</v>
      </c>
    </row>
    <row r="200">
      <c r="A200" s="50">
        <v>191.0</v>
      </c>
      <c r="B200" s="13" t="s">
        <v>5392</v>
      </c>
      <c r="C200" s="11" t="s">
        <v>5393</v>
      </c>
      <c r="D200" s="12" t="s">
        <v>31</v>
      </c>
      <c r="E200" s="13" t="s">
        <v>5394</v>
      </c>
      <c r="F200" s="12">
        <v>23.0</v>
      </c>
      <c r="G200" s="12">
        <v>2002.0</v>
      </c>
      <c r="H200" s="15">
        <v>17.4</v>
      </c>
      <c r="I200" s="17">
        <v>0.34</v>
      </c>
      <c r="J200" s="19">
        <v>0.0</v>
      </c>
      <c r="K200" s="19">
        <v>0.0</v>
      </c>
      <c r="L200" s="18">
        <v>1.72</v>
      </c>
      <c r="M200" s="18">
        <v>1.03</v>
      </c>
      <c r="N200" s="19">
        <v>0.0</v>
      </c>
      <c r="O200" s="18">
        <v>0.17</v>
      </c>
      <c r="P200" s="18">
        <v>1.38</v>
      </c>
      <c r="Q200" s="18">
        <v>1.72</v>
      </c>
      <c r="R200" s="36"/>
      <c r="S200" s="36"/>
      <c r="T200" s="19">
        <v>0.0</v>
      </c>
      <c r="U200" s="20" t="s">
        <v>5395</v>
      </c>
    </row>
    <row r="201">
      <c r="A201" s="50">
        <v>192.0</v>
      </c>
      <c r="B201" s="13" t="s">
        <v>5396</v>
      </c>
      <c r="C201" s="11" t="s">
        <v>5397</v>
      </c>
      <c r="D201" s="12" t="s">
        <v>41</v>
      </c>
      <c r="E201" s="13" t="s">
        <v>5398</v>
      </c>
      <c r="F201" s="12">
        <v>24.0</v>
      </c>
      <c r="G201" s="12">
        <v>2001.0</v>
      </c>
      <c r="H201" s="15">
        <v>19.9</v>
      </c>
      <c r="I201" s="17">
        <v>0.15</v>
      </c>
      <c r="J201" s="18">
        <v>0.05</v>
      </c>
      <c r="K201" s="19">
        <v>0.0</v>
      </c>
      <c r="L201" s="18">
        <v>0.65</v>
      </c>
      <c r="M201" s="18">
        <v>2.01</v>
      </c>
      <c r="N201" s="18">
        <v>0.25</v>
      </c>
      <c r="O201" s="18">
        <v>3.47</v>
      </c>
      <c r="P201" s="18">
        <v>0.15</v>
      </c>
      <c r="Q201" s="18">
        <v>0.65</v>
      </c>
      <c r="R201" s="36"/>
      <c r="S201" s="36"/>
      <c r="T201" s="19">
        <v>0.0</v>
      </c>
      <c r="U201" s="20" t="s">
        <v>5399</v>
      </c>
    </row>
    <row r="202">
      <c r="A202" s="50">
        <v>193.0</v>
      </c>
      <c r="B202" s="13" t="s">
        <v>5400</v>
      </c>
      <c r="C202" s="11" t="s">
        <v>5401</v>
      </c>
      <c r="D202" s="12" t="s">
        <v>31</v>
      </c>
      <c r="E202" s="13" t="s">
        <v>5402</v>
      </c>
      <c r="F202" s="12">
        <v>23.0</v>
      </c>
      <c r="G202" s="12">
        <v>2002.0</v>
      </c>
      <c r="H202" s="15">
        <v>33.2</v>
      </c>
      <c r="I202" s="17">
        <v>0.15</v>
      </c>
      <c r="J202" s="19">
        <v>0.0</v>
      </c>
      <c r="K202" s="19">
        <v>0.0</v>
      </c>
      <c r="L202" s="18">
        <v>1.14</v>
      </c>
      <c r="M202" s="18">
        <v>1.27</v>
      </c>
      <c r="N202" s="19">
        <v>0.0</v>
      </c>
      <c r="O202" s="18">
        <v>0.24</v>
      </c>
      <c r="P202" s="18">
        <v>1.33</v>
      </c>
      <c r="Q202" s="18">
        <v>1.05</v>
      </c>
      <c r="R202" s="36"/>
      <c r="S202" s="36"/>
      <c r="T202" s="19">
        <v>0.0</v>
      </c>
      <c r="U202" s="20" t="s">
        <v>5403</v>
      </c>
    </row>
    <row r="203">
      <c r="A203" s="50">
        <v>194.0</v>
      </c>
      <c r="B203" s="13" t="s">
        <v>5404</v>
      </c>
      <c r="C203" s="11" t="s">
        <v>5405</v>
      </c>
      <c r="D203" s="12" t="s">
        <v>264</v>
      </c>
      <c r="E203" s="13" t="s">
        <v>5406</v>
      </c>
      <c r="F203" s="12">
        <v>19.0</v>
      </c>
      <c r="G203" s="12">
        <v>2006.0</v>
      </c>
      <c r="H203" s="15">
        <v>16.4</v>
      </c>
      <c r="I203" s="17">
        <v>0.3</v>
      </c>
      <c r="J203" s="19">
        <v>0.0</v>
      </c>
      <c r="K203" s="19">
        <v>0.0</v>
      </c>
      <c r="L203" s="18">
        <v>0.73</v>
      </c>
      <c r="M203" s="18">
        <v>0.12</v>
      </c>
      <c r="N203" s="19">
        <v>0.0</v>
      </c>
      <c r="O203" s="18">
        <v>0.73</v>
      </c>
      <c r="P203" s="18">
        <v>1.04</v>
      </c>
      <c r="Q203" s="18">
        <v>0.49</v>
      </c>
      <c r="R203" s="36"/>
      <c r="S203" s="36"/>
      <c r="T203" s="19">
        <v>0.0</v>
      </c>
      <c r="U203" s="20" t="s">
        <v>5407</v>
      </c>
    </row>
    <row r="204">
      <c r="A204" s="50">
        <v>195.0</v>
      </c>
      <c r="B204" s="13" t="s">
        <v>5408</v>
      </c>
      <c r="C204" s="11" t="s">
        <v>5409</v>
      </c>
      <c r="D204" s="12" t="s">
        <v>31</v>
      </c>
      <c r="E204" s="13" t="s">
        <v>5410</v>
      </c>
      <c r="F204" s="12">
        <v>29.0</v>
      </c>
      <c r="G204" s="12">
        <v>1995.0</v>
      </c>
      <c r="H204" s="15">
        <v>18.1</v>
      </c>
      <c r="I204" s="17">
        <v>0.28</v>
      </c>
      <c r="J204" s="18">
        <v>0.06</v>
      </c>
      <c r="K204" s="18">
        <v>0.06</v>
      </c>
      <c r="L204" s="18">
        <v>0.72</v>
      </c>
      <c r="M204" s="18">
        <v>3.2</v>
      </c>
      <c r="N204" s="19">
        <v>0.0</v>
      </c>
      <c r="O204" s="18">
        <v>2.15</v>
      </c>
      <c r="P204" s="18">
        <v>0.61</v>
      </c>
      <c r="Q204" s="18">
        <v>0.83</v>
      </c>
      <c r="R204" s="36"/>
      <c r="S204" s="36"/>
      <c r="T204" s="19">
        <v>0.0</v>
      </c>
      <c r="U204" s="20" t="s">
        <v>5411</v>
      </c>
    </row>
    <row r="205">
      <c r="A205" s="50">
        <v>196.0</v>
      </c>
      <c r="B205" s="13" t="s">
        <v>5412</v>
      </c>
      <c r="C205" s="11" t="s">
        <v>5413</v>
      </c>
      <c r="D205" s="12" t="s">
        <v>31</v>
      </c>
      <c r="E205" s="13" t="s">
        <v>5414</v>
      </c>
      <c r="F205" s="12">
        <v>34.0</v>
      </c>
      <c r="G205" s="12">
        <v>1991.0</v>
      </c>
      <c r="H205" s="15">
        <v>18.2</v>
      </c>
      <c r="I205" s="17">
        <v>0.11</v>
      </c>
      <c r="J205" s="19">
        <v>0.0</v>
      </c>
      <c r="K205" s="19">
        <v>0.0</v>
      </c>
      <c r="L205" s="18">
        <v>0.93</v>
      </c>
      <c r="M205" s="18">
        <v>0.66</v>
      </c>
      <c r="N205" s="18">
        <v>0.22</v>
      </c>
      <c r="O205" s="18">
        <v>6.54</v>
      </c>
      <c r="P205" s="18">
        <v>0.6</v>
      </c>
      <c r="Q205" s="18">
        <v>0.93</v>
      </c>
      <c r="R205" s="36"/>
      <c r="S205" s="36"/>
      <c r="T205" s="19">
        <v>0.0</v>
      </c>
      <c r="U205" s="20" t="s">
        <v>5415</v>
      </c>
    </row>
    <row r="206">
      <c r="A206" s="50">
        <v>197.0</v>
      </c>
      <c r="B206" s="13" t="s">
        <v>5416</v>
      </c>
      <c r="C206" s="11" t="s">
        <v>5417</v>
      </c>
      <c r="D206" s="12" t="s">
        <v>31</v>
      </c>
      <c r="E206" s="13" t="s">
        <v>5418</v>
      </c>
      <c r="F206" s="12">
        <v>21.0</v>
      </c>
      <c r="G206" s="12">
        <v>2004.0</v>
      </c>
      <c r="H206" s="15">
        <v>8.0</v>
      </c>
      <c r="I206" s="17">
        <v>0.25</v>
      </c>
      <c r="J206" s="19">
        <v>0.0</v>
      </c>
      <c r="K206" s="19">
        <v>0.0</v>
      </c>
      <c r="L206" s="18">
        <v>1.38</v>
      </c>
      <c r="M206" s="18">
        <v>1.75</v>
      </c>
      <c r="N206" s="18">
        <v>0.25</v>
      </c>
      <c r="O206" s="18">
        <v>1.75</v>
      </c>
      <c r="P206" s="18">
        <v>0.25</v>
      </c>
      <c r="Q206" s="18">
        <v>0.63</v>
      </c>
      <c r="R206" s="36"/>
      <c r="S206" s="36"/>
      <c r="T206" s="19">
        <v>0.0</v>
      </c>
      <c r="U206" s="20" t="s">
        <v>5419</v>
      </c>
    </row>
    <row r="207">
      <c r="A207" s="50">
        <v>198.0</v>
      </c>
      <c r="B207" s="13" t="s">
        <v>5420</v>
      </c>
      <c r="C207" s="11" t="s">
        <v>5421</v>
      </c>
      <c r="D207" s="12" t="s">
        <v>31</v>
      </c>
      <c r="E207" s="13" t="s">
        <v>5422</v>
      </c>
      <c r="F207" s="12">
        <v>25.0</v>
      </c>
      <c r="G207" s="12">
        <v>2000.0</v>
      </c>
      <c r="H207" s="15">
        <v>14.7</v>
      </c>
      <c r="I207" s="17">
        <v>0.2</v>
      </c>
      <c r="J207" s="19">
        <v>0.0</v>
      </c>
      <c r="K207" s="19">
        <v>0.0</v>
      </c>
      <c r="L207" s="18">
        <v>1.09</v>
      </c>
      <c r="M207" s="18">
        <v>0.61</v>
      </c>
      <c r="N207" s="19">
        <v>0.0</v>
      </c>
      <c r="O207" s="18">
        <v>1.09</v>
      </c>
      <c r="P207" s="18">
        <v>0.95</v>
      </c>
      <c r="Q207" s="18">
        <v>0.88</v>
      </c>
      <c r="R207" s="36"/>
      <c r="S207" s="36"/>
      <c r="T207" s="19">
        <v>0.0</v>
      </c>
      <c r="U207" s="20" t="s">
        <v>5423</v>
      </c>
    </row>
    <row r="208">
      <c r="A208" s="50">
        <v>199.0</v>
      </c>
      <c r="B208" s="13" t="s">
        <v>5424</v>
      </c>
      <c r="C208" s="11" t="s">
        <v>5425</v>
      </c>
      <c r="D208" s="12" t="s">
        <v>345</v>
      </c>
      <c r="E208" s="13" t="s">
        <v>5426</v>
      </c>
      <c r="F208" s="12">
        <v>26.0</v>
      </c>
      <c r="G208" s="12">
        <v>1999.0</v>
      </c>
      <c r="H208" s="15">
        <v>29.2</v>
      </c>
      <c r="I208" s="17">
        <v>0.21</v>
      </c>
      <c r="J208" s="18">
        <v>0.03</v>
      </c>
      <c r="K208" s="18">
        <v>0.03</v>
      </c>
      <c r="L208" s="18">
        <v>1.06</v>
      </c>
      <c r="M208" s="18">
        <v>1.92</v>
      </c>
      <c r="N208" s="18">
        <v>0.1</v>
      </c>
      <c r="O208" s="18">
        <v>3.01</v>
      </c>
      <c r="P208" s="18">
        <v>0.96</v>
      </c>
      <c r="Q208" s="18">
        <v>1.61</v>
      </c>
      <c r="R208" s="36"/>
      <c r="S208" s="36"/>
      <c r="T208" s="18">
        <v>0.03</v>
      </c>
      <c r="U208" s="20" t="s">
        <v>5427</v>
      </c>
    </row>
    <row r="209">
      <c r="A209" s="50">
        <v>200.0</v>
      </c>
      <c r="B209" s="13" t="s">
        <v>5428</v>
      </c>
      <c r="C209" s="11" t="s">
        <v>5429</v>
      </c>
      <c r="D209" s="12" t="s">
        <v>36</v>
      </c>
      <c r="E209" s="13" t="s">
        <v>5430</v>
      </c>
      <c r="F209" s="12">
        <v>25.0</v>
      </c>
      <c r="G209" s="12">
        <v>2000.0</v>
      </c>
      <c r="H209" s="15">
        <v>20.0</v>
      </c>
      <c r="I209" s="17">
        <v>0.2</v>
      </c>
      <c r="J209" s="19">
        <v>0.0</v>
      </c>
      <c r="K209" s="19">
        <v>0.0</v>
      </c>
      <c r="L209" s="18">
        <v>0.7</v>
      </c>
      <c r="M209" s="18">
        <v>0.9</v>
      </c>
      <c r="N209" s="19">
        <v>0.0</v>
      </c>
      <c r="O209" s="18">
        <v>0.5</v>
      </c>
      <c r="P209" s="18">
        <v>1.2</v>
      </c>
      <c r="Q209" s="18">
        <v>0.95</v>
      </c>
      <c r="R209" s="36"/>
      <c r="S209" s="36"/>
      <c r="T209" s="19">
        <v>0.0</v>
      </c>
      <c r="U209" s="20" t="s">
        <v>5431</v>
      </c>
    </row>
    <row r="210">
      <c r="A210" s="37" t="s">
        <v>3</v>
      </c>
      <c r="B210" s="51" t="s">
        <v>4</v>
      </c>
      <c r="C210" s="39" t="s">
        <v>5</v>
      </c>
      <c r="D210" s="39" t="s">
        <v>6</v>
      </c>
      <c r="E210" s="39" t="s">
        <v>7</v>
      </c>
      <c r="F210" s="39" t="s">
        <v>8</v>
      </c>
      <c r="G210" s="39" t="s">
        <v>9</v>
      </c>
      <c r="H210" s="39" t="s">
        <v>13</v>
      </c>
      <c r="I210" s="40" t="s">
        <v>20</v>
      </c>
      <c r="J210" s="39" t="s">
        <v>21</v>
      </c>
      <c r="K210" s="39" t="s">
        <v>4622</v>
      </c>
      <c r="L210" s="39" t="s">
        <v>4623</v>
      </c>
      <c r="M210" s="39" t="s">
        <v>4624</v>
      </c>
      <c r="N210" s="39" t="s">
        <v>4625</v>
      </c>
      <c r="O210" s="39" t="s">
        <v>4626</v>
      </c>
      <c r="P210" s="39" t="s">
        <v>4627</v>
      </c>
      <c r="Q210" s="39" t="s">
        <v>4628</v>
      </c>
      <c r="R210" s="39" t="s">
        <v>4629</v>
      </c>
      <c r="S210" s="39" t="s">
        <v>4630</v>
      </c>
      <c r="T210" s="39" t="s">
        <v>4631</v>
      </c>
      <c r="U210" s="40" t="s">
        <v>23</v>
      </c>
    </row>
    <row r="211">
      <c r="A211" s="50">
        <v>201.0</v>
      </c>
      <c r="B211" s="13" t="s">
        <v>5432</v>
      </c>
      <c r="C211" s="11" t="s">
        <v>5433</v>
      </c>
      <c r="D211" s="12" t="s">
        <v>36</v>
      </c>
      <c r="E211" s="13" t="s">
        <v>5434</v>
      </c>
      <c r="F211" s="12">
        <v>25.0</v>
      </c>
      <c r="G211" s="12">
        <v>2000.0</v>
      </c>
      <c r="H211" s="15">
        <v>15.0</v>
      </c>
      <c r="I211" s="17">
        <v>0.13</v>
      </c>
      <c r="J211" s="19">
        <v>0.0</v>
      </c>
      <c r="K211" s="19">
        <v>0.0</v>
      </c>
      <c r="L211" s="18">
        <v>0.73</v>
      </c>
      <c r="M211" s="18">
        <v>1.33</v>
      </c>
      <c r="N211" s="19">
        <v>0.0</v>
      </c>
      <c r="O211" s="18">
        <v>0.47</v>
      </c>
      <c r="P211" s="18">
        <v>1.67</v>
      </c>
      <c r="Q211" s="18">
        <v>0.8</v>
      </c>
      <c r="R211" s="36"/>
      <c r="S211" s="36"/>
      <c r="T211" s="19">
        <v>0.0</v>
      </c>
      <c r="U211" s="20" t="s">
        <v>5435</v>
      </c>
    </row>
    <row r="212">
      <c r="A212" s="50">
        <v>202.0</v>
      </c>
      <c r="B212" s="13" t="s">
        <v>5436</v>
      </c>
      <c r="C212" s="11" t="s">
        <v>5437</v>
      </c>
      <c r="D212" s="12" t="s">
        <v>31</v>
      </c>
      <c r="E212" s="13" t="s">
        <v>5438</v>
      </c>
      <c r="F212" s="12">
        <v>24.0</v>
      </c>
      <c r="G212" s="12">
        <v>2001.0</v>
      </c>
      <c r="H212" s="15">
        <v>3.7</v>
      </c>
      <c r="I212" s="22">
        <v>0.0</v>
      </c>
      <c r="J212" s="19">
        <v>0.0</v>
      </c>
      <c r="K212" s="19">
        <v>0.0</v>
      </c>
      <c r="L212" s="18">
        <v>1.08</v>
      </c>
      <c r="M212" s="18">
        <v>2.16</v>
      </c>
      <c r="N212" s="18">
        <v>0.27</v>
      </c>
      <c r="O212" s="18">
        <v>0.27</v>
      </c>
      <c r="P212" s="18">
        <v>0.54</v>
      </c>
      <c r="Q212" s="18">
        <v>0.54</v>
      </c>
      <c r="R212" s="36"/>
      <c r="S212" s="36"/>
      <c r="T212" s="19">
        <v>0.0</v>
      </c>
      <c r="U212" s="20" t="s">
        <v>5439</v>
      </c>
    </row>
    <row r="213">
      <c r="A213" s="50">
        <v>203.0</v>
      </c>
      <c r="B213" s="13" t="s">
        <v>5440</v>
      </c>
      <c r="C213" s="11" t="s">
        <v>5441</v>
      </c>
      <c r="D213" s="12" t="s">
        <v>31</v>
      </c>
      <c r="E213" s="13" t="s">
        <v>5442</v>
      </c>
      <c r="F213" s="12">
        <v>24.0</v>
      </c>
      <c r="G213" s="12">
        <v>2001.0</v>
      </c>
      <c r="H213" s="15">
        <v>6.5</v>
      </c>
      <c r="I213" s="22">
        <v>0.0</v>
      </c>
      <c r="J213" s="19">
        <v>0.0</v>
      </c>
      <c r="K213" s="19">
        <v>0.0</v>
      </c>
      <c r="L213" s="18">
        <v>1.69</v>
      </c>
      <c r="M213" s="18">
        <v>1.85</v>
      </c>
      <c r="N213" s="19">
        <v>0.0</v>
      </c>
      <c r="O213" s="18">
        <v>1.54</v>
      </c>
      <c r="P213" s="18">
        <v>0.46</v>
      </c>
      <c r="Q213" s="18">
        <v>1.38</v>
      </c>
      <c r="R213" s="36"/>
      <c r="S213" s="36"/>
      <c r="T213" s="19">
        <v>0.0</v>
      </c>
      <c r="U213" s="20" t="s">
        <v>5443</v>
      </c>
    </row>
    <row r="214">
      <c r="A214" s="50">
        <v>204.0</v>
      </c>
      <c r="B214" s="13" t="s">
        <v>5444</v>
      </c>
      <c r="C214" s="11" t="s">
        <v>5445</v>
      </c>
      <c r="D214" s="12" t="s">
        <v>41</v>
      </c>
      <c r="E214" s="13" t="s">
        <v>5446</v>
      </c>
      <c r="F214" s="12">
        <v>19.0</v>
      </c>
      <c r="G214" s="12">
        <v>2006.0</v>
      </c>
      <c r="H214" s="15">
        <v>1.4</v>
      </c>
      <c r="I214" s="22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8">
        <v>0.71</v>
      </c>
      <c r="R214" s="36"/>
      <c r="S214" s="36"/>
      <c r="T214" s="19">
        <v>0.0</v>
      </c>
      <c r="U214" s="20" t="s">
        <v>5447</v>
      </c>
    </row>
    <row r="215">
      <c r="A215" s="50">
        <v>205.0</v>
      </c>
      <c r="B215" s="13" t="s">
        <v>5448</v>
      </c>
      <c r="C215" s="11" t="s">
        <v>5449</v>
      </c>
      <c r="D215" s="12" t="s">
        <v>31</v>
      </c>
      <c r="E215" s="13" t="s">
        <v>5450</v>
      </c>
      <c r="F215" s="12">
        <v>27.0</v>
      </c>
      <c r="G215" s="12">
        <v>1997.0</v>
      </c>
      <c r="H215" s="15">
        <v>27.3</v>
      </c>
      <c r="I215" s="17">
        <v>0.22</v>
      </c>
      <c r="J215" s="19">
        <v>0.0</v>
      </c>
      <c r="K215" s="19">
        <v>0.0</v>
      </c>
      <c r="L215" s="18">
        <v>1.65</v>
      </c>
      <c r="M215" s="18">
        <v>2.75</v>
      </c>
      <c r="N215" s="18">
        <v>0.07</v>
      </c>
      <c r="O215" s="18">
        <v>3.0</v>
      </c>
      <c r="P215" s="18">
        <v>0.59</v>
      </c>
      <c r="Q215" s="18">
        <v>1.5</v>
      </c>
      <c r="R215" s="36"/>
      <c r="S215" s="36"/>
      <c r="T215" s="19">
        <v>0.0</v>
      </c>
      <c r="U215" s="20" t="s">
        <v>5451</v>
      </c>
    </row>
    <row r="216">
      <c r="A216" s="50">
        <v>206.0</v>
      </c>
      <c r="B216" s="13" t="s">
        <v>5452</v>
      </c>
      <c r="C216" s="11" t="s">
        <v>5453</v>
      </c>
      <c r="D216" s="12" t="s">
        <v>41</v>
      </c>
      <c r="E216" s="13" t="s">
        <v>5454</v>
      </c>
      <c r="F216" s="12">
        <v>19.0</v>
      </c>
      <c r="G216" s="12">
        <v>2006.0</v>
      </c>
      <c r="H216" s="15">
        <v>0.2</v>
      </c>
      <c r="I216" s="22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36"/>
      <c r="S216" s="36"/>
      <c r="T216" s="19">
        <v>0.0</v>
      </c>
      <c r="U216" s="20" t="s">
        <v>5455</v>
      </c>
    </row>
    <row r="217">
      <c r="A217" s="50">
        <v>207.0</v>
      </c>
      <c r="B217" s="13" t="s">
        <v>5456</v>
      </c>
      <c r="C217" s="11" t="s">
        <v>5457</v>
      </c>
      <c r="D217" s="12" t="s">
        <v>41</v>
      </c>
      <c r="E217" s="13" t="s">
        <v>5458</v>
      </c>
      <c r="F217" s="12">
        <v>19.0</v>
      </c>
      <c r="G217" s="12">
        <v>2006.0</v>
      </c>
      <c r="H217" s="15">
        <v>2.9</v>
      </c>
      <c r="I217" s="17">
        <v>0.34</v>
      </c>
      <c r="J217" s="19">
        <v>0.0</v>
      </c>
      <c r="K217" s="19">
        <v>0.0</v>
      </c>
      <c r="L217" s="18">
        <v>3.1</v>
      </c>
      <c r="M217" s="18">
        <v>0.69</v>
      </c>
      <c r="N217" s="18">
        <v>0.69</v>
      </c>
      <c r="O217" s="19">
        <v>0.0</v>
      </c>
      <c r="P217" s="19">
        <v>0.0</v>
      </c>
      <c r="Q217" s="19">
        <v>0.0</v>
      </c>
      <c r="R217" s="36"/>
      <c r="S217" s="36"/>
      <c r="T217" s="19">
        <v>0.0</v>
      </c>
      <c r="U217" s="20" t="s">
        <v>5459</v>
      </c>
    </row>
    <row r="218">
      <c r="A218" s="50">
        <v>208.0</v>
      </c>
      <c r="B218" s="13" t="s">
        <v>5460</v>
      </c>
      <c r="C218" s="11" t="s">
        <v>5461</v>
      </c>
      <c r="D218" s="12" t="s">
        <v>98</v>
      </c>
      <c r="E218" s="13" t="s">
        <v>5462</v>
      </c>
      <c r="F218" s="12">
        <v>29.0</v>
      </c>
      <c r="G218" s="12">
        <v>1996.0</v>
      </c>
      <c r="H218" s="15">
        <v>0.5</v>
      </c>
      <c r="I218" s="22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36"/>
      <c r="S218" s="36"/>
      <c r="T218" s="19">
        <v>0.0</v>
      </c>
      <c r="U218" s="20" t="s">
        <v>5463</v>
      </c>
    </row>
    <row r="219">
      <c r="A219" s="50">
        <v>209.0</v>
      </c>
      <c r="B219" s="13" t="s">
        <v>5464</v>
      </c>
      <c r="C219" s="11" t="s">
        <v>5465</v>
      </c>
      <c r="D219" s="12" t="s">
        <v>345</v>
      </c>
      <c r="E219" s="13" t="s">
        <v>5466</v>
      </c>
      <c r="F219" s="12">
        <v>22.0</v>
      </c>
      <c r="G219" s="12">
        <v>2003.0</v>
      </c>
      <c r="H219" s="15">
        <v>25.1</v>
      </c>
      <c r="I219" s="17">
        <v>0.2</v>
      </c>
      <c r="J219" s="18">
        <v>0.04</v>
      </c>
      <c r="K219" s="18">
        <v>0.04</v>
      </c>
      <c r="L219" s="18">
        <v>0.8</v>
      </c>
      <c r="M219" s="18">
        <v>0.8</v>
      </c>
      <c r="N219" s="18">
        <v>0.04</v>
      </c>
      <c r="O219" s="18">
        <v>2.31</v>
      </c>
      <c r="P219" s="18">
        <v>1.2</v>
      </c>
      <c r="Q219" s="18">
        <v>0.92</v>
      </c>
      <c r="R219" s="36"/>
      <c r="S219" s="36"/>
      <c r="T219" s="18">
        <v>0.04</v>
      </c>
      <c r="U219" s="20" t="s">
        <v>5467</v>
      </c>
    </row>
    <row r="220">
      <c r="A220" s="50">
        <v>210.0</v>
      </c>
      <c r="B220" s="13" t="s">
        <v>5468</v>
      </c>
      <c r="C220" s="11" t="s">
        <v>5469</v>
      </c>
      <c r="D220" s="12" t="s">
        <v>36</v>
      </c>
      <c r="E220" s="13" t="s">
        <v>5470</v>
      </c>
      <c r="F220" s="12">
        <v>23.0</v>
      </c>
      <c r="G220" s="12">
        <v>2002.0</v>
      </c>
      <c r="H220" s="15">
        <v>15.2</v>
      </c>
      <c r="I220" s="17">
        <v>0.13</v>
      </c>
      <c r="J220" s="19">
        <v>0.0</v>
      </c>
      <c r="K220" s="19">
        <v>0.0</v>
      </c>
      <c r="L220" s="18">
        <v>1.05</v>
      </c>
      <c r="M220" s="18">
        <v>0.46</v>
      </c>
      <c r="N220" s="19">
        <v>0.0</v>
      </c>
      <c r="O220" s="18">
        <v>0.13</v>
      </c>
      <c r="P220" s="18">
        <v>1.05</v>
      </c>
      <c r="Q220" s="18">
        <v>0.86</v>
      </c>
      <c r="R220" s="36"/>
      <c r="S220" s="36"/>
      <c r="T220" s="19">
        <v>0.0</v>
      </c>
      <c r="U220" s="20" t="s">
        <v>5471</v>
      </c>
    </row>
    <row r="221">
      <c r="A221" s="50">
        <v>211.0</v>
      </c>
      <c r="B221" s="13" t="s">
        <v>5472</v>
      </c>
      <c r="C221" s="11" t="s">
        <v>5473</v>
      </c>
      <c r="D221" s="12" t="s">
        <v>41</v>
      </c>
      <c r="E221" s="13" t="s">
        <v>5474</v>
      </c>
      <c r="F221" s="12">
        <v>27.0</v>
      </c>
      <c r="G221" s="12">
        <v>1998.0</v>
      </c>
      <c r="H221" s="15">
        <v>24.7</v>
      </c>
      <c r="I221" s="17">
        <v>0.2</v>
      </c>
      <c r="J221" s="19">
        <v>0.0</v>
      </c>
      <c r="K221" s="19">
        <v>0.0</v>
      </c>
      <c r="L221" s="18">
        <v>1.42</v>
      </c>
      <c r="M221" s="18">
        <v>1.26</v>
      </c>
      <c r="N221" s="18">
        <v>0.16</v>
      </c>
      <c r="O221" s="18">
        <v>0.32</v>
      </c>
      <c r="P221" s="18">
        <v>0.04</v>
      </c>
      <c r="Q221" s="18">
        <v>0.2</v>
      </c>
      <c r="R221" s="36"/>
      <c r="S221" s="36"/>
      <c r="T221" s="19">
        <v>0.0</v>
      </c>
      <c r="U221" s="20" t="s">
        <v>5475</v>
      </c>
    </row>
    <row r="222">
      <c r="A222" s="50">
        <v>212.0</v>
      </c>
      <c r="B222" s="13" t="s">
        <v>5476</v>
      </c>
      <c r="C222" s="11" t="s">
        <v>5477</v>
      </c>
      <c r="D222" s="12" t="s">
        <v>41</v>
      </c>
      <c r="E222" s="13" t="s">
        <v>5478</v>
      </c>
      <c r="F222" s="12">
        <v>25.0</v>
      </c>
      <c r="G222" s="12">
        <v>2000.0</v>
      </c>
      <c r="H222" s="15">
        <v>32.8</v>
      </c>
      <c r="I222" s="17">
        <v>0.06</v>
      </c>
      <c r="J222" s="19">
        <v>0.0</v>
      </c>
      <c r="K222" s="19">
        <v>0.0</v>
      </c>
      <c r="L222" s="18">
        <v>0.73</v>
      </c>
      <c r="M222" s="18">
        <v>0.76</v>
      </c>
      <c r="N222" s="18">
        <v>0.15</v>
      </c>
      <c r="O222" s="18">
        <v>0.09</v>
      </c>
      <c r="P222" s="18">
        <v>0.12</v>
      </c>
      <c r="Q222" s="18">
        <v>0.21</v>
      </c>
      <c r="R222" s="36"/>
      <c r="S222" s="36"/>
      <c r="T222" s="19">
        <v>0.0</v>
      </c>
      <c r="U222" s="20" t="s">
        <v>5479</v>
      </c>
    </row>
    <row r="223">
      <c r="A223" s="50">
        <v>213.0</v>
      </c>
      <c r="B223" s="13" t="s">
        <v>5480</v>
      </c>
      <c r="C223" s="11" t="s">
        <v>5481</v>
      </c>
      <c r="D223" s="12" t="s">
        <v>36</v>
      </c>
      <c r="E223" s="13" t="s">
        <v>5482</v>
      </c>
      <c r="F223" s="12">
        <v>20.0</v>
      </c>
      <c r="G223" s="12">
        <v>2004.0</v>
      </c>
      <c r="H223" s="15">
        <v>24.2</v>
      </c>
      <c r="I223" s="17">
        <v>0.17</v>
      </c>
      <c r="J223" s="19">
        <v>0.0</v>
      </c>
      <c r="K223" s="19">
        <v>0.0</v>
      </c>
      <c r="L223" s="18">
        <v>0.7</v>
      </c>
      <c r="M223" s="18">
        <v>1.65</v>
      </c>
      <c r="N223" s="19">
        <v>0.0</v>
      </c>
      <c r="O223" s="18">
        <v>4.21</v>
      </c>
      <c r="P223" s="18">
        <v>1.2</v>
      </c>
      <c r="Q223" s="18">
        <v>1.28</v>
      </c>
      <c r="R223" s="36"/>
      <c r="S223" s="36"/>
      <c r="T223" s="19">
        <v>0.0</v>
      </c>
      <c r="U223" s="20" t="s">
        <v>5483</v>
      </c>
    </row>
    <row r="224">
      <c r="A224" s="50">
        <v>214.0</v>
      </c>
      <c r="B224" s="13" t="s">
        <v>5484</v>
      </c>
      <c r="C224" s="11" t="s">
        <v>5485</v>
      </c>
      <c r="D224" s="12" t="s">
        <v>41</v>
      </c>
      <c r="E224" s="13" t="s">
        <v>5486</v>
      </c>
      <c r="F224" s="12">
        <v>28.0</v>
      </c>
      <c r="G224" s="12">
        <v>1996.0</v>
      </c>
      <c r="H224" s="15">
        <v>3.0</v>
      </c>
      <c r="I224" s="22">
        <v>0.0</v>
      </c>
      <c r="J224" s="19">
        <v>0.0</v>
      </c>
      <c r="K224" s="19">
        <v>0.0</v>
      </c>
      <c r="L224" s="18">
        <v>0.33</v>
      </c>
      <c r="M224" s="18">
        <v>1.33</v>
      </c>
      <c r="N224" s="19">
        <v>0.0</v>
      </c>
      <c r="O224" s="18">
        <v>5.67</v>
      </c>
      <c r="P224" s="18">
        <v>1.33</v>
      </c>
      <c r="Q224" s="18">
        <v>0.67</v>
      </c>
      <c r="R224" s="36"/>
      <c r="S224" s="36"/>
      <c r="T224" s="19">
        <v>0.0</v>
      </c>
      <c r="U224" s="20" t="s">
        <v>5487</v>
      </c>
    </row>
    <row r="225">
      <c r="A225" s="50">
        <v>215.0</v>
      </c>
      <c r="B225" s="13" t="s">
        <v>5488</v>
      </c>
      <c r="C225" s="11" t="s">
        <v>5489</v>
      </c>
      <c r="D225" s="12" t="s">
        <v>36</v>
      </c>
      <c r="E225" s="13" t="s">
        <v>5490</v>
      </c>
      <c r="F225" s="12">
        <v>23.0</v>
      </c>
      <c r="G225" s="12">
        <v>2001.0</v>
      </c>
      <c r="H225" s="15">
        <v>20.3</v>
      </c>
      <c r="I225" s="17">
        <v>0.05</v>
      </c>
      <c r="J225" s="19">
        <v>0.0</v>
      </c>
      <c r="K225" s="19">
        <v>0.0</v>
      </c>
      <c r="L225" s="18">
        <v>0.64</v>
      </c>
      <c r="M225" s="18">
        <v>0.15</v>
      </c>
      <c r="N225" s="18">
        <v>0.05</v>
      </c>
      <c r="O225" s="18">
        <v>3.65</v>
      </c>
      <c r="P225" s="18">
        <v>1.58</v>
      </c>
      <c r="Q225" s="18">
        <v>1.53</v>
      </c>
      <c r="R225" s="36"/>
      <c r="S225" s="36"/>
      <c r="T225" s="19">
        <v>0.0</v>
      </c>
      <c r="U225" s="20" t="s">
        <v>5491</v>
      </c>
    </row>
    <row r="226">
      <c r="A226" s="50">
        <v>216.0</v>
      </c>
      <c r="B226" s="13" t="s">
        <v>5492</v>
      </c>
      <c r="C226" s="11" t="s">
        <v>5493</v>
      </c>
      <c r="D226" s="12" t="s">
        <v>36</v>
      </c>
      <c r="E226" s="13" t="s">
        <v>5494</v>
      </c>
      <c r="F226" s="12">
        <v>19.0</v>
      </c>
      <c r="G226" s="12">
        <v>2006.0</v>
      </c>
      <c r="H226" s="15">
        <v>12.8</v>
      </c>
      <c r="I226" s="17">
        <v>0.55</v>
      </c>
      <c r="J226" s="19">
        <v>0.0</v>
      </c>
      <c r="K226" s="19">
        <v>0.0</v>
      </c>
      <c r="L226" s="18">
        <v>1.17</v>
      </c>
      <c r="M226" s="18">
        <v>0.16</v>
      </c>
      <c r="N226" s="19">
        <v>0.0</v>
      </c>
      <c r="O226" s="18">
        <v>0.55</v>
      </c>
      <c r="P226" s="18">
        <v>1.33</v>
      </c>
      <c r="Q226" s="18">
        <v>1.48</v>
      </c>
      <c r="R226" s="36"/>
      <c r="S226" s="36"/>
      <c r="T226" s="19">
        <v>0.0</v>
      </c>
      <c r="U226" s="20" t="s">
        <v>5495</v>
      </c>
    </row>
    <row r="227">
      <c r="A227" s="50">
        <v>217.0</v>
      </c>
      <c r="B227" s="13" t="s">
        <v>5496</v>
      </c>
      <c r="C227" s="11" t="s">
        <v>5497</v>
      </c>
      <c r="D227" s="12" t="s">
        <v>107</v>
      </c>
      <c r="E227" s="13" t="s">
        <v>5498</v>
      </c>
      <c r="F227" s="12">
        <v>26.0</v>
      </c>
      <c r="G227" s="12">
        <v>1999.0</v>
      </c>
      <c r="H227" s="15">
        <v>6.5</v>
      </c>
      <c r="I227" s="17">
        <v>0.15</v>
      </c>
      <c r="J227" s="19">
        <v>0.0</v>
      </c>
      <c r="K227" s="19">
        <v>0.0</v>
      </c>
      <c r="L227" s="18">
        <v>1.23</v>
      </c>
      <c r="M227" s="18">
        <v>1.23</v>
      </c>
      <c r="N227" s="18">
        <v>0.46</v>
      </c>
      <c r="O227" s="18">
        <v>0.92</v>
      </c>
      <c r="P227" s="18">
        <v>0.15</v>
      </c>
      <c r="Q227" s="18">
        <v>0.77</v>
      </c>
      <c r="R227" s="36"/>
      <c r="S227" s="36"/>
      <c r="T227" s="19">
        <v>0.0</v>
      </c>
      <c r="U227" s="20" t="s">
        <v>5499</v>
      </c>
    </row>
    <row r="228">
      <c r="A228" s="50">
        <v>218.0</v>
      </c>
      <c r="B228" s="13" t="s">
        <v>5500</v>
      </c>
      <c r="C228" s="11" t="s">
        <v>5501</v>
      </c>
      <c r="D228" s="12" t="s">
        <v>36</v>
      </c>
      <c r="E228" s="13" t="s">
        <v>5502</v>
      </c>
      <c r="F228" s="12">
        <v>18.0</v>
      </c>
      <c r="G228" s="12">
        <v>2006.0</v>
      </c>
      <c r="H228" s="15">
        <v>10.3</v>
      </c>
      <c r="I228" s="17">
        <v>0.19</v>
      </c>
      <c r="J228" s="19">
        <v>0.0</v>
      </c>
      <c r="K228" s="19">
        <v>0.0</v>
      </c>
      <c r="L228" s="18">
        <v>0.68</v>
      </c>
      <c r="M228" s="18">
        <v>0.87</v>
      </c>
      <c r="N228" s="19">
        <v>0.0</v>
      </c>
      <c r="O228" s="18">
        <v>0.1</v>
      </c>
      <c r="P228" s="18">
        <v>0.1</v>
      </c>
      <c r="Q228" s="18">
        <v>1.26</v>
      </c>
      <c r="R228" s="36"/>
      <c r="S228" s="36"/>
      <c r="T228" s="18">
        <v>0.1</v>
      </c>
      <c r="U228" s="20" t="s">
        <v>5503</v>
      </c>
    </row>
    <row r="229">
      <c r="A229" s="50">
        <v>219.0</v>
      </c>
      <c r="B229" s="13" t="s">
        <v>5504</v>
      </c>
      <c r="C229" s="11" t="s">
        <v>5505</v>
      </c>
      <c r="D229" s="12" t="s">
        <v>36</v>
      </c>
      <c r="E229" s="13" t="s">
        <v>5506</v>
      </c>
      <c r="F229" s="12">
        <v>25.0</v>
      </c>
      <c r="G229" s="12">
        <v>2000.0</v>
      </c>
      <c r="H229" s="15">
        <v>35.7</v>
      </c>
      <c r="I229" s="17">
        <v>0.25</v>
      </c>
      <c r="J229" s="19">
        <v>0.0</v>
      </c>
      <c r="K229" s="19">
        <v>0.0</v>
      </c>
      <c r="L229" s="18">
        <v>0.76</v>
      </c>
      <c r="M229" s="18">
        <v>1.2</v>
      </c>
      <c r="N229" s="18">
        <v>0.11</v>
      </c>
      <c r="O229" s="18">
        <v>0.64</v>
      </c>
      <c r="P229" s="18">
        <v>1.26</v>
      </c>
      <c r="Q229" s="18">
        <v>0.87</v>
      </c>
      <c r="R229" s="36"/>
      <c r="S229" s="36"/>
      <c r="T229" s="18">
        <v>0.03</v>
      </c>
      <c r="U229" s="20" t="s">
        <v>5507</v>
      </c>
    </row>
    <row r="230">
      <c r="A230" s="50">
        <v>220.0</v>
      </c>
      <c r="B230" s="13" t="s">
        <v>5508</v>
      </c>
      <c r="C230" s="11" t="s">
        <v>5509</v>
      </c>
      <c r="D230" s="12" t="s">
        <v>107</v>
      </c>
      <c r="E230" s="13" t="s">
        <v>5510</v>
      </c>
      <c r="F230" s="12">
        <v>29.0</v>
      </c>
      <c r="G230" s="12">
        <v>1996.0</v>
      </c>
      <c r="H230" s="15">
        <v>16.1</v>
      </c>
      <c r="I230" s="17">
        <v>0.31</v>
      </c>
      <c r="J230" s="19">
        <v>0.0</v>
      </c>
      <c r="K230" s="19">
        <v>0.0</v>
      </c>
      <c r="L230" s="18">
        <v>1.74</v>
      </c>
      <c r="M230" s="18">
        <v>1.12</v>
      </c>
      <c r="N230" s="18">
        <v>0.56</v>
      </c>
      <c r="O230" s="18">
        <v>1.18</v>
      </c>
      <c r="P230" s="18">
        <v>0.75</v>
      </c>
      <c r="Q230" s="18">
        <v>0.25</v>
      </c>
      <c r="R230" s="36"/>
      <c r="S230" s="36"/>
      <c r="T230" s="19">
        <v>0.0</v>
      </c>
      <c r="U230" s="20" t="s">
        <v>5511</v>
      </c>
    </row>
    <row r="231">
      <c r="A231" s="50">
        <v>221.0</v>
      </c>
      <c r="B231" s="13" t="s">
        <v>5512</v>
      </c>
      <c r="C231" s="11" t="s">
        <v>5513</v>
      </c>
      <c r="D231" s="12" t="s">
        <v>31</v>
      </c>
      <c r="E231" s="13" t="s">
        <v>5514</v>
      </c>
      <c r="F231" s="12">
        <v>18.0</v>
      </c>
      <c r="G231" s="12">
        <v>2007.0</v>
      </c>
      <c r="H231" s="15">
        <v>0.3</v>
      </c>
      <c r="I231" s="22">
        <v>0.0</v>
      </c>
      <c r="J231" s="19">
        <v>0.0</v>
      </c>
      <c r="K231" s="19">
        <v>0.0</v>
      </c>
      <c r="L231" s="18">
        <v>3.33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36"/>
      <c r="S231" s="36"/>
      <c r="T231" s="19">
        <v>0.0</v>
      </c>
      <c r="U231" s="20" t="s">
        <v>5515</v>
      </c>
    </row>
    <row r="232">
      <c r="A232" s="50">
        <v>222.0</v>
      </c>
      <c r="B232" s="13" t="s">
        <v>5516</v>
      </c>
      <c r="C232" s="11" t="s">
        <v>5517</v>
      </c>
      <c r="D232" s="12" t="s">
        <v>98</v>
      </c>
      <c r="E232" s="13" t="s">
        <v>5518</v>
      </c>
      <c r="F232" s="12">
        <v>28.0</v>
      </c>
      <c r="G232" s="12">
        <v>1997.0</v>
      </c>
      <c r="H232" s="15">
        <v>37.0</v>
      </c>
      <c r="I232" s="17">
        <v>0.14</v>
      </c>
      <c r="J232" s="19">
        <v>0.0</v>
      </c>
      <c r="K232" s="19">
        <v>0.0</v>
      </c>
      <c r="L232" s="18">
        <v>0.05</v>
      </c>
      <c r="M232" s="18">
        <v>0.14</v>
      </c>
      <c r="N232" s="19">
        <v>0.0</v>
      </c>
      <c r="O232" s="19">
        <v>0.0</v>
      </c>
      <c r="P232" s="18">
        <v>0.03</v>
      </c>
      <c r="Q232" s="19">
        <v>0.0</v>
      </c>
      <c r="R232" s="36"/>
      <c r="S232" s="36"/>
      <c r="T232" s="19">
        <v>0.0</v>
      </c>
      <c r="U232" s="20" t="s">
        <v>5519</v>
      </c>
    </row>
    <row r="233">
      <c r="A233" s="50">
        <v>223.0</v>
      </c>
      <c r="B233" s="13" t="s">
        <v>5520</v>
      </c>
      <c r="C233" s="11" t="s">
        <v>5521</v>
      </c>
      <c r="D233" s="12" t="s">
        <v>31</v>
      </c>
      <c r="E233" s="13" t="s">
        <v>5522</v>
      </c>
      <c r="F233" s="12">
        <v>35.0</v>
      </c>
      <c r="G233" s="12">
        <v>1990.0</v>
      </c>
      <c r="H233" s="15">
        <v>21.3</v>
      </c>
      <c r="I233" s="17">
        <v>0.28</v>
      </c>
      <c r="J233" s="19">
        <v>0.0</v>
      </c>
      <c r="K233" s="19">
        <v>0.0</v>
      </c>
      <c r="L233" s="18">
        <v>0.61</v>
      </c>
      <c r="M233" s="18">
        <v>0.33</v>
      </c>
      <c r="N233" s="18">
        <v>0.05</v>
      </c>
      <c r="O233" s="18">
        <v>2.25</v>
      </c>
      <c r="P233" s="18">
        <v>0.75</v>
      </c>
      <c r="Q233" s="18">
        <v>0.66</v>
      </c>
      <c r="R233" s="36"/>
      <c r="S233" s="36"/>
      <c r="T233" s="19">
        <v>0.0</v>
      </c>
      <c r="U233" s="20" t="s">
        <v>5523</v>
      </c>
    </row>
    <row r="234">
      <c r="A234" s="50">
        <v>224.0</v>
      </c>
      <c r="B234" s="13" t="s">
        <v>5524</v>
      </c>
      <c r="C234" s="11" t="s">
        <v>5525</v>
      </c>
      <c r="D234" s="12" t="s">
        <v>36</v>
      </c>
      <c r="E234" s="13" t="s">
        <v>5526</v>
      </c>
      <c r="F234" s="12">
        <v>28.0</v>
      </c>
      <c r="G234" s="12">
        <v>1997.0</v>
      </c>
      <c r="H234" s="15">
        <v>14.8</v>
      </c>
      <c r="I234" s="17">
        <v>0.14</v>
      </c>
      <c r="J234" s="19">
        <v>0.0</v>
      </c>
      <c r="K234" s="19">
        <v>0.0</v>
      </c>
      <c r="L234" s="18">
        <v>1.01</v>
      </c>
      <c r="M234" s="18">
        <v>1.15</v>
      </c>
      <c r="N234" s="18">
        <v>0.14</v>
      </c>
      <c r="O234" s="18">
        <v>1.76</v>
      </c>
      <c r="P234" s="18">
        <v>0.47</v>
      </c>
      <c r="Q234" s="18">
        <v>0.74</v>
      </c>
      <c r="R234" s="36"/>
      <c r="S234" s="36"/>
      <c r="T234" s="19">
        <v>0.0</v>
      </c>
      <c r="U234" s="20" t="s">
        <v>5527</v>
      </c>
    </row>
    <row r="235">
      <c r="A235" s="50">
        <v>225.0</v>
      </c>
      <c r="B235" s="13" t="s">
        <v>5528</v>
      </c>
      <c r="C235" s="11" t="s">
        <v>5529</v>
      </c>
      <c r="D235" s="12" t="s">
        <v>98</v>
      </c>
      <c r="E235" s="13" t="s">
        <v>5530</v>
      </c>
      <c r="F235" s="12">
        <v>25.0</v>
      </c>
      <c r="G235" s="12">
        <v>2000.0</v>
      </c>
      <c r="H235" s="15">
        <v>18.0</v>
      </c>
      <c r="I235" s="22">
        <v>0.0</v>
      </c>
      <c r="J235" s="19">
        <v>0.0</v>
      </c>
      <c r="K235" s="19">
        <v>0.0</v>
      </c>
      <c r="L235" s="19">
        <v>0.0</v>
      </c>
      <c r="M235" s="18">
        <v>0.11</v>
      </c>
      <c r="N235" s="19">
        <v>0.0</v>
      </c>
      <c r="O235" s="19">
        <v>0.0</v>
      </c>
      <c r="P235" s="19">
        <v>0.0</v>
      </c>
      <c r="Q235" s="19">
        <v>0.0</v>
      </c>
      <c r="R235" s="36"/>
      <c r="S235" s="36"/>
      <c r="T235" s="19">
        <v>0.0</v>
      </c>
      <c r="U235" s="20" t="s">
        <v>5531</v>
      </c>
    </row>
    <row r="236">
      <c r="A236" s="37" t="s">
        <v>3</v>
      </c>
      <c r="B236" s="51" t="s">
        <v>4</v>
      </c>
      <c r="C236" s="39" t="s">
        <v>5</v>
      </c>
      <c r="D236" s="39" t="s">
        <v>6</v>
      </c>
      <c r="E236" s="39" t="s">
        <v>7</v>
      </c>
      <c r="F236" s="39" t="s">
        <v>8</v>
      </c>
      <c r="G236" s="39" t="s">
        <v>9</v>
      </c>
      <c r="H236" s="39" t="s">
        <v>13</v>
      </c>
      <c r="I236" s="40" t="s">
        <v>20</v>
      </c>
      <c r="J236" s="39" t="s">
        <v>21</v>
      </c>
      <c r="K236" s="39" t="s">
        <v>4622</v>
      </c>
      <c r="L236" s="39" t="s">
        <v>4623</v>
      </c>
      <c r="M236" s="39" t="s">
        <v>4624</v>
      </c>
      <c r="N236" s="39" t="s">
        <v>4625</v>
      </c>
      <c r="O236" s="39" t="s">
        <v>4626</v>
      </c>
      <c r="P236" s="39" t="s">
        <v>4627</v>
      </c>
      <c r="Q236" s="39" t="s">
        <v>4628</v>
      </c>
      <c r="R236" s="39" t="s">
        <v>4629</v>
      </c>
      <c r="S236" s="39" t="s">
        <v>4630</v>
      </c>
      <c r="T236" s="39" t="s">
        <v>4631</v>
      </c>
      <c r="U236" s="40" t="s">
        <v>23</v>
      </c>
    </row>
    <row r="237">
      <c r="A237" s="50">
        <v>226.0</v>
      </c>
      <c r="B237" s="13" t="s">
        <v>5532</v>
      </c>
      <c r="C237" s="11" t="s">
        <v>5533</v>
      </c>
      <c r="D237" s="12" t="s">
        <v>345</v>
      </c>
      <c r="E237" s="13" t="s">
        <v>5534</v>
      </c>
      <c r="F237" s="12">
        <v>23.0</v>
      </c>
      <c r="G237" s="12">
        <v>2002.0</v>
      </c>
      <c r="H237" s="15">
        <v>7.7</v>
      </c>
      <c r="I237" s="17">
        <v>0.13</v>
      </c>
      <c r="J237" s="19">
        <v>0.0</v>
      </c>
      <c r="K237" s="19">
        <v>0.0</v>
      </c>
      <c r="L237" s="18">
        <v>0.91</v>
      </c>
      <c r="M237" s="18">
        <v>1.17</v>
      </c>
      <c r="N237" s="19">
        <v>0.0</v>
      </c>
      <c r="O237" s="18">
        <v>0.52</v>
      </c>
      <c r="P237" s="18">
        <v>1.04</v>
      </c>
      <c r="Q237" s="18">
        <v>0.91</v>
      </c>
      <c r="R237" s="36"/>
      <c r="S237" s="36"/>
      <c r="T237" s="19">
        <v>0.0</v>
      </c>
      <c r="U237" s="20" t="s">
        <v>5535</v>
      </c>
    </row>
    <row r="238">
      <c r="A238" s="50">
        <v>227.0</v>
      </c>
      <c r="B238" s="13" t="s">
        <v>5536</v>
      </c>
      <c r="C238" s="11" t="s">
        <v>5537</v>
      </c>
      <c r="D238" s="12" t="s">
        <v>36</v>
      </c>
      <c r="E238" s="13" t="s">
        <v>5538</v>
      </c>
      <c r="F238" s="12">
        <v>23.0</v>
      </c>
      <c r="G238" s="12">
        <v>2002.0</v>
      </c>
      <c r="H238" s="15">
        <v>23.4</v>
      </c>
      <c r="I238" s="17">
        <v>0.21</v>
      </c>
      <c r="J238" s="19">
        <v>0.0</v>
      </c>
      <c r="K238" s="19">
        <v>0.0</v>
      </c>
      <c r="L238" s="18">
        <v>0.73</v>
      </c>
      <c r="M238" s="18">
        <v>0.56</v>
      </c>
      <c r="N238" s="18">
        <v>0.09</v>
      </c>
      <c r="O238" s="18">
        <v>0.47</v>
      </c>
      <c r="P238" s="18">
        <v>1.58</v>
      </c>
      <c r="Q238" s="18">
        <v>0.85</v>
      </c>
      <c r="R238" s="36"/>
      <c r="S238" s="36"/>
      <c r="T238" s="18">
        <v>0.09</v>
      </c>
      <c r="U238" s="20" t="s">
        <v>5539</v>
      </c>
    </row>
    <row r="239">
      <c r="A239" s="50">
        <v>228.0</v>
      </c>
      <c r="B239" s="13" t="s">
        <v>5540</v>
      </c>
      <c r="C239" s="11" t="s">
        <v>5541</v>
      </c>
      <c r="D239" s="12" t="s">
        <v>36</v>
      </c>
      <c r="E239" s="13" t="s">
        <v>5542</v>
      </c>
      <c r="F239" s="12">
        <v>23.0</v>
      </c>
      <c r="G239" s="12">
        <v>2002.0</v>
      </c>
      <c r="H239" s="15">
        <v>19.9</v>
      </c>
      <c r="I239" s="17">
        <v>0.1</v>
      </c>
      <c r="J239" s="19">
        <v>0.0</v>
      </c>
      <c r="K239" s="19">
        <v>0.0</v>
      </c>
      <c r="L239" s="18">
        <v>0.9</v>
      </c>
      <c r="M239" s="18">
        <v>0.7</v>
      </c>
      <c r="N239" s="18">
        <v>0.05</v>
      </c>
      <c r="O239" s="18">
        <v>1.66</v>
      </c>
      <c r="P239" s="18">
        <v>1.31</v>
      </c>
      <c r="Q239" s="18">
        <v>1.31</v>
      </c>
      <c r="R239" s="36"/>
      <c r="S239" s="36"/>
      <c r="T239" s="18">
        <v>0.05</v>
      </c>
      <c r="U239" s="20" t="s">
        <v>5543</v>
      </c>
    </row>
    <row r="240">
      <c r="A240" s="50">
        <v>229.0</v>
      </c>
      <c r="B240" s="13" t="s">
        <v>5544</v>
      </c>
      <c r="C240" s="11" t="s">
        <v>5545</v>
      </c>
      <c r="D240" s="12" t="s">
        <v>31</v>
      </c>
      <c r="E240" s="13" t="s">
        <v>5546</v>
      </c>
      <c r="F240" s="12">
        <v>20.0</v>
      </c>
      <c r="G240" s="12">
        <v>2005.0</v>
      </c>
      <c r="H240" s="15">
        <v>19.3</v>
      </c>
      <c r="I240" s="22">
        <v>0.0</v>
      </c>
      <c r="J240" s="19">
        <v>0.0</v>
      </c>
      <c r="K240" s="19">
        <v>0.0</v>
      </c>
      <c r="L240" s="18">
        <v>1.66</v>
      </c>
      <c r="M240" s="18">
        <v>0.62</v>
      </c>
      <c r="N240" s="18">
        <v>0.1</v>
      </c>
      <c r="O240" s="18">
        <v>0.36</v>
      </c>
      <c r="P240" s="18">
        <v>0.31</v>
      </c>
      <c r="Q240" s="18">
        <v>0.67</v>
      </c>
      <c r="R240" s="36"/>
      <c r="S240" s="36"/>
      <c r="T240" s="18">
        <v>0.05</v>
      </c>
      <c r="U240" s="20" t="s">
        <v>5547</v>
      </c>
    </row>
    <row r="241">
      <c r="A241" s="50">
        <v>230.0</v>
      </c>
      <c r="B241" s="13" t="s">
        <v>5548</v>
      </c>
      <c r="C241" s="11" t="s">
        <v>5549</v>
      </c>
      <c r="D241" s="12" t="s">
        <v>264</v>
      </c>
      <c r="E241" s="13" t="s">
        <v>5550</v>
      </c>
      <c r="F241" s="12">
        <v>23.0</v>
      </c>
      <c r="G241" s="12">
        <v>2002.0</v>
      </c>
      <c r="H241" s="15">
        <v>4.7</v>
      </c>
      <c r="I241" s="22">
        <v>0.0</v>
      </c>
      <c r="J241" s="19">
        <v>0.0</v>
      </c>
      <c r="K241" s="19">
        <v>0.0</v>
      </c>
      <c r="L241" s="18">
        <v>0.64</v>
      </c>
      <c r="M241" s="18">
        <v>0.64</v>
      </c>
      <c r="N241" s="18">
        <v>0.21</v>
      </c>
      <c r="O241" s="18">
        <v>4.68</v>
      </c>
      <c r="P241" s="18">
        <v>1.06</v>
      </c>
      <c r="Q241" s="18">
        <v>2.34</v>
      </c>
      <c r="R241" s="36"/>
      <c r="S241" s="36"/>
      <c r="T241" s="19">
        <v>0.0</v>
      </c>
      <c r="U241" s="20" t="s">
        <v>5551</v>
      </c>
    </row>
    <row r="242">
      <c r="A242" s="50">
        <v>231.0</v>
      </c>
      <c r="B242" s="13" t="s">
        <v>5552</v>
      </c>
      <c r="C242" s="11" t="s">
        <v>5553</v>
      </c>
      <c r="D242" s="12" t="s">
        <v>31</v>
      </c>
      <c r="E242" s="13" t="s">
        <v>5554</v>
      </c>
      <c r="F242" s="12">
        <v>17.0</v>
      </c>
      <c r="G242" s="12">
        <v>2008.0</v>
      </c>
      <c r="H242" s="15">
        <v>1.0</v>
      </c>
      <c r="I242" s="22">
        <v>0.0</v>
      </c>
      <c r="J242" s="19">
        <v>0.0</v>
      </c>
      <c r="K242" s="19">
        <v>0.0</v>
      </c>
      <c r="L242" s="19">
        <v>0.0</v>
      </c>
      <c r="M242" s="19">
        <v>0.0</v>
      </c>
      <c r="N242" s="18">
        <v>1.0</v>
      </c>
      <c r="O242" s="18">
        <v>4.0</v>
      </c>
      <c r="P242" s="19">
        <v>0.0</v>
      </c>
      <c r="Q242" s="19">
        <v>0.0</v>
      </c>
      <c r="R242" s="36"/>
      <c r="S242" s="36"/>
      <c r="T242" s="19">
        <v>0.0</v>
      </c>
      <c r="U242" s="20" t="s">
        <v>5555</v>
      </c>
    </row>
    <row r="243">
      <c r="A243" s="50">
        <v>232.0</v>
      </c>
      <c r="B243" s="13" t="s">
        <v>5556</v>
      </c>
      <c r="C243" s="11" t="s">
        <v>5557</v>
      </c>
      <c r="D243" s="12" t="s">
        <v>31</v>
      </c>
      <c r="E243" s="13" t="s">
        <v>5558</v>
      </c>
      <c r="F243" s="12">
        <v>24.0</v>
      </c>
      <c r="G243" s="12">
        <v>2000.0</v>
      </c>
      <c r="H243" s="15">
        <v>20.5</v>
      </c>
      <c r="I243" s="22">
        <v>0.0</v>
      </c>
      <c r="J243" s="19">
        <v>0.0</v>
      </c>
      <c r="K243" s="19">
        <v>0.0</v>
      </c>
      <c r="L243" s="18">
        <v>0.59</v>
      </c>
      <c r="M243" s="18">
        <v>0.59</v>
      </c>
      <c r="N243" s="18">
        <v>0.1</v>
      </c>
      <c r="O243" s="18">
        <v>4.44</v>
      </c>
      <c r="P243" s="18">
        <v>0.39</v>
      </c>
      <c r="Q243" s="18">
        <v>0.34</v>
      </c>
      <c r="R243" s="36"/>
      <c r="S243" s="36"/>
      <c r="T243" s="19">
        <v>0.0</v>
      </c>
      <c r="U243" s="20" t="s">
        <v>5559</v>
      </c>
    </row>
    <row r="244">
      <c r="A244" s="50">
        <v>233.0</v>
      </c>
      <c r="B244" s="13" t="s">
        <v>5560</v>
      </c>
      <c r="C244" s="11" t="s">
        <v>5561</v>
      </c>
      <c r="D244" s="12" t="s">
        <v>31</v>
      </c>
      <c r="E244" s="13" t="s">
        <v>5562</v>
      </c>
      <c r="F244" s="12">
        <v>30.0</v>
      </c>
      <c r="G244" s="12">
        <v>1995.0</v>
      </c>
      <c r="H244" s="15">
        <v>17.5</v>
      </c>
      <c r="I244" s="17">
        <v>0.4</v>
      </c>
      <c r="J244" s="19">
        <v>0.0</v>
      </c>
      <c r="K244" s="19">
        <v>0.0</v>
      </c>
      <c r="L244" s="18">
        <v>1.37</v>
      </c>
      <c r="M244" s="18">
        <v>1.43</v>
      </c>
      <c r="N244" s="19">
        <v>0.0</v>
      </c>
      <c r="O244" s="18">
        <v>2.57</v>
      </c>
      <c r="P244" s="18">
        <v>0.86</v>
      </c>
      <c r="Q244" s="18">
        <v>0.91</v>
      </c>
      <c r="R244" s="36"/>
      <c r="S244" s="36"/>
      <c r="T244" s="19">
        <v>0.0</v>
      </c>
      <c r="U244" s="20" t="s">
        <v>5563</v>
      </c>
    </row>
    <row r="245">
      <c r="A245" s="50">
        <v>234.0</v>
      </c>
      <c r="B245" s="13" t="s">
        <v>5564</v>
      </c>
      <c r="C245" s="11" t="s">
        <v>5565</v>
      </c>
      <c r="D245" s="12" t="s">
        <v>345</v>
      </c>
      <c r="E245" s="13" t="s">
        <v>5566</v>
      </c>
      <c r="F245" s="12">
        <v>23.0</v>
      </c>
      <c r="G245" s="12">
        <v>2002.0</v>
      </c>
      <c r="H245" s="15">
        <v>33.7</v>
      </c>
      <c r="I245" s="17">
        <v>0.27</v>
      </c>
      <c r="J245" s="19">
        <v>0.0</v>
      </c>
      <c r="K245" s="19">
        <v>0.0</v>
      </c>
      <c r="L245" s="18">
        <v>0.89</v>
      </c>
      <c r="M245" s="18">
        <v>1.13</v>
      </c>
      <c r="N245" s="18">
        <v>0.09</v>
      </c>
      <c r="O245" s="18">
        <v>2.61</v>
      </c>
      <c r="P245" s="18">
        <v>0.74</v>
      </c>
      <c r="Q245" s="18">
        <v>1.36</v>
      </c>
      <c r="R245" s="36"/>
      <c r="S245" s="36"/>
      <c r="T245" s="18">
        <v>0.03</v>
      </c>
      <c r="U245" s="20" t="s">
        <v>5567</v>
      </c>
    </row>
    <row r="246">
      <c r="A246" s="50">
        <v>235.0</v>
      </c>
      <c r="B246" s="13" t="s">
        <v>5568</v>
      </c>
      <c r="C246" s="11" t="s">
        <v>5569</v>
      </c>
      <c r="D246" s="12" t="s">
        <v>345</v>
      </c>
      <c r="E246" s="13" t="s">
        <v>5570</v>
      </c>
      <c r="F246" s="12">
        <v>22.0</v>
      </c>
      <c r="G246" s="12">
        <v>2003.0</v>
      </c>
      <c r="H246" s="15">
        <v>17.5</v>
      </c>
      <c r="I246" s="17">
        <v>0.34</v>
      </c>
      <c r="J246" s="19">
        <v>0.0</v>
      </c>
      <c r="K246" s="19">
        <v>0.0</v>
      </c>
      <c r="L246" s="18">
        <v>0.8</v>
      </c>
      <c r="M246" s="18">
        <v>0.57</v>
      </c>
      <c r="N246" s="18">
        <v>0.11</v>
      </c>
      <c r="O246" s="18">
        <v>0.97</v>
      </c>
      <c r="P246" s="18">
        <v>0.63</v>
      </c>
      <c r="Q246" s="18">
        <v>0.97</v>
      </c>
      <c r="R246" s="36"/>
      <c r="S246" s="36"/>
      <c r="T246" s="19">
        <v>0.0</v>
      </c>
      <c r="U246" s="20" t="s">
        <v>5571</v>
      </c>
    </row>
    <row r="247">
      <c r="A247" s="50">
        <v>236.0</v>
      </c>
      <c r="B247" s="13" t="s">
        <v>5572</v>
      </c>
      <c r="C247" s="11" t="s">
        <v>5573</v>
      </c>
      <c r="D247" s="12" t="s">
        <v>31</v>
      </c>
      <c r="E247" s="13" t="s">
        <v>5574</v>
      </c>
      <c r="F247" s="12">
        <v>21.0</v>
      </c>
      <c r="G247" s="12">
        <v>2003.0</v>
      </c>
      <c r="H247" s="15">
        <v>18.8</v>
      </c>
      <c r="I247" s="17">
        <v>0.05</v>
      </c>
      <c r="J247" s="19">
        <v>0.0</v>
      </c>
      <c r="K247" s="19">
        <v>0.0</v>
      </c>
      <c r="L247" s="18">
        <v>1.22</v>
      </c>
      <c r="M247" s="18">
        <v>1.28</v>
      </c>
      <c r="N247" s="18">
        <v>0.43</v>
      </c>
      <c r="O247" s="18">
        <v>7.07</v>
      </c>
      <c r="P247" s="18">
        <v>0.59</v>
      </c>
      <c r="Q247" s="18">
        <v>0.59</v>
      </c>
      <c r="R247" s="36"/>
      <c r="S247" s="36"/>
      <c r="T247" s="19">
        <v>0.0</v>
      </c>
      <c r="U247" s="20" t="s">
        <v>5575</v>
      </c>
    </row>
    <row r="248">
      <c r="A248" s="50">
        <v>237.0</v>
      </c>
      <c r="B248" s="13" t="s">
        <v>5576</v>
      </c>
      <c r="C248" s="11" t="s">
        <v>5577</v>
      </c>
      <c r="D248" s="12" t="s">
        <v>36</v>
      </c>
      <c r="E248" s="13" t="s">
        <v>5578</v>
      </c>
      <c r="F248" s="12">
        <v>27.0</v>
      </c>
      <c r="G248" s="12">
        <v>1998.0</v>
      </c>
      <c r="H248" s="15">
        <v>1.2</v>
      </c>
      <c r="I248" s="22">
        <v>0.0</v>
      </c>
      <c r="J248" s="19">
        <v>0.0</v>
      </c>
      <c r="K248" s="19">
        <v>0.0</v>
      </c>
      <c r="L248" s="18">
        <v>0.83</v>
      </c>
      <c r="M248" s="19">
        <v>0.0</v>
      </c>
      <c r="N248" s="19">
        <v>0.0</v>
      </c>
      <c r="O248" s="19">
        <v>0.0</v>
      </c>
      <c r="P248" s="18">
        <v>0.83</v>
      </c>
      <c r="Q248" s="19">
        <v>0.0</v>
      </c>
      <c r="R248" s="36"/>
      <c r="S248" s="36"/>
      <c r="T248" s="19">
        <v>0.0</v>
      </c>
      <c r="U248" s="20" t="s">
        <v>5579</v>
      </c>
    </row>
    <row r="249">
      <c r="A249" s="50">
        <v>238.0</v>
      </c>
      <c r="B249" s="13" t="s">
        <v>5580</v>
      </c>
      <c r="C249" s="11" t="s">
        <v>5581</v>
      </c>
      <c r="D249" s="12" t="s">
        <v>31</v>
      </c>
      <c r="E249" s="13" t="s">
        <v>5582</v>
      </c>
      <c r="F249" s="12">
        <v>22.0</v>
      </c>
      <c r="G249" s="12">
        <v>2003.0</v>
      </c>
      <c r="H249" s="15">
        <v>16.5</v>
      </c>
      <c r="I249" s="17">
        <v>0.55</v>
      </c>
      <c r="J249" s="19">
        <v>0.0</v>
      </c>
      <c r="K249" s="19">
        <v>0.0</v>
      </c>
      <c r="L249" s="18">
        <v>1.76</v>
      </c>
      <c r="M249" s="18">
        <v>1.21</v>
      </c>
      <c r="N249" s="19">
        <v>0.0</v>
      </c>
      <c r="O249" s="18">
        <v>0.18</v>
      </c>
      <c r="P249" s="18">
        <v>1.33</v>
      </c>
      <c r="Q249" s="18">
        <v>2.67</v>
      </c>
      <c r="R249" s="36"/>
      <c r="S249" s="36"/>
      <c r="T249" s="19">
        <v>0.0</v>
      </c>
      <c r="U249" s="20" t="s">
        <v>5583</v>
      </c>
    </row>
    <row r="250">
      <c r="A250" s="50">
        <v>239.0</v>
      </c>
      <c r="B250" s="13" t="s">
        <v>5584</v>
      </c>
      <c r="C250" s="11" t="s">
        <v>5585</v>
      </c>
      <c r="D250" s="12" t="s">
        <v>31</v>
      </c>
      <c r="E250" s="13" t="s">
        <v>5586</v>
      </c>
      <c r="F250" s="12">
        <v>25.0</v>
      </c>
      <c r="G250" s="12">
        <v>2000.0</v>
      </c>
      <c r="H250" s="15">
        <v>1.8</v>
      </c>
      <c r="I250" s="22">
        <v>0.0</v>
      </c>
      <c r="J250" s="19">
        <v>0.0</v>
      </c>
      <c r="K250" s="19">
        <v>0.0</v>
      </c>
      <c r="L250" s="18">
        <v>0.56</v>
      </c>
      <c r="M250" s="19">
        <v>0.0</v>
      </c>
      <c r="N250" s="19">
        <v>0.0</v>
      </c>
      <c r="O250" s="18">
        <v>6.67</v>
      </c>
      <c r="P250" s="18">
        <v>0.56</v>
      </c>
      <c r="Q250" s="18">
        <v>2.22</v>
      </c>
      <c r="R250" s="36"/>
      <c r="S250" s="36"/>
      <c r="T250" s="19">
        <v>0.0</v>
      </c>
      <c r="U250" s="20" t="s">
        <v>5587</v>
      </c>
    </row>
    <row r="251">
      <c r="A251" s="50">
        <v>240.0</v>
      </c>
      <c r="B251" s="13" t="s">
        <v>5588</v>
      </c>
      <c r="C251" s="11" t="s">
        <v>5589</v>
      </c>
      <c r="D251" s="12" t="s">
        <v>41</v>
      </c>
      <c r="E251" s="13" t="s">
        <v>5590</v>
      </c>
      <c r="F251" s="12">
        <v>25.0</v>
      </c>
      <c r="G251" s="12">
        <v>1999.0</v>
      </c>
      <c r="H251" s="15">
        <v>7.8</v>
      </c>
      <c r="I251" s="22">
        <v>0.0</v>
      </c>
      <c r="J251" s="19">
        <v>0.0</v>
      </c>
      <c r="K251" s="19">
        <v>0.0</v>
      </c>
      <c r="L251" s="18">
        <v>0.64</v>
      </c>
      <c r="M251" s="18">
        <v>0.13</v>
      </c>
      <c r="N251" s="19">
        <v>0.0</v>
      </c>
      <c r="O251" s="18">
        <v>0.26</v>
      </c>
      <c r="P251" s="19">
        <v>0.0</v>
      </c>
      <c r="Q251" s="18">
        <v>0.77</v>
      </c>
      <c r="R251" s="36"/>
      <c r="S251" s="36"/>
      <c r="T251" s="19">
        <v>0.0</v>
      </c>
      <c r="U251" s="20" t="s">
        <v>5591</v>
      </c>
    </row>
    <row r="252">
      <c r="A252" s="50">
        <v>241.0</v>
      </c>
      <c r="B252" s="13" t="s">
        <v>5592</v>
      </c>
      <c r="C252" s="11" t="s">
        <v>5593</v>
      </c>
      <c r="D252" s="12" t="s">
        <v>41</v>
      </c>
      <c r="E252" s="13" t="s">
        <v>5594</v>
      </c>
      <c r="F252" s="12">
        <v>24.0</v>
      </c>
      <c r="G252" s="12">
        <v>2000.0</v>
      </c>
      <c r="H252" s="15">
        <v>12.9</v>
      </c>
      <c r="I252" s="17">
        <v>0.08</v>
      </c>
      <c r="J252" s="19">
        <v>0.0</v>
      </c>
      <c r="K252" s="19">
        <v>0.0</v>
      </c>
      <c r="L252" s="18">
        <v>1.09</v>
      </c>
      <c r="M252" s="18">
        <v>0.54</v>
      </c>
      <c r="N252" s="18">
        <v>0.78</v>
      </c>
      <c r="O252" s="19">
        <v>0.0</v>
      </c>
      <c r="P252" s="18">
        <v>0.16</v>
      </c>
      <c r="Q252" s="18">
        <v>0.62</v>
      </c>
      <c r="R252" s="36"/>
      <c r="S252" s="36"/>
      <c r="T252" s="19">
        <v>0.0</v>
      </c>
      <c r="U252" s="20" t="s">
        <v>5595</v>
      </c>
    </row>
    <row r="253">
      <c r="A253" s="50">
        <v>242.0</v>
      </c>
      <c r="B253" s="13" t="s">
        <v>5596</v>
      </c>
      <c r="C253" s="11" t="s">
        <v>5597</v>
      </c>
      <c r="D253" s="12" t="s">
        <v>31</v>
      </c>
      <c r="E253" s="13" t="s">
        <v>5598</v>
      </c>
      <c r="F253" s="12">
        <v>29.0</v>
      </c>
      <c r="G253" s="12">
        <v>1996.0</v>
      </c>
      <c r="H253" s="15">
        <v>26.9</v>
      </c>
      <c r="I253" s="17">
        <v>0.11</v>
      </c>
      <c r="J253" s="19">
        <v>0.0</v>
      </c>
      <c r="K253" s="19">
        <v>0.0</v>
      </c>
      <c r="L253" s="18">
        <v>0.3</v>
      </c>
      <c r="M253" s="18">
        <v>0.37</v>
      </c>
      <c r="N253" s="18">
        <v>0.04</v>
      </c>
      <c r="O253" s="18">
        <v>3.27</v>
      </c>
      <c r="P253" s="18">
        <v>0.56</v>
      </c>
      <c r="Q253" s="18">
        <v>0.67</v>
      </c>
      <c r="R253" s="36"/>
      <c r="S253" s="36"/>
      <c r="T253" s="19">
        <v>0.0</v>
      </c>
      <c r="U253" s="20" t="s">
        <v>5599</v>
      </c>
    </row>
    <row r="254">
      <c r="A254" s="50">
        <v>243.0</v>
      </c>
      <c r="B254" s="13" t="s">
        <v>5600</v>
      </c>
      <c r="C254" s="11" t="s">
        <v>5601</v>
      </c>
      <c r="D254" s="12" t="s">
        <v>107</v>
      </c>
      <c r="E254" s="13" t="s">
        <v>5602</v>
      </c>
      <c r="F254" s="12">
        <v>27.0</v>
      </c>
      <c r="G254" s="12">
        <v>1997.0</v>
      </c>
      <c r="H254" s="15">
        <v>6.2</v>
      </c>
      <c r="I254" s="22">
        <v>0.0</v>
      </c>
      <c r="J254" s="19">
        <v>0.0</v>
      </c>
      <c r="K254" s="19">
        <v>0.0</v>
      </c>
      <c r="L254" s="18">
        <v>0.16</v>
      </c>
      <c r="M254" s="18">
        <v>1.29</v>
      </c>
      <c r="N254" s="18">
        <v>0.16</v>
      </c>
      <c r="O254" s="18">
        <v>8.06</v>
      </c>
      <c r="P254" s="18">
        <v>0.16</v>
      </c>
      <c r="Q254" s="18">
        <v>0.81</v>
      </c>
      <c r="R254" s="36"/>
      <c r="S254" s="36"/>
      <c r="T254" s="19">
        <v>0.0</v>
      </c>
      <c r="U254" s="20" t="s">
        <v>5603</v>
      </c>
    </row>
    <row r="255">
      <c r="A255" s="50">
        <v>244.0</v>
      </c>
      <c r="B255" s="13" t="s">
        <v>5604</v>
      </c>
      <c r="C255" s="11" t="s">
        <v>5605</v>
      </c>
      <c r="D255" s="12" t="s">
        <v>345</v>
      </c>
      <c r="E255" s="13" t="s">
        <v>5606</v>
      </c>
      <c r="F255" s="12">
        <v>25.0</v>
      </c>
      <c r="G255" s="12">
        <v>1999.0</v>
      </c>
      <c r="H255" s="15">
        <v>21.8</v>
      </c>
      <c r="I255" s="17">
        <v>0.18</v>
      </c>
      <c r="J255" s="19">
        <v>0.0</v>
      </c>
      <c r="K255" s="19">
        <v>0.0</v>
      </c>
      <c r="L255" s="18">
        <v>1.19</v>
      </c>
      <c r="M255" s="18">
        <v>1.01</v>
      </c>
      <c r="N255" s="18">
        <v>0.05</v>
      </c>
      <c r="O255" s="18">
        <v>5.78</v>
      </c>
      <c r="P255" s="18">
        <v>1.47</v>
      </c>
      <c r="Q255" s="18">
        <v>1.51</v>
      </c>
      <c r="R255" s="36"/>
      <c r="S255" s="36"/>
      <c r="T255" s="19">
        <v>0.0</v>
      </c>
      <c r="U255" s="20" t="s">
        <v>5607</v>
      </c>
    </row>
    <row r="256">
      <c r="A256" s="50">
        <v>245.0</v>
      </c>
      <c r="B256" s="13" t="s">
        <v>5608</v>
      </c>
      <c r="C256" s="11" t="s">
        <v>5609</v>
      </c>
      <c r="D256" s="12" t="s">
        <v>31</v>
      </c>
      <c r="E256" s="13" t="s">
        <v>5610</v>
      </c>
      <c r="F256" s="12">
        <v>27.0</v>
      </c>
      <c r="G256" s="12">
        <v>1998.0</v>
      </c>
      <c r="H256" s="15">
        <v>16.0</v>
      </c>
      <c r="I256" s="17">
        <v>0.5</v>
      </c>
      <c r="J256" s="19">
        <v>0.0</v>
      </c>
      <c r="K256" s="19">
        <v>0.0</v>
      </c>
      <c r="L256" s="18">
        <v>1.25</v>
      </c>
      <c r="M256" s="18">
        <v>0.81</v>
      </c>
      <c r="N256" s="19">
        <v>0.0</v>
      </c>
      <c r="O256" s="18">
        <v>3.81</v>
      </c>
      <c r="P256" s="18">
        <v>1.69</v>
      </c>
      <c r="Q256" s="18">
        <v>1.06</v>
      </c>
      <c r="R256" s="36"/>
      <c r="S256" s="36"/>
      <c r="T256" s="19">
        <v>0.0</v>
      </c>
      <c r="U256" s="20" t="s">
        <v>5611</v>
      </c>
    </row>
    <row r="257">
      <c r="A257" s="50">
        <v>246.0</v>
      </c>
      <c r="B257" s="13" t="s">
        <v>5612</v>
      </c>
      <c r="C257" s="11" t="s">
        <v>5613</v>
      </c>
      <c r="D257" s="12" t="s">
        <v>31</v>
      </c>
      <c r="E257" s="13" t="s">
        <v>5614</v>
      </c>
      <c r="F257" s="12">
        <v>29.0</v>
      </c>
      <c r="G257" s="12">
        <v>1996.0</v>
      </c>
      <c r="H257" s="15">
        <v>25.0</v>
      </c>
      <c r="I257" s="17">
        <v>0.12</v>
      </c>
      <c r="J257" s="19">
        <v>0.0</v>
      </c>
      <c r="K257" s="19">
        <v>0.0</v>
      </c>
      <c r="L257" s="18">
        <v>0.8</v>
      </c>
      <c r="M257" s="18">
        <v>0.6</v>
      </c>
      <c r="N257" s="18">
        <v>0.08</v>
      </c>
      <c r="O257" s="18">
        <v>4.96</v>
      </c>
      <c r="P257" s="18">
        <v>0.84</v>
      </c>
      <c r="Q257" s="18">
        <v>0.92</v>
      </c>
      <c r="R257" s="36"/>
      <c r="S257" s="36"/>
      <c r="T257" s="19">
        <v>0.0</v>
      </c>
      <c r="U257" s="20" t="s">
        <v>5615</v>
      </c>
    </row>
    <row r="258">
      <c r="A258" s="50">
        <v>247.0</v>
      </c>
      <c r="B258" s="13" t="s">
        <v>5616</v>
      </c>
      <c r="C258" s="11" t="s">
        <v>5617</v>
      </c>
      <c r="D258" s="12" t="s">
        <v>41</v>
      </c>
      <c r="E258" s="13" t="s">
        <v>5618</v>
      </c>
      <c r="F258" s="12">
        <v>28.0</v>
      </c>
      <c r="G258" s="12">
        <v>1997.0</v>
      </c>
      <c r="H258" s="15">
        <v>4.8</v>
      </c>
      <c r="I258" s="17">
        <v>0.63</v>
      </c>
      <c r="J258" s="19">
        <v>0.0</v>
      </c>
      <c r="K258" s="19">
        <v>0.0</v>
      </c>
      <c r="L258" s="18">
        <v>1.88</v>
      </c>
      <c r="M258" s="18">
        <v>0.21</v>
      </c>
      <c r="N258" s="18">
        <v>1.46</v>
      </c>
      <c r="O258" s="19">
        <v>0.0</v>
      </c>
      <c r="P258" s="18">
        <v>0.42</v>
      </c>
      <c r="Q258" s="19">
        <v>0.0</v>
      </c>
      <c r="R258" s="36"/>
      <c r="S258" s="36"/>
      <c r="T258" s="19">
        <v>0.0</v>
      </c>
      <c r="U258" s="20" t="s">
        <v>5619</v>
      </c>
    </row>
    <row r="259">
      <c r="A259" s="50">
        <v>248.0</v>
      </c>
      <c r="B259" s="13" t="s">
        <v>5620</v>
      </c>
      <c r="C259" s="11" t="s">
        <v>5621</v>
      </c>
      <c r="D259" s="12" t="s">
        <v>41</v>
      </c>
      <c r="E259" s="13" t="s">
        <v>5622</v>
      </c>
      <c r="F259" s="12">
        <v>24.0</v>
      </c>
      <c r="G259" s="12">
        <v>2001.0</v>
      </c>
      <c r="H259" s="15">
        <v>25.5</v>
      </c>
      <c r="I259" s="17">
        <v>0.08</v>
      </c>
      <c r="J259" s="19">
        <v>0.0</v>
      </c>
      <c r="K259" s="19">
        <v>0.0</v>
      </c>
      <c r="L259" s="18">
        <v>1.65</v>
      </c>
      <c r="M259" s="18">
        <v>1.57</v>
      </c>
      <c r="N259" s="18">
        <v>0.43</v>
      </c>
      <c r="O259" s="18">
        <v>0.39</v>
      </c>
      <c r="P259" s="18">
        <v>0.08</v>
      </c>
      <c r="Q259" s="18">
        <v>0.63</v>
      </c>
      <c r="R259" s="36"/>
      <c r="S259" s="36"/>
      <c r="T259" s="19">
        <v>0.0</v>
      </c>
      <c r="U259" s="20" t="s">
        <v>5623</v>
      </c>
    </row>
    <row r="260">
      <c r="A260" s="50">
        <v>249.0</v>
      </c>
      <c r="B260" s="13" t="s">
        <v>5624</v>
      </c>
      <c r="C260" s="11" t="s">
        <v>5625</v>
      </c>
      <c r="D260" s="12" t="s">
        <v>345</v>
      </c>
      <c r="E260" s="13" t="s">
        <v>5626</v>
      </c>
      <c r="F260" s="12">
        <v>20.0</v>
      </c>
      <c r="G260" s="12">
        <v>2005.0</v>
      </c>
      <c r="H260" s="15">
        <v>25.7</v>
      </c>
      <c r="I260" s="17">
        <v>0.39</v>
      </c>
      <c r="J260" s="19">
        <v>0.0</v>
      </c>
      <c r="K260" s="19">
        <v>0.0</v>
      </c>
      <c r="L260" s="18">
        <v>1.36</v>
      </c>
      <c r="M260" s="18">
        <v>0.78</v>
      </c>
      <c r="N260" s="19">
        <v>0.0</v>
      </c>
      <c r="O260" s="18">
        <v>1.98</v>
      </c>
      <c r="P260" s="18">
        <v>1.05</v>
      </c>
      <c r="Q260" s="18">
        <v>1.75</v>
      </c>
      <c r="R260" s="36"/>
      <c r="S260" s="36"/>
      <c r="T260" s="19">
        <v>0.0</v>
      </c>
      <c r="U260" s="20" t="s">
        <v>5627</v>
      </c>
    </row>
    <row r="261">
      <c r="A261" s="50">
        <v>250.0</v>
      </c>
      <c r="B261" s="13" t="s">
        <v>5628</v>
      </c>
      <c r="C261" s="11" t="s">
        <v>5629</v>
      </c>
      <c r="D261" s="12" t="s">
        <v>41</v>
      </c>
      <c r="E261" s="13" t="s">
        <v>5630</v>
      </c>
      <c r="F261" s="12">
        <v>34.0</v>
      </c>
      <c r="G261" s="12">
        <v>1991.0</v>
      </c>
      <c r="H261" s="15">
        <v>24.3</v>
      </c>
      <c r="I261" s="17">
        <v>0.21</v>
      </c>
      <c r="J261" s="19">
        <v>0.0</v>
      </c>
      <c r="K261" s="19">
        <v>0.0</v>
      </c>
      <c r="L261" s="18">
        <v>1.89</v>
      </c>
      <c r="M261" s="18">
        <v>1.4</v>
      </c>
      <c r="N261" s="18">
        <v>0.82</v>
      </c>
      <c r="O261" s="18">
        <v>0.29</v>
      </c>
      <c r="P261" s="18">
        <v>0.29</v>
      </c>
      <c r="Q261" s="18">
        <v>0.82</v>
      </c>
      <c r="R261" s="36"/>
      <c r="S261" s="36"/>
      <c r="T261" s="19">
        <v>0.0</v>
      </c>
      <c r="U261" s="20" t="s">
        <v>5631</v>
      </c>
    </row>
    <row r="262">
      <c r="A262" s="37" t="s">
        <v>3</v>
      </c>
      <c r="B262" s="51" t="s">
        <v>4</v>
      </c>
      <c r="C262" s="39" t="s">
        <v>5</v>
      </c>
      <c r="D262" s="39" t="s">
        <v>6</v>
      </c>
      <c r="E262" s="39" t="s">
        <v>7</v>
      </c>
      <c r="F262" s="39" t="s">
        <v>8</v>
      </c>
      <c r="G262" s="39" t="s">
        <v>9</v>
      </c>
      <c r="H262" s="39" t="s">
        <v>13</v>
      </c>
      <c r="I262" s="40" t="s">
        <v>20</v>
      </c>
      <c r="J262" s="39" t="s">
        <v>21</v>
      </c>
      <c r="K262" s="39" t="s">
        <v>4622</v>
      </c>
      <c r="L262" s="39" t="s">
        <v>4623</v>
      </c>
      <c r="M262" s="39" t="s">
        <v>4624</v>
      </c>
      <c r="N262" s="39" t="s">
        <v>4625</v>
      </c>
      <c r="O262" s="39" t="s">
        <v>4626</v>
      </c>
      <c r="P262" s="39" t="s">
        <v>4627</v>
      </c>
      <c r="Q262" s="39" t="s">
        <v>4628</v>
      </c>
      <c r="R262" s="39" t="s">
        <v>4629</v>
      </c>
      <c r="S262" s="39" t="s">
        <v>4630</v>
      </c>
      <c r="T262" s="39" t="s">
        <v>4631</v>
      </c>
      <c r="U262" s="40" t="s">
        <v>23</v>
      </c>
    </row>
    <row r="263">
      <c r="A263" s="50">
        <v>251.0</v>
      </c>
      <c r="B263" s="13" t="s">
        <v>5632</v>
      </c>
      <c r="C263" s="11" t="s">
        <v>5633</v>
      </c>
      <c r="D263" s="12" t="s">
        <v>31</v>
      </c>
      <c r="E263" s="13" t="s">
        <v>5634</v>
      </c>
      <c r="F263" s="12">
        <v>18.0</v>
      </c>
      <c r="G263" s="12">
        <v>2006.0</v>
      </c>
      <c r="H263" s="15">
        <v>0.1</v>
      </c>
      <c r="I263" s="22">
        <v>0.0</v>
      </c>
      <c r="J263" s="19">
        <v>0.0</v>
      </c>
      <c r="K263" s="19">
        <v>0.0</v>
      </c>
      <c r="L263" s="19">
        <v>0.0</v>
      </c>
      <c r="M263" s="18">
        <v>10.0</v>
      </c>
      <c r="N263" s="19">
        <v>0.0</v>
      </c>
      <c r="O263" s="19">
        <v>0.0</v>
      </c>
      <c r="P263" s="19">
        <v>0.0</v>
      </c>
      <c r="Q263" s="19">
        <v>0.0</v>
      </c>
      <c r="R263" s="36"/>
      <c r="S263" s="36"/>
      <c r="T263" s="19">
        <v>0.0</v>
      </c>
      <c r="U263" s="20" t="s">
        <v>5635</v>
      </c>
    </row>
    <row r="264">
      <c r="A264" s="50">
        <v>252.0</v>
      </c>
      <c r="B264" s="13" t="s">
        <v>5636</v>
      </c>
      <c r="C264" s="11" t="s">
        <v>5637</v>
      </c>
      <c r="D264" s="12" t="s">
        <v>107</v>
      </c>
      <c r="E264" s="13" t="s">
        <v>5638</v>
      </c>
      <c r="F264" s="12">
        <v>23.0</v>
      </c>
      <c r="G264" s="12">
        <v>2001.0</v>
      </c>
      <c r="H264" s="15">
        <v>29.6</v>
      </c>
      <c r="I264" s="17">
        <v>0.17</v>
      </c>
      <c r="J264" s="19">
        <v>0.0</v>
      </c>
      <c r="K264" s="19">
        <v>0.0</v>
      </c>
      <c r="L264" s="18">
        <v>1.28</v>
      </c>
      <c r="M264" s="18">
        <v>1.86</v>
      </c>
      <c r="N264" s="18">
        <v>0.54</v>
      </c>
      <c r="O264" s="18">
        <v>0.61</v>
      </c>
      <c r="P264" s="18">
        <v>0.2</v>
      </c>
      <c r="Q264" s="18">
        <v>0.57</v>
      </c>
      <c r="R264" s="36"/>
      <c r="S264" s="36"/>
      <c r="T264" s="19">
        <v>0.0</v>
      </c>
      <c r="U264" s="20" t="s">
        <v>5639</v>
      </c>
    </row>
    <row r="265">
      <c r="A265" s="50">
        <v>253.0</v>
      </c>
      <c r="B265" s="13" t="s">
        <v>5640</v>
      </c>
      <c r="C265" s="11" t="s">
        <v>5641</v>
      </c>
      <c r="D265" s="12" t="s">
        <v>31</v>
      </c>
      <c r="E265" s="13" t="s">
        <v>5642</v>
      </c>
      <c r="F265" s="12">
        <v>28.0</v>
      </c>
      <c r="G265" s="12">
        <v>1996.0</v>
      </c>
      <c r="H265" s="15">
        <v>21.7</v>
      </c>
      <c r="I265" s="17">
        <v>0.46</v>
      </c>
      <c r="J265" s="19">
        <v>0.0</v>
      </c>
      <c r="K265" s="19">
        <v>0.0</v>
      </c>
      <c r="L265" s="18">
        <v>2.12</v>
      </c>
      <c r="M265" s="18">
        <v>1.24</v>
      </c>
      <c r="N265" s="18">
        <v>0.05</v>
      </c>
      <c r="O265" s="18">
        <v>0.51</v>
      </c>
      <c r="P265" s="18">
        <v>1.29</v>
      </c>
      <c r="Q265" s="18">
        <v>1.06</v>
      </c>
      <c r="R265" s="36"/>
      <c r="S265" s="36"/>
      <c r="T265" s="19">
        <v>0.0</v>
      </c>
      <c r="U265" s="20" t="s">
        <v>5643</v>
      </c>
    </row>
    <row r="266">
      <c r="A266" s="50">
        <v>254.0</v>
      </c>
      <c r="B266" s="13" t="s">
        <v>5644</v>
      </c>
      <c r="C266" s="11" t="s">
        <v>5645</v>
      </c>
      <c r="D266" s="12" t="s">
        <v>98</v>
      </c>
      <c r="E266" s="13" t="s">
        <v>5646</v>
      </c>
      <c r="F266" s="12">
        <v>29.0</v>
      </c>
      <c r="G266" s="12">
        <v>1996.0</v>
      </c>
      <c r="H266" s="15">
        <v>4.9</v>
      </c>
      <c r="I266" s="17">
        <v>0.2</v>
      </c>
      <c r="J266" s="19">
        <v>0.0</v>
      </c>
      <c r="K266" s="19">
        <v>0.0</v>
      </c>
      <c r="L266" s="19">
        <v>0.0</v>
      </c>
      <c r="M266" s="19">
        <v>0.0</v>
      </c>
      <c r="N266" s="19">
        <v>0.0</v>
      </c>
      <c r="O266" s="19">
        <v>0.0</v>
      </c>
      <c r="P266" s="19">
        <v>0.0</v>
      </c>
      <c r="Q266" s="19">
        <v>0.0</v>
      </c>
      <c r="R266" s="36"/>
      <c r="S266" s="36"/>
      <c r="T266" s="19">
        <v>0.0</v>
      </c>
      <c r="U266" s="20" t="s">
        <v>5647</v>
      </c>
    </row>
    <row r="267">
      <c r="A267" s="50">
        <v>255.0</v>
      </c>
      <c r="B267" s="13" t="s">
        <v>5648</v>
      </c>
      <c r="C267" s="11" t="s">
        <v>5649</v>
      </c>
      <c r="D267" s="12" t="s">
        <v>26</v>
      </c>
      <c r="E267" s="13" t="s">
        <v>5650</v>
      </c>
      <c r="F267" s="12">
        <v>24.0</v>
      </c>
      <c r="G267" s="12">
        <v>2001.0</v>
      </c>
      <c r="H267" s="15">
        <v>6.8</v>
      </c>
      <c r="I267" s="17">
        <v>0.29</v>
      </c>
      <c r="J267" s="19">
        <v>0.0</v>
      </c>
      <c r="K267" s="19">
        <v>0.0</v>
      </c>
      <c r="L267" s="18">
        <v>0.29</v>
      </c>
      <c r="M267" s="18">
        <v>0.59</v>
      </c>
      <c r="N267" s="18">
        <v>1.18</v>
      </c>
      <c r="O267" s="18">
        <v>3.38</v>
      </c>
      <c r="P267" s="18">
        <v>0.29</v>
      </c>
      <c r="Q267" s="18">
        <v>1.32</v>
      </c>
      <c r="R267" s="36"/>
      <c r="S267" s="36"/>
      <c r="T267" s="19">
        <v>0.0</v>
      </c>
      <c r="U267" s="20" t="s">
        <v>5651</v>
      </c>
    </row>
    <row r="268">
      <c r="A268" s="50">
        <v>256.0</v>
      </c>
      <c r="B268" s="13" t="s">
        <v>5652</v>
      </c>
      <c r="C268" s="11" t="s">
        <v>5653</v>
      </c>
      <c r="D268" s="12" t="s">
        <v>26</v>
      </c>
      <c r="E268" s="13" t="s">
        <v>5654</v>
      </c>
      <c r="F268" s="12">
        <v>24.0</v>
      </c>
      <c r="G268" s="12">
        <v>2001.0</v>
      </c>
      <c r="H268" s="15">
        <v>12.4</v>
      </c>
      <c r="I268" s="17">
        <v>0.32</v>
      </c>
      <c r="J268" s="19">
        <v>0.0</v>
      </c>
      <c r="K268" s="19">
        <v>0.0</v>
      </c>
      <c r="L268" s="18">
        <v>1.45</v>
      </c>
      <c r="M268" s="18">
        <v>0.89</v>
      </c>
      <c r="N268" s="18">
        <v>0.48</v>
      </c>
      <c r="O268" s="18">
        <v>3.63</v>
      </c>
      <c r="P268" s="18">
        <v>0.16</v>
      </c>
      <c r="Q268" s="18">
        <v>0.56</v>
      </c>
      <c r="R268" s="36"/>
      <c r="S268" s="36"/>
      <c r="T268" s="19">
        <v>0.0</v>
      </c>
      <c r="U268" s="20" t="s">
        <v>5655</v>
      </c>
    </row>
    <row r="269">
      <c r="A269" s="50">
        <v>257.0</v>
      </c>
      <c r="B269" s="13" t="s">
        <v>5656</v>
      </c>
      <c r="C269" s="11" t="s">
        <v>5657</v>
      </c>
      <c r="D269" s="12" t="s">
        <v>98</v>
      </c>
      <c r="E269" s="13" t="s">
        <v>5658</v>
      </c>
      <c r="F269" s="12">
        <v>32.0</v>
      </c>
      <c r="G269" s="12">
        <v>1993.0</v>
      </c>
      <c r="H269" s="15">
        <v>12.0</v>
      </c>
      <c r="I269" s="22">
        <v>0.0</v>
      </c>
      <c r="J269" s="19">
        <v>0.0</v>
      </c>
      <c r="K269" s="19">
        <v>0.0</v>
      </c>
      <c r="L269" s="19">
        <v>0.0</v>
      </c>
      <c r="M269" s="19">
        <v>0.0</v>
      </c>
      <c r="N269" s="19">
        <v>0.0</v>
      </c>
      <c r="O269" s="19">
        <v>0.0</v>
      </c>
      <c r="P269" s="19">
        <v>0.0</v>
      </c>
      <c r="Q269" s="18">
        <v>0.08</v>
      </c>
      <c r="R269" s="36"/>
      <c r="S269" s="36"/>
      <c r="T269" s="18">
        <v>0.08</v>
      </c>
      <c r="U269" s="20" t="s">
        <v>5659</v>
      </c>
    </row>
    <row r="270">
      <c r="A270" s="50">
        <v>258.0</v>
      </c>
      <c r="B270" s="13" t="s">
        <v>5660</v>
      </c>
      <c r="C270" s="11" t="s">
        <v>5661</v>
      </c>
      <c r="D270" s="12" t="s">
        <v>264</v>
      </c>
      <c r="E270" s="13" t="s">
        <v>5662</v>
      </c>
      <c r="F270" s="12">
        <v>24.0</v>
      </c>
      <c r="G270" s="12">
        <v>2001.0</v>
      </c>
      <c r="H270" s="15">
        <v>21.5</v>
      </c>
      <c r="I270" s="17">
        <v>0.09</v>
      </c>
      <c r="J270" s="19">
        <v>0.0</v>
      </c>
      <c r="K270" s="19">
        <v>0.0</v>
      </c>
      <c r="L270" s="18">
        <v>0.79</v>
      </c>
      <c r="M270" s="18">
        <v>1.35</v>
      </c>
      <c r="N270" s="19">
        <v>0.0</v>
      </c>
      <c r="O270" s="18">
        <v>0.74</v>
      </c>
      <c r="P270" s="18">
        <v>0.84</v>
      </c>
      <c r="Q270" s="18">
        <v>1.07</v>
      </c>
      <c r="R270" s="36"/>
      <c r="S270" s="36"/>
      <c r="T270" s="19">
        <v>0.0</v>
      </c>
      <c r="U270" s="20" t="s">
        <v>5663</v>
      </c>
    </row>
    <row r="271">
      <c r="A271" s="50">
        <v>259.0</v>
      </c>
      <c r="B271" s="13" t="s">
        <v>5664</v>
      </c>
      <c r="C271" s="11" t="s">
        <v>5665</v>
      </c>
      <c r="D271" s="12" t="s">
        <v>26</v>
      </c>
      <c r="E271" s="13" t="s">
        <v>5666</v>
      </c>
      <c r="F271" s="12">
        <v>19.0</v>
      </c>
      <c r="G271" s="12">
        <v>2006.0</v>
      </c>
      <c r="H271" s="15">
        <v>18.6</v>
      </c>
      <c r="I271" s="17">
        <v>0.27</v>
      </c>
      <c r="J271" s="19">
        <v>0.0</v>
      </c>
      <c r="K271" s="19">
        <v>0.0</v>
      </c>
      <c r="L271" s="18">
        <v>1.45</v>
      </c>
      <c r="M271" s="18">
        <v>0.65</v>
      </c>
      <c r="N271" s="18">
        <v>0.32</v>
      </c>
      <c r="O271" s="18">
        <v>0.54</v>
      </c>
      <c r="P271" s="18">
        <v>0.48</v>
      </c>
      <c r="Q271" s="18">
        <v>0.32</v>
      </c>
      <c r="R271" s="36"/>
      <c r="S271" s="36"/>
      <c r="T271" s="19">
        <v>0.0</v>
      </c>
      <c r="U271" s="20" t="s">
        <v>5667</v>
      </c>
    </row>
    <row r="272">
      <c r="A272" s="50">
        <v>260.0</v>
      </c>
      <c r="B272" s="13" t="s">
        <v>5668</v>
      </c>
      <c r="C272" s="11" t="s">
        <v>5669</v>
      </c>
      <c r="D272" s="12" t="s">
        <v>31</v>
      </c>
      <c r="E272" s="13" t="s">
        <v>5670</v>
      </c>
      <c r="F272" s="12">
        <v>25.0</v>
      </c>
      <c r="G272" s="12">
        <v>2000.0</v>
      </c>
      <c r="H272" s="15">
        <v>0.2</v>
      </c>
      <c r="I272" s="22">
        <v>0.0</v>
      </c>
      <c r="J272" s="19">
        <v>0.0</v>
      </c>
      <c r="K272" s="19">
        <v>0.0</v>
      </c>
      <c r="L272" s="19">
        <v>0.0</v>
      </c>
      <c r="M272" s="19">
        <v>0.0</v>
      </c>
      <c r="N272" s="19">
        <v>0.0</v>
      </c>
      <c r="O272" s="18">
        <v>5.0</v>
      </c>
      <c r="P272" s="19">
        <v>0.0</v>
      </c>
      <c r="Q272" s="19">
        <v>0.0</v>
      </c>
      <c r="R272" s="36"/>
      <c r="S272" s="36"/>
      <c r="T272" s="19">
        <v>0.0</v>
      </c>
      <c r="U272" s="20" t="s">
        <v>5671</v>
      </c>
    </row>
    <row r="273">
      <c r="A273" s="50">
        <v>261.0</v>
      </c>
      <c r="B273" s="13" t="s">
        <v>5672</v>
      </c>
      <c r="C273" s="11" t="s">
        <v>5673</v>
      </c>
      <c r="D273" s="12" t="s">
        <v>345</v>
      </c>
      <c r="E273" s="13" t="s">
        <v>5674</v>
      </c>
      <c r="F273" s="12">
        <v>27.0</v>
      </c>
      <c r="G273" s="12">
        <v>1998.0</v>
      </c>
      <c r="H273" s="15">
        <v>21.1</v>
      </c>
      <c r="I273" s="17">
        <v>0.19</v>
      </c>
      <c r="J273" s="19">
        <v>0.0</v>
      </c>
      <c r="K273" s="19">
        <v>0.0</v>
      </c>
      <c r="L273" s="18">
        <v>0.62</v>
      </c>
      <c r="M273" s="18">
        <v>1.47</v>
      </c>
      <c r="N273" s="18">
        <v>0.09</v>
      </c>
      <c r="O273" s="18">
        <v>1.8</v>
      </c>
      <c r="P273" s="18">
        <v>1.23</v>
      </c>
      <c r="Q273" s="18">
        <v>1.8</v>
      </c>
      <c r="R273" s="36"/>
      <c r="S273" s="36"/>
      <c r="T273" s="19">
        <v>0.0</v>
      </c>
      <c r="U273" s="20" t="s">
        <v>5675</v>
      </c>
    </row>
    <row r="274">
      <c r="A274" s="50">
        <v>262.0</v>
      </c>
      <c r="B274" s="13" t="s">
        <v>5676</v>
      </c>
      <c r="C274" s="11" t="s">
        <v>5677</v>
      </c>
      <c r="D274" s="12" t="s">
        <v>98</v>
      </c>
      <c r="E274" s="13" t="s">
        <v>5678</v>
      </c>
      <c r="F274" s="12">
        <v>23.0</v>
      </c>
      <c r="G274" s="12">
        <v>2002.0</v>
      </c>
      <c r="H274" s="15">
        <v>4.2</v>
      </c>
      <c r="I274" s="22">
        <v>0.0</v>
      </c>
      <c r="J274" s="19">
        <v>0.0</v>
      </c>
      <c r="K274" s="19">
        <v>0.0</v>
      </c>
      <c r="L274" s="19">
        <v>0.0</v>
      </c>
      <c r="M274" s="19">
        <v>0.0</v>
      </c>
      <c r="N274" s="19">
        <v>0.0</v>
      </c>
      <c r="O274" s="19">
        <v>0.0</v>
      </c>
      <c r="P274" s="18">
        <v>0.24</v>
      </c>
      <c r="Q274" s="19">
        <v>0.0</v>
      </c>
      <c r="R274" s="36"/>
      <c r="S274" s="36"/>
      <c r="T274" s="19">
        <v>0.0</v>
      </c>
      <c r="U274" s="20" t="s">
        <v>5679</v>
      </c>
    </row>
    <row r="275">
      <c r="A275" s="50">
        <v>263.0</v>
      </c>
      <c r="B275" s="13" t="s">
        <v>5680</v>
      </c>
      <c r="C275" s="11" t="s">
        <v>5681</v>
      </c>
      <c r="D275" s="12" t="s">
        <v>345</v>
      </c>
      <c r="E275" s="13" t="s">
        <v>5682</v>
      </c>
      <c r="F275" s="12">
        <v>25.0</v>
      </c>
      <c r="G275" s="12">
        <v>1999.0</v>
      </c>
      <c r="H275" s="15">
        <v>34.8</v>
      </c>
      <c r="I275" s="17">
        <v>0.17</v>
      </c>
      <c r="J275" s="19">
        <v>0.0</v>
      </c>
      <c r="K275" s="19">
        <v>0.0</v>
      </c>
      <c r="L275" s="18">
        <v>0.63</v>
      </c>
      <c r="M275" s="18">
        <v>1.03</v>
      </c>
      <c r="N275" s="18">
        <v>0.2</v>
      </c>
      <c r="O275" s="18">
        <v>3.13</v>
      </c>
      <c r="P275" s="18">
        <v>0.72</v>
      </c>
      <c r="Q275" s="18">
        <v>1.12</v>
      </c>
      <c r="R275" s="36"/>
      <c r="S275" s="36"/>
      <c r="T275" s="19">
        <v>0.0</v>
      </c>
      <c r="U275" s="20" t="s">
        <v>5683</v>
      </c>
    </row>
    <row r="276">
      <c r="A276" s="50">
        <v>264.0</v>
      </c>
      <c r="B276" s="13" t="s">
        <v>5684</v>
      </c>
      <c r="C276" s="11" t="s">
        <v>5685</v>
      </c>
      <c r="D276" s="12" t="s">
        <v>107</v>
      </c>
      <c r="E276" s="13" t="s">
        <v>5686</v>
      </c>
      <c r="F276" s="12">
        <v>28.0</v>
      </c>
      <c r="G276" s="12">
        <v>1997.0</v>
      </c>
      <c r="H276" s="15">
        <v>0.2</v>
      </c>
      <c r="I276" s="22">
        <v>0.0</v>
      </c>
      <c r="J276" s="19">
        <v>0.0</v>
      </c>
      <c r="K276" s="19">
        <v>0.0</v>
      </c>
      <c r="L276" s="19">
        <v>0.0</v>
      </c>
      <c r="M276" s="19">
        <v>0.0</v>
      </c>
      <c r="N276" s="19">
        <v>0.0</v>
      </c>
      <c r="O276" s="19">
        <v>0.0</v>
      </c>
      <c r="P276" s="18">
        <v>5.0</v>
      </c>
      <c r="Q276" s="19">
        <v>0.0</v>
      </c>
      <c r="R276" s="36"/>
      <c r="S276" s="36"/>
      <c r="T276" s="19">
        <v>0.0</v>
      </c>
      <c r="U276" s="20" t="s">
        <v>5687</v>
      </c>
    </row>
    <row r="277">
      <c r="A277" s="50">
        <v>265.0</v>
      </c>
      <c r="B277" s="13" t="s">
        <v>5688</v>
      </c>
      <c r="C277" s="11" t="s">
        <v>5689</v>
      </c>
      <c r="D277" s="12" t="s">
        <v>41</v>
      </c>
      <c r="E277" s="13" t="s">
        <v>5690</v>
      </c>
      <c r="F277" s="12">
        <v>23.0</v>
      </c>
      <c r="G277" s="12">
        <v>2002.0</v>
      </c>
      <c r="H277" s="15">
        <v>1.1</v>
      </c>
      <c r="I277" s="22">
        <v>0.0</v>
      </c>
      <c r="J277" s="19">
        <v>0.0</v>
      </c>
      <c r="K277" s="19">
        <v>0.0</v>
      </c>
      <c r="L277" s="18">
        <v>1.82</v>
      </c>
      <c r="M277" s="19">
        <v>0.0</v>
      </c>
      <c r="N277" s="18">
        <v>0.91</v>
      </c>
      <c r="O277" s="18">
        <v>1.82</v>
      </c>
      <c r="P277" s="19">
        <v>0.0</v>
      </c>
      <c r="Q277" s="18">
        <v>0.91</v>
      </c>
      <c r="R277" s="36"/>
      <c r="S277" s="36"/>
      <c r="T277" s="19">
        <v>0.0</v>
      </c>
      <c r="U277" s="20" t="s">
        <v>5691</v>
      </c>
    </row>
    <row r="278">
      <c r="A278" s="50">
        <v>266.0</v>
      </c>
      <c r="B278" s="13" t="s">
        <v>5692</v>
      </c>
      <c r="C278" s="11" t="s">
        <v>5693</v>
      </c>
      <c r="D278" s="12" t="s">
        <v>31</v>
      </c>
      <c r="E278" s="13" t="s">
        <v>5694</v>
      </c>
      <c r="F278" s="12">
        <v>28.0</v>
      </c>
      <c r="G278" s="12">
        <v>1996.0</v>
      </c>
      <c r="H278" s="15">
        <v>21.1</v>
      </c>
      <c r="I278" s="17">
        <v>0.14</v>
      </c>
      <c r="J278" s="19">
        <v>0.0</v>
      </c>
      <c r="K278" s="19">
        <v>0.0</v>
      </c>
      <c r="L278" s="18">
        <v>1.42</v>
      </c>
      <c r="M278" s="18">
        <v>1.33</v>
      </c>
      <c r="N278" s="18">
        <v>0.05</v>
      </c>
      <c r="O278" s="18">
        <v>1.99</v>
      </c>
      <c r="P278" s="18">
        <v>0.66</v>
      </c>
      <c r="Q278" s="18">
        <v>1.66</v>
      </c>
      <c r="R278" s="36"/>
      <c r="S278" s="36"/>
      <c r="T278" s="19">
        <v>0.0</v>
      </c>
      <c r="U278" s="20" t="s">
        <v>5695</v>
      </c>
    </row>
    <row r="279">
      <c r="A279" s="50">
        <v>267.0</v>
      </c>
      <c r="B279" s="13" t="s">
        <v>5696</v>
      </c>
      <c r="C279" s="11" t="s">
        <v>5697</v>
      </c>
      <c r="D279" s="12" t="s">
        <v>31</v>
      </c>
      <c r="E279" s="13" t="s">
        <v>5698</v>
      </c>
      <c r="F279" s="12">
        <v>25.0</v>
      </c>
      <c r="G279" s="12">
        <v>1999.0</v>
      </c>
      <c r="H279" s="15">
        <v>15.7</v>
      </c>
      <c r="I279" s="17">
        <v>0.32</v>
      </c>
      <c r="J279" s="19">
        <v>0.0</v>
      </c>
      <c r="K279" s="19">
        <v>0.0</v>
      </c>
      <c r="L279" s="18">
        <v>1.02</v>
      </c>
      <c r="M279" s="18">
        <v>1.91</v>
      </c>
      <c r="N279" s="19">
        <v>0.0</v>
      </c>
      <c r="O279" s="18">
        <v>0.13</v>
      </c>
      <c r="P279" s="18">
        <v>0.96</v>
      </c>
      <c r="Q279" s="18">
        <v>1.02</v>
      </c>
      <c r="R279" s="36"/>
      <c r="S279" s="36"/>
      <c r="T279" s="19">
        <v>0.0</v>
      </c>
      <c r="U279" s="20" t="s">
        <v>5699</v>
      </c>
    </row>
    <row r="280">
      <c r="A280" s="50">
        <v>268.0</v>
      </c>
      <c r="B280" s="13" t="s">
        <v>5700</v>
      </c>
      <c r="C280" s="11" t="s">
        <v>5701</v>
      </c>
      <c r="D280" s="12" t="s">
        <v>31</v>
      </c>
      <c r="E280" s="13" t="s">
        <v>5702</v>
      </c>
      <c r="F280" s="12">
        <v>19.0</v>
      </c>
      <c r="G280" s="12">
        <v>2005.0</v>
      </c>
      <c r="H280" s="15">
        <v>0.8</v>
      </c>
      <c r="I280" s="17">
        <v>2.5</v>
      </c>
      <c r="J280" s="19">
        <v>0.0</v>
      </c>
      <c r="K280" s="19">
        <v>0.0</v>
      </c>
      <c r="L280" s="18">
        <v>5.0</v>
      </c>
      <c r="M280" s="18">
        <v>1.25</v>
      </c>
      <c r="N280" s="19">
        <v>0.0</v>
      </c>
      <c r="O280" s="19">
        <v>0.0</v>
      </c>
      <c r="P280" s="19">
        <v>0.0</v>
      </c>
      <c r="Q280" s="18">
        <v>5.0</v>
      </c>
      <c r="R280" s="36"/>
      <c r="S280" s="36"/>
      <c r="T280" s="19">
        <v>0.0</v>
      </c>
      <c r="U280" s="20" t="s">
        <v>5703</v>
      </c>
    </row>
    <row r="281">
      <c r="A281" s="50">
        <v>269.0</v>
      </c>
      <c r="B281" s="13" t="s">
        <v>5704</v>
      </c>
      <c r="C281" s="11" t="s">
        <v>5705</v>
      </c>
      <c r="D281" s="12" t="s">
        <v>36</v>
      </c>
      <c r="E281" s="13" t="s">
        <v>5706</v>
      </c>
      <c r="F281" s="12">
        <v>21.0</v>
      </c>
      <c r="G281" s="12">
        <v>2004.0</v>
      </c>
      <c r="H281" s="15">
        <v>36.2</v>
      </c>
      <c r="I281" s="17">
        <v>0.22</v>
      </c>
      <c r="J281" s="19">
        <v>0.0</v>
      </c>
      <c r="K281" s="19">
        <v>0.0</v>
      </c>
      <c r="L281" s="18">
        <v>0.72</v>
      </c>
      <c r="M281" s="18">
        <v>1.38</v>
      </c>
      <c r="N281" s="18">
        <v>0.03</v>
      </c>
      <c r="O281" s="18">
        <v>1.55</v>
      </c>
      <c r="P281" s="18">
        <v>1.08</v>
      </c>
      <c r="Q281" s="18">
        <v>1.3</v>
      </c>
      <c r="R281" s="36"/>
      <c r="S281" s="36"/>
      <c r="T281" s="18">
        <v>0.03</v>
      </c>
      <c r="U281" s="20" t="s">
        <v>5707</v>
      </c>
    </row>
    <row r="282">
      <c r="A282" s="50">
        <v>270.0</v>
      </c>
      <c r="B282" s="13" t="s">
        <v>5708</v>
      </c>
      <c r="C282" s="11" t="s">
        <v>5709</v>
      </c>
      <c r="D282" s="12" t="s">
        <v>36</v>
      </c>
      <c r="E282" s="13" t="s">
        <v>5710</v>
      </c>
      <c r="F282" s="12">
        <v>32.0</v>
      </c>
      <c r="G282" s="12">
        <v>1993.0</v>
      </c>
      <c r="H282" s="15">
        <v>28.8</v>
      </c>
      <c r="I282" s="17">
        <v>0.03</v>
      </c>
      <c r="J282" s="18">
        <v>0.03</v>
      </c>
      <c r="K282" s="19">
        <v>0.0</v>
      </c>
      <c r="L282" s="18">
        <v>0.56</v>
      </c>
      <c r="M282" s="18">
        <v>0.21</v>
      </c>
      <c r="N282" s="19">
        <v>0.0</v>
      </c>
      <c r="O282" s="18">
        <v>0.03</v>
      </c>
      <c r="P282" s="18">
        <v>1.28</v>
      </c>
      <c r="Q282" s="18">
        <v>0.83</v>
      </c>
      <c r="R282" s="36"/>
      <c r="S282" s="36"/>
      <c r="T282" s="19">
        <v>0.0</v>
      </c>
      <c r="U282" s="20" t="s">
        <v>5711</v>
      </c>
    </row>
    <row r="283">
      <c r="A283" s="50">
        <v>271.0</v>
      </c>
      <c r="B283" s="13" t="s">
        <v>5712</v>
      </c>
      <c r="C283" s="11" t="s">
        <v>5713</v>
      </c>
      <c r="D283" s="12" t="s">
        <v>98</v>
      </c>
      <c r="E283" s="13" t="s">
        <v>5714</v>
      </c>
      <c r="F283" s="12">
        <v>26.0</v>
      </c>
      <c r="G283" s="12">
        <v>1998.0</v>
      </c>
      <c r="H283" s="15">
        <v>37.0</v>
      </c>
      <c r="I283" s="17">
        <v>0.03</v>
      </c>
      <c r="J283" s="19">
        <v>0.0</v>
      </c>
      <c r="K283" s="19">
        <v>0.0</v>
      </c>
      <c r="L283" s="18">
        <v>0.08</v>
      </c>
      <c r="M283" s="18">
        <v>0.16</v>
      </c>
      <c r="N283" s="19">
        <v>0.0</v>
      </c>
      <c r="O283" s="19">
        <v>0.0</v>
      </c>
      <c r="P283" s="18">
        <v>0.03</v>
      </c>
      <c r="Q283" s="19">
        <v>0.0</v>
      </c>
      <c r="R283" s="36"/>
      <c r="S283" s="36"/>
      <c r="T283" s="19">
        <v>0.0</v>
      </c>
      <c r="U283" s="20" t="s">
        <v>5715</v>
      </c>
    </row>
    <row r="284">
      <c r="A284" s="50">
        <v>272.0</v>
      </c>
      <c r="B284" s="13" t="s">
        <v>5716</v>
      </c>
      <c r="C284" s="11" t="s">
        <v>5717</v>
      </c>
      <c r="D284" s="12" t="s">
        <v>36</v>
      </c>
      <c r="E284" s="13" t="s">
        <v>5718</v>
      </c>
      <c r="F284" s="12">
        <v>21.0</v>
      </c>
      <c r="G284" s="12">
        <v>2003.0</v>
      </c>
      <c r="H284" s="15">
        <v>25.1</v>
      </c>
      <c r="I284" s="17">
        <v>0.16</v>
      </c>
      <c r="J284" s="19">
        <v>0.0</v>
      </c>
      <c r="K284" s="19">
        <v>0.0</v>
      </c>
      <c r="L284" s="18">
        <v>0.88</v>
      </c>
      <c r="M284" s="18">
        <v>1.2</v>
      </c>
      <c r="N284" s="18">
        <v>0.16</v>
      </c>
      <c r="O284" s="18">
        <v>3.15</v>
      </c>
      <c r="P284" s="18">
        <v>0.6</v>
      </c>
      <c r="Q284" s="18">
        <v>1.04</v>
      </c>
      <c r="R284" s="36"/>
      <c r="S284" s="36"/>
      <c r="T284" s="19">
        <v>0.0</v>
      </c>
      <c r="U284" s="20" t="s">
        <v>5719</v>
      </c>
    </row>
    <row r="285">
      <c r="A285" s="50">
        <v>273.0</v>
      </c>
      <c r="B285" s="13" t="s">
        <v>5720</v>
      </c>
      <c r="C285" s="11" t="s">
        <v>5721</v>
      </c>
      <c r="D285" s="12" t="s">
        <v>31</v>
      </c>
      <c r="E285" s="13" t="s">
        <v>5722</v>
      </c>
      <c r="F285" s="12">
        <v>22.0</v>
      </c>
      <c r="G285" s="12">
        <v>2003.0</v>
      </c>
      <c r="H285" s="15">
        <v>11.6</v>
      </c>
      <c r="I285" s="17">
        <v>0.09</v>
      </c>
      <c r="J285" s="19">
        <v>0.0</v>
      </c>
      <c r="K285" s="19">
        <v>0.0</v>
      </c>
      <c r="L285" s="18">
        <v>1.21</v>
      </c>
      <c r="M285" s="18">
        <v>1.47</v>
      </c>
      <c r="N285" s="18">
        <v>0.26</v>
      </c>
      <c r="O285" s="18">
        <v>3.71</v>
      </c>
      <c r="P285" s="18">
        <v>0.78</v>
      </c>
      <c r="Q285" s="18">
        <v>0.86</v>
      </c>
      <c r="R285" s="36"/>
      <c r="S285" s="36"/>
      <c r="T285" s="19">
        <v>0.0</v>
      </c>
      <c r="U285" s="20" t="s">
        <v>5723</v>
      </c>
    </row>
    <row r="286">
      <c r="A286" s="50">
        <v>274.0</v>
      </c>
      <c r="B286" s="13" t="s">
        <v>5724</v>
      </c>
      <c r="C286" s="11" t="s">
        <v>5725</v>
      </c>
      <c r="D286" s="12" t="s">
        <v>36</v>
      </c>
      <c r="E286" s="13" t="s">
        <v>5726</v>
      </c>
      <c r="F286" s="12">
        <v>21.0</v>
      </c>
      <c r="G286" s="12">
        <v>2004.0</v>
      </c>
      <c r="H286" s="15">
        <v>15.9</v>
      </c>
      <c r="I286" s="17">
        <v>0.13</v>
      </c>
      <c r="J286" s="19">
        <v>0.0</v>
      </c>
      <c r="K286" s="19">
        <v>0.0</v>
      </c>
      <c r="L286" s="18">
        <v>0.88</v>
      </c>
      <c r="M286" s="18">
        <v>0.38</v>
      </c>
      <c r="N286" s="19">
        <v>0.0</v>
      </c>
      <c r="O286" s="18">
        <v>0.19</v>
      </c>
      <c r="P286" s="18">
        <v>1.82</v>
      </c>
      <c r="Q286" s="18">
        <v>1.26</v>
      </c>
      <c r="R286" s="36"/>
      <c r="S286" s="36"/>
      <c r="T286" s="19">
        <v>0.0</v>
      </c>
      <c r="U286" s="20" t="s">
        <v>5727</v>
      </c>
    </row>
    <row r="287">
      <c r="A287" s="50">
        <v>275.0</v>
      </c>
      <c r="B287" s="13" t="s">
        <v>5728</v>
      </c>
      <c r="C287" s="11" t="s">
        <v>5729</v>
      </c>
      <c r="D287" s="12" t="s">
        <v>36</v>
      </c>
      <c r="E287" s="13" t="s">
        <v>5730</v>
      </c>
      <c r="F287" s="12">
        <v>28.0</v>
      </c>
      <c r="G287" s="12">
        <v>1997.0</v>
      </c>
      <c r="H287" s="15">
        <v>17.3</v>
      </c>
      <c r="I287" s="17">
        <v>0.23</v>
      </c>
      <c r="J287" s="19">
        <v>0.0</v>
      </c>
      <c r="K287" s="19">
        <v>0.0</v>
      </c>
      <c r="L287" s="18">
        <v>0.92</v>
      </c>
      <c r="M287" s="18">
        <v>0.12</v>
      </c>
      <c r="N287" s="19">
        <v>0.0</v>
      </c>
      <c r="O287" s="18">
        <v>0.12</v>
      </c>
      <c r="P287" s="18">
        <v>0.35</v>
      </c>
      <c r="Q287" s="18">
        <v>0.46</v>
      </c>
      <c r="R287" s="36"/>
      <c r="S287" s="36"/>
      <c r="T287" s="19">
        <v>0.0</v>
      </c>
      <c r="U287" s="20" t="s">
        <v>5731</v>
      </c>
    </row>
    <row r="288">
      <c r="A288" s="37" t="s">
        <v>3</v>
      </c>
      <c r="B288" s="51" t="s">
        <v>4</v>
      </c>
      <c r="C288" s="39" t="s">
        <v>5</v>
      </c>
      <c r="D288" s="39" t="s">
        <v>6</v>
      </c>
      <c r="E288" s="39" t="s">
        <v>7</v>
      </c>
      <c r="F288" s="39" t="s">
        <v>8</v>
      </c>
      <c r="G288" s="39" t="s">
        <v>9</v>
      </c>
      <c r="H288" s="39" t="s">
        <v>13</v>
      </c>
      <c r="I288" s="40" t="s">
        <v>20</v>
      </c>
      <c r="J288" s="39" t="s">
        <v>21</v>
      </c>
      <c r="K288" s="39" t="s">
        <v>4622</v>
      </c>
      <c r="L288" s="39" t="s">
        <v>4623</v>
      </c>
      <c r="M288" s="39" t="s">
        <v>4624</v>
      </c>
      <c r="N288" s="39" t="s">
        <v>4625</v>
      </c>
      <c r="O288" s="39" t="s">
        <v>4626</v>
      </c>
      <c r="P288" s="39" t="s">
        <v>4627</v>
      </c>
      <c r="Q288" s="39" t="s">
        <v>4628</v>
      </c>
      <c r="R288" s="39" t="s">
        <v>4629</v>
      </c>
      <c r="S288" s="39" t="s">
        <v>4630</v>
      </c>
      <c r="T288" s="39" t="s">
        <v>4631</v>
      </c>
      <c r="U288" s="40" t="s">
        <v>23</v>
      </c>
    </row>
    <row r="289">
      <c r="A289" s="50">
        <v>276.0</v>
      </c>
      <c r="B289" s="13" t="s">
        <v>5732</v>
      </c>
      <c r="C289" s="11" t="s">
        <v>5733</v>
      </c>
      <c r="D289" s="12" t="s">
        <v>31</v>
      </c>
      <c r="E289" s="13" t="s">
        <v>5734</v>
      </c>
      <c r="F289" s="12">
        <v>18.0</v>
      </c>
      <c r="G289" s="12">
        <v>2007.0</v>
      </c>
      <c r="H289" s="15">
        <v>14.5</v>
      </c>
      <c r="I289" s="17">
        <v>0.28</v>
      </c>
      <c r="J289" s="19">
        <v>0.0</v>
      </c>
      <c r="K289" s="19">
        <v>0.0</v>
      </c>
      <c r="L289" s="18">
        <v>0.9</v>
      </c>
      <c r="M289" s="18">
        <v>2.07</v>
      </c>
      <c r="N289" s="18">
        <v>0.21</v>
      </c>
      <c r="O289" s="18">
        <v>0.83</v>
      </c>
      <c r="P289" s="18">
        <v>0.21</v>
      </c>
      <c r="Q289" s="18">
        <v>0.83</v>
      </c>
      <c r="R289" s="36"/>
      <c r="S289" s="36"/>
      <c r="T289" s="19">
        <v>0.0</v>
      </c>
      <c r="U289" s="20" t="s">
        <v>5735</v>
      </c>
    </row>
    <row r="290">
      <c r="A290" s="50">
        <v>277.0</v>
      </c>
      <c r="B290" s="13" t="s">
        <v>5736</v>
      </c>
      <c r="C290" s="11" t="s">
        <v>5737</v>
      </c>
      <c r="D290" s="12" t="s">
        <v>98</v>
      </c>
      <c r="E290" s="13" t="s">
        <v>5738</v>
      </c>
      <c r="F290" s="12">
        <v>22.0</v>
      </c>
      <c r="G290" s="12">
        <v>2003.0</v>
      </c>
      <c r="H290" s="15">
        <v>7.0</v>
      </c>
      <c r="I290" s="17">
        <v>0.14</v>
      </c>
      <c r="J290" s="19">
        <v>0.0</v>
      </c>
      <c r="K290" s="19">
        <v>0.0</v>
      </c>
      <c r="L290" s="19">
        <v>0.0</v>
      </c>
      <c r="M290" s="18">
        <v>0.14</v>
      </c>
      <c r="N290" s="19">
        <v>0.0</v>
      </c>
      <c r="O290" s="19">
        <v>0.0</v>
      </c>
      <c r="P290" s="19">
        <v>0.0</v>
      </c>
      <c r="Q290" s="19">
        <v>0.0</v>
      </c>
      <c r="R290" s="36"/>
      <c r="S290" s="36"/>
      <c r="T290" s="19">
        <v>0.0</v>
      </c>
      <c r="U290" s="20" t="s">
        <v>5739</v>
      </c>
    </row>
    <row r="291">
      <c r="A291" s="50">
        <v>278.0</v>
      </c>
      <c r="B291" s="13" t="s">
        <v>5740</v>
      </c>
      <c r="C291" s="11" t="s">
        <v>5741</v>
      </c>
      <c r="D291" s="12" t="s">
        <v>31</v>
      </c>
      <c r="E291" s="13" t="s">
        <v>5742</v>
      </c>
      <c r="F291" s="12">
        <v>26.0</v>
      </c>
      <c r="G291" s="12">
        <v>1999.0</v>
      </c>
      <c r="H291" s="15">
        <v>10.6</v>
      </c>
      <c r="I291" s="17">
        <v>0.47</v>
      </c>
      <c r="J291" s="19">
        <v>0.0</v>
      </c>
      <c r="K291" s="19">
        <v>0.0</v>
      </c>
      <c r="L291" s="18">
        <v>1.7</v>
      </c>
      <c r="M291" s="18">
        <v>0.94</v>
      </c>
      <c r="N291" s="18">
        <v>0.09</v>
      </c>
      <c r="O291" s="18">
        <v>3.77</v>
      </c>
      <c r="P291" s="18">
        <v>0.38</v>
      </c>
      <c r="Q291" s="18">
        <v>0.66</v>
      </c>
      <c r="R291" s="36"/>
      <c r="S291" s="36"/>
      <c r="T291" s="19">
        <v>0.0</v>
      </c>
      <c r="U291" s="20" t="s">
        <v>5743</v>
      </c>
    </row>
    <row r="292">
      <c r="A292" s="50">
        <v>279.0</v>
      </c>
      <c r="B292" s="13" t="s">
        <v>5744</v>
      </c>
      <c r="C292" s="11" t="s">
        <v>5745</v>
      </c>
      <c r="D292" s="12" t="s">
        <v>31</v>
      </c>
      <c r="E292" s="13" t="s">
        <v>5746</v>
      </c>
      <c r="F292" s="12">
        <v>19.0</v>
      </c>
      <c r="G292" s="12">
        <v>2005.0</v>
      </c>
      <c r="H292" s="21">
        <v>0.0</v>
      </c>
      <c r="I292" s="23">
        <v>0.0</v>
      </c>
      <c r="J292" s="21">
        <v>0.0</v>
      </c>
      <c r="K292" s="21">
        <v>0.0</v>
      </c>
      <c r="L292" s="21">
        <v>0.0</v>
      </c>
      <c r="M292" s="21">
        <v>0.0</v>
      </c>
      <c r="N292" s="21">
        <v>0.0</v>
      </c>
      <c r="O292" s="21">
        <v>0.0</v>
      </c>
      <c r="P292" s="21">
        <v>0.0</v>
      </c>
      <c r="Q292" s="21">
        <v>0.0</v>
      </c>
      <c r="R292" s="36"/>
      <c r="S292" s="36"/>
      <c r="T292" s="21">
        <v>0.0</v>
      </c>
      <c r="U292" s="20" t="s">
        <v>5747</v>
      </c>
    </row>
    <row r="293">
      <c r="A293" s="50">
        <v>280.0</v>
      </c>
      <c r="B293" s="13" t="s">
        <v>5748</v>
      </c>
      <c r="C293" s="11" t="s">
        <v>5749</v>
      </c>
      <c r="D293" s="12" t="s">
        <v>107</v>
      </c>
      <c r="E293" s="13" t="s">
        <v>5750</v>
      </c>
      <c r="F293" s="12">
        <v>26.0</v>
      </c>
      <c r="G293" s="12">
        <v>1998.0</v>
      </c>
      <c r="H293" s="15">
        <v>18.5</v>
      </c>
      <c r="I293" s="17">
        <v>0.16</v>
      </c>
      <c r="J293" s="19">
        <v>0.0</v>
      </c>
      <c r="K293" s="19">
        <v>0.0</v>
      </c>
      <c r="L293" s="18">
        <v>2.22</v>
      </c>
      <c r="M293" s="18">
        <v>0.92</v>
      </c>
      <c r="N293" s="18">
        <v>0.16</v>
      </c>
      <c r="O293" s="18">
        <v>0.97</v>
      </c>
      <c r="P293" s="18">
        <v>0.11</v>
      </c>
      <c r="Q293" s="18">
        <v>0.86</v>
      </c>
      <c r="R293" s="36"/>
      <c r="S293" s="36"/>
      <c r="T293" s="19">
        <v>0.0</v>
      </c>
      <c r="U293" s="20" t="s">
        <v>5751</v>
      </c>
    </row>
    <row r="294">
      <c r="A294" s="50">
        <v>281.0</v>
      </c>
      <c r="B294" s="13" t="s">
        <v>5752</v>
      </c>
      <c r="C294" s="11" t="s">
        <v>5753</v>
      </c>
      <c r="D294" s="12" t="s">
        <v>36</v>
      </c>
      <c r="E294" s="13" t="s">
        <v>5754</v>
      </c>
      <c r="F294" s="12">
        <v>26.0</v>
      </c>
      <c r="G294" s="12">
        <v>1999.0</v>
      </c>
      <c r="H294" s="15">
        <v>34.3</v>
      </c>
      <c r="I294" s="17">
        <v>0.2</v>
      </c>
      <c r="J294" s="19">
        <v>0.0</v>
      </c>
      <c r="K294" s="19">
        <v>0.0</v>
      </c>
      <c r="L294" s="18">
        <v>0.96</v>
      </c>
      <c r="M294" s="18">
        <v>1.2</v>
      </c>
      <c r="N294" s="19">
        <v>0.0</v>
      </c>
      <c r="O294" s="18">
        <v>0.09</v>
      </c>
      <c r="P294" s="18">
        <v>0.82</v>
      </c>
      <c r="Q294" s="18">
        <v>0.9</v>
      </c>
      <c r="R294" s="36"/>
      <c r="S294" s="36"/>
      <c r="T294" s="19">
        <v>0.0</v>
      </c>
      <c r="U294" s="20" t="s">
        <v>5755</v>
      </c>
    </row>
    <row r="295">
      <c r="A295" s="50">
        <v>282.0</v>
      </c>
      <c r="B295" s="13" t="s">
        <v>5756</v>
      </c>
      <c r="C295" s="11" t="s">
        <v>5757</v>
      </c>
      <c r="D295" s="12" t="s">
        <v>36</v>
      </c>
      <c r="E295" s="13" t="s">
        <v>5758</v>
      </c>
      <c r="F295" s="12">
        <v>27.0</v>
      </c>
      <c r="G295" s="12">
        <v>1997.0</v>
      </c>
      <c r="H295" s="15">
        <v>33.7</v>
      </c>
      <c r="I295" s="22">
        <v>0.0</v>
      </c>
      <c r="J295" s="18">
        <v>0.03</v>
      </c>
      <c r="K295" s="19">
        <v>0.0</v>
      </c>
      <c r="L295" s="18">
        <v>0.33</v>
      </c>
      <c r="M295" s="18">
        <v>1.25</v>
      </c>
      <c r="N295" s="19">
        <v>0.0</v>
      </c>
      <c r="O295" s="18">
        <v>0.15</v>
      </c>
      <c r="P295" s="18">
        <v>0.65</v>
      </c>
      <c r="Q295" s="18">
        <v>0.24</v>
      </c>
      <c r="R295" s="36"/>
      <c r="S295" s="36"/>
      <c r="T295" s="19">
        <v>0.0</v>
      </c>
      <c r="U295" s="20" t="s">
        <v>5759</v>
      </c>
    </row>
    <row r="296">
      <c r="A296" s="50">
        <v>283.0</v>
      </c>
      <c r="B296" s="13" t="s">
        <v>5760</v>
      </c>
      <c r="C296" s="11" t="s">
        <v>5761</v>
      </c>
      <c r="D296" s="12" t="s">
        <v>41</v>
      </c>
      <c r="E296" s="13" t="s">
        <v>5762</v>
      </c>
      <c r="F296" s="12">
        <v>18.0</v>
      </c>
      <c r="G296" s="12">
        <v>2007.0</v>
      </c>
      <c r="H296" s="15">
        <v>4.1</v>
      </c>
      <c r="I296" s="17">
        <v>0.49</v>
      </c>
      <c r="J296" s="19">
        <v>0.0</v>
      </c>
      <c r="K296" s="19">
        <v>0.0</v>
      </c>
      <c r="L296" s="18">
        <v>1.71</v>
      </c>
      <c r="M296" s="18">
        <v>1.71</v>
      </c>
      <c r="N296" s="18">
        <v>0.98</v>
      </c>
      <c r="O296" s="18">
        <v>1.46</v>
      </c>
      <c r="P296" s="18">
        <v>0.24</v>
      </c>
      <c r="Q296" s="18">
        <v>1.46</v>
      </c>
      <c r="R296" s="36"/>
      <c r="S296" s="36"/>
      <c r="T296" s="19">
        <v>0.0</v>
      </c>
      <c r="U296" s="20" t="s">
        <v>5763</v>
      </c>
    </row>
    <row r="297">
      <c r="A297" s="50">
        <v>284.0</v>
      </c>
      <c r="B297" s="13" t="s">
        <v>5764</v>
      </c>
      <c r="C297" s="11" t="s">
        <v>5765</v>
      </c>
      <c r="D297" s="12" t="s">
        <v>31</v>
      </c>
      <c r="E297" s="13" t="s">
        <v>5766</v>
      </c>
      <c r="F297" s="12">
        <v>31.0</v>
      </c>
      <c r="G297" s="12">
        <v>1994.0</v>
      </c>
      <c r="H297" s="15">
        <v>1.4</v>
      </c>
      <c r="I297" s="22">
        <v>0.0</v>
      </c>
      <c r="J297" s="19">
        <v>0.0</v>
      </c>
      <c r="K297" s="19">
        <v>0.0</v>
      </c>
      <c r="L297" s="19">
        <v>0.0</v>
      </c>
      <c r="M297" s="18">
        <v>1.43</v>
      </c>
      <c r="N297" s="19">
        <v>0.0</v>
      </c>
      <c r="O297" s="19">
        <v>0.0</v>
      </c>
      <c r="P297" s="18">
        <v>1.43</v>
      </c>
      <c r="Q297" s="18">
        <v>0.71</v>
      </c>
      <c r="R297" s="36"/>
      <c r="S297" s="36"/>
      <c r="T297" s="19">
        <v>0.0</v>
      </c>
      <c r="U297" s="20" t="s">
        <v>5767</v>
      </c>
    </row>
    <row r="298">
      <c r="A298" s="50">
        <v>285.0</v>
      </c>
      <c r="B298" s="13" t="s">
        <v>5768</v>
      </c>
      <c r="C298" s="11" t="s">
        <v>5769</v>
      </c>
      <c r="D298" s="12" t="s">
        <v>36</v>
      </c>
      <c r="E298" s="13" t="s">
        <v>5770</v>
      </c>
      <c r="F298" s="12">
        <v>30.0</v>
      </c>
      <c r="G298" s="12">
        <v>1994.0</v>
      </c>
      <c r="H298" s="15">
        <v>0.5</v>
      </c>
      <c r="I298" s="22">
        <v>0.0</v>
      </c>
      <c r="J298" s="19">
        <v>0.0</v>
      </c>
      <c r="K298" s="19">
        <v>0.0</v>
      </c>
      <c r="L298" s="18">
        <v>2.0</v>
      </c>
      <c r="M298" s="19">
        <v>0.0</v>
      </c>
      <c r="N298" s="19">
        <v>0.0</v>
      </c>
      <c r="O298" s="18">
        <v>2.0</v>
      </c>
      <c r="P298" s="19">
        <v>0.0</v>
      </c>
      <c r="Q298" s="19">
        <v>0.0</v>
      </c>
      <c r="R298" s="36"/>
      <c r="S298" s="36"/>
      <c r="T298" s="19">
        <v>0.0</v>
      </c>
      <c r="U298" s="20" t="s">
        <v>5771</v>
      </c>
    </row>
    <row r="299">
      <c r="A299" s="50">
        <v>286.0</v>
      </c>
      <c r="B299" s="13" t="s">
        <v>5772</v>
      </c>
      <c r="C299" s="11" t="s">
        <v>5773</v>
      </c>
      <c r="D299" s="12" t="s">
        <v>345</v>
      </c>
      <c r="E299" s="13" t="s">
        <v>5774</v>
      </c>
      <c r="F299" s="12">
        <v>26.0</v>
      </c>
      <c r="G299" s="12">
        <v>1999.0</v>
      </c>
      <c r="H299" s="15">
        <v>26.2</v>
      </c>
      <c r="I299" s="17">
        <v>0.19</v>
      </c>
      <c r="J299" s="18">
        <v>0.04</v>
      </c>
      <c r="K299" s="18">
        <v>0.04</v>
      </c>
      <c r="L299" s="18">
        <v>1.26</v>
      </c>
      <c r="M299" s="18">
        <v>0.27</v>
      </c>
      <c r="N299" s="19">
        <v>0.0</v>
      </c>
      <c r="O299" s="18">
        <v>0.65</v>
      </c>
      <c r="P299" s="18">
        <v>1.22</v>
      </c>
      <c r="Q299" s="18">
        <v>0.8</v>
      </c>
      <c r="R299" s="36"/>
      <c r="S299" s="36"/>
      <c r="T299" s="18">
        <v>0.04</v>
      </c>
      <c r="U299" s="20" t="s">
        <v>5775</v>
      </c>
    </row>
    <row r="300">
      <c r="A300" s="50">
        <v>287.0</v>
      </c>
      <c r="B300" s="13" t="s">
        <v>5776</v>
      </c>
      <c r="C300" s="11" t="s">
        <v>5777</v>
      </c>
      <c r="D300" s="12" t="s">
        <v>26</v>
      </c>
      <c r="E300" s="13" t="s">
        <v>5778</v>
      </c>
      <c r="F300" s="12">
        <v>24.0</v>
      </c>
      <c r="G300" s="12">
        <v>2000.0</v>
      </c>
      <c r="H300" s="15">
        <v>17.1</v>
      </c>
      <c r="I300" s="17">
        <v>0.18</v>
      </c>
      <c r="J300" s="19">
        <v>0.0</v>
      </c>
      <c r="K300" s="19">
        <v>0.0</v>
      </c>
      <c r="L300" s="18">
        <v>1.35</v>
      </c>
      <c r="M300" s="18">
        <v>0.88</v>
      </c>
      <c r="N300" s="18">
        <v>0.58</v>
      </c>
      <c r="O300" s="18">
        <v>7.13</v>
      </c>
      <c r="P300" s="18">
        <v>0.18</v>
      </c>
      <c r="Q300" s="18">
        <v>0.99</v>
      </c>
      <c r="R300" s="36"/>
      <c r="S300" s="36"/>
      <c r="T300" s="19">
        <v>0.0</v>
      </c>
      <c r="U300" s="20" t="s">
        <v>5779</v>
      </c>
    </row>
    <row r="301">
      <c r="A301" s="50">
        <v>288.0</v>
      </c>
      <c r="B301" s="13" t="s">
        <v>5780</v>
      </c>
      <c r="C301" s="11" t="s">
        <v>5781</v>
      </c>
      <c r="D301" s="12" t="s">
        <v>41</v>
      </c>
      <c r="E301" s="13" t="s">
        <v>5782</v>
      </c>
      <c r="F301" s="12">
        <v>18.0</v>
      </c>
      <c r="G301" s="12">
        <v>2007.0</v>
      </c>
      <c r="H301" s="15">
        <v>0.6</v>
      </c>
      <c r="I301" s="17">
        <v>1.67</v>
      </c>
      <c r="J301" s="19">
        <v>0.0</v>
      </c>
      <c r="K301" s="19">
        <v>0.0</v>
      </c>
      <c r="L301" s="18">
        <v>6.67</v>
      </c>
      <c r="M301" s="18">
        <v>3.33</v>
      </c>
      <c r="N301" s="19">
        <v>0.0</v>
      </c>
      <c r="O301" s="19">
        <v>0.0</v>
      </c>
      <c r="P301" s="19">
        <v>0.0</v>
      </c>
      <c r="Q301" s="18">
        <v>1.67</v>
      </c>
      <c r="R301" s="36"/>
      <c r="S301" s="36"/>
      <c r="T301" s="19">
        <v>0.0</v>
      </c>
      <c r="U301" s="20" t="s">
        <v>5783</v>
      </c>
    </row>
    <row r="302">
      <c r="A302" s="50">
        <v>289.0</v>
      </c>
      <c r="B302" s="13" t="s">
        <v>5784</v>
      </c>
      <c r="C302" s="11" t="s">
        <v>5785</v>
      </c>
      <c r="D302" s="12" t="s">
        <v>41</v>
      </c>
      <c r="E302" s="13" t="s">
        <v>5786</v>
      </c>
      <c r="F302" s="12">
        <v>18.0</v>
      </c>
      <c r="G302" s="12">
        <v>2007.0</v>
      </c>
      <c r="H302" s="15">
        <v>0.5</v>
      </c>
      <c r="I302" s="22">
        <v>0.0</v>
      </c>
      <c r="J302" s="19">
        <v>0.0</v>
      </c>
      <c r="K302" s="19">
        <v>0.0</v>
      </c>
      <c r="L302" s="18">
        <v>4.0</v>
      </c>
      <c r="M302" s="18">
        <v>4.0</v>
      </c>
      <c r="N302" s="19">
        <v>0.0</v>
      </c>
      <c r="O302" s="19">
        <v>0.0</v>
      </c>
      <c r="P302" s="19">
        <v>0.0</v>
      </c>
      <c r="Q302" s="19">
        <v>0.0</v>
      </c>
      <c r="R302" s="36"/>
      <c r="S302" s="36"/>
      <c r="T302" s="19">
        <v>0.0</v>
      </c>
      <c r="U302" s="20" t="s">
        <v>5787</v>
      </c>
    </row>
    <row r="303">
      <c r="A303" s="50">
        <v>290.0</v>
      </c>
      <c r="B303" s="13" t="s">
        <v>5788</v>
      </c>
      <c r="C303" s="11" t="s">
        <v>5789</v>
      </c>
      <c r="D303" s="12" t="s">
        <v>36</v>
      </c>
      <c r="E303" s="13" t="s">
        <v>5790</v>
      </c>
      <c r="F303" s="12">
        <v>25.0</v>
      </c>
      <c r="G303" s="12">
        <v>2000.0</v>
      </c>
      <c r="H303" s="15">
        <v>34.3</v>
      </c>
      <c r="I303" s="17">
        <v>0.12</v>
      </c>
      <c r="J303" s="18">
        <v>0.03</v>
      </c>
      <c r="K303" s="19">
        <v>0.0</v>
      </c>
      <c r="L303" s="18">
        <v>0.99</v>
      </c>
      <c r="M303" s="18">
        <v>0.55</v>
      </c>
      <c r="N303" s="19">
        <v>0.0</v>
      </c>
      <c r="O303" s="18">
        <v>0.15</v>
      </c>
      <c r="P303" s="18">
        <v>1.31</v>
      </c>
      <c r="Q303" s="18">
        <v>1.11</v>
      </c>
      <c r="R303" s="36"/>
      <c r="S303" s="36"/>
      <c r="T303" s="19">
        <v>0.0</v>
      </c>
      <c r="U303" s="20" t="s">
        <v>5791</v>
      </c>
    </row>
    <row r="304">
      <c r="A304" s="50">
        <v>291.0</v>
      </c>
      <c r="B304" s="13" t="s">
        <v>5792</v>
      </c>
      <c r="C304" s="11" t="s">
        <v>5793</v>
      </c>
      <c r="D304" s="12" t="s">
        <v>98</v>
      </c>
      <c r="E304" s="13" t="s">
        <v>5794</v>
      </c>
      <c r="F304" s="12">
        <v>23.0</v>
      </c>
      <c r="G304" s="12">
        <v>2002.0</v>
      </c>
      <c r="H304" s="15">
        <v>32.0</v>
      </c>
      <c r="I304" s="22">
        <v>0.0</v>
      </c>
      <c r="J304" s="19">
        <v>0.0</v>
      </c>
      <c r="K304" s="19">
        <v>0.0</v>
      </c>
      <c r="L304" s="19">
        <v>0.0</v>
      </c>
      <c r="M304" s="18">
        <v>0.13</v>
      </c>
      <c r="N304" s="19">
        <v>0.0</v>
      </c>
      <c r="O304" s="19">
        <v>0.0</v>
      </c>
      <c r="P304" s="19">
        <v>0.0</v>
      </c>
      <c r="Q304" s="18">
        <v>0.03</v>
      </c>
      <c r="R304" s="36"/>
      <c r="S304" s="36"/>
      <c r="T304" s="19">
        <v>0.0</v>
      </c>
      <c r="U304" s="20" t="s">
        <v>5795</v>
      </c>
    </row>
    <row r="305">
      <c r="A305" s="50">
        <v>292.0</v>
      </c>
      <c r="B305" s="13" t="s">
        <v>5796</v>
      </c>
      <c r="C305" s="11" t="s">
        <v>5797</v>
      </c>
      <c r="D305" s="12" t="s">
        <v>36</v>
      </c>
      <c r="E305" s="13" t="s">
        <v>5798</v>
      </c>
      <c r="F305" s="12">
        <v>31.0</v>
      </c>
      <c r="G305" s="12">
        <v>1993.0</v>
      </c>
      <c r="H305" s="15">
        <v>0.2</v>
      </c>
      <c r="I305" s="22">
        <v>0.0</v>
      </c>
      <c r="J305" s="19">
        <v>0.0</v>
      </c>
      <c r="K305" s="19">
        <v>0.0</v>
      </c>
      <c r="L305" s="19">
        <v>0.0</v>
      </c>
      <c r="M305" s="19">
        <v>0.0</v>
      </c>
      <c r="N305" s="19">
        <v>0.0</v>
      </c>
      <c r="O305" s="19">
        <v>0.0</v>
      </c>
      <c r="P305" s="19">
        <v>0.0</v>
      </c>
      <c r="Q305" s="19">
        <v>0.0</v>
      </c>
      <c r="R305" s="36"/>
      <c r="S305" s="36"/>
      <c r="T305" s="19">
        <v>0.0</v>
      </c>
      <c r="U305" s="20" t="s">
        <v>5799</v>
      </c>
    </row>
    <row r="306">
      <c r="A306" s="50">
        <v>293.0</v>
      </c>
      <c r="B306" s="13" t="s">
        <v>5800</v>
      </c>
      <c r="C306" s="11" t="s">
        <v>5801</v>
      </c>
      <c r="D306" s="12" t="s">
        <v>345</v>
      </c>
      <c r="E306" s="13" t="s">
        <v>5802</v>
      </c>
      <c r="F306" s="12">
        <v>30.0</v>
      </c>
      <c r="G306" s="12">
        <v>1995.0</v>
      </c>
      <c r="H306" s="15">
        <v>19.6</v>
      </c>
      <c r="I306" s="17">
        <v>0.36</v>
      </c>
      <c r="J306" s="18">
        <v>0.05</v>
      </c>
      <c r="K306" s="19">
        <v>0.0</v>
      </c>
      <c r="L306" s="18">
        <v>1.58</v>
      </c>
      <c r="M306" s="18">
        <v>0.56</v>
      </c>
      <c r="N306" s="18">
        <v>0.1</v>
      </c>
      <c r="O306" s="18">
        <v>0.71</v>
      </c>
      <c r="P306" s="18">
        <v>1.43</v>
      </c>
      <c r="Q306" s="18">
        <v>1.28</v>
      </c>
      <c r="R306" s="36"/>
      <c r="S306" s="36"/>
      <c r="T306" s="19">
        <v>0.0</v>
      </c>
      <c r="U306" s="20" t="s">
        <v>5803</v>
      </c>
    </row>
    <row r="307">
      <c r="A307" s="50">
        <v>294.0</v>
      </c>
      <c r="B307" s="13" t="s">
        <v>5804</v>
      </c>
      <c r="C307" s="11" t="s">
        <v>5805</v>
      </c>
      <c r="D307" s="12" t="s">
        <v>31</v>
      </c>
      <c r="E307" s="13" t="s">
        <v>5806</v>
      </c>
      <c r="F307" s="12">
        <v>21.0</v>
      </c>
      <c r="G307" s="12">
        <v>2004.0</v>
      </c>
      <c r="H307" s="15">
        <v>4.2</v>
      </c>
      <c r="I307" s="22">
        <v>0.0</v>
      </c>
      <c r="J307" s="19">
        <v>0.0</v>
      </c>
      <c r="K307" s="19">
        <v>0.0</v>
      </c>
      <c r="L307" s="18">
        <v>1.9</v>
      </c>
      <c r="M307" s="18">
        <v>1.9</v>
      </c>
      <c r="N307" s="19">
        <v>0.0</v>
      </c>
      <c r="O307" s="18">
        <v>0.24</v>
      </c>
      <c r="P307" s="18">
        <v>1.19</v>
      </c>
      <c r="Q307" s="18">
        <v>1.67</v>
      </c>
      <c r="R307" s="36"/>
      <c r="S307" s="36"/>
      <c r="T307" s="19">
        <v>0.0</v>
      </c>
      <c r="U307" s="20" t="s">
        <v>5807</v>
      </c>
    </row>
    <row r="308">
      <c r="A308" s="50">
        <v>295.0</v>
      </c>
      <c r="B308" s="13" t="s">
        <v>5808</v>
      </c>
      <c r="C308" s="11" t="s">
        <v>5809</v>
      </c>
      <c r="D308" s="12" t="s">
        <v>26</v>
      </c>
      <c r="E308" s="13" t="s">
        <v>5810</v>
      </c>
      <c r="F308" s="12">
        <v>25.0</v>
      </c>
      <c r="G308" s="12">
        <v>2000.0</v>
      </c>
      <c r="H308" s="15">
        <v>32.6</v>
      </c>
      <c r="I308" s="17">
        <v>0.15</v>
      </c>
      <c r="J308" s="19">
        <v>0.0</v>
      </c>
      <c r="K308" s="19">
        <v>0.0</v>
      </c>
      <c r="L308" s="18">
        <v>0.95</v>
      </c>
      <c r="M308" s="18">
        <v>1.13</v>
      </c>
      <c r="N308" s="18">
        <v>0.12</v>
      </c>
      <c r="O308" s="18">
        <v>3.01</v>
      </c>
      <c r="P308" s="18">
        <v>0.86</v>
      </c>
      <c r="Q308" s="18">
        <v>1.72</v>
      </c>
      <c r="R308" s="36"/>
      <c r="S308" s="36"/>
      <c r="T308" s="19">
        <v>0.0</v>
      </c>
      <c r="U308" s="20" t="s">
        <v>5811</v>
      </c>
    </row>
    <row r="309">
      <c r="A309" s="50">
        <v>296.0</v>
      </c>
      <c r="B309" s="13" t="s">
        <v>5812</v>
      </c>
      <c r="C309" s="11" t="s">
        <v>5813</v>
      </c>
      <c r="D309" s="12" t="s">
        <v>98</v>
      </c>
      <c r="E309" s="13" t="s">
        <v>5814</v>
      </c>
      <c r="F309" s="12">
        <v>33.0</v>
      </c>
      <c r="G309" s="12">
        <v>1992.0</v>
      </c>
      <c r="H309" s="15">
        <v>38.0</v>
      </c>
      <c r="I309" s="17">
        <v>0.08</v>
      </c>
      <c r="J309" s="19">
        <v>0.0</v>
      </c>
      <c r="K309" s="19">
        <v>0.0</v>
      </c>
      <c r="L309" s="19">
        <v>0.0</v>
      </c>
      <c r="M309" s="18">
        <v>0.16</v>
      </c>
      <c r="N309" s="19">
        <v>0.0</v>
      </c>
      <c r="O309" s="19">
        <v>0.0</v>
      </c>
      <c r="P309" s="18">
        <v>0.03</v>
      </c>
      <c r="Q309" s="18">
        <v>0.03</v>
      </c>
      <c r="R309" s="36"/>
      <c r="S309" s="36"/>
      <c r="T309" s="18">
        <v>0.03</v>
      </c>
      <c r="U309" s="20" t="s">
        <v>5815</v>
      </c>
    </row>
    <row r="310">
      <c r="A310" s="50">
        <v>297.0</v>
      </c>
      <c r="B310" s="13" t="s">
        <v>5816</v>
      </c>
      <c r="C310" s="11" t="s">
        <v>5817</v>
      </c>
      <c r="D310" s="12" t="s">
        <v>264</v>
      </c>
      <c r="E310" s="13" t="s">
        <v>5818</v>
      </c>
      <c r="F310" s="12">
        <v>30.0</v>
      </c>
      <c r="G310" s="12">
        <v>1994.0</v>
      </c>
      <c r="H310" s="15">
        <v>19.3</v>
      </c>
      <c r="I310" s="17">
        <v>0.36</v>
      </c>
      <c r="J310" s="19">
        <v>0.0</v>
      </c>
      <c r="K310" s="19">
        <v>0.0</v>
      </c>
      <c r="L310" s="18">
        <v>1.3</v>
      </c>
      <c r="M310" s="18">
        <v>1.24</v>
      </c>
      <c r="N310" s="19">
        <v>0.0</v>
      </c>
      <c r="O310" s="18">
        <v>0.62</v>
      </c>
      <c r="P310" s="18">
        <v>1.3</v>
      </c>
      <c r="Q310" s="18">
        <v>0.93</v>
      </c>
      <c r="R310" s="36"/>
      <c r="S310" s="36"/>
      <c r="T310" s="18">
        <v>0.1</v>
      </c>
      <c r="U310" s="20" t="s">
        <v>5819</v>
      </c>
    </row>
    <row r="311">
      <c r="A311" s="50">
        <v>298.0</v>
      </c>
      <c r="B311" s="13" t="s">
        <v>5820</v>
      </c>
      <c r="C311" s="11" t="s">
        <v>5821</v>
      </c>
      <c r="D311" s="12" t="s">
        <v>36</v>
      </c>
      <c r="E311" s="13" t="s">
        <v>5822</v>
      </c>
      <c r="F311" s="12">
        <v>20.0</v>
      </c>
      <c r="G311" s="12">
        <v>2004.0</v>
      </c>
      <c r="H311" s="15">
        <v>4.5</v>
      </c>
      <c r="I311" s="17">
        <v>0.44</v>
      </c>
      <c r="J311" s="19">
        <v>0.0</v>
      </c>
      <c r="K311" s="19">
        <v>0.0</v>
      </c>
      <c r="L311" s="18">
        <v>1.11</v>
      </c>
      <c r="M311" s="18">
        <v>2.0</v>
      </c>
      <c r="N311" s="19">
        <v>0.0</v>
      </c>
      <c r="O311" s="18">
        <v>0.44</v>
      </c>
      <c r="P311" s="18">
        <v>1.56</v>
      </c>
      <c r="Q311" s="18">
        <v>0.89</v>
      </c>
      <c r="R311" s="36"/>
      <c r="S311" s="36"/>
      <c r="T311" s="19">
        <v>0.0</v>
      </c>
      <c r="U311" s="20" t="s">
        <v>5823</v>
      </c>
    </row>
    <row r="312">
      <c r="A312" s="50">
        <v>299.0</v>
      </c>
      <c r="B312" s="13" t="s">
        <v>5824</v>
      </c>
      <c r="C312" s="11" t="s">
        <v>5825</v>
      </c>
      <c r="D312" s="12" t="s">
        <v>345</v>
      </c>
      <c r="E312" s="13" t="s">
        <v>5826</v>
      </c>
      <c r="F312" s="12">
        <v>24.0</v>
      </c>
      <c r="G312" s="12">
        <v>2001.0</v>
      </c>
      <c r="H312" s="15">
        <v>21.9</v>
      </c>
      <c r="I312" s="17">
        <v>0.05</v>
      </c>
      <c r="J312" s="19">
        <v>0.0</v>
      </c>
      <c r="K312" s="19">
        <v>0.0</v>
      </c>
      <c r="L312" s="18">
        <v>0.68</v>
      </c>
      <c r="M312" s="18">
        <v>1.64</v>
      </c>
      <c r="N312" s="18">
        <v>0.14</v>
      </c>
      <c r="O312" s="18">
        <v>3.15</v>
      </c>
      <c r="P312" s="18">
        <v>0.46</v>
      </c>
      <c r="Q312" s="18">
        <v>0.64</v>
      </c>
      <c r="R312" s="36"/>
      <c r="S312" s="36"/>
      <c r="T312" s="19">
        <v>0.0</v>
      </c>
      <c r="U312" s="20" t="s">
        <v>5827</v>
      </c>
    </row>
    <row r="313">
      <c r="A313" s="50">
        <v>300.0</v>
      </c>
      <c r="B313" s="13" t="s">
        <v>5828</v>
      </c>
      <c r="C313" s="11" t="s">
        <v>5829</v>
      </c>
      <c r="D313" s="12" t="s">
        <v>264</v>
      </c>
      <c r="E313" s="13" t="s">
        <v>5830</v>
      </c>
      <c r="F313" s="12">
        <v>18.0</v>
      </c>
      <c r="G313" s="12">
        <v>2006.0</v>
      </c>
      <c r="H313" s="15">
        <v>7.9</v>
      </c>
      <c r="I313" s="17">
        <v>0.38</v>
      </c>
      <c r="J313" s="19">
        <v>0.0</v>
      </c>
      <c r="K313" s="19">
        <v>0.0</v>
      </c>
      <c r="L313" s="18">
        <v>1.27</v>
      </c>
      <c r="M313" s="18">
        <v>2.03</v>
      </c>
      <c r="N313" s="18">
        <v>0.13</v>
      </c>
      <c r="O313" s="19">
        <v>0.0</v>
      </c>
      <c r="P313" s="18">
        <v>0.63</v>
      </c>
      <c r="Q313" s="18">
        <v>0.63</v>
      </c>
      <c r="R313" s="36"/>
      <c r="S313" s="36"/>
      <c r="T313" s="19">
        <v>0.0</v>
      </c>
      <c r="U313" s="20" t="s">
        <v>5831</v>
      </c>
    </row>
    <row r="314">
      <c r="A314" s="37" t="s">
        <v>3</v>
      </c>
      <c r="B314" s="51" t="s">
        <v>4</v>
      </c>
      <c r="C314" s="39" t="s">
        <v>5</v>
      </c>
      <c r="D314" s="39" t="s">
        <v>6</v>
      </c>
      <c r="E314" s="39" t="s">
        <v>7</v>
      </c>
      <c r="F314" s="39" t="s">
        <v>8</v>
      </c>
      <c r="G314" s="39" t="s">
        <v>9</v>
      </c>
      <c r="H314" s="39" t="s">
        <v>13</v>
      </c>
      <c r="I314" s="40" t="s">
        <v>20</v>
      </c>
      <c r="J314" s="39" t="s">
        <v>21</v>
      </c>
      <c r="K314" s="39" t="s">
        <v>4622</v>
      </c>
      <c r="L314" s="39" t="s">
        <v>4623</v>
      </c>
      <c r="M314" s="39" t="s">
        <v>4624</v>
      </c>
      <c r="N314" s="39" t="s">
        <v>4625</v>
      </c>
      <c r="O314" s="39" t="s">
        <v>4626</v>
      </c>
      <c r="P314" s="39" t="s">
        <v>4627</v>
      </c>
      <c r="Q314" s="39" t="s">
        <v>4628</v>
      </c>
      <c r="R314" s="39" t="s">
        <v>4629</v>
      </c>
      <c r="S314" s="39" t="s">
        <v>4630</v>
      </c>
      <c r="T314" s="39" t="s">
        <v>4631</v>
      </c>
      <c r="U314" s="40" t="s">
        <v>23</v>
      </c>
    </row>
    <row r="315">
      <c r="A315" s="50">
        <v>301.0</v>
      </c>
      <c r="B315" s="13" t="s">
        <v>5832</v>
      </c>
      <c r="C315" s="11" t="s">
        <v>5833</v>
      </c>
      <c r="D315" s="12" t="s">
        <v>36</v>
      </c>
      <c r="E315" s="13" t="s">
        <v>5834</v>
      </c>
      <c r="F315" s="12">
        <v>25.0</v>
      </c>
      <c r="G315" s="12">
        <v>1999.0</v>
      </c>
      <c r="H315" s="15">
        <v>13.0</v>
      </c>
      <c r="I315" s="22">
        <v>0.0</v>
      </c>
      <c r="J315" s="19">
        <v>0.0</v>
      </c>
      <c r="K315" s="19">
        <v>0.0</v>
      </c>
      <c r="L315" s="18">
        <v>0.46</v>
      </c>
      <c r="M315" s="18">
        <v>0.38</v>
      </c>
      <c r="N315" s="19">
        <v>0.0</v>
      </c>
      <c r="O315" s="18">
        <v>0.31</v>
      </c>
      <c r="P315" s="18">
        <v>0.85</v>
      </c>
      <c r="Q315" s="18">
        <v>1.0</v>
      </c>
      <c r="R315" s="36"/>
      <c r="S315" s="36"/>
      <c r="T315" s="19">
        <v>0.0</v>
      </c>
      <c r="U315" s="20" t="s">
        <v>5835</v>
      </c>
    </row>
    <row r="316">
      <c r="A316" s="50">
        <v>302.0</v>
      </c>
      <c r="B316" s="13" t="s">
        <v>5836</v>
      </c>
      <c r="C316" s="11" t="s">
        <v>5837</v>
      </c>
      <c r="D316" s="12" t="s">
        <v>31</v>
      </c>
      <c r="E316" s="13" t="s">
        <v>5838</v>
      </c>
      <c r="F316" s="12">
        <v>19.0</v>
      </c>
      <c r="G316" s="12">
        <v>2006.0</v>
      </c>
      <c r="H316" s="15">
        <v>2.9</v>
      </c>
      <c r="I316" s="22">
        <v>0.0</v>
      </c>
      <c r="J316" s="19">
        <v>0.0</v>
      </c>
      <c r="K316" s="19">
        <v>0.0</v>
      </c>
      <c r="L316" s="18">
        <v>2.07</v>
      </c>
      <c r="M316" s="18">
        <v>0.34</v>
      </c>
      <c r="N316" s="19">
        <v>0.0</v>
      </c>
      <c r="O316" s="18">
        <v>3.45</v>
      </c>
      <c r="P316" s="18">
        <v>1.38</v>
      </c>
      <c r="Q316" s="18">
        <v>1.72</v>
      </c>
      <c r="R316" s="36"/>
      <c r="S316" s="36"/>
      <c r="T316" s="19">
        <v>0.0</v>
      </c>
      <c r="U316" s="20" t="s">
        <v>5839</v>
      </c>
    </row>
    <row r="317">
      <c r="A317" s="50">
        <v>303.0</v>
      </c>
      <c r="B317" s="13" t="s">
        <v>5840</v>
      </c>
      <c r="C317" s="11" t="s">
        <v>5841</v>
      </c>
      <c r="D317" s="12" t="s">
        <v>345</v>
      </c>
      <c r="E317" s="13" t="s">
        <v>5842</v>
      </c>
      <c r="F317" s="12">
        <v>31.0</v>
      </c>
      <c r="G317" s="12">
        <v>1994.0</v>
      </c>
      <c r="H317" s="15">
        <v>10.5</v>
      </c>
      <c r="I317" s="22">
        <v>0.0</v>
      </c>
      <c r="J317" s="19">
        <v>0.0</v>
      </c>
      <c r="K317" s="19">
        <v>0.0</v>
      </c>
      <c r="L317" s="18">
        <v>0.19</v>
      </c>
      <c r="M317" s="19">
        <v>0.0</v>
      </c>
      <c r="N317" s="19">
        <v>0.0</v>
      </c>
      <c r="O317" s="19">
        <v>0.0</v>
      </c>
      <c r="P317" s="18">
        <v>0.76</v>
      </c>
      <c r="Q317" s="18">
        <v>0.29</v>
      </c>
      <c r="R317" s="36"/>
      <c r="S317" s="36"/>
      <c r="T317" s="19">
        <v>0.0</v>
      </c>
      <c r="U317" s="20" t="s">
        <v>5843</v>
      </c>
    </row>
    <row r="318">
      <c r="A318" s="50">
        <v>304.0</v>
      </c>
      <c r="B318" s="13" t="s">
        <v>5844</v>
      </c>
      <c r="C318" s="11" t="s">
        <v>5845</v>
      </c>
      <c r="D318" s="12" t="s">
        <v>36</v>
      </c>
      <c r="E318" s="13" t="s">
        <v>5846</v>
      </c>
      <c r="F318" s="12">
        <v>22.0</v>
      </c>
      <c r="G318" s="12">
        <v>2002.0</v>
      </c>
      <c r="H318" s="15">
        <v>14.8</v>
      </c>
      <c r="I318" s="17">
        <v>0.07</v>
      </c>
      <c r="J318" s="19">
        <v>0.0</v>
      </c>
      <c r="K318" s="19">
        <v>0.0</v>
      </c>
      <c r="L318" s="18">
        <v>0.47</v>
      </c>
      <c r="M318" s="18">
        <v>1.08</v>
      </c>
      <c r="N318" s="18">
        <v>0.14</v>
      </c>
      <c r="O318" s="18">
        <v>2.43</v>
      </c>
      <c r="P318" s="18">
        <v>0.14</v>
      </c>
      <c r="Q318" s="18">
        <v>0.95</v>
      </c>
      <c r="R318" s="36"/>
      <c r="S318" s="36"/>
      <c r="T318" s="19">
        <v>0.0</v>
      </c>
      <c r="U318" s="20" t="s">
        <v>5847</v>
      </c>
    </row>
    <row r="319">
      <c r="A319" s="50">
        <v>305.0</v>
      </c>
      <c r="B319" s="13" t="s">
        <v>5848</v>
      </c>
      <c r="C319" s="11" t="s">
        <v>5849</v>
      </c>
      <c r="D319" s="12" t="s">
        <v>31</v>
      </c>
      <c r="E319" s="13" t="s">
        <v>5850</v>
      </c>
      <c r="F319" s="12">
        <v>27.0</v>
      </c>
      <c r="G319" s="12">
        <v>1997.0</v>
      </c>
      <c r="H319" s="15">
        <v>11.2</v>
      </c>
      <c r="I319" s="17">
        <v>0.18</v>
      </c>
      <c r="J319" s="19">
        <v>0.0</v>
      </c>
      <c r="K319" s="19">
        <v>0.0</v>
      </c>
      <c r="L319" s="18">
        <v>1.16</v>
      </c>
      <c r="M319" s="18">
        <v>1.52</v>
      </c>
      <c r="N319" s="18">
        <v>0.09</v>
      </c>
      <c r="O319" s="18">
        <v>4.82</v>
      </c>
      <c r="P319" s="18">
        <v>1.07</v>
      </c>
      <c r="Q319" s="18">
        <v>2.14</v>
      </c>
      <c r="R319" s="36"/>
      <c r="S319" s="36"/>
      <c r="T319" s="19">
        <v>0.0</v>
      </c>
      <c r="U319" s="20" t="s">
        <v>5851</v>
      </c>
    </row>
    <row r="320">
      <c r="A320" s="50">
        <v>306.0</v>
      </c>
      <c r="B320" s="13" t="s">
        <v>5852</v>
      </c>
      <c r="C320" s="11" t="s">
        <v>5853</v>
      </c>
      <c r="D320" s="12" t="s">
        <v>31</v>
      </c>
      <c r="E320" s="13" t="s">
        <v>5854</v>
      </c>
      <c r="F320" s="12">
        <v>21.0</v>
      </c>
      <c r="G320" s="12">
        <v>2004.0</v>
      </c>
      <c r="H320" s="15">
        <v>2.6</v>
      </c>
      <c r="I320" s="17">
        <v>0.38</v>
      </c>
      <c r="J320" s="19">
        <v>0.0</v>
      </c>
      <c r="K320" s="19">
        <v>0.0</v>
      </c>
      <c r="L320" s="18">
        <v>2.31</v>
      </c>
      <c r="M320" s="18">
        <v>1.54</v>
      </c>
      <c r="N320" s="19">
        <v>0.0</v>
      </c>
      <c r="O320" s="18">
        <v>1.54</v>
      </c>
      <c r="P320" s="19">
        <v>0.0</v>
      </c>
      <c r="Q320" s="18">
        <v>0.38</v>
      </c>
      <c r="R320" s="36"/>
      <c r="S320" s="36"/>
      <c r="T320" s="19">
        <v>0.0</v>
      </c>
      <c r="U320" s="20" t="s">
        <v>5855</v>
      </c>
    </row>
    <row r="321">
      <c r="A321" s="50">
        <v>307.0</v>
      </c>
      <c r="B321" s="13" t="s">
        <v>5856</v>
      </c>
      <c r="C321" s="11" t="s">
        <v>5857</v>
      </c>
      <c r="D321" s="12" t="s">
        <v>264</v>
      </c>
      <c r="E321" s="13" t="s">
        <v>5858</v>
      </c>
      <c r="F321" s="12">
        <v>24.0</v>
      </c>
      <c r="G321" s="12">
        <v>2001.0</v>
      </c>
      <c r="H321" s="15">
        <v>15.7</v>
      </c>
      <c r="I321" s="17">
        <v>0.06</v>
      </c>
      <c r="J321" s="18">
        <v>0.06</v>
      </c>
      <c r="K321" s="19">
        <v>0.0</v>
      </c>
      <c r="L321" s="18">
        <v>0.96</v>
      </c>
      <c r="M321" s="18">
        <v>0.25</v>
      </c>
      <c r="N321" s="18">
        <v>0.32</v>
      </c>
      <c r="O321" s="18">
        <v>3.57</v>
      </c>
      <c r="P321" s="18">
        <v>1.21</v>
      </c>
      <c r="Q321" s="18">
        <v>1.4</v>
      </c>
      <c r="R321" s="36"/>
      <c r="S321" s="36"/>
      <c r="T321" s="19">
        <v>0.0</v>
      </c>
      <c r="U321" s="20" t="s">
        <v>5859</v>
      </c>
    </row>
    <row r="322">
      <c r="A322" s="50">
        <v>308.0</v>
      </c>
      <c r="B322" s="13" t="s">
        <v>5860</v>
      </c>
      <c r="C322" s="11" t="s">
        <v>5861</v>
      </c>
      <c r="D322" s="12" t="s">
        <v>41</v>
      </c>
      <c r="E322" s="13" t="s">
        <v>5862</v>
      </c>
      <c r="F322" s="12">
        <v>24.0</v>
      </c>
      <c r="G322" s="12">
        <v>2000.0</v>
      </c>
      <c r="H322" s="15">
        <v>1.4</v>
      </c>
      <c r="I322" s="22">
        <v>0.0</v>
      </c>
      <c r="J322" s="19">
        <v>0.0</v>
      </c>
      <c r="K322" s="19">
        <v>0.0</v>
      </c>
      <c r="L322" s="18">
        <v>0.71</v>
      </c>
      <c r="M322" s="18">
        <v>1.43</v>
      </c>
      <c r="N322" s="18">
        <v>1.43</v>
      </c>
      <c r="O322" s="19">
        <v>0.0</v>
      </c>
      <c r="P322" s="18">
        <v>0.71</v>
      </c>
      <c r="Q322" s="19">
        <v>0.0</v>
      </c>
      <c r="R322" s="36"/>
      <c r="S322" s="36"/>
      <c r="T322" s="19">
        <v>0.0</v>
      </c>
      <c r="U322" s="20" t="s">
        <v>5863</v>
      </c>
    </row>
    <row r="323">
      <c r="A323" s="50">
        <v>309.0</v>
      </c>
      <c r="B323" s="13" t="s">
        <v>5864</v>
      </c>
      <c r="C323" s="11" t="s">
        <v>5865</v>
      </c>
      <c r="D323" s="12" t="s">
        <v>31</v>
      </c>
      <c r="E323" s="13" t="s">
        <v>5866</v>
      </c>
      <c r="F323" s="12">
        <v>25.0</v>
      </c>
      <c r="G323" s="12">
        <v>1999.0</v>
      </c>
      <c r="H323" s="15">
        <v>23.4</v>
      </c>
      <c r="I323" s="17">
        <v>0.26</v>
      </c>
      <c r="J323" s="19">
        <v>0.0</v>
      </c>
      <c r="K323" s="19">
        <v>0.0</v>
      </c>
      <c r="L323" s="18">
        <v>1.71</v>
      </c>
      <c r="M323" s="18">
        <v>0.34</v>
      </c>
      <c r="N323" s="18">
        <v>0.04</v>
      </c>
      <c r="O323" s="18">
        <v>0.47</v>
      </c>
      <c r="P323" s="18">
        <v>1.71</v>
      </c>
      <c r="Q323" s="18">
        <v>2.09</v>
      </c>
      <c r="R323" s="36"/>
      <c r="S323" s="36"/>
      <c r="T323" s="19">
        <v>0.0</v>
      </c>
      <c r="U323" s="20" t="s">
        <v>5867</v>
      </c>
    </row>
    <row r="324">
      <c r="A324" s="50">
        <v>310.0</v>
      </c>
      <c r="B324" s="13" t="s">
        <v>5868</v>
      </c>
      <c r="C324" s="11" t="s">
        <v>5869</v>
      </c>
      <c r="D324" s="12" t="s">
        <v>31</v>
      </c>
      <c r="E324" s="13" t="s">
        <v>5870</v>
      </c>
      <c r="F324" s="12">
        <v>27.0</v>
      </c>
      <c r="G324" s="12">
        <v>1998.0</v>
      </c>
      <c r="H324" s="15">
        <v>6.7</v>
      </c>
      <c r="I324" s="17">
        <v>0.15</v>
      </c>
      <c r="J324" s="19">
        <v>0.0</v>
      </c>
      <c r="K324" s="19">
        <v>0.0</v>
      </c>
      <c r="L324" s="18">
        <v>1.34</v>
      </c>
      <c r="M324" s="18">
        <v>1.49</v>
      </c>
      <c r="N324" s="19">
        <v>0.0</v>
      </c>
      <c r="O324" s="18">
        <v>4.18</v>
      </c>
      <c r="P324" s="18">
        <v>1.04</v>
      </c>
      <c r="Q324" s="18">
        <v>1.64</v>
      </c>
      <c r="R324" s="36"/>
      <c r="S324" s="36"/>
      <c r="T324" s="19">
        <v>0.0</v>
      </c>
      <c r="U324" s="20" t="s">
        <v>5871</v>
      </c>
    </row>
    <row r="325">
      <c r="A325" s="50">
        <v>311.0</v>
      </c>
      <c r="B325" s="13" t="s">
        <v>5872</v>
      </c>
      <c r="C325" s="11" t="s">
        <v>5873</v>
      </c>
      <c r="D325" s="12" t="s">
        <v>31</v>
      </c>
      <c r="E325" s="13" t="s">
        <v>5874</v>
      </c>
      <c r="F325" s="12">
        <v>27.0</v>
      </c>
      <c r="G325" s="12">
        <v>1998.0</v>
      </c>
      <c r="H325" s="15">
        <v>3.5</v>
      </c>
      <c r="I325" s="17">
        <v>0.57</v>
      </c>
      <c r="J325" s="19">
        <v>0.0</v>
      </c>
      <c r="K325" s="19">
        <v>0.0</v>
      </c>
      <c r="L325" s="18">
        <v>1.14</v>
      </c>
      <c r="M325" s="18">
        <v>1.43</v>
      </c>
      <c r="N325" s="19">
        <v>0.0</v>
      </c>
      <c r="O325" s="18">
        <v>4.29</v>
      </c>
      <c r="P325" s="18">
        <v>2.0</v>
      </c>
      <c r="Q325" s="18">
        <v>0.86</v>
      </c>
      <c r="R325" s="36"/>
      <c r="S325" s="36"/>
      <c r="T325" s="19">
        <v>0.0</v>
      </c>
      <c r="U325" s="20" t="s">
        <v>5875</v>
      </c>
    </row>
    <row r="326">
      <c r="A326" s="50">
        <v>312.0</v>
      </c>
      <c r="B326" s="13" t="s">
        <v>5876</v>
      </c>
      <c r="C326" s="11" t="s">
        <v>5877</v>
      </c>
      <c r="D326" s="12" t="s">
        <v>31</v>
      </c>
      <c r="E326" s="13" t="s">
        <v>5878</v>
      </c>
      <c r="F326" s="12">
        <v>28.0</v>
      </c>
      <c r="G326" s="12">
        <v>1996.0</v>
      </c>
      <c r="H326" s="15">
        <v>19.3</v>
      </c>
      <c r="I326" s="17">
        <v>0.47</v>
      </c>
      <c r="J326" s="19">
        <v>0.0</v>
      </c>
      <c r="K326" s="19">
        <v>0.0</v>
      </c>
      <c r="L326" s="18">
        <v>2.75</v>
      </c>
      <c r="M326" s="18">
        <v>1.3</v>
      </c>
      <c r="N326" s="18">
        <v>0.1</v>
      </c>
      <c r="O326" s="18">
        <v>3.52</v>
      </c>
      <c r="P326" s="18">
        <v>0.83</v>
      </c>
      <c r="Q326" s="18">
        <v>1.45</v>
      </c>
      <c r="R326" s="36"/>
      <c r="S326" s="36"/>
      <c r="T326" s="19">
        <v>0.0</v>
      </c>
      <c r="U326" s="20" t="s">
        <v>5879</v>
      </c>
    </row>
    <row r="327">
      <c r="A327" s="50">
        <v>313.0</v>
      </c>
      <c r="B327" s="13" t="s">
        <v>5880</v>
      </c>
      <c r="C327" s="11" t="s">
        <v>5881</v>
      </c>
      <c r="D327" s="12" t="s">
        <v>36</v>
      </c>
      <c r="E327" s="13" t="s">
        <v>5882</v>
      </c>
      <c r="F327" s="12">
        <v>23.0</v>
      </c>
      <c r="G327" s="12">
        <v>2002.0</v>
      </c>
      <c r="H327" s="15">
        <v>17.8</v>
      </c>
      <c r="I327" s="17">
        <v>0.11</v>
      </c>
      <c r="J327" s="19">
        <v>0.0</v>
      </c>
      <c r="K327" s="19">
        <v>0.0</v>
      </c>
      <c r="L327" s="18">
        <v>0.96</v>
      </c>
      <c r="M327" s="18">
        <v>1.07</v>
      </c>
      <c r="N327" s="18">
        <v>0.06</v>
      </c>
      <c r="O327" s="18">
        <v>3.03</v>
      </c>
      <c r="P327" s="18">
        <v>1.01</v>
      </c>
      <c r="Q327" s="18">
        <v>1.74</v>
      </c>
      <c r="R327" s="36"/>
      <c r="S327" s="36"/>
      <c r="T327" s="19">
        <v>0.0</v>
      </c>
      <c r="U327" s="20" t="s">
        <v>5883</v>
      </c>
    </row>
    <row r="328">
      <c r="A328" s="50">
        <v>314.0</v>
      </c>
      <c r="B328" s="13" t="s">
        <v>5884</v>
      </c>
      <c r="C328" s="11" t="s">
        <v>5885</v>
      </c>
      <c r="D328" s="12" t="s">
        <v>31</v>
      </c>
      <c r="E328" s="13" t="s">
        <v>5886</v>
      </c>
      <c r="F328" s="12">
        <v>26.0</v>
      </c>
      <c r="G328" s="12">
        <v>1998.0</v>
      </c>
      <c r="H328" s="15">
        <v>29.5</v>
      </c>
      <c r="I328" s="17">
        <v>0.24</v>
      </c>
      <c r="J328" s="19">
        <v>0.0</v>
      </c>
      <c r="K328" s="19">
        <v>0.0</v>
      </c>
      <c r="L328" s="18">
        <v>1.19</v>
      </c>
      <c r="M328" s="18">
        <v>1.08</v>
      </c>
      <c r="N328" s="19">
        <v>0.0</v>
      </c>
      <c r="O328" s="18">
        <v>0.68</v>
      </c>
      <c r="P328" s="18">
        <v>0.61</v>
      </c>
      <c r="Q328" s="18">
        <v>0.92</v>
      </c>
      <c r="R328" s="36"/>
      <c r="S328" s="36"/>
      <c r="T328" s="19">
        <v>0.0</v>
      </c>
      <c r="U328" s="20" t="s">
        <v>5887</v>
      </c>
    </row>
    <row r="329">
      <c r="A329" s="50">
        <v>315.0</v>
      </c>
      <c r="B329" s="13" t="s">
        <v>5888</v>
      </c>
      <c r="C329" s="11" t="s">
        <v>5889</v>
      </c>
      <c r="D329" s="12" t="s">
        <v>107</v>
      </c>
      <c r="E329" s="13" t="s">
        <v>5890</v>
      </c>
      <c r="F329" s="12">
        <v>28.0</v>
      </c>
      <c r="G329" s="12">
        <v>1996.0</v>
      </c>
      <c r="H329" s="15">
        <v>0.4</v>
      </c>
      <c r="I329" s="22">
        <v>0.0</v>
      </c>
      <c r="J329" s="19">
        <v>0.0</v>
      </c>
      <c r="K329" s="19">
        <v>0.0</v>
      </c>
      <c r="L329" s="18">
        <v>2.5</v>
      </c>
      <c r="M329" s="18">
        <v>2.5</v>
      </c>
      <c r="N329" s="19">
        <v>0.0</v>
      </c>
      <c r="O329" s="18">
        <v>15.0</v>
      </c>
      <c r="P329" s="19">
        <v>0.0</v>
      </c>
      <c r="Q329" s="18">
        <v>2.5</v>
      </c>
      <c r="R329" s="36"/>
      <c r="S329" s="36"/>
      <c r="T329" s="19">
        <v>0.0</v>
      </c>
      <c r="U329" s="20" t="s">
        <v>5891</v>
      </c>
    </row>
    <row r="330">
      <c r="A330" s="50">
        <v>316.0</v>
      </c>
      <c r="B330" s="13" t="s">
        <v>5892</v>
      </c>
      <c r="C330" s="11" t="s">
        <v>5893</v>
      </c>
      <c r="D330" s="12" t="s">
        <v>107</v>
      </c>
      <c r="E330" s="13" t="s">
        <v>5894</v>
      </c>
      <c r="F330" s="12">
        <v>23.0</v>
      </c>
      <c r="G330" s="12">
        <v>2002.0</v>
      </c>
      <c r="H330" s="15">
        <v>13.5</v>
      </c>
      <c r="I330" s="22">
        <v>0.0</v>
      </c>
      <c r="J330" s="19">
        <v>0.0</v>
      </c>
      <c r="K330" s="19">
        <v>0.0</v>
      </c>
      <c r="L330" s="18">
        <v>1.11</v>
      </c>
      <c r="M330" s="18">
        <v>1.11</v>
      </c>
      <c r="N330" s="18">
        <v>0.3</v>
      </c>
      <c r="O330" s="18">
        <v>5.93</v>
      </c>
      <c r="P330" s="18">
        <v>0.37</v>
      </c>
      <c r="Q330" s="18">
        <v>0.74</v>
      </c>
      <c r="R330" s="36"/>
      <c r="S330" s="36"/>
      <c r="T330" s="19">
        <v>0.0</v>
      </c>
      <c r="U330" s="20" t="s">
        <v>5895</v>
      </c>
    </row>
    <row r="331">
      <c r="A331" s="50">
        <v>317.0</v>
      </c>
      <c r="B331" s="13" t="s">
        <v>5896</v>
      </c>
      <c r="C331" s="11" t="s">
        <v>5897</v>
      </c>
      <c r="D331" s="12" t="s">
        <v>36</v>
      </c>
      <c r="E331" s="13" t="s">
        <v>5898</v>
      </c>
      <c r="F331" s="12">
        <v>27.0</v>
      </c>
      <c r="G331" s="12">
        <v>1997.0</v>
      </c>
      <c r="H331" s="15">
        <v>30.6</v>
      </c>
      <c r="I331" s="17">
        <v>0.13</v>
      </c>
      <c r="J331" s="19">
        <v>0.0</v>
      </c>
      <c r="K331" s="19">
        <v>0.0</v>
      </c>
      <c r="L331" s="18">
        <v>0.69</v>
      </c>
      <c r="M331" s="18">
        <v>1.11</v>
      </c>
      <c r="N331" s="19">
        <v>0.0</v>
      </c>
      <c r="O331" s="18">
        <v>0.2</v>
      </c>
      <c r="P331" s="18">
        <v>0.72</v>
      </c>
      <c r="Q331" s="18">
        <v>0.65</v>
      </c>
      <c r="R331" s="36"/>
      <c r="S331" s="36"/>
      <c r="T331" s="19">
        <v>0.0</v>
      </c>
      <c r="U331" s="20" t="s">
        <v>5899</v>
      </c>
    </row>
    <row r="332">
      <c r="A332" s="50">
        <v>318.0</v>
      </c>
      <c r="B332" s="13" t="s">
        <v>5900</v>
      </c>
      <c r="C332" s="11" t="s">
        <v>5901</v>
      </c>
      <c r="D332" s="12" t="s">
        <v>31</v>
      </c>
      <c r="E332" s="13" t="s">
        <v>5902</v>
      </c>
      <c r="F332" s="12">
        <v>21.0</v>
      </c>
      <c r="G332" s="12">
        <v>2003.0</v>
      </c>
      <c r="H332" s="15">
        <v>10.9</v>
      </c>
      <c r="I332" s="17">
        <v>0.37</v>
      </c>
      <c r="J332" s="19">
        <v>0.0</v>
      </c>
      <c r="K332" s="19">
        <v>0.0</v>
      </c>
      <c r="L332" s="18">
        <v>1.56</v>
      </c>
      <c r="M332" s="18">
        <v>1.56</v>
      </c>
      <c r="N332" s="19">
        <v>0.0</v>
      </c>
      <c r="O332" s="18">
        <v>0.83</v>
      </c>
      <c r="P332" s="18">
        <v>1.56</v>
      </c>
      <c r="Q332" s="18">
        <v>2.11</v>
      </c>
      <c r="R332" s="36"/>
      <c r="S332" s="36"/>
      <c r="T332" s="19">
        <v>0.0</v>
      </c>
      <c r="U332" s="20" t="s">
        <v>5903</v>
      </c>
    </row>
    <row r="333">
      <c r="A333" s="50">
        <v>319.0</v>
      </c>
      <c r="B333" s="13" t="s">
        <v>5904</v>
      </c>
      <c r="C333" s="11" t="s">
        <v>5905</v>
      </c>
      <c r="D333" s="12" t="s">
        <v>36</v>
      </c>
      <c r="E333" s="13" t="s">
        <v>5906</v>
      </c>
      <c r="F333" s="12">
        <v>32.0</v>
      </c>
      <c r="G333" s="12">
        <v>1993.0</v>
      </c>
      <c r="H333" s="15">
        <v>18.4</v>
      </c>
      <c r="I333" s="17">
        <v>0.16</v>
      </c>
      <c r="J333" s="18">
        <v>0.05</v>
      </c>
      <c r="K333" s="19">
        <v>0.0</v>
      </c>
      <c r="L333" s="18">
        <v>0.87</v>
      </c>
      <c r="M333" s="18">
        <v>0.87</v>
      </c>
      <c r="N333" s="19">
        <v>0.0</v>
      </c>
      <c r="O333" s="18">
        <v>0.22</v>
      </c>
      <c r="P333" s="18">
        <v>0.65</v>
      </c>
      <c r="Q333" s="18">
        <v>0.92</v>
      </c>
      <c r="R333" s="36"/>
      <c r="S333" s="36"/>
      <c r="T333" s="19">
        <v>0.0</v>
      </c>
      <c r="U333" s="20" t="s">
        <v>5907</v>
      </c>
    </row>
    <row r="334">
      <c r="A334" s="50">
        <v>320.0</v>
      </c>
      <c r="B334" s="13" t="s">
        <v>5908</v>
      </c>
      <c r="C334" s="11" t="s">
        <v>5909</v>
      </c>
      <c r="D334" s="12" t="s">
        <v>31</v>
      </c>
      <c r="E334" s="13" t="s">
        <v>5910</v>
      </c>
      <c r="F334" s="12">
        <v>20.0</v>
      </c>
      <c r="G334" s="12">
        <v>2005.0</v>
      </c>
      <c r="H334" s="15">
        <v>18.5</v>
      </c>
      <c r="I334" s="17">
        <v>0.11</v>
      </c>
      <c r="J334" s="19">
        <v>0.0</v>
      </c>
      <c r="K334" s="19">
        <v>0.0</v>
      </c>
      <c r="L334" s="18">
        <v>0.65</v>
      </c>
      <c r="M334" s="18">
        <v>1.19</v>
      </c>
      <c r="N334" s="18">
        <v>0.05</v>
      </c>
      <c r="O334" s="18">
        <v>0.7</v>
      </c>
      <c r="P334" s="18">
        <v>1.03</v>
      </c>
      <c r="Q334" s="18">
        <v>1.08</v>
      </c>
      <c r="R334" s="36"/>
      <c r="S334" s="36"/>
      <c r="T334" s="19">
        <v>0.0</v>
      </c>
      <c r="U334" s="20" t="s">
        <v>5911</v>
      </c>
    </row>
    <row r="335">
      <c r="A335" s="50">
        <v>321.0</v>
      </c>
      <c r="B335" s="13" t="s">
        <v>5912</v>
      </c>
      <c r="C335" s="11" t="s">
        <v>5913</v>
      </c>
      <c r="D335" s="12" t="s">
        <v>36</v>
      </c>
      <c r="E335" s="13" t="s">
        <v>5914</v>
      </c>
      <c r="F335" s="12">
        <v>25.0</v>
      </c>
      <c r="G335" s="12">
        <v>1999.0</v>
      </c>
      <c r="H335" s="15">
        <v>0.2</v>
      </c>
      <c r="I335" s="22">
        <v>0.0</v>
      </c>
      <c r="J335" s="19">
        <v>0.0</v>
      </c>
      <c r="K335" s="19">
        <v>0.0</v>
      </c>
      <c r="L335" s="19">
        <v>0.0</v>
      </c>
      <c r="M335" s="19">
        <v>0.0</v>
      </c>
      <c r="N335" s="19">
        <v>0.0</v>
      </c>
      <c r="O335" s="19">
        <v>0.0</v>
      </c>
      <c r="P335" s="19">
        <v>0.0</v>
      </c>
      <c r="Q335" s="18">
        <v>5.0</v>
      </c>
      <c r="R335" s="36"/>
      <c r="S335" s="36"/>
      <c r="T335" s="19">
        <v>0.0</v>
      </c>
      <c r="U335" s="20" t="s">
        <v>5915</v>
      </c>
    </row>
    <row r="336">
      <c r="A336" s="50">
        <v>322.0</v>
      </c>
      <c r="B336" s="13" t="s">
        <v>5916</v>
      </c>
      <c r="C336" s="11" t="s">
        <v>5917</v>
      </c>
      <c r="D336" s="12" t="s">
        <v>107</v>
      </c>
      <c r="E336" s="13" t="s">
        <v>5918</v>
      </c>
      <c r="F336" s="12">
        <v>26.0</v>
      </c>
      <c r="G336" s="12">
        <v>1999.0</v>
      </c>
      <c r="H336" s="15">
        <v>7.3</v>
      </c>
      <c r="I336" s="22">
        <v>0.0</v>
      </c>
      <c r="J336" s="19">
        <v>0.0</v>
      </c>
      <c r="K336" s="19">
        <v>0.0</v>
      </c>
      <c r="L336" s="18">
        <v>0.27</v>
      </c>
      <c r="M336" s="18">
        <v>0.82</v>
      </c>
      <c r="N336" s="18">
        <v>0.14</v>
      </c>
      <c r="O336" s="18">
        <v>0.96</v>
      </c>
      <c r="P336" s="19">
        <v>0.0</v>
      </c>
      <c r="Q336" s="18">
        <v>0.27</v>
      </c>
      <c r="R336" s="36"/>
      <c r="S336" s="36"/>
      <c r="T336" s="19">
        <v>0.0</v>
      </c>
      <c r="U336" s="20" t="s">
        <v>5919</v>
      </c>
    </row>
    <row r="337">
      <c r="A337" s="50">
        <v>323.0</v>
      </c>
      <c r="B337" s="13" t="s">
        <v>5920</v>
      </c>
      <c r="C337" s="11" t="s">
        <v>5921</v>
      </c>
      <c r="D337" s="12" t="s">
        <v>98</v>
      </c>
      <c r="E337" s="13" t="s">
        <v>5922</v>
      </c>
      <c r="F337" s="12">
        <v>24.0</v>
      </c>
      <c r="G337" s="12">
        <v>2000.0</v>
      </c>
      <c r="H337" s="15">
        <v>9.6</v>
      </c>
      <c r="I337" s="22">
        <v>0.0</v>
      </c>
      <c r="J337" s="19">
        <v>0.0</v>
      </c>
      <c r="K337" s="19">
        <v>0.0</v>
      </c>
      <c r="L337" s="18">
        <v>0.1</v>
      </c>
      <c r="M337" s="18">
        <v>0.21</v>
      </c>
      <c r="N337" s="19">
        <v>0.0</v>
      </c>
      <c r="O337" s="19">
        <v>0.0</v>
      </c>
      <c r="P337" s="18">
        <v>0.1</v>
      </c>
      <c r="Q337" s="18">
        <v>0.1</v>
      </c>
      <c r="R337" s="36"/>
      <c r="S337" s="36"/>
      <c r="T337" s="19">
        <v>0.0</v>
      </c>
      <c r="U337" s="20" t="s">
        <v>5923</v>
      </c>
    </row>
    <row r="338">
      <c r="A338" s="50">
        <v>324.0</v>
      </c>
      <c r="B338" s="13" t="s">
        <v>5924</v>
      </c>
      <c r="C338" s="11" t="s">
        <v>5925</v>
      </c>
      <c r="D338" s="12" t="s">
        <v>36</v>
      </c>
      <c r="E338" s="13" t="s">
        <v>5926</v>
      </c>
      <c r="F338" s="12">
        <v>31.0</v>
      </c>
      <c r="G338" s="12">
        <v>1994.0</v>
      </c>
      <c r="H338" s="15">
        <v>21.8</v>
      </c>
      <c r="I338" s="17">
        <v>0.32</v>
      </c>
      <c r="J338" s="18">
        <v>0.05</v>
      </c>
      <c r="K338" s="19">
        <v>0.0</v>
      </c>
      <c r="L338" s="18">
        <v>1.47</v>
      </c>
      <c r="M338" s="18">
        <v>1.61</v>
      </c>
      <c r="N338" s="18">
        <v>0.05</v>
      </c>
      <c r="O338" s="18">
        <v>1.06</v>
      </c>
      <c r="P338" s="18">
        <v>1.33</v>
      </c>
      <c r="Q338" s="18">
        <v>1.06</v>
      </c>
      <c r="R338" s="36"/>
      <c r="S338" s="36"/>
      <c r="T338" s="19">
        <v>0.0</v>
      </c>
      <c r="U338" s="20" t="s">
        <v>5927</v>
      </c>
    </row>
    <row r="339">
      <c r="A339" s="50">
        <v>325.0</v>
      </c>
      <c r="B339" s="13" t="s">
        <v>5928</v>
      </c>
      <c r="C339" s="11" t="s">
        <v>5929</v>
      </c>
      <c r="D339" s="12" t="s">
        <v>31</v>
      </c>
      <c r="E339" s="13" t="s">
        <v>5930</v>
      </c>
      <c r="F339" s="12">
        <v>17.0</v>
      </c>
      <c r="G339" s="12">
        <v>2007.0</v>
      </c>
      <c r="H339" s="15">
        <v>19.9</v>
      </c>
      <c r="I339" s="22">
        <v>0.0</v>
      </c>
      <c r="J339" s="19">
        <v>0.0</v>
      </c>
      <c r="K339" s="19">
        <v>0.0</v>
      </c>
      <c r="L339" s="18">
        <v>1.31</v>
      </c>
      <c r="M339" s="18">
        <v>2.36</v>
      </c>
      <c r="N339" s="18">
        <v>0.1</v>
      </c>
      <c r="O339" s="18">
        <v>4.72</v>
      </c>
      <c r="P339" s="18">
        <v>0.25</v>
      </c>
      <c r="Q339" s="18">
        <v>0.65</v>
      </c>
      <c r="R339" s="36"/>
      <c r="S339" s="36"/>
      <c r="T339" s="19">
        <v>0.0</v>
      </c>
      <c r="U339" s="20" t="s">
        <v>5931</v>
      </c>
    </row>
    <row r="340">
      <c r="A340" s="37" t="s">
        <v>3</v>
      </c>
      <c r="B340" s="51" t="s">
        <v>4</v>
      </c>
      <c r="C340" s="39" t="s">
        <v>5</v>
      </c>
      <c r="D340" s="39" t="s">
        <v>6</v>
      </c>
      <c r="E340" s="39" t="s">
        <v>7</v>
      </c>
      <c r="F340" s="39" t="s">
        <v>8</v>
      </c>
      <c r="G340" s="39" t="s">
        <v>9</v>
      </c>
      <c r="H340" s="39" t="s">
        <v>13</v>
      </c>
      <c r="I340" s="40" t="s">
        <v>20</v>
      </c>
      <c r="J340" s="39" t="s">
        <v>21</v>
      </c>
      <c r="K340" s="39" t="s">
        <v>4622</v>
      </c>
      <c r="L340" s="39" t="s">
        <v>4623</v>
      </c>
      <c r="M340" s="39" t="s">
        <v>4624</v>
      </c>
      <c r="N340" s="39" t="s">
        <v>4625</v>
      </c>
      <c r="O340" s="39" t="s">
        <v>4626</v>
      </c>
      <c r="P340" s="39" t="s">
        <v>4627</v>
      </c>
      <c r="Q340" s="39" t="s">
        <v>4628</v>
      </c>
      <c r="R340" s="39" t="s">
        <v>4629</v>
      </c>
      <c r="S340" s="39" t="s">
        <v>4630</v>
      </c>
      <c r="T340" s="39" t="s">
        <v>4631</v>
      </c>
      <c r="U340" s="40" t="s">
        <v>23</v>
      </c>
    </row>
    <row r="341">
      <c r="A341" s="50">
        <v>326.0</v>
      </c>
      <c r="B341" s="13" t="s">
        <v>5932</v>
      </c>
      <c r="C341" s="11" t="s">
        <v>5933</v>
      </c>
      <c r="D341" s="12" t="s">
        <v>31</v>
      </c>
      <c r="E341" s="13" t="s">
        <v>5934</v>
      </c>
      <c r="F341" s="12">
        <v>17.0</v>
      </c>
      <c r="G341" s="12">
        <v>2008.0</v>
      </c>
      <c r="H341" s="15">
        <v>0.2</v>
      </c>
      <c r="I341" s="22">
        <v>0.0</v>
      </c>
      <c r="J341" s="19">
        <v>0.0</v>
      </c>
      <c r="K341" s="19">
        <v>0.0</v>
      </c>
      <c r="L341" s="19">
        <v>0.0</v>
      </c>
      <c r="M341" s="19">
        <v>0.0</v>
      </c>
      <c r="N341" s="19">
        <v>0.0</v>
      </c>
      <c r="O341" s="18">
        <v>5.0</v>
      </c>
      <c r="P341" s="19">
        <v>0.0</v>
      </c>
      <c r="Q341" s="19">
        <v>0.0</v>
      </c>
      <c r="R341" s="36"/>
      <c r="S341" s="36"/>
      <c r="T341" s="19">
        <v>0.0</v>
      </c>
      <c r="U341" s="20" t="s">
        <v>5935</v>
      </c>
    </row>
    <row r="342">
      <c r="A342" s="50">
        <v>327.0</v>
      </c>
      <c r="B342" s="13" t="s">
        <v>5936</v>
      </c>
      <c r="C342" s="11" t="s">
        <v>5937</v>
      </c>
      <c r="D342" s="12" t="s">
        <v>31</v>
      </c>
      <c r="E342" s="13" t="s">
        <v>5938</v>
      </c>
      <c r="F342" s="12">
        <v>31.0</v>
      </c>
      <c r="G342" s="12">
        <v>1994.0</v>
      </c>
      <c r="H342" s="15">
        <v>0.5</v>
      </c>
      <c r="I342" s="22">
        <v>0.0</v>
      </c>
      <c r="J342" s="19">
        <v>0.0</v>
      </c>
      <c r="K342" s="19">
        <v>0.0</v>
      </c>
      <c r="L342" s="19">
        <v>0.0</v>
      </c>
      <c r="M342" s="18">
        <v>2.0</v>
      </c>
      <c r="N342" s="19">
        <v>0.0</v>
      </c>
      <c r="O342" s="18">
        <v>8.0</v>
      </c>
      <c r="P342" s="19">
        <v>0.0</v>
      </c>
      <c r="Q342" s="18">
        <v>4.0</v>
      </c>
      <c r="R342" s="36"/>
      <c r="S342" s="36"/>
      <c r="T342" s="19">
        <v>0.0</v>
      </c>
      <c r="U342" s="20" t="s">
        <v>5939</v>
      </c>
    </row>
    <row r="343">
      <c r="A343" s="50">
        <v>328.0</v>
      </c>
      <c r="B343" s="13" t="s">
        <v>5940</v>
      </c>
      <c r="C343" s="11" t="s">
        <v>5941</v>
      </c>
      <c r="D343" s="12" t="s">
        <v>107</v>
      </c>
      <c r="E343" s="13" t="s">
        <v>5942</v>
      </c>
      <c r="F343" s="12">
        <v>26.0</v>
      </c>
      <c r="G343" s="12">
        <v>1999.0</v>
      </c>
      <c r="H343" s="15">
        <v>7.8</v>
      </c>
      <c r="I343" s="17">
        <v>0.38</v>
      </c>
      <c r="J343" s="19">
        <v>0.0</v>
      </c>
      <c r="K343" s="19">
        <v>0.0</v>
      </c>
      <c r="L343" s="18">
        <v>1.28</v>
      </c>
      <c r="M343" s="18">
        <v>2.69</v>
      </c>
      <c r="N343" s="18">
        <v>0.77</v>
      </c>
      <c r="O343" s="18">
        <v>1.54</v>
      </c>
      <c r="P343" s="18">
        <v>0.26</v>
      </c>
      <c r="Q343" s="18">
        <v>1.03</v>
      </c>
      <c r="R343" s="36"/>
      <c r="S343" s="36"/>
      <c r="T343" s="19">
        <v>0.0</v>
      </c>
      <c r="U343" s="20" t="s">
        <v>5943</v>
      </c>
    </row>
    <row r="344">
      <c r="A344" s="50">
        <v>329.0</v>
      </c>
      <c r="B344" s="13" t="s">
        <v>5944</v>
      </c>
      <c r="C344" s="11" t="s">
        <v>5945</v>
      </c>
      <c r="D344" s="12" t="s">
        <v>41</v>
      </c>
      <c r="E344" s="13" t="s">
        <v>5946</v>
      </c>
      <c r="F344" s="12">
        <v>20.0</v>
      </c>
      <c r="G344" s="12">
        <v>2004.0</v>
      </c>
      <c r="H344" s="15">
        <v>0.7</v>
      </c>
      <c r="I344" s="22">
        <v>0.0</v>
      </c>
      <c r="J344" s="19">
        <v>0.0</v>
      </c>
      <c r="K344" s="19">
        <v>0.0</v>
      </c>
      <c r="L344" s="19">
        <v>0.0</v>
      </c>
      <c r="M344" s="19">
        <v>0.0</v>
      </c>
      <c r="N344" s="18">
        <v>1.43</v>
      </c>
      <c r="O344" s="19">
        <v>0.0</v>
      </c>
      <c r="P344" s="18">
        <v>2.86</v>
      </c>
      <c r="Q344" s="19">
        <v>0.0</v>
      </c>
      <c r="R344" s="36"/>
      <c r="S344" s="36"/>
      <c r="T344" s="19">
        <v>0.0</v>
      </c>
      <c r="U344" s="20" t="s">
        <v>5947</v>
      </c>
    </row>
    <row r="345">
      <c r="A345" s="50">
        <v>330.0</v>
      </c>
      <c r="B345" s="13" t="s">
        <v>5948</v>
      </c>
      <c r="C345" s="11" t="s">
        <v>5949</v>
      </c>
      <c r="D345" s="12" t="s">
        <v>107</v>
      </c>
      <c r="E345" s="13" t="s">
        <v>5950</v>
      </c>
      <c r="F345" s="12">
        <v>24.0</v>
      </c>
      <c r="G345" s="12">
        <v>2001.0</v>
      </c>
      <c r="H345" s="15">
        <v>12.0</v>
      </c>
      <c r="I345" s="17">
        <v>0.25</v>
      </c>
      <c r="J345" s="19">
        <v>0.0</v>
      </c>
      <c r="K345" s="19">
        <v>0.0</v>
      </c>
      <c r="L345" s="18">
        <v>0.83</v>
      </c>
      <c r="M345" s="18">
        <v>1.17</v>
      </c>
      <c r="N345" s="18">
        <v>0.42</v>
      </c>
      <c r="O345" s="18">
        <v>3.08</v>
      </c>
      <c r="P345" s="18">
        <v>0.08</v>
      </c>
      <c r="Q345" s="18">
        <v>0.67</v>
      </c>
      <c r="R345" s="36"/>
      <c r="S345" s="36"/>
      <c r="T345" s="19">
        <v>0.0</v>
      </c>
      <c r="U345" s="20" t="s">
        <v>5951</v>
      </c>
    </row>
    <row r="346">
      <c r="A346" s="50">
        <v>331.0</v>
      </c>
      <c r="B346" s="13" t="s">
        <v>5952</v>
      </c>
      <c r="C346" s="11" t="s">
        <v>5953</v>
      </c>
      <c r="D346" s="12" t="s">
        <v>98</v>
      </c>
      <c r="E346" s="13" t="s">
        <v>5954</v>
      </c>
      <c r="F346" s="12">
        <v>32.0</v>
      </c>
      <c r="G346" s="12">
        <v>1992.0</v>
      </c>
      <c r="H346" s="15">
        <v>31.5</v>
      </c>
      <c r="I346" s="17">
        <v>0.06</v>
      </c>
      <c r="J346" s="19">
        <v>0.0</v>
      </c>
      <c r="K346" s="19">
        <v>0.0</v>
      </c>
      <c r="L346" s="19">
        <v>0.0</v>
      </c>
      <c r="M346" s="18">
        <v>0.54</v>
      </c>
      <c r="N346" s="19">
        <v>0.0</v>
      </c>
      <c r="O346" s="19">
        <v>0.0</v>
      </c>
      <c r="P346" s="19">
        <v>0.0</v>
      </c>
      <c r="Q346" s="19">
        <v>0.0</v>
      </c>
      <c r="R346" s="36"/>
      <c r="S346" s="36"/>
      <c r="T346" s="19">
        <v>0.0</v>
      </c>
      <c r="U346" s="20" t="s">
        <v>5955</v>
      </c>
    </row>
    <row r="347">
      <c r="A347" s="50">
        <v>332.0</v>
      </c>
      <c r="B347" s="13" t="s">
        <v>5956</v>
      </c>
      <c r="C347" s="11" t="s">
        <v>5957</v>
      </c>
      <c r="D347" s="12" t="s">
        <v>36</v>
      </c>
      <c r="E347" s="13" t="s">
        <v>5958</v>
      </c>
      <c r="F347" s="12">
        <v>27.0</v>
      </c>
      <c r="G347" s="12">
        <v>1998.0</v>
      </c>
      <c r="H347" s="15">
        <v>13.7</v>
      </c>
      <c r="I347" s="22">
        <v>0.0</v>
      </c>
      <c r="J347" s="18">
        <v>0.07</v>
      </c>
      <c r="K347" s="19">
        <v>0.0</v>
      </c>
      <c r="L347" s="18">
        <v>0.66</v>
      </c>
      <c r="M347" s="18">
        <v>0.15</v>
      </c>
      <c r="N347" s="19">
        <v>0.0</v>
      </c>
      <c r="O347" s="18">
        <v>0.15</v>
      </c>
      <c r="P347" s="18">
        <v>0.88</v>
      </c>
      <c r="Q347" s="18">
        <v>0.8</v>
      </c>
      <c r="R347" s="36"/>
      <c r="S347" s="36"/>
      <c r="T347" s="18">
        <v>0.07</v>
      </c>
      <c r="U347" s="20" t="s">
        <v>5959</v>
      </c>
    </row>
    <row r="348">
      <c r="A348" s="50">
        <v>333.0</v>
      </c>
      <c r="B348" s="13" t="s">
        <v>5960</v>
      </c>
      <c r="C348" s="11" t="s">
        <v>5961</v>
      </c>
      <c r="D348" s="12" t="s">
        <v>36</v>
      </c>
      <c r="E348" s="13" t="s">
        <v>5962</v>
      </c>
      <c r="F348" s="12">
        <v>31.0</v>
      </c>
      <c r="G348" s="12">
        <v>1993.0</v>
      </c>
      <c r="H348" s="15">
        <v>1.4</v>
      </c>
      <c r="I348" s="17">
        <v>0.71</v>
      </c>
      <c r="J348" s="19">
        <v>0.0</v>
      </c>
      <c r="K348" s="19">
        <v>0.0</v>
      </c>
      <c r="L348" s="18">
        <v>2.14</v>
      </c>
      <c r="M348" s="19">
        <v>0.0</v>
      </c>
      <c r="N348" s="19">
        <v>0.0</v>
      </c>
      <c r="O348" s="18">
        <v>5.71</v>
      </c>
      <c r="P348" s="18">
        <v>1.43</v>
      </c>
      <c r="Q348" s="18">
        <v>1.43</v>
      </c>
      <c r="R348" s="36"/>
      <c r="S348" s="36"/>
      <c r="T348" s="19">
        <v>0.0</v>
      </c>
      <c r="U348" s="20" t="s">
        <v>5963</v>
      </c>
    </row>
    <row r="349">
      <c r="A349" s="50">
        <v>334.0</v>
      </c>
      <c r="B349" s="13" t="s">
        <v>5964</v>
      </c>
      <c r="C349" s="11" t="s">
        <v>5965</v>
      </c>
      <c r="D349" s="12" t="s">
        <v>31</v>
      </c>
      <c r="E349" s="13" t="s">
        <v>5966</v>
      </c>
      <c r="F349" s="12">
        <v>22.0</v>
      </c>
      <c r="G349" s="12">
        <v>2002.0</v>
      </c>
      <c r="H349" s="15">
        <v>15.5</v>
      </c>
      <c r="I349" s="17">
        <v>0.19</v>
      </c>
      <c r="J349" s="19">
        <v>0.0</v>
      </c>
      <c r="K349" s="19">
        <v>0.0</v>
      </c>
      <c r="L349" s="18">
        <v>1.87</v>
      </c>
      <c r="M349" s="18">
        <v>0.84</v>
      </c>
      <c r="N349" s="18">
        <v>0.19</v>
      </c>
      <c r="O349" s="18">
        <v>0.52</v>
      </c>
      <c r="P349" s="18">
        <v>0.9</v>
      </c>
      <c r="Q349" s="18">
        <v>1.35</v>
      </c>
      <c r="R349" s="36"/>
      <c r="S349" s="36"/>
      <c r="T349" s="19">
        <v>0.0</v>
      </c>
      <c r="U349" s="20" t="s">
        <v>5967</v>
      </c>
    </row>
    <row r="350">
      <c r="A350" s="50">
        <v>335.0</v>
      </c>
      <c r="B350" s="13" t="s">
        <v>5968</v>
      </c>
      <c r="C350" s="11" t="s">
        <v>5969</v>
      </c>
      <c r="D350" s="12" t="s">
        <v>41</v>
      </c>
      <c r="E350" s="13" t="s">
        <v>5970</v>
      </c>
      <c r="F350" s="12">
        <v>28.0</v>
      </c>
      <c r="G350" s="12">
        <v>1997.0</v>
      </c>
      <c r="H350" s="15">
        <v>24.6</v>
      </c>
      <c r="I350" s="17">
        <v>0.08</v>
      </c>
      <c r="J350" s="19">
        <v>0.0</v>
      </c>
      <c r="K350" s="19">
        <v>0.0</v>
      </c>
      <c r="L350" s="18">
        <v>0.85</v>
      </c>
      <c r="M350" s="18">
        <v>0.77</v>
      </c>
      <c r="N350" s="18">
        <v>0.73</v>
      </c>
      <c r="O350" s="18">
        <v>0.45</v>
      </c>
      <c r="P350" s="18">
        <v>0.24</v>
      </c>
      <c r="Q350" s="18">
        <v>0.16</v>
      </c>
      <c r="R350" s="36"/>
      <c r="S350" s="36"/>
      <c r="T350" s="19">
        <v>0.0</v>
      </c>
      <c r="U350" s="20" t="s">
        <v>5971</v>
      </c>
    </row>
    <row r="351">
      <c r="A351" s="50">
        <v>336.0</v>
      </c>
      <c r="B351" s="13" t="s">
        <v>5972</v>
      </c>
      <c r="C351" s="11" t="s">
        <v>5973</v>
      </c>
      <c r="D351" s="12" t="s">
        <v>36</v>
      </c>
      <c r="E351" s="13" t="s">
        <v>5974</v>
      </c>
      <c r="F351" s="12">
        <v>27.0</v>
      </c>
      <c r="G351" s="12">
        <v>1997.0</v>
      </c>
      <c r="H351" s="15">
        <v>28.2</v>
      </c>
      <c r="I351" s="17">
        <v>0.07</v>
      </c>
      <c r="J351" s="19">
        <v>0.0</v>
      </c>
      <c r="K351" s="19">
        <v>0.0</v>
      </c>
      <c r="L351" s="18">
        <v>0.57</v>
      </c>
      <c r="M351" s="18">
        <v>0.32</v>
      </c>
      <c r="N351" s="18">
        <v>0.07</v>
      </c>
      <c r="O351" s="18">
        <v>0.14</v>
      </c>
      <c r="P351" s="18">
        <v>1.67</v>
      </c>
      <c r="Q351" s="18">
        <v>0.85</v>
      </c>
      <c r="R351" s="36"/>
      <c r="S351" s="36"/>
      <c r="T351" s="18">
        <v>0.07</v>
      </c>
      <c r="U351" s="20" t="s">
        <v>5975</v>
      </c>
    </row>
    <row r="352">
      <c r="A352" s="50">
        <v>337.0</v>
      </c>
      <c r="B352" s="13" t="s">
        <v>5976</v>
      </c>
      <c r="C352" s="11" t="s">
        <v>5977</v>
      </c>
      <c r="D352" s="12" t="s">
        <v>107</v>
      </c>
      <c r="E352" s="13" t="s">
        <v>5978</v>
      </c>
      <c r="F352" s="12">
        <v>20.0</v>
      </c>
      <c r="G352" s="12">
        <v>2005.0</v>
      </c>
      <c r="H352" s="15">
        <v>8.4</v>
      </c>
      <c r="I352" s="22">
        <v>0.0</v>
      </c>
      <c r="J352" s="19">
        <v>0.0</v>
      </c>
      <c r="K352" s="19">
        <v>0.0</v>
      </c>
      <c r="L352" s="18">
        <v>0.71</v>
      </c>
      <c r="M352" s="18">
        <v>1.31</v>
      </c>
      <c r="N352" s="18">
        <v>0.36</v>
      </c>
      <c r="O352" s="18">
        <v>0.12</v>
      </c>
      <c r="P352" s="18">
        <v>0.12</v>
      </c>
      <c r="Q352" s="18">
        <v>0.36</v>
      </c>
      <c r="R352" s="36"/>
      <c r="S352" s="36"/>
      <c r="T352" s="19">
        <v>0.0</v>
      </c>
      <c r="U352" s="20" t="s">
        <v>5979</v>
      </c>
    </row>
    <row r="353">
      <c r="A353" s="50">
        <v>338.0</v>
      </c>
      <c r="B353" s="13" t="s">
        <v>5980</v>
      </c>
      <c r="C353" s="11" t="s">
        <v>5981</v>
      </c>
      <c r="D353" s="12" t="s">
        <v>36</v>
      </c>
      <c r="E353" s="13" t="s">
        <v>5982</v>
      </c>
      <c r="F353" s="12">
        <v>18.0</v>
      </c>
      <c r="G353" s="12">
        <v>2007.0</v>
      </c>
      <c r="H353" s="15">
        <v>1.3</v>
      </c>
      <c r="I353" s="22">
        <v>0.0</v>
      </c>
      <c r="J353" s="19">
        <v>0.0</v>
      </c>
      <c r="K353" s="19">
        <v>0.0</v>
      </c>
      <c r="L353" s="19">
        <v>0.0</v>
      </c>
      <c r="M353" s="19">
        <v>0.0</v>
      </c>
      <c r="N353" s="19">
        <v>0.0</v>
      </c>
      <c r="O353" s="18">
        <v>2.31</v>
      </c>
      <c r="P353" s="18">
        <v>0.77</v>
      </c>
      <c r="Q353" s="19">
        <v>0.0</v>
      </c>
      <c r="R353" s="36"/>
      <c r="S353" s="36"/>
      <c r="T353" s="19">
        <v>0.0</v>
      </c>
      <c r="U353" s="20" t="s">
        <v>5983</v>
      </c>
    </row>
    <row r="354">
      <c r="A354" s="50">
        <v>339.0</v>
      </c>
      <c r="B354" s="13" t="s">
        <v>5984</v>
      </c>
      <c r="C354" s="11" t="s">
        <v>5985</v>
      </c>
      <c r="D354" s="12" t="s">
        <v>345</v>
      </c>
      <c r="E354" s="13" t="s">
        <v>5986</v>
      </c>
      <c r="F354" s="12">
        <v>27.0</v>
      </c>
      <c r="G354" s="12">
        <v>1997.0</v>
      </c>
      <c r="H354" s="15">
        <v>10.9</v>
      </c>
      <c r="I354" s="17">
        <v>0.28</v>
      </c>
      <c r="J354" s="19">
        <v>0.0</v>
      </c>
      <c r="K354" s="19">
        <v>0.0</v>
      </c>
      <c r="L354" s="18">
        <v>1.1</v>
      </c>
      <c r="M354" s="18">
        <v>1.28</v>
      </c>
      <c r="N354" s="19">
        <v>0.0</v>
      </c>
      <c r="O354" s="18">
        <v>1.19</v>
      </c>
      <c r="P354" s="18">
        <v>1.01</v>
      </c>
      <c r="Q354" s="18">
        <v>1.38</v>
      </c>
      <c r="R354" s="36"/>
      <c r="S354" s="36"/>
      <c r="T354" s="19">
        <v>0.0</v>
      </c>
      <c r="U354" s="20" t="s">
        <v>5987</v>
      </c>
    </row>
    <row r="355">
      <c r="A355" s="50">
        <v>340.0</v>
      </c>
      <c r="B355" s="13" t="s">
        <v>5988</v>
      </c>
      <c r="C355" s="11" t="s">
        <v>5989</v>
      </c>
      <c r="D355" s="12" t="s">
        <v>26</v>
      </c>
      <c r="E355" s="13" t="s">
        <v>5990</v>
      </c>
      <c r="F355" s="12">
        <v>25.0</v>
      </c>
      <c r="G355" s="12">
        <v>1999.0</v>
      </c>
      <c r="H355" s="15">
        <v>29.0</v>
      </c>
      <c r="I355" s="17">
        <v>0.14</v>
      </c>
      <c r="J355" s="19">
        <v>0.0</v>
      </c>
      <c r="K355" s="19">
        <v>0.0</v>
      </c>
      <c r="L355" s="18">
        <v>0.79</v>
      </c>
      <c r="M355" s="18">
        <v>0.97</v>
      </c>
      <c r="N355" s="18">
        <v>0.24</v>
      </c>
      <c r="O355" s="18">
        <v>3.62</v>
      </c>
      <c r="P355" s="18">
        <v>0.24</v>
      </c>
      <c r="Q355" s="18">
        <v>0.38</v>
      </c>
      <c r="R355" s="36"/>
      <c r="S355" s="36"/>
      <c r="T355" s="19">
        <v>0.0</v>
      </c>
      <c r="U355" s="20" t="s">
        <v>5991</v>
      </c>
    </row>
    <row r="356">
      <c r="A356" s="50">
        <v>341.0</v>
      </c>
      <c r="B356" s="13" t="s">
        <v>5992</v>
      </c>
      <c r="C356" s="11" t="s">
        <v>5993</v>
      </c>
      <c r="D356" s="12" t="s">
        <v>31</v>
      </c>
      <c r="E356" s="13" t="s">
        <v>5994</v>
      </c>
      <c r="F356" s="12">
        <v>22.0</v>
      </c>
      <c r="G356" s="12">
        <v>2002.0</v>
      </c>
      <c r="H356" s="15">
        <v>3.3</v>
      </c>
      <c r="I356" s="17">
        <v>0.3</v>
      </c>
      <c r="J356" s="19">
        <v>0.0</v>
      </c>
      <c r="K356" s="19">
        <v>0.0</v>
      </c>
      <c r="L356" s="18">
        <v>1.21</v>
      </c>
      <c r="M356" s="18">
        <v>1.52</v>
      </c>
      <c r="N356" s="18">
        <v>0.61</v>
      </c>
      <c r="O356" s="18">
        <v>2.73</v>
      </c>
      <c r="P356" s="18">
        <v>0.91</v>
      </c>
      <c r="Q356" s="18">
        <v>1.21</v>
      </c>
      <c r="R356" s="36"/>
      <c r="S356" s="36"/>
      <c r="T356" s="19">
        <v>0.0</v>
      </c>
      <c r="U356" s="20" t="s">
        <v>5995</v>
      </c>
    </row>
    <row r="357">
      <c r="A357" s="50">
        <v>342.0</v>
      </c>
      <c r="B357" s="13" t="s">
        <v>5996</v>
      </c>
      <c r="C357" s="11" t="s">
        <v>5997</v>
      </c>
      <c r="D357" s="12" t="s">
        <v>31</v>
      </c>
      <c r="E357" s="13" t="s">
        <v>5998</v>
      </c>
      <c r="F357" s="12">
        <v>30.0</v>
      </c>
      <c r="G357" s="12">
        <v>1994.0</v>
      </c>
      <c r="H357" s="15">
        <v>23.7</v>
      </c>
      <c r="I357" s="17">
        <v>0.21</v>
      </c>
      <c r="J357" s="19">
        <v>0.0</v>
      </c>
      <c r="K357" s="19">
        <v>0.0</v>
      </c>
      <c r="L357" s="18">
        <v>1.31</v>
      </c>
      <c r="M357" s="18">
        <v>2.03</v>
      </c>
      <c r="N357" s="19">
        <v>0.0</v>
      </c>
      <c r="O357" s="18">
        <v>3.46</v>
      </c>
      <c r="P357" s="18">
        <v>0.51</v>
      </c>
      <c r="Q357" s="18">
        <v>0.72</v>
      </c>
      <c r="R357" s="36"/>
      <c r="S357" s="36"/>
      <c r="T357" s="19">
        <v>0.0</v>
      </c>
      <c r="U357" s="20" t="s">
        <v>5999</v>
      </c>
    </row>
    <row r="358">
      <c r="A358" s="50">
        <v>343.0</v>
      </c>
      <c r="B358" s="13" t="s">
        <v>6000</v>
      </c>
      <c r="C358" s="11" t="s">
        <v>6001</v>
      </c>
      <c r="D358" s="12" t="s">
        <v>31</v>
      </c>
      <c r="E358" s="13" t="s">
        <v>6002</v>
      </c>
      <c r="F358" s="12">
        <v>25.0</v>
      </c>
      <c r="G358" s="12">
        <v>1999.0</v>
      </c>
      <c r="H358" s="15">
        <v>13.0</v>
      </c>
      <c r="I358" s="17">
        <v>0.08</v>
      </c>
      <c r="J358" s="19">
        <v>0.0</v>
      </c>
      <c r="K358" s="19">
        <v>0.0</v>
      </c>
      <c r="L358" s="18">
        <v>0.85</v>
      </c>
      <c r="M358" s="18">
        <v>0.54</v>
      </c>
      <c r="N358" s="18">
        <v>0.15</v>
      </c>
      <c r="O358" s="18">
        <v>3.08</v>
      </c>
      <c r="P358" s="18">
        <v>0.77</v>
      </c>
      <c r="Q358" s="18">
        <v>1.23</v>
      </c>
      <c r="R358" s="36"/>
      <c r="S358" s="36"/>
      <c r="T358" s="19">
        <v>0.0</v>
      </c>
      <c r="U358" s="20" t="s">
        <v>6003</v>
      </c>
    </row>
    <row r="359">
      <c r="A359" s="50">
        <v>344.0</v>
      </c>
      <c r="B359" s="13" t="s">
        <v>6004</v>
      </c>
      <c r="C359" s="11" t="s">
        <v>6005</v>
      </c>
      <c r="D359" s="12" t="s">
        <v>31</v>
      </c>
      <c r="E359" s="13" t="s">
        <v>6006</v>
      </c>
      <c r="F359" s="12">
        <v>22.0</v>
      </c>
      <c r="G359" s="12">
        <v>2003.0</v>
      </c>
      <c r="H359" s="15">
        <v>13.7</v>
      </c>
      <c r="I359" s="17">
        <v>0.73</v>
      </c>
      <c r="J359" s="19">
        <v>0.0</v>
      </c>
      <c r="K359" s="19">
        <v>0.0</v>
      </c>
      <c r="L359" s="18">
        <v>1.68</v>
      </c>
      <c r="M359" s="18">
        <v>3.36</v>
      </c>
      <c r="N359" s="18">
        <v>0.22</v>
      </c>
      <c r="O359" s="18">
        <v>2.19</v>
      </c>
      <c r="P359" s="18">
        <v>0.51</v>
      </c>
      <c r="Q359" s="18">
        <v>1.24</v>
      </c>
      <c r="R359" s="36"/>
      <c r="S359" s="36"/>
      <c r="T359" s="19">
        <v>0.0</v>
      </c>
      <c r="U359" s="20" t="s">
        <v>6007</v>
      </c>
    </row>
    <row r="360">
      <c r="A360" s="50">
        <v>345.0</v>
      </c>
      <c r="B360" s="13" t="s">
        <v>6008</v>
      </c>
      <c r="C360" s="11" t="s">
        <v>6009</v>
      </c>
      <c r="D360" s="12" t="s">
        <v>26</v>
      </c>
      <c r="E360" s="13" t="s">
        <v>6010</v>
      </c>
      <c r="F360" s="12">
        <v>29.0</v>
      </c>
      <c r="G360" s="12">
        <v>1996.0</v>
      </c>
      <c r="H360" s="15">
        <v>11.5</v>
      </c>
      <c r="I360" s="17">
        <v>0.09</v>
      </c>
      <c r="J360" s="19">
        <v>0.0</v>
      </c>
      <c r="K360" s="19">
        <v>0.0</v>
      </c>
      <c r="L360" s="18">
        <v>1.91</v>
      </c>
      <c r="M360" s="18">
        <v>1.74</v>
      </c>
      <c r="N360" s="18">
        <v>0.26</v>
      </c>
      <c r="O360" s="18">
        <v>0.35</v>
      </c>
      <c r="P360" s="18">
        <v>0.78</v>
      </c>
      <c r="Q360" s="18">
        <v>1.13</v>
      </c>
      <c r="R360" s="36"/>
      <c r="S360" s="36"/>
      <c r="T360" s="19">
        <v>0.0</v>
      </c>
      <c r="U360" s="20" t="s">
        <v>6011</v>
      </c>
    </row>
    <row r="361">
      <c r="A361" s="50">
        <v>346.0</v>
      </c>
      <c r="B361" s="13" t="s">
        <v>6012</v>
      </c>
      <c r="C361" s="11" t="s">
        <v>6013</v>
      </c>
      <c r="D361" s="12" t="s">
        <v>41</v>
      </c>
      <c r="E361" s="13" t="s">
        <v>6014</v>
      </c>
      <c r="F361" s="12">
        <v>17.0</v>
      </c>
      <c r="G361" s="12">
        <v>2007.0</v>
      </c>
      <c r="H361" s="21">
        <v>0.0</v>
      </c>
      <c r="I361" s="23">
        <v>0.0</v>
      </c>
      <c r="J361" s="21">
        <v>0.0</v>
      </c>
      <c r="K361" s="21">
        <v>0.0</v>
      </c>
      <c r="L361" s="21">
        <v>0.0</v>
      </c>
      <c r="M361" s="21">
        <v>0.0</v>
      </c>
      <c r="N361" s="21">
        <v>0.0</v>
      </c>
      <c r="O361" s="21">
        <v>0.0</v>
      </c>
      <c r="P361" s="21">
        <v>0.0</v>
      </c>
      <c r="Q361" s="21">
        <v>0.0</v>
      </c>
      <c r="R361" s="36"/>
      <c r="S361" s="36"/>
      <c r="T361" s="21">
        <v>0.0</v>
      </c>
      <c r="U361" s="20" t="s">
        <v>6015</v>
      </c>
    </row>
    <row r="362">
      <c r="A362" s="50">
        <v>347.0</v>
      </c>
      <c r="B362" s="13" t="s">
        <v>6016</v>
      </c>
      <c r="C362" s="11" t="s">
        <v>6017</v>
      </c>
      <c r="D362" s="12" t="s">
        <v>31</v>
      </c>
      <c r="E362" s="13" t="s">
        <v>6018</v>
      </c>
      <c r="F362" s="12">
        <v>20.0</v>
      </c>
      <c r="G362" s="12">
        <v>2005.0</v>
      </c>
      <c r="H362" s="15">
        <v>0.5</v>
      </c>
      <c r="I362" s="22">
        <v>0.0</v>
      </c>
      <c r="J362" s="19">
        <v>0.0</v>
      </c>
      <c r="K362" s="19">
        <v>0.0</v>
      </c>
      <c r="L362" s="19">
        <v>0.0</v>
      </c>
      <c r="M362" s="19">
        <v>0.0</v>
      </c>
      <c r="N362" s="19">
        <v>0.0</v>
      </c>
      <c r="O362" s="19">
        <v>0.0</v>
      </c>
      <c r="P362" s="19">
        <v>0.0</v>
      </c>
      <c r="Q362" s="18">
        <v>2.0</v>
      </c>
      <c r="R362" s="36"/>
      <c r="S362" s="36"/>
      <c r="T362" s="19">
        <v>0.0</v>
      </c>
      <c r="U362" s="20" t="s">
        <v>6019</v>
      </c>
    </row>
    <row r="363">
      <c r="A363" s="50">
        <v>348.0</v>
      </c>
      <c r="B363" s="13" t="s">
        <v>6020</v>
      </c>
      <c r="C363" s="11" t="s">
        <v>6021</v>
      </c>
      <c r="D363" s="12" t="s">
        <v>36</v>
      </c>
      <c r="E363" s="13" t="s">
        <v>6022</v>
      </c>
      <c r="F363" s="12">
        <v>27.0</v>
      </c>
      <c r="G363" s="12">
        <v>1997.0</v>
      </c>
      <c r="H363" s="15">
        <v>37.5</v>
      </c>
      <c r="I363" s="17">
        <v>0.16</v>
      </c>
      <c r="J363" s="19">
        <v>0.0</v>
      </c>
      <c r="K363" s="19">
        <v>0.0</v>
      </c>
      <c r="L363" s="18">
        <v>0.56</v>
      </c>
      <c r="M363" s="18">
        <v>0.53</v>
      </c>
      <c r="N363" s="18">
        <v>0.03</v>
      </c>
      <c r="O363" s="18">
        <v>0.05</v>
      </c>
      <c r="P363" s="18">
        <v>0.77</v>
      </c>
      <c r="Q363" s="18">
        <v>0.51</v>
      </c>
      <c r="R363" s="36"/>
      <c r="S363" s="36"/>
      <c r="T363" s="18">
        <v>0.03</v>
      </c>
      <c r="U363" s="20" t="s">
        <v>6023</v>
      </c>
    </row>
    <row r="364">
      <c r="A364" s="50">
        <v>349.0</v>
      </c>
      <c r="B364" s="13" t="s">
        <v>6024</v>
      </c>
      <c r="C364" s="11" t="s">
        <v>6025</v>
      </c>
      <c r="D364" s="12" t="s">
        <v>264</v>
      </c>
      <c r="E364" s="13" t="s">
        <v>6026</v>
      </c>
      <c r="F364" s="12">
        <v>19.0</v>
      </c>
      <c r="G364" s="12">
        <v>2006.0</v>
      </c>
      <c r="H364" s="15">
        <v>16.6</v>
      </c>
      <c r="I364" s="22">
        <v>0.0</v>
      </c>
      <c r="J364" s="19">
        <v>0.0</v>
      </c>
      <c r="K364" s="19">
        <v>0.0</v>
      </c>
      <c r="L364" s="18">
        <v>0.3</v>
      </c>
      <c r="M364" s="18">
        <v>0.24</v>
      </c>
      <c r="N364" s="18">
        <v>0.12</v>
      </c>
      <c r="O364" s="18">
        <v>2.53</v>
      </c>
      <c r="P364" s="18">
        <v>1.2</v>
      </c>
      <c r="Q364" s="18">
        <v>1.08</v>
      </c>
      <c r="R364" s="36"/>
      <c r="S364" s="36"/>
      <c r="T364" s="19">
        <v>0.0</v>
      </c>
      <c r="U364" s="20" t="s">
        <v>6027</v>
      </c>
    </row>
    <row r="365">
      <c r="A365" s="50">
        <v>350.0</v>
      </c>
      <c r="B365" s="13" t="s">
        <v>6028</v>
      </c>
      <c r="C365" s="11" t="s">
        <v>6029</v>
      </c>
      <c r="D365" s="12" t="s">
        <v>31</v>
      </c>
      <c r="E365" s="13" t="s">
        <v>6030</v>
      </c>
      <c r="F365" s="12">
        <v>39.0</v>
      </c>
      <c r="G365" s="12">
        <v>1986.0</v>
      </c>
      <c r="H365" s="15">
        <v>8.7</v>
      </c>
      <c r="I365" s="17">
        <v>0.23</v>
      </c>
      <c r="J365" s="19">
        <v>0.0</v>
      </c>
      <c r="K365" s="19">
        <v>0.0</v>
      </c>
      <c r="L365" s="18">
        <v>1.72</v>
      </c>
      <c r="M365" s="18">
        <v>0.34</v>
      </c>
      <c r="N365" s="18">
        <v>0.11</v>
      </c>
      <c r="O365" s="18">
        <v>1.61</v>
      </c>
      <c r="P365" s="18">
        <v>0.57</v>
      </c>
      <c r="Q365" s="18">
        <v>1.03</v>
      </c>
      <c r="R365" s="36"/>
      <c r="S365" s="36"/>
      <c r="T365" s="19">
        <v>0.0</v>
      </c>
      <c r="U365" s="20" t="s">
        <v>6031</v>
      </c>
    </row>
    <row r="366">
      <c r="A366" s="37" t="s">
        <v>3</v>
      </c>
      <c r="B366" s="51" t="s">
        <v>4</v>
      </c>
      <c r="C366" s="39" t="s">
        <v>5</v>
      </c>
      <c r="D366" s="39" t="s">
        <v>6</v>
      </c>
      <c r="E366" s="39" t="s">
        <v>7</v>
      </c>
      <c r="F366" s="39" t="s">
        <v>8</v>
      </c>
      <c r="G366" s="39" t="s">
        <v>9</v>
      </c>
      <c r="H366" s="39" t="s">
        <v>13</v>
      </c>
      <c r="I366" s="40" t="s">
        <v>20</v>
      </c>
      <c r="J366" s="39" t="s">
        <v>21</v>
      </c>
      <c r="K366" s="39" t="s">
        <v>4622</v>
      </c>
      <c r="L366" s="39" t="s">
        <v>4623</v>
      </c>
      <c r="M366" s="39" t="s">
        <v>4624</v>
      </c>
      <c r="N366" s="39" t="s">
        <v>4625</v>
      </c>
      <c r="O366" s="39" t="s">
        <v>4626</v>
      </c>
      <c r="P366" s="39" t="s">
        <v>4627</v>
      </c>
      <c r="Q366" s="39" t="s">
        <v>4628</v>
      </c>
      <c r="R366" s="39" t="s">
        <v>4629</v>
      </c>
      <c r="S366" s="39" t="s">
        <v>4630</v>
      </c>
      <c r="T366" s="39" t="s">
        <v>4631</v>
      </c>
      <c r="U366" s="40" t="s">
        <v>23</v>
      </c>
    </row>
    <row r="367">
      <c r="A367" s="50">
        <v>351.0</v>
      </c>
      <c r="B367" s="13" t="s">
        <v>6032</v>
      </c>
      <c r="C367" s="11" t="s">
        <v>6033</v>
      </c>
      <c r="D367" s="12" t="s">
        <v>36</v>
      </c>
      <c r="E367" s="13" t="s">
        <v>6034</v>
      </c>
      <c r="F367" s="12">
        <v>18.0</v>
      </c>
      <c r="G367" s="12">
        <v>2007.0</v>
      </c>
      <c r="H367" s="15">
        <v>4.1</v>
      </c>
      <c r="I367" s="22">
        <v>0.0</v>
      </c>
      <c r="J367" s="19">
        <v>0.0</v>
      </c>
      <c r="K367" s="19">
        <v>0.0</v>
      </c>
      <c r="L367" s="19">
        <v>0.0</v>
      </c>
      <c r="M367" s="19">
        <v>0.0</v>
      </c>
      <c r="N367" s="19">
        <v>0.0</v>
      </c>
      <c r="O367" s="19">
        <v>0.0</v>
      </c>
      <c r="P367" s="18">
        <v>0.98</v>
      </c>
      <c r="Q367" s="18">
        <v>0.98</v>
      </c>
      <c r="R367" s="36"/>
      <c r="S367" s="36"/>
      <c r="T367" s="19">
        <v>0.0</v>
      </c>
      <c r="U367" s="20" t="s">
        <v>6035</v>
      </c>
    </row>
    <row r="368">
      <c r="A368" s="50">
        <v>352.0</v>
      </c>
      <c r="B368" s="13" t="s">
        <v>6036</v>
      </c>
      <c r="C368" s="11" t="s">
        <v>6037</v>
      </c>
      <c r="D368" s="12" t="s">
        <v>36</v>
      </c>
      <c r="E368" s="13" t="s">
        <v>6038</v>
      </c>
      <c r="F368" s="12">
        <v>32.0</v>
      </c>
      <c r="G368" s="12">
        <v>1993.0</v>
      </c>
      <c r="H368" s="15">
        <v>14.7</v>
      </c>
      <c r="I368" s="17">
        <v>0.07</v>
      </c>
      <c r="J368" s="19">
        <v>0.0</v>
      </c>
      <c r="K368" s="19">
        <v>0.0</v>
      </c>
      <c r="L368" s="18">
        <v>0.68</v>
      </c>
      <c r="M368" s="18">
        <v>0.54</v>
      </c>
      <c r="N368" s="19">
        <v>0.0</v>
      </c>
      <c r="O368" s="18">
        <v>0.27</v>
      </c>
      <c r="P368" s="18">
        <v>0.75</v>
      </c>
      <c r="Q368" s="18">
        <v>0.14</v>
      </c>
      <c r="R368" s="36"/>
      <c r="S368" s="36"/>
      <c r="T368" s="19">
        <v>0.0</v>
      </c>
      <c r="U368" s="20" t="s">
        <v>6039</v>
      </c>
    </row>
    <row r="369">
      <c r="A369" s="50">
        <v>353.0</v>
      </c>
      <c r="B369" s="13" t="s">
        <v>6040</v>
      </c>
      <c r="C369" s="11" t="s">
        <v>6041</v>
      </c>
      <c r="D369" s="12" t="s">
        <v>31</v>
      </c>
      <c r="E369" s="13" t="s">
        <v>6042</v>
      </c>
      <c r="F369" s="12">
        <v>21.0</v>
      </c>
      <c r="G369" s="12">
        <v>2004.0</v>
      </c>
      <c r="H369" s="15">
        <v>26.6</v>
      </c>
      <c r="I369" s="17">
        <v>0.11</v>
      </c>
      <c r="J369" s="19">
        <v>0.0</v>
      </c>
      <c r="K369" s="19">
        <v>0.0</v>
      </c>
      <c r="L369" s="18">
        <v>1.2</v>
      </c>
      <c r="M369" s="18">
        <v>0.83</v>
      </c>
      <c r="N369" s="18">
        <v>0.38</v>
      </c>
      <c r="O369" s="18">
        <v>5.98</v>
      </c>
      <c r="P369" s="18">
        <v>0.56</v>
      </c>
      <c r="Q369" s="18">
        <v>1.39</v>
      </c>
      <c r="R369" s="36"/>
      <c r="S369" s="36"/>
      <c r="T369" s="19">
        <v>0.0</v>
      </c>
      <c r="U369" s="20" t="s">
        <v>6043</v>
      </c>
    </row>
    <row r="370">
      <c r="A370" s="50">
        <v>354.0</v>
      </c>
      <c r="B370" s="13" t="s">
        <v>6044</v>
      </c>
      <c r="C370" s="11" t="s">
        <v>6045</v>
      </c>
      <c r="D370" s="12" t="s">
        <v>31</v>
      </c>
      <c r="E370" s="13" t="s">
        <v>6046</v>
      </c>
      <c r="F370" s="12">
        <v>25.0</v>
      </c>
      <c r="G370" s="12">
        <v>1999.0</v>
      </c>
      <c r="H370" s="15">
        <v>36.1</v>
      </c>
      <c r="I370" s="17">
        <v>0.17</v>
      </c>
      <c r="J370" s="19">
        <v>0.0</v>
      </c>
      <c r="K370" s="19">
        <v>0.0</v>
      </c>
      <c r="L370" s="18">
        <v>0.66</v>
      </c>
      <c r="M370" s="18">
        <v>0.78</v>
      </c>
      <c r="N370" s="18">
        <v>0.14</v>
      </c>
      <c r="O370" s="18">
        <v>2.88</v>
      </c>
      <c r="P370" s="18">
        <v>0.91</v>
      </c>
      <c r="Q370" s="18">
        <v>1.8</v>
      </c>
      <c r="R370" s="36"/>
      <c r="S370" s="36"/>
      <c r="T370" s="19">
        <v>0.0</v>
      </c>
      <c r="U370" s="20" t="s">
        <v>6047</v>
      </c>
    </row>
    <row r="371">
      <c r="A371" s="50">
        <v>355.0</v>
      </c>
      <c r="B371" s="13" t="s">
        <v>6048</v>
      </c>
      <c r="C371" s="11" t="s">
        <v>6049</v>
      </c>
      <c r="D371" s="12" t="s">
        <v>26</v>
      </c>
      <c r="E371" s="13" t="s">
        <v>6050</v>
      </c>
      <c r="F371" s="12">
        <v>28.0</v>
      </c>
      <c r="G371" s="12">
        <v>1997.0</v>
      </c>
      <c r="H371" s="15">
        <v>19.1</v>
      </c>
      <c r="I371" s="17">
        <v>0.26</v>
      </c>
      <c r="J371" s="19">
        <v>0.0</v>
      </c>
      <c r="K371" s="19">
        <v>0.0</v>
      </c>
      <c r="L371" s="18">
        <v>1.62</v>
      </c>
      <c r="M371" s="18">
        <v>1.1</v>
      </c>
      <c r="N371" s="18">
        <v>0.21</v>
      </c>
      <c r="O371" s="18">
        <v>2.41</v>
      </c>
      <c r="P371" s="18">
        <v>0.42</v>
      </c>
      <c r="Q371" s="18">
        <v>0.63</v>
      </c>
      <c r="R371" s="36"/>
      <c r="S371" s="36"/>
      <c r="T371" s="19">
        <v>0.0</v>
      </c>
      <c r="U371" s="20" t="s">
        <v>6051</v>
      </c>
    </row>
    <row r="372">
      <c r="A372" s="50">
        <v>356.0</v>
      </c>
      <c r="B372" s="13" t="s">
        <v>6052</v>
      </c>
      <c r="C372" s="11" t="s">
        <v>6053</v>
      </c>
      <c r="D372" s="12" t="s">
        <v>36</v>
      </c>
      <c r="E372" s="13" t="s">
        <v>6054</v>
      </c>
      <c r="F372" s="12">
        <v>24.0</v>
      </c>
      <c r="G372" s="12">
        <v>2001.0</v>
      </c>
      <c r="H372" s="15">
        <v>14.9</v>
      </c>
      <c r="I372" s="17">
        <v>0.34</v>
      </c>
      <c r="J372" s="19">
        <v>0.0</v>
      </c>
      <c r="K372" s="19">
        <v>0.0</v>
      </c>
      <c r="L372" s="18">
        <v>1.07</v>
      </c>
      <c r="M372" s="18">
        <v>0.47</v>
      </c>
      <c r="N372" s="18">
        <v>0.07</v>
      </c>
      <c r="O372" s="18">
        <v>0.13</v>
      </c>
      <c r="P372" s="18">
        <v>0.74</v>
      </c>
      <c r="Q372" s="18">
        <v>1.21</v>
      </c>
      <c r="R372" s="36"/>
      <c r="S372" s="36"/>
      <c r="T372" s="19">
        <v>0.0</v>
      </c>
      <c r="U372" s="20" t="s">
        <v>6055</v>
      </c>
    </row>
    <row r="373">
      <c r="A373" s="50">
        <v>357.0</v>
      </c>
      <c r="B373" s="13" t="s">
        <v>6056</v>
      </c>
      <c r="C373" s="11" t="s">
        <v>6057</v>
      </c>
      <c r="D373" s="12" t="s">
        <v>36</v>
      </c>
      <c r="E373" s="13" t="s">
        <v>6058</v>
      </c>
      <c r="F373" s="12">
        <v>21.0</v>
      </c>
      <c r="G373" s="12">
        <v>2004.0</v>
      </c>
      <c r="H373" s="15">
        <v>11.0</v>
      </c>
      <c r="I373" s="17">
        <v>0.36</v>
      </c>
      <c r="J373" s="19">
        <v>0.0</v>
      </c>
      <c r="K373" s="19">
        <v>0.0</v>
      </c>
      <c r="L373" s="18">
        <v>1.55</v>
      </c>
      <c r="M373" s="18">
        <v>0.64</v>
      </c>
      <c r="N373" s="18">
        <v>0.09</v>
      </c>
      <c r="O373" s="18">
        <v>0.27</v>
      </c>
      <c r="P373" s="18">
        <v>0.73</v>
      </c>
      <c r="Q373" s="18">
        <v>1.91</v>
      </c>
      <c r="R373" s="36"/>
      <c r="S373" s="36"/>
      <c r="T373" s="19">
        <v>0.0</v>
      </c>
      <c r="U373" s="20" t="s">
        <v>6059</v>
      </c>
    </row>
    <row r="374">
      <c r="A374" s="50">
        <v>358.0</v>
      </c>
      <c r="B374" s="13" t="s">
        <v>6060</v>
      </c>
      <c r="C374" s="11" t="s">
        <v>6061</v>
      </c>
      <c r="D374" s="12" t="s">
        <v>36</v>
      </c>
      <c r="E374" s="13" t="s">
        <v>6062</v>
      </c>
      <c r="F374" s="12">
        <v>24.0</v>
      </c>
      <c r="G374" s="12">
        <v>2001.0</v>
      </c>
      <c r="H374" s="15">
        <v>23.7</v>
      </c>
      <c r="I374" s="17">
        <v>0.51</v>
      </c>
      <c r="J374" s="19">
        <v>0.0</v>
      </c>
      <c r="K374" s="19">
        <v>0.0</v>
      </c>
      <c r="L374" s="18">
        <v>1.43</v>
      </c>
      <c r="M374" s="18">
        <v>1.86</v>
      </c>
      <c r="N374" s="18">
        <v>0.04</v>
      </c>
      <c r="O374" s="18">
        <v>0.76</v>
      </c>
      <c r="P374" s="18">
        <v>1.05</v>
      </c>
      <c r="Q374" s="18">
        <v>1.52</v>
      </c>
      <c r="R374" s="36"/>
      <c r="S374" s="36"/>
      <c r="T374" s="18">
        <v>0.08</v>
      </c>
      <c r="U374" s="20" t="s">
        <v>6063</v>
      </c>
    </row>
    <row r="375">
      <c r="A375" s="50">
        <v>359.0</v>
      </c>
      <c r="B375" s="13" t="s">
        <v>6064</v>
      </c>
      <c r="C375" s="11" t="s">
        <v>6065</v>
      </c>
      <c r="D375" s="12" t="s">
        <v>31</v>
      </c>
      <c r="E375" s="13" t="s">
        <v>6066</v>
      </c>
      <c r="F375" s="12">
        <v>26.0</v>
      </c>
      <c r="G375" s="12">
        <v>1999.0</v>
      </c>
      <c r="H375" s="15">
        <v>11.3</v>
      </c>
      <c r="I375" s="17">
        <v>0.18</v>
      </c>
      <c r="J375" s="19">
        <v>0.0</v>
      </c>
      <c r="K375" s="19">
        <v>0.0</v>
      </c>
      <c r="L375" s="18">
        <v>1.5</v>
      </c>
      <c r="M375" s="18">
        <v>1.06</v>
      </c>
      <c r="N375" s="19">
        <v>0.0</v>
      </c>
      <c r="O375" s="18">
        <v>1.95</v>
      </c>
      <c r="P375" s="18">
        <v>0.8</v>
      </c>
      <c r="Q375" s="18">
        <v>1.15</v>
      </c>
      <c r="R375" s="36"/>
      <c r="S375" s="36"/>
      <c r="T375" s="19">
        <v>0.0</v>
      </c>
      <c r="U375" s="20" t="s">
        <v>6067</v>
      </c>
    </row>
    <row r="376">
      <c r="A376" s="50">
        <v>360.0</v>
      </c>
      <c r="B376" s="13" t="s">
        <v>6068</v>
      </c>
      <c r="C376" s="11" t="s">
        <v>6069</v>
      </c>
      <c r="D376" s="12" t="s">
        <v>31</v>
      </c>
      <c r="E376" s="13" t="s">
        <v>6070</v>
      </c>
      <c r="F376" s="12">
        <v>17.0</v>
      </c>
      <c r="G376" s="12">
        <v>2007.0</v>
      </c>
      <c r="H376" s="15">
        <v>0.3</v>
      </c>
      <c r="I376" s="22">
        <v>0.0</v>
      </c>
      <c r="J376" s="19">
        <v>0.0</v>
      </c>
      <c r="K376" s="19">
        <v>0.0</v>
      </c>
      <c r="L376" s="18">
        <v>3.33</v>
      </c>
      <c r="M376" s="19">
        <v>0.0</v>
      </c>
      <c r="N376" s="19">
        <v>0.0</v>
      </c>
      <c r="O376" s="19">
        <v>0.0</v>
      </c>
      <c r="P376" s="19">
        <v>0.0</v>
      </c>
      <c r="Q376" s="19">
        <v>0.0</v>
      </c>
      <c r="R376" s="36"/>
      <c r="S376" s="36"/>
      <c r="T376" s="19">
        <v>0.0</v>
      </c>
      <c r="U376" s="20" t="s">
        <v>6071</v>
      </c>
    </row>
    <row r="377">
      <c r="A377" s="50">
        <v>361.0</v>
      </c>
      <c r="B377" s="13" t="s">
        <v>6072</v>
      </c>
      <c r="C377" s="11" t="s">
        <v>6073</v>
      </c>
      <c r="D377" s="12" t="s">
        <v>36</v>
      </c>
      <c r="E377" s="13" t="s">
        <v>6074</v>
      </c>
      <c r="F377" s="12">
        <v>27.0</v>
      </c>
      <c r="G377" s="12">
        <v>1997.0</v>
      </c>
      <c r="H377" s="15">
        <v>30.9</v>
      </c>
      <c r="I377" s="17">
        <v>0.16</v>
      </c>
      <c r="J377" s="19">
        <v>0.0</v>
      </c>
      <c r="K377" s="19">
        <v>0.0</v>
      </c>
      <c r="L377" s="18">
        <v>1.13</v>
      </c>
      <c r="M377" s="18">
        <v>0.84</v>
      </c>
      <c r="N377" s="18">
        <v>0.1</v>
      </c>
      <c r="O377" s="18">
        <v>2.75</v>
      </c>
      <c r="P377" s="18">
        <v>1.2</v>
      </c>
      <c r="Q377" s="18">
        <v>1.46</v>
      </c>
      <c r="R377" s="36"/>
      <c r="S377" s="36"/>
      <c r="T377" s="18">
        <v>0.03</v>
      </c>
      <c r="U377" s="20" t="s">
        <v>6075</v>
      </c>
    </row>
    <row r="378">
      <c r="A378" s="50">
        <v>362.0</v>
      </c>
      <c r="B378" s="13" t="s">
        <v>6076</v>
      </c>
      <c r="C378" s="11" t="s">
        <v>6077</v>
      </c>
      <c r="D378" s="12" t="s">
        <v>31</v>
      </c>
      <c r="E378" s="13" t="s">
        <v>6078</v>
      </c>
      <c r="F378" s="12">
        <v>22.0</v>
      </c>
      <c r="G378" s="12">
        <v>2003.0</v>
      </c>
      <c r="H378" s="15">
        <v>4.6</v>
      </c>
      <c r="I378" s="17">
        <v>0.22</v>
      </c>
      <c r="J378" s="19">
        <v>0.0</v>
      </c>
      <c r="K378" s="19">
        <v>0.0</v>
      </c>
      <c r="L378" s="18">
        <v>1.52</v>
      </c>
      <c r="M378" s="18">
        <v>1.74</v>
      </c>
      <c r="N378" s="19">
        <v>0.0</v>
      </c>
      <c r="O378" s="18">
        <v>2.39</v>
      </c>
      <c r="P378" s="18">
        <v>0.22</v>
      </c>
      <c r="Q378" s="18">
        <v>0.87</v>
      </c>
      <c r="R378" s="36"/>
      <c r="S378" s="36"/>
      <c r="T378" s="19">
        <v>0.0</v>
      </c>
      <c r="U378" s="20" t="s">
        <v>6079</v>
      </c>
    </row>
    <row r="379">
      <c r="A379" s="50">
        <v>363.0</v>
      </c>
      <c r="B379" s="13" t="s">
        <v>6080</v>
      </c>
      <c r="C379" s="11" t="s">
        <v>6081</v>
      </c>
      <c r="D379" s="12" t="s">
        <v>26</v>
      </c>
      <c r="E379" s="13" t="s">
        <v>6082</v>
      </c>
      <c r="F379" s="12">
        <v>29.0</v>
      </c>
      <c r="G379" s="12">
        <v>1996.0</v>
      </c>
      <c r="H379" s="15">
        <v>9.7</v>
      </c>
      <c r="I379" s="17">
        <v>0.21</v>
      </c>
      <c r="J379" s="19">
        <v>0.0</v>
      </c>
      <c r="K379" s="19">
        <v>0.0</v>
      </c>
      <c r="L379" s="18">
        <v>1.96</v>
      </c>
      <c r="M379" s="18">
        <v>1.03</v>
      </c>
      <c r="N379" s="18">
        <v>0.41</v>
      </c>
      <c r="O379" s="18">
        <v>1.44</v>
      </c>
      <c r="P379" s="18">
        <v>0.52</v>
      </c>
      <c r="Q379" s="18">
        <v>1.34</v>
      </c>
      <c r="R379" s="36"/>
      <c r="S379" s="36"/>
      <c r="T379" s="19">
        <v>0.0</v>
      </c>
      <c r="U379" s="20" t="s">
        <v>6083</v>
      </c>
    </row>
    <row r="380">
      <c r="A380" s="50">
        <v>364.0</v>
      </c>
      <c r="B380" s="13" t="s">
        <v>6084</v>
      </c>
      <c r="C380" s="11" t="s">
        <v>6085</v>
      </c>
      <c r="D380" s="12" t="s">
        <v>41</v>
      </c>
      <c r="E380" s="13" t="s">
        <v>6086</v>
      </c>
      <c r="F380" s="12">
        <v>24.0</v>
      </c>
      <c r="G380" s="12">
        <v>2001.0</v>
      </c>
      <c r="H380" s="15">
        <v>11.1</v>
      </c>
      <c r="I380" s="17">
        <v>0.18</v>
      </c>
      <c r="J380" s="19">
        <v>0.0</v>
      </c>
      <c r="K380" s="19">
        <v>0.0</v>
      </c>
      <c r="L380" s="18">
        <v>1.89</v>
      </c>
      <c r="M380" s="18">
        <v>1.62</v>
      </c>
      <c r="N380" s="18">
        <v>0.45</v>
      </c>
      <c r="O380" s="18">
        <v>0.18</v>
      </c>
      <c r="P380" s="18">
        <v>0.18</v>
      </c>
      <c r="Q380" s="18">
        <v>0.27</v>
      </c>
      <c r="R380" s="36"/>
      <c r="S380" s="36"/>
      <c r="T380" s="18">
        <v>0.09</v>
      </c>
      <c r="U380" s="20" t="s">
        <v>6087</v>
      </c>
    </row>
    <row r="381">
      <c r="A381" s="50">
        <v>365.0</v>
      </c>
      <c r="B381" s="13" t="s">
        <v>6088</v>
      </c>
      <c r="C381" s="11" t="s">
        <v>6089</v>
      </c>
      <c r="D381" s="12" t="s">
        <v>31</v>
      </c>
      <c r="E381" s="13" t="s">
        <v>6090</v>
      </c>
      <c r="F381" s="12">
        <v>29.0</v>
      </c>
      <c r="G381" s="12">
        <v>1996.0</v>
      </c>
      <c r="H381" s="15">
        <v>26.7</v>
      </c>
      <c r="I381" s="17">
        <v>0.26</v>
      </c>
      <c r="J381" s="19">
        <v>0.0</v>
      </c>
      <c r="K381" s="19">
        <v>0.0</v>
      </c>
      <c r="L381" s="18">
        <v>1.27</v>
      </c>
      <c r="M381" s="18">
        <v>0.67</v>
      </c>
      <c r="N381" s="18">
        <v>0.3</v>
      </c>
      <c r="O381" s="18">
        <v>2.32</v>
      </c>
      <c r="P381" s="18">
        <v>0.9</v>
      </c>
      <c r="Q381" s="18">
        <v>1.8</v>
      </c>
      <c r="R381" s="36"/>
      <c r="S381" s="36"/>
      <c r="T381" s="19">
        <v>0.0</v>
      </c>
      <c r="U381" s="20" t="s">
        <v>6091</v>
      </c>
    </row>
    <row r="382">
      <c r="A382" s="50">
        <v>366.0</v>
      </c>
      <c r="B382" s="13" t="s">
        <v>6092</v>
      </c>
      <c r="C382" s="11" t="s">
        <v>6093</v>
      </c>
      <c r="D382" s="12" t="s">
        <v>36</v>
      </c>
      <c r="E382" s="13" t="s">
        <v>6094</v>
      </c>
      <c r="F382" s="12">
        <v>23.0</v>
      </c>
      <c r="G382" s="12">
        <v>2002.0</v>
      </c>
      <c r="H382" s="15">
        <v>23.7</v>
      </c>
      <c r="I382" s="17">
        <v>0.21</v>
      </c>
      <c r="J382" s="19">
        <v>0.0</v>
      </c>
      <c r="K382" s="19">
        <v>0.0</v>
      </c>
      <c r="L382" s="18">
        <v>0.97</v>
      </c>
      <c r="M382" s="18">
        <v>0.3</v>
      </c>
      <c r="N382" s="19">
        <v>0.0</v>
      </c>
      <c r="O382" s="18">
        <v>0.08</v>
      </c>
      <c r="P382" s="18">
        <v>1.22</v>
      </c>
      <c r="Q382" s="18">
        <v>0.97</v>
      </c>
      <c r="R382" s="36"/>
      <c r="S382" s="36"/>
      <c r="T382" s="18">
        <v>0.08</v>
      </c>
      <c r="U382" s="20" t="s">
        <v>6095</v>
      </c>
    </row>
    <row r="383">
      <c r="A383" s="50">
        <v>367.0</v>
      </c>
      <c r="B383" s="13" t="s">
        <v>6096</v>
      </c>
      <c r="C383" s="11" t="s">
        <v>6097</v>
      </c>
      <c r="D383" s="12" t="s">
        <v>36</v>
      </c>
      <c r="E383" s="13" t="s">
        <v>6098</v>
      </c>
      <c r="F383" s="12">
        <v>21.0</v>
      </c>
      <c r="G383" s="12">
        <v>2004.0</v>
      </c>
      <c r="H383" s="15">
        <v>0.1</v>
      </c>
      <c r="I383" s="22">
        <v>0.0</v>
      </c>
      <c r="J383" s="19">
        <v>0.0</v>
      </c>
      <c r="K383" s="19">
        <v>0.0</v>
      </c>
      <c r="L383" s="19">
        <v>0.0</v>
      </c>
      <c r="M383" s="19">
        <v>0.0</v>
      </c>
      <c r="N383" s="19">
        <v>0.0</v>
      </c>
      <c r="O383" s="19">
        <v>0.0</v>
      </c>
      <c r="P383" s="18">
        <v>10.0</v>
      </c>
      <c r="Q383" s="19">
        <v>0.0</v>
      </c>
      <c r="R383" s="36"/>
      <c r="S383" s="36"/>
      <c r="T383" s="19">
        <v>0.0</v>
      </c>
      <c r="U383" s="20" t="s">
        <v>6099</v>
      </c>
    </row>
    <row r="384">
      <c r="A384" s="50">
        <v>368.0</v>
      </c>
      <c r="B384" s="13" t="s">
        <v>6100</v>
      </c>
      <c r="C384" s="11" t="s">
        <v>6101</v>
      </c>
      <c r="D384" s="12" t="s">
        <v>107</v>
      </c>
      <c r="E384" s="13" t="s">
        <v>6102</v>
      </c>
      <c r="F384" s="12">
        <v>30.0</v>
      </c>
      <c r="G384" s="12">
        <v>1995.0</v>
      </c>
      <c r="H384" s="15">
        <v>18.0</v>
      </c>
      <c r="I384" s="17">
        <v>0.11</v>
      </c>
      <c r="J384" s="19">
        <v>0.0</v>
      </c>
      <c r="K384" s="19">
        <v>0.0</v>
      </c>
      <c r="L384" s="18">
        <v>0.5</v>
      </c>
      <c r="M384" s="18">
        <v>0.72</v>
      </c>
      <c r="N384" s="18">
        <v>0.28</v>
      </c>
      <c r="O384" s="18">
        <v>6.94</v>
      </c>
      <c r="P384" s="18">
        <v>0.33</v>
      </c>
      <c r="Q384" s="18">
        <v>0.67</v>
      </c>
      <c r="R384" s="36"/>
      <c r="S384" s="36"/>
      <c r="T384" s="19">
        <v>0.0</v>
      </c>
      <c r="U384" s="20" t="s">
        <v>6103</v>
      </c>
    </row>
    <row r="385">
      <c r="A385" s="50">
        <v>369.0</v>
      </c>
      <c r="B385" s="13" t="s">
        <v>6104</v>
      </c>
      <c r="C385" s="11" t="s">
        <v>6105</v>
      </c>
      <c r="D385" s="12" t="s">
        <v>36</v>
      </c>
      <c r="E385" s="13" t="s">
        <v>6106</v>
      </c>
      <c r="F385" s="12">
        <v>26.0</v>
      </c>
      <c r="G385" s="12">
        <v>1999.0</v>
      </c>
      <c r="H385" s="15">
        <v>32.9</v>
      </c>
      <c r="I385" s="17">
        <v>0.18</v>
      </c>
      <c r="J385" s="19">
        <v>0.0</v>
      </c>
      <c r="K385" s="19">
        <v>0.0</v>
      </c>
      <c r="L385" s="18">
        <v>0.88</v>
      </c>
      <c r="M385" s="18">
        <v>0.85</v>
      </c>
      <c r="N385" s="19">
        <v>0.0</v>
      </c>
      <c r="O385" s="18">
        <v>2.83</v>
      </c>
      <c r="P385" s="18">
        <v>0.82</v>
      </c>
      <c r="Q385" s="18">
        <v>0.76</v>
      </c>
      <c r="R385" s="36"/>
      <c r="S385" s="36"/>
      <c r="T385" s="18">
        <v>0.03</v>
      </c>
      <c r="U385" s="20" t="s">
        <v>6107</v>
      </c>
    </row>
    <row r="386">
      <c r="A386" s="50">
        <v>370.0</v>
      </c>
      <c r="B386" s="13" t="s">
        <v>6108</v>
      </c>
      <c r="C386" s="11" t="s">
        <v>6109</v>
      </c>
      <c r="D386" s="12" t="s">
        <v>264</v>
      </c>
      <c r="E386" s="13" t="s">
        <v>6110</v>
      </c>
      <c r="F386" s="12">
        <v>23.0</v>
      </c>
      <c r="G386" s="12">
        <v>2002.0</v>
      </c>
      <c r="H386" s="15">
        <v>11.7</v>
      </c>
      <c r="I386" s="17">
        <v>0.09</v>
      </c>
      <c r="J386" s="19">
        <v>0.0</v>
      </c>
      <c r="K386" s="19">
        <v>0.0</v>
      </c>
      <c r="L386" s="18">
        <v>0.85</v>
      </c>
      <c r="M386" s="18">
        <v>0.34</v>
      </c>
      <c r="N386" s="19">
        <v>0.0</v>
      </c>
      <c r="O386" s="18">
        <v>2.74</v>
      </c>
      <c r="P386" s="18">
        <v>0.6</v>
      </c>
      <c r="Q386" s="18">
        <v>0.43</v>
      </c>
      <c r="R386" s="36"/>
      <c r="S386" s="36"/>
      <c r="T386" s="19">
        <v>0.0</v>
      </c>
      <c r="U386" s="20" t="s">
        <v>6111</v>
      </c>
    </row>
    <row r="387">
      <c r="A387" s="50">
        <v>371.0</v>
      </c>
      <c r="B387" s="13" t="s">
        <v>6112</v>
      </c>
      <c r="C387" s="11" t="s">
        <v>6113</v>
      </c>
      <c r="D387" s="12" t="s">
        <v>31</v>
      </c>
      <c r="E387" s="13" t="s">
        <v>6114</v>
      </c>
      <c r="F387" s="12">
        <v>25.0</v>
      </c>
      <c r="G387" s="12">
        <v>2000.0</v>
      </c>
      <c r="H387" s="15">
        <v>30.9</v>
      </c>
      <c r="I387" s="17">
        <v>0.06</v>
      </c>
      <c r="J387" s="19">
        <v>0.0</v>
      </c>
      <c r="K387" s="19">
        <v>0.0</v>
      </c>
      <c r="L387" s="18">
        <v>0.97</v>
      </c>
      <c r="M387" s="18">
        <v>1.2</v>
      </c>
      <c r="N387" s="18">
        <v>0.39</v>
      </c>
      <c r="O387" s="18">
        <v>1.78</v>
      </c>
      <c r="P387" s="18">
        <v>0.55</v>
      </c>
      <c r="Q387" s="18">
        <v>1.29</v>
      </c>
      <c r="R387" s="36"/>
      <c r="S387" s="36"/>
      <c r="T387" s="19">
        <v>0.0</v>
      </c>
      <c r="U387" s="20" t="s">
        <v>6115</v>
      </c>
    </row>
    <row r="388">
      <c r="A388" s="50">
        <v>372.0</v>
      </c>
      <c r="B388" s="13" t="s">
        <v>6116</v>
      </c>
      <c r="C388" s="11" t="s">
        <v>6117</v>
      </c>
      <c r="D388" s="12" t="s">
        <v>31</v>
      </c>
      <c r="E388" s="13" t="s">
        <v>6118</v>
      </c>
      <c r="F388" s="12">
        <v>24.0</v>
      </c>
      <c r="G388" s="12">
        <v>2000.0</v>
      </c>
      <c r="H388" s="15">
        <v>13.0</v>
      </c>
      <c r="I388" s="17">
        <v>0.08</v>
      </c>
      <c r="J388" s="19">
        <v>0.0</v>
      </c>
      <c r="K388" s="19">
        <v>0.0</v>
      </c>
      <c r="L388" s="18">
        <v>1.23</v>
      </c>
      <c r="M388" s="18">
        <v>1.69</v>
      </c>
      <c r="N388" s="18">
        <v>0.69</v>
      </c>
      <c r="O388" s="18">
        <v>3.15</v>
      </c>
      <c r="P388" s="18">
        <v>0.77</v>
      </c>
      <c r="Q388" s="18">
        <v>0.85</v>
      </c>
      <c r="R388" s="36"/>
      <c r="S388" s="36"/>
      <c r="T388" s="19">
        <v>0.0</v>
      </c>
      <c r="U388" s="20" t="s">
        <v>6119</v>
      </c>
    </row>
    <row r="389">
      <c r="A389" s="50">
        <v>373.0</v>
      </c>
      <c r="B389" s="13" t="s">
        <v>6120</v>
      </c>
      <c r="C389" s="11" t="s">
        <v>6121</v>
      </c>
      <c r="D389" s="12" t="s">
        <v>41</v>
      </c>
      <c r="E389" s="13" t="s">
        <v>6122</v>
      </c>
      <c r="F389" s="12">
        <v>18.0</v>
      </c>
      <c r="G389" s="12">
        <v>2007.0</v>
      </c>
      <c r="H389" s="15">
        <v>0.2</v>
      </c>
      <c r="I389" s="22">
        <v>0.0</v>
      </c>
      <c r="J389" s="19">
        <v>0.0</v>
      </c>
      <c r="K389" s="19">
        <v>0.0</v>
      </c>
      <c r="L389" s="19">
        <v>0.0</v>
      </c>
      <c r="M389" s="19">
        <v>0.0</v>
      </c>
      <c r="N389" s="19">
        <v>0.0</v>
      </c>
      <c r="O389" s="19">
        <v>0.0</v>
      </c>
      <c r="P389" s="19">
        <v>0.0</v>
      </c>
      <c r="Q389" s="19">
        <v>0.0</v>
      </c>
      <c r="R389" s="36"/>
      <c r="S389" s="36"/>
      <c r="T389" s="19">
        <v>0.0</v>
      </c>
      <c r="U389" s="20" t="s">
        <v>6123</v>
      </c>
    </row>
    <row r="390">
      <c r="A390" s="50">
        <v>374.0</v>
      </c>
      <c r="B390" s="13" t="s">
        <v>6124</v>
      </c>
      <c r="C390" s="11" t="s">
        <v>6125</v>
      </c>
      <c r="D390" s="12" t="s">
        <v>31</v>
      </c>
      <c r="E390" s="13" t="s">
        <v>6126</v>
      </c>
      <c r="F390" s="12">
        <v>23.0</v>
      </c>
      <c r="G390" s="12">
        <v>2001.0</v>
      </c>
      <c r="H390" s="15">
        <v>0.2</v>
      </c>
      <c r="I390" s="22">
        <v>0.0</v>
      </c>
      <c r="J390" s="19">
        <v>0.0</v>
      </c>
      <c r="K390" s="19">
        <v>0.0</v>
      </c>
      <c r="L390" s="19">
        <v>0.0</v>
      </c>
      <c r="M390" s="18">
        <v>5.0</v>
      </c>
      <c r="N390" s="19">
        <v>0.0</v>
      </c>
      <c r="O390" s="19">
        <v>0.0</v>
      </c>
      <c r="P390" s="18">
        <v>5.0</v>
      </c>
      <c r="Q390" s="19">
        <v>0.0</v>
      </c>
      <c r="R390" s="36"/>
      <c r="S390" s="36"/>
      <c r="T390" s="19">
        <v>0.0</v>
      </c>
      <c r="U390" s="20" t="s">
        <v>6127</v>
      </c>
    </row>
    <row r="391">
      <c r="A391" s="50">
        <v>375.0</v>
      </c>
      <c r="B391" s="13" t="s">
        <v>6128</v>
      </c>
      <c r="C391" s="11" t="s">
        <v>6129</v>
      </c>
      <c r="D391" s="12" t="s">
        <v>107</v>
      </c>
      <c r="E391" s="13" t="s">
        <v>6130</v>
      </c>
      <c r="F391" s="12">
        <v>25.0</v>
      </c>
      <c r="G391" s="12">
        <v>1999.0</v>
      </c>
      <c r="H391" s="15">
        <v>1.4</v>
      </c>
      <c r="I391" s="22">
        <v>0.0</v>
      </c>
      <c r="J391" s="19">
        <v>0.0</v>
      </c>
      <c r="K391" s="19">
        <v>0.0</v>
      </c>
      <c r="L391" s="19">
        <v>0.0</v>
      </c>
      <c r="M391" s="18">
        <v>1.43</v>
      </c>
      <c r="N391" s="19">
        <v>0.0</v>
      </c>
      <c r="O391" s="18">
        <v>1.43</v>
      </c>
      <c r="P391" s="19">
        <v>0.0</v>
      </c>
      <c r="Q391" s="18">
        <v>2.14</v>
      </c>
      <c r="R391" s="36"/>
      <c r="S391" s="36"/>
      <c r="T391" s="19">
        <v>0.0</v>
      </c>
      <c r="U391" s="20" t="s">
        <v>6131</v>
      </c>
    </row>
    <row r="392">
      <c r="A392" s="37" t="s">
        <v>3</v>
      </c>
      <c r="B392" s="51" t="s">
        <v>4</v>
      </c>
      <c r="C392" s="39" t="s">
        <v>5</v>
      </c>
      <c r="D392" s="39" t="s">
        <v>6</v>
      </c>
      <c r="E392" s="39" t="s">
        <v>7</v>
      </c>
      <c r="F392" s="39" t="s">
        <v>8</v>
      </c>
      <c r="G392" s="39" t="s">
        <v>9</v>
      </c>
      <c r="H392" s="39" t="s">
        <v>13</v>
      </c>
      <c r="I392" s="40" t="s">
        <v>20</v>
      </c>
      <c r="J392" s="39" t="s">
        <v>21</v>
      </c>
      <c r="K392" s="39" t="s">
        <v>4622</v>
      </c>
      <c r="L392" s="39" t="s">
        <v>4623</v>
      </c>
      <c r="M392" s="39" t="s">
        <v>4624</v>
      </c>
      <c r="N392" s="39" t="s">
        <v>4625</v>
      </c>
      <c r="O392" s="39" t="s">
        <v>4626</v>
      </c>
      <c r="P392" s="39" t="s">
        <v>4627</v>
      </c>
      <c r="Q392" s="39" t="s">
        <v>4628</v>
      </c>
      <c r="R392" s="39" t="s">
        <v>4629</v>
      </c>
      <c r="S392" s="39" t="s">
        <v>4630</v>
      </c>
      <c r="T392" s="39" t="s">
        <v>4631</v>
      </c>
      <c r="U392" s="40" t="s">
        <v>23</v>
      </c>
    </row>
    <row r="393">
      <c r="A393" s="50">
        <v>376.0</v>
      </c>
      <c r="B393" s="13" t="s">
        <v>6132</v>
      </c>
      <c r="C393" s="11" t="s">
        <v>6133</v>
      </c>
      <c r="D393" s="12" t="s">
        <v>26</v>
      </c>
      <c r="E393" s="13" t="s">
        <v>6134</v>
      </c>
      <c r="F393" s="12">
        <v>25.0</v>
      </c>
      <c r="G393" s="12">
        <v>2000.0</v>
      </c>
      <c r="H393" s="15">
        <v>29.2</v>
      </c>
      <c r="I393" s="17">
        <v>0.14</v>
      </c>
      <c r="J393" s="18">
        <v>0.03</v>
      </c>
      <c r="K393" s="18">
        <v>0.03</v>
      </c>
      <c r="L393" s="18">
        <v>0.58</v>
      </c>
      <c r="M393" s="18">
        <v>0.86</v>
      </c>
      <c r="N393" s="18">
        <v>0.21</v>
      </c>
      <c r="O393" s="18">
        <v>6.3</v>
      </c>
      <c r="P393" s="18">
        <v>0.21</v>
      </c>
      <c r="Q393" s="18">
        <v>0.38</v>
      </c>
      <c r="R393" s="36"/>
      <c r="S393" s="36"/>
      <c r="T393" s="19">
        <v>0.0</v>
      </c>
      <c r="U393" s="20" t="s">
        <v>6135</v>
      </c>
    </row>
    <row r="394">
      <c r="A394" s="50">
        <v>377.0</v>
      </c>
      <c r="B394" s="13" t="s">
        <v>6136</v>
      </c>
      <c r="C394" s="11" t="s">
        <v>6137</v>
      </c>
      <c r="D394" s="12" t="s">
        <v>345</v>
      </c>
      <c r="E394" s="13" t="s">
        <v>6138</v>
      </c>
      <c r="F394" s="12">
        <v>22.0</v>
      </c>
      <c r="G394" s="12">
        <v>2003.0</v>
      </c>
      <c r="H394" s="15">
        <v>4.0</v>
      </c>
      <c r="I394" s="22">
        <v>0.0</v>
      </c>
      <c r="J394" s="19">
        <v>0.0</v>
      </c>
      <c r="K394" s="19">
        <v>0.0</v>
      </c>
      <c r="L394" s="18">
        <v>1.25</v>
      </c>
      <c r="M394" s="18">
        <v>0.5</v>
      </c>
      <c r="N394" s="19">
        <v>0.0</v>
      </c>
      <c r="O394" s="18">
        <v>0.5</v>
      </c>
      <c r="P394" s="18">
        <v>0.25</v>
      </c>
      <c r="Q394" s="18">
        <v>2.0</v>
      </c>
      <c r="R394" s="36"/>
      <c r="S394" s="36"/>
      <c r="T394" s="19">
        <v>0.0</v>
      </c>
      <c r="U394" s="20" t="s">
        <v>6139</v>
      </c>
    </row>
    <row r="395">
      <c r="A395" s="50">
        <v>378.0</v>
      </c>
      <c r="B395" s="13" t="s">
        <v>6140</v>
      </c>
      <c r="C395" s="11" t="s">
        <v>6141</v>
      </c>
      <c r="D395" s="12" t="s">
        <v>31</v>
      </c>
      <c r="E395" s="13" t="s">
        <v>6142</v>
      </c>
      <c r="F395" s="12">
        <v>16.0</v>
      </c>
      <c r="G395" s="12">
        <v>2008.0</v>
      </c>
      <c r="H395" s="15">
        <v>6.2</v>
      </c>
      <c r="I395" s="22">
        <v>0.0</v>
      </c>
      <c r="J395" s="19">
        <v>0.0</v>
      </c>
      <c r="K395" s="19">
        <v>0.0</v>
      </c>
      <c r="L395" s="18">
        <v>0.65</v>
      </c>
      <c r="M395" s="18">
        <v>1.94</v>
      </c>
      <c r="N395" s="19">
        <v>0.0</v>
      </c>
      <c r="O395" s="18">
        <v>3.55</v>
      </c>
      <c r="P395" s="18">
        <v>0.48</v>
      </c>
      <c r="Q395" s="18">
        <v>0.32</v>
      </c>
      <c r="R395" s="36"/>
      <c r="S395" s="36"/>
      <c r="T395" s="19">
        <v>0.0</v>
      </c>
      <c r="U395" s="20" t="s">
        <v>6143</v>
      </c>
    </row>
    <row r="396">
      <c r="A396" s="50">
        <v>379.0</v>
      </c>
      <c r="B396" s="13" t="s">
        <v>6144</v>
      </c>
      <c r="C396" s="11" t="s">
        <v>6145</v>
      </c>
      <c r="D396" s="12" t="s">
        <v>31</v>
      </c>
      <c r="E396" s="13" t="s">
        <v>6146</v>
      </c>
      <c r="F396" s="12">
        <v>26.0</v>
      </c>
      <c r="G396" s="12">
        <v>1999.0</v>
      </c>
      <c r="H396" s="15">
        <v>4.7</v>
      </c>
      <c r="I396" s="17">
        <v>0.43</v>
      </c>
      <c r="J396" s="19">
        <v>0.0</v>
      </c>
      <c r="K396" s="19">
        <v>0.0</v>
      </c>
      <c r="L396" s="18">
        <v>1.49</v>
      </c>
      <c r="M396" s="18">
        <v>1.49</v>
      </c>
      <c r="N396" s="18">
        <v>0.64</v>
      </c>
      <c r="O396" s="19">
        <v>0.0</v>
      </c>
      <c r="P396" s="18">
        <v>0.43</v>
      </c>
      <c r="Q396" s="18">
        <v>1.28</v>
      </c>
      <c r="R396" s="36"/>
      <c r="S396" s="36"/>
      <c r="T396" s="19">
        <v>0.0</v>
      </c>
      <c r="U396" s="20" t="s">
        <v>6147</v>
      </c>
    </row>
    <row r="397">
      <c r="A397" s="50">
        <v>380.0</v>
      </c>
      <c r="B397" s="13" t="s">
        <v>6148</v>
      </c>
      <c r="C397" s="11" t="s">
        <v>6149</v>
      </c>
      <c r="D397" s="12" t="s">
        <v>41</v>
      </c>
      <c r="E397" s="13" t="s">
        <v>6150</v>
      </c>
      <c r="F397" s="12">
        <v>26.0</v>
      </c>
      <c r="G397" s="12">
        <v>1998.0</v>
      </c>
      <c r="H397" s="15">
        <v>12.0</v>
      </c>
      <c r="I397" s="22">
        <v>0.0</v>
      </c>
      <c r="J397" s="19">
        <v>0.0</v>
      </c>
      <c r="K397" s="19">
        <v>0.0</v>
      </c>
      <c r="L397" s="18">
        <v>1.5</v>
      </c>
      <c r="M397" s="18">
        <v>1.5</v>
      </c>
      <c r="N397" s="18">
        <v>0.25</v>
      </c>
      <c r="O397" s="18">
        <v>0.83</v>
      </c>
      <c r="P397" s="18">
        <v>0.25</v>
      </c>
      <c r="Q397" s="18">
        <v>0.58</v>
      </c>
      <c r="R397" s="36"/>
      <c r="S397" s="36"/>
      <c r="T397" s="19">
        <v>0.0</v>
      </c>
      <c r="U397" s="20" t="s">
        <v>6151</v>
      </c>
    </row>
    <row r="398">
      <c r="A398" s="50">
        <v>381.0</v>
      </c>
      <c r="B398" s="13" t="s">
        <v>6152</v>
      </c>
      <c r="C398" s="11" t="s">
        <v>6153</v>
      </c>
      <c r="D398" s="12" t="s">
        <v>36</v>
      </c>
      <c r="E398" s="13" t="s">
        <v>6154</v>
      </c>
      <c r="F398" s="12">
        <v>26.0</v>
      </c>
      <c r="G398" s="12">
        <v>1998.0</v>
      </c>
      <c r="H398" s="15">
        <v>31.8</v>
      </c>
      <c r="I398" s="17">
        <v>0.16</v>
      </c>
      <c r="J398" s="19">
        <v>0.0</v>
      </c>
      <c r="K398" s="19">
        <v>0.0</v>
      </c>
      <c r="L398" s="18">
        <v>0.53</v>
      </c>
      <c r="M398" s="18">
        <v>0.94</v>
      </c>
      <c r="N398" s="18">
        <v>0.13</v>
      </c>
      <c r="O398" s="18">
        <v>2.11</v>
      </c>
      <c r="P398" s="18">
        <v>0.91</v>
      </c>
      <c r="Q398" s="18">
        <v>1.29</v>
      </c>
      <c r="R398" s="36"/>
      <c r="S398" s="36"/>
      <c r="T398" s="19">
        <v>0.0</v>
      </c>
      <c r="U398" s="20" t="s">
        <v>6155</v>
      </c>
    </row>
    <row r="399">
      <c r="A399" s="50">
        <v>382.0</v>
      </c>
      <c r="B399" s="13" t="s">
        <v>6156</v>
      </c>
      <c r="C399" s="11" t="s">
        <v>6157</v>
      </c>
      <c r="D399" s="12" t="s">
        <v>31</v>
      </c>
      <c r="E399" s="13" t="s">
        <v>6158</v>
      </c>
      <c r="F399" s="12">
        <v>18.0</v>
      </c>
      <c r="G399" s="12">
        <v>2007.0</v>
      </c>
      <c r="H399" s="15">
        <v>1.9</v>
      </c>
      <c r="I399" s="22">
        <v>0.0</v>
      </c>
      <c r="J399" s="19">
        <v>0.0</v>
      </c>
      <c r="K399" s="19">
        <v>0.0</v>
      </c>
      <c r="L399" s="18">
        <v>1.05</v>
      </c>
      <c r="M399" s="19">
        <v>0.0</v>
      </c>
      <c r="N399" s="19">
        <v>0.0</v>
      </c>
      <c r="O399" s="18">
        <v>1.05</v>
      </c>
      <c r="P399" s="19">
        <v>0.0</v>
      </c>
      <c r="Q399" s="19">
        <v>0.0</v>
      </c>
      <c r="R399" s="36"/>
      <c r="S399" s="36"/>
      <c r="T399" s="19">
        <v>0.0</v>
      </c>
      <c r="U399" s="20" t="s">
        <v>6159</v>
      </c>
    </row>
    <row r="400">
      <c r="A400" s="50">
        <v>383.0</v>
      </c>
      <c r="B400" s="13" t="s">
        <v>6160</v>
      </c>
      <c r="C400" s="11" t="s">
        <v>6161</v>
      </c>
      <c r="D400" s="12" t="s">
        <v>31</v>
      </c>
      <c r="E400" s="13" t="s">
        <v>6162</v>
      </c>
      <c r="F400" s="12">
        <v>18.0</v>
      </c>
      <c r="G400" s="12">
        <v>2007.0</v>
      </c>
      <c r="H400" s="15">
        <v>0.3</v>
      </c>
      <c r="I400" s="22">
        <v>0.0</v>
      </c>
      <c r="J400" s="19">
        <v>0.0</v>
      </c>
      <c r="K400" s="19">
        <v>0.0</v>
      </c>
      <c r="L400" s="18">
        <v>3.33</v>
      </c>
      <c r="M400" s="19">
        <v>0.0</v>
      </c>
      <c r="N400" s="18">
        <v>3.33</v>
      </c>
      <c r="O400" s="19">
        <v>0.0</v>
      </c>
      <c r="P400" s="19">
        <v>0.0</v>
      </c>
      <c r="Q400" s="19">
        <v>0.0</v>
      </c>
      <c r="R400" s="36"/>
      <c r="S400" s="36"/>
      <c r="T400" s="19">
        <v>0.0</v>
      </c>
      <c r="U400" s="20" t="s">
        <v>6163</v>
      </c>
    </row>
    <row r="401">
      <c r="A401" s="50">
        <v>384.0</v>
      </c>
      <c r="B401" s="13" t="s">
        <v>6164</v>
      </c>
      <c r="C401" s="11" t="s">
        <v>6165</v>
      </c>
      <c r="D401" s="12" t="s">
        <v>31</v>
      </c>
      <c r="E401" s="13" t="s">
        <v>6166</v>
      </c>
      <c r="F401" s="12">
        <v>31.0</v>
      </c>
      <c r="G401" s="12">
        <v>1994.0</v>
      </c>
      <c r="H401" s="15">
        <v>1.2</v>
      </c>
      <c r="I401" s="22">
        <v>0.0</v>
      </c>
      <c r="J401" s="19">
        <v>0.0</v>
      </c>
      <c r="K401" s="19">
        <v>0.0</v>
      </c>
      <c r="L401" s="18">
        <v>2.5</v>
      </c>
      <c r="M401" s="19">
        <v>0.0</v>
      </c>
      <c r="N401" s="19">
        <v>0.0</v>
      </c>
      <c r="O401" s="18">
        <v>0.83</v>
      </c>
      <c r="P401" s="18">
        <v>0.83</v>
      </c>
      <c r="Q401" s="18">
        <v>1.67</v>
      </c>
      <c r="R401" s="36"/>
      <c r="S401" s="36"/>
      <c r="T401" s="19">
        <v>0.0</v>
      </c>
      <c r="U401" s="20" t="s">
        <v>6167</v>
      </c>
    </row>
    <row r="402">
      <c r="A402" s="50">
        <v>385.0</v>
      </c>
      <c r="B402" s="13" t="s">
        <v>6168</v>
      </c>
      <c r="C402" s="11" t="s">
        <v>6169</v>
      </c>
      <c r="D402" s="12" t="s">
        <v>36</v>
      </c>
      <c r="E402" s="13" t="s">
        <v>6170</v>
      </c>
      <c r="F402" s="12">
        <v>24.0</v>
      </c>
      <c r="G402" s="12">
        <v>2001.0</v>
      </c>
      <c r="H402" s="15">
        <v>34.7</v>
      </c>
      <c r="I402" s="17">
        <v>0.17</v>
      </c>
      <c r="J402" s="18">
        <v>0.03</v>
      </c>
      <c r="K402" s="19">
        <v>0.0</v>
      </c>
      <c r="L402" s="18">
        <v>0.66</v>
      </c>
      <c r="M402" s="18">
        <v>0.49</v>
      </c>
      <c r="N402" s="18">
        <v>0.12</v>
      </c>
      <c r="O402" s="18">
        <v>1.41</v>
      </c>
      <c r="P402" s="18">
        <v>0.37</v>
      </c>
      <c r="Q402" s="18">
        <v>0.92</v>
      </c>
      <c r="R402" s="36"/>
      <c r="S402" s="36"/>
      <c r="T402" s="19">
        <v>0.0</v>
      </c>
      <c r="U402" s="20" t="s">
        <v>6171</v>
      </c>
    </row>
    <row r="403">
      <c r="A403" s="50">
        <v>386.0</v>
      </c>
      <c r="B403" s="13" t="s">
        <v>6172</v>
      </c>
      <c r="C403" s="11" t="s">
        <v>6173</v>
      </c>
      <c r="D403" s="12" t="s">
        <v>36</v>
      </c>
      <c r="E403" s="13" t="s">
        <v>6174</v>
      </c>
      <c r="F403" s="12">
        <v>30.0</v>
      </c>
      <c r="G403" s="12">
        <v>1994.0</v>
      </c>
      <c r="H403" s="15">
        <v>6.3</v>
      </c>
      <c r="I403" s="17">
        <v>0.16</v>
      </c>
      <c r="J403" s="18">
        <v>0.16</v>
      </c>
      <c r="K403" s="19">
        <v>0.0</v>
      </c>
      <c r="L403" s="18">
        <v>1.11</v>
      </c>
      <c r="M403" s="18">
        <v>1.27</v>
      </c>
      <c r="N403" s="19">
        <v>0.0</v>
      </c>
      <c r="O403" s="18">
        <v>1.11</v>
      </c>
      <c r="P403" s="18">
        <v>0.95</v>
      </c>
      <c r="Q403" s="18">
        <v>0.95</v>
      </c>
      <c r="R403" s="36"/>
      <c r="S403" s="36"/>
      <c r="T403" s="19">
        <v>0.0</v>
      </c>
      <c r="U403" s="20" t="s">
        <v>6175</v>
      </c>
    </row>
    <row r="404">
      <c r="A404" s="50">
        <v>387.0</v>
      </c>
      <c r="B404" s="13" t="s">
        <v>6176</v>
      </c>
      <c r="C404" s="11" t="s">
        <v>6177</v>
      </c>
      <c r="D404" s="12" t="s">
        <v>31</v>
      </c>
      <c r="E404" s="13" t="s">
        <v>6178</v>
      </c>
      <c r="F404" s="12">
        <v>24.0</v>
      </c>
      <c r="G404" s="12">
        <v>2000.0</v>
      </c>
      <c r="H404" s="15">
        <v>2.3</v>
      </c>
      <c r="I404" s="22">
        <v>0.0</v>
      </c>
      <c r="J404" s="19">
        <v>0.0</v>
      </c>
      <c r="K404" s="19">
        <v>0.0</v>
      </c>
      <c r="L404" s="18">
        <v>0.87</v>
      </c>
      <c r="M404" s="18">
        <v>0.43</v>
      </c>
      <c r="N404" s="18">
        <v>0.43</v>
      </c>
      <c r="O404" s="18">
        <v>2.61</v>
      </c>
      <c r="P404" s="19">
        <v>0.0</v>
      </c>
      <c r="Q404" s="18">
        <v>0.87</v>
      </c>
      <c r="R404" s="36"/>
      <c r="S404" s="36"/>
      <c r="T404" s="19">
        <v>0.0</v>
      </c>
      <c r="U404" s="20" t="s">
        <v>6179</v>
      </c>
    </row>
    <row r="405">
      <c r="A405" s="50">
        <v>388.0</v>
      </c>
      <c r="B405" s="13" t="s">
        <v>6180</v>
      </c>
      <c r="C405" s="11" t="s">
        <v>6181</v>
      </c>
      <c r="D405" s="12" t="s">
        <v>26</v>
      </c>
      <c r="E405" s="13" t="s">
        <v>6182</v>
      </c>
      <c r="F405" s="12">
        <v>20.0</v>
      </c>
      <c r="G405" s="12">
        <v>2004.0</v>
      </c>
      <c r="H405" s="15">
        <v>10.9</v>
      </c>
      <c r="I405" s="22">
        <v>0.0</v>
      </c>
      <c r="J405" s="19">
        <v>0.0</v>
      </c>
      <c r="K405" s="19">
        <v>0.0</v>
      </c>
      <c r="L405" s="18">
        <v>0.18</v>
      </c>
      <c r="M405" s="18">
        <v>0.92</v>
      </c>
      <c r="N405" s="18">
        <v>0.18</v>
      </c>
      <c r="O405" s="18">
        <v>2.57</v>
      </c>
      <c r="P405" s="19">
        <v>0.0</v>
      </c>
      <c r="Q405" s="18">
        <v>0.73</v>
      </c>
      <c r="R405" s="36"/>
      <c r="S405" s="36"/>
      <c r="T405" s="19">
        <v>0.0</v>
      </c>
      <c r="U405" s="20" t="s">
        <v>6183</v>
      </c>
    </row>
    <row r="406">
      <c r="A406" s="50">
        <v>389.0</v>
      </c>
      <c r="B406" s="13" t="s">
        <v>6184</v>
      </c>
      <c r="C406" s="11" t="s">
        <v>6185</v>
      </c>
      <c r="D406" s="12" t="s">
        <v>107</v>
      </c>
      <c r="E406" s="13" t="s">
        <v>6186</v>
      </c>
      <c r="F406" s="12">
        <v>25.0</v>
      </c>
      <c r="G406" s="12">
        <v>2000.0</v>
      </c>
      <c r="H406" s="15">
        <v>17.3</v>
      </c>
      <c r="I406" s="17">
        <v>0.17</v>
      </c>
      <c r="J406" s="19">
        <v>0.0</v>
      </c>
      <c r="K406" s="19">
        <v>0.0</v>
      </c>
      <c r="L406" s="18">
        <v>1.04</v>
      </c>
      <c r="M406" s="18">
        <v>0.81</v>
      </c>
      <c r="N406" s="19">
        <v>0.0</v>
      </c>
      <c r="O406" s="18">
        <v>2.08</v>
      </c>
      <c r="P406" s="18">
        <v>0.69</v>
      </c>
      <c r="Q406" s="18">
        <v>0.87</v>
      </c>
      <c r="R406" s="36"/>
      <c r="S406" s="36"/>
      <c r="T406" s="19">
        <v>0.0</v>
      </c>
      <c r="U406" s="20" t="s">
        <v>6187</v>
      </c>
    </row>
    <row r="407">
      <c r="A407" s="50">
        <v>390.0</v>
      </c>
      <c r="B407" s="13" t="s">
        <v>6188</v>
      </c>
      <c r="C407" s="11" t="s">
        <v>6189</v>
      </c>
      <c r="D407" s="12" t="s">
        <v>31</v>
      </c>
      <c r="E407" s="13" t="s">
        <v>6190</v>
      </c>
      <c r="F407" s="12">
        <v>18.0</v>
      </c>
      <c r="G407" s="12">
        <v>2007.0</v>
      </c>
      <c r="H407" s="15">
        <v>0.2</v>
      </c>
      <c r="I407" s="22">
        <v>0.0</v>
      </c>
      <c r="J407" s="19">
        <v>0.0</v>
      </c>
      <c r="K407" s="19">
        <v>0.0</v>
      </c>
      <c r="L407" s="19">
        <v>0.0</v>
      </c>
      <c r="M407" s="19">
        <v>0.0</v>
      </c>
      <c r="N407" s="19">
        <v>0.0</v>
      </c>
      <c r="O407" s="19">
        <v>0.0</v>
      </c>
      <c r="P407" s="19">
        <v>0.0</v>
      </c>
      <c r="Q407" s="19">
        <v>0.0</v>
      </c>
      <c r="R407" s="36"/>
      <c r="S407" s="36"/>
      <c r="T407" s="19">
        <v>0.0</v>
      </c>
      <c r="U407" s="20" t="s">
        <v>6191</v>
      </c>
    </row>
    <row r="408">
      <c r="A408" s="50">
        <v>391.0</v>
      </c>
      <c r="B408" s="13" t="s">
        <v>6192</v>
      </c>
      <c r="C408" s="11" t="s">
        <v>6193</v>
      </c>
      <c r="D408" s="12" t="s">
        <v>31</v>
      </c>
      <c r="E408" s="13" t="s">
        <v>6194</v>
      </c>
      <c r="F408" s="12">
        <v>23.0</v>
      </c>
      <c r="G408" s="12">
        <v>2001.0</v>
      </c>
      <c r="H408" s="15">
        <v>19.5</v>
      </c>
      <c r="I408" s="17">
        <v>0.15</v>
      </c>
      <c r="J408" s="19">
        <v>0.0</v>
      </c>
      <c r="K408" s="19">
        <v>0.0</v>
      </c>
      <c r="L408" s="18">
        <v>1.03</v>
      </c>
      <c r="M408" s="18">
        <v>1.28</v>
      </c>
      <c r="N408" s="19">
        <v>0.0</v>
      </c>
      <c r="O408" s="19">
        <v>0.0</v>
      </c>
      <c r="P408" s="18">
        <v>0.97</v>
      </c>
      <c r="Q408" s="18">
        <v>1.54</v>
      </c>
      <c r="R408" s="36"/>
      <c r="S408" s="36"/>
      <c r="T408" s="19">
        <v>0.0</v>
      </c>
      <c r="U408" s="20" t="s">
        <v>6195</v>
      </c>
    </row>
    <row r="409">
      <c r="A409" s="50">
        <v>392.0</v>
      </c>
      <c r="B409" s="13" t="s">
        <v>6196</v>
      </c>
      <c r="C409" s="11" t="s">
        <v>6197</v>
      </c>
      <c r="D409" s="12" t="s">
        <v>31</v>
      </c>
      <c r="E409" s="13" t="s">
        <v>6198</v>
      </c>
      <c r="F409" s="12">
        <v>27.0</v>
      </c>
      <c r="G409" s="12">
        <v>1998.0</v>
      </c>
      <c r="H409" s="15">
        <v>1.0</v>
      </c>
      <c r="I409" s="22">
        <v>0.0</v>
      </c>
      <c r="J409" s="19">
        <v>0.0</v>
      </c>
      <c r="K409" s="19">
        <v>0.0</v>
      </c>
      <c r="L409" s="18">
        <v>3.0</v>
      </c>
      <c r="M409" s="18">
        <v>3.0</v>
      </c>
      <c r="N409" s="19">
        <v>0.0</v>
      </c>
      <c r="O409" s="19">
        <v>0.0</v>
      </c>
      <c r="P409" s="19">
        <v>0.0</v>
      </c>
      <c r="Q409" s="19">
        <v>0.0</v>
      </c>
      <c r="R409" s="36"/>
      <c r="S409" s="36"/>
      <c r="T409" s="19">
        <v>0.0</v>
      </c>
      <c r="U409" s="20" t="s">
        <v>6199</v>
      </c>
    </row>
    <row r="410">
      <c r="A410" s="50">
        <v>393.0</v>
      </c>
      <c r="B410" s="13" t="s">
        <v>6200</v>
      </c>
      <c r="C410" s="11" t="s">
        <v>6201</v>
      </c>
      <c r="D410" s="12" t="s">
        <v>31</v>
      </c>
      <c r="E410" s="13" t="s">
        <v>6202</v>
      </c>
      <c r="F410" s="12">
        <v>18.0</v>
      </c>
      <c r="G410" s="12">
        <v>2007.0</v>
      </c>
      <c r="H410" s="21">
        <v>0.0</v>
      </c>
      <c r="I410" s="23">
        <v>0.0</v>
      </c>
      <c r="J410" s="21">
        <v>0.0</v>
      </c>
      <c r="K410" s="21">
        <v>0.0</v>
      </c>
      <c r="L410" s="21">
        <v>0.0</v>
      </c>
      <c r="M410" s="21">
        <v>0.0</v>
      </c>
      <c r="N410" s="21">
        <v>0.0</v>
      </c>
      <c r="O410" s="21">
        <v>0.0</v>
      </c>
      <c r="P410" s="21">
        <v>0.0</v>
      </c>
      <c r="Q410" s="21">
        <v>0.0</v>
      </c>
      <c r="R410" s="36"/>
      <c r="S410" s="36"/>
      <c r="T410" s="21">
        <v>0.0</v>
      </c>
      <c r="U410" s="20" t="s">
        <v>6203</v>
      </c>
    </row>
    <row r="411">
      <c r="A411" s="50">
        <v>394.0</v>
      </c>
      <c r="B411" s="13" t="s">
        <v>6204</v>
      </c>
      <c r="C411" s="11" t="s">
        <v>6205</v>
      </c>
      <c r="D411" s="12" t="s">
        <v>98</v>
      </c>
      <c r="E411" s="13" t="s">
        <v>6206</v>
      </c>
      <c r="F411" s="12">
        <v>32.0</v>
      </c>
      <c r="G411" s="12">
        <v>1992.0</v>
      </c>
      <c r="H411" s="15">
        <v>3.0</v>
      </c>
      <c r="I411" s="22">
        <v>0.0</v>
      </c>
      <c r="J411" s="19">
        <v>0.0</v>
      </c>
      <c r="K411" s="19">
        <v>0.0</v>
      </c>
      <c r="L411" s="19">
        <v>0.0</v>
      </c>
      <c r="M411" s="19">
        <v>0.0</v>
      </c>
      <c r="N411" s="19">
        <v>0.0</v>
      </c>
      <c r="O411" s="19">
        <v>0.0</v>
      </c>
      <c r="P411" s="19">
        <v>0.0</v>
      </c>
      <c r="Q411" s="19">
        <v>0.0</v>
      </c>
      <c r="R411" s="36"/>
      <c r="S411" s="36"/>
      <c r="T411" s="19">
        <v>0.0</v>
      </c>
      <c r="U411" s="20" t="s">
        <v>6207</v>
      </c>
    </row>
    <row r="412">
      <c r="A412" s="50">
        <v>395.0</v>
      </c>
      <c r="B412" s="13" t="s">
        <v>6208</v>
      </c>
      <c r="C412" s="11" t="s">
        <v>6209</v>
      </c>
      <c r="D412" s="12" t="s">
        <v>41</v>
      </c>
      <c r="E412" s="13" t="s">
        <v>6210</v>
      </c>
      <c r="F412" s="12">
        <v>21.0</v>
      </c>
      <c r="G412" s="12">
        <v>2003.0</v>
      </c>
      <c r="H412" s="15">
        <v>9.1</v>
      </c>
      <c r="I412" s="22">
        <v>0.0</v>
      </c>
      <c r="J412" s="19">
        <v>0.0</v>
      </c>
      <c r="K412" s="19">
        <v>0.0</v>
      </c>
      <c r="L412" s="18">
        <v>2.64</v>
      </c>
      <c r="M412" s="18">
        <v>1.76</v>
      </c>
      <c r="N412" s="18">
        <v>0.22</v>
      </c>
      <c r="O412" s="18">
        <v>0.33</v>
      </c>
      <c r="P412" s="18">
        <v>0.11</v>
      </c>
      <c r="Q412" s="18">
        <v>0.55</v>
      </c>
      <c r="R412" s="36"/>
      <c r="S412" s="36"/>
      <c r="T412" s="19">
        <v>0.0</v>
      </c>
      <c r="U412" s="20" t="s">
        <v>6211</v>
      </c>
    </row>
    <row r="413">
      <c r="A413" s="50">
        <v>396.0</v>
      </c>
      <c r="B413" s="13" t="s">
        <v>6212</v>
      </c>
      <c r="C413" s="11" t="s">
        <v>6213</v>
      </c>
      <c r="D413" s="12" t="s">
        <v>31</v>
      </c>
      <c r="E413" s="13" t="s">
        <v>6214</v>
      </c>
      <c r="F413" s="12">
        <v>23.0</v>
      </c>
      <c r="G413" s="12">
        <v>2002.0</v>
      </c>
      <c r="H413" s="15">
        <v>25.3</v>
      </c>
      <c r="I413" s="17">
        <v>0.2</v>
      </c>
      <c r="J413" s="19">
        <v>0.0</v>
      </c>
      <c r="K413" s="19">
        <v>0.0</v>
      </c>
      <c r="L413" s="18">
        <v>1.07</v>
      </c>
      <c r="M413" s="18">
        <v>1.54</v>
      </c>
      <c r="N413" s="18">
        <v>0.32</v>
      </c>
      <c r="O413" s="18">
        <v>4.23</v>
      </c>
      <c r="P413" s="18">
        <v>0.95</v>
      </c>
      <c r="Q413" s="18">
        <v>0.55</v>
      </c>
      <c r="R413" s="36"/>
      <c r="S413" s="36"/>
      <c r="T413" s="19">
        <v>0.0</v>
      </c>
      <c r="U413" s="20" t="s">
        <v>6215</v>
      </c>
    </row>
    <row r="414">
      <c r="A414" s="50">
        <v>397.0</v>
      </c>
      <c r="B414" s="13" t="s">
        <v>6216</v>
      </c>
      <c r="C414" s="11" t="s">
        <v>6217</v>
      </c>
      <c r="D414" s="12" t="s">
        <v>345</v>
      </c>
      <c r="E414" s="13" t="s">
        <v>6218</v>
      </c>
      <c r="F414" s="12">
        <v>20.0</v>
      </c>
      <c r="G414" s="12">
        <v>2005.0</v>
      </c>
      <c r="H414" s="15">
        <v>29.4</v>
      </c>
      <c r="I414" s="17">
        <v>0.17</v>
      </c>
      <c r="J414" s="19">
        <v>0.0</v>
      </c>
      <c r="K414" s="19">
        <v>0.0</v>
      </c>
      <c r="L414" s="18">
        <v>1.53</v>
      </c>
      <c r="M414" s="18">
        <v>0.61</v>
      </c>
      <c r="N414" s="18">
        <v>0.03</v>
      </c>
      <c r="O414" s="18">
        <v>1.29</v>
      </c>
      <c r="P414" s="18">
        <v>0.68</v>
      </c>
      <c r="Q414" s="18">
        <v>1.22</v>
      </c>
      <c r="R414" s="36"/>
      <c r="S414" s="36"/>
      <c r="T414" s="19">
        <v>0.0</v>
      </c>
      <c r="U414" s="20" t="s">
        <v>6219</v>
      </c>
    </row>
    <row r="415">
      <c r="A415" s="50">
        <v>398.0</v>
      </c>
      <c r="B415" s="13" t="s">
        <v>6220</v>
      </c>
      <c r="C415" s="11" t="s">
        <v>6221</v>
      </c>
      <c r="D415" s="12" t="s">
        <v>26</v>
      </c>
      <c r="E415" s="13" t="s">
        <v>6222</v>
      </c>
      <c r="F415" s="12">
        <v>21.0</v>
      </c>
      <c r="G415" s="12">
        <v>2004.0</v>
      </c>
      <c r="H415" s="15">
        <v>9.1</v>
      </c>
      <c r="I415" s="22">
        <v>0.0</v>
      </c>
      <c r="J415" s="19">
        <v>0.0</v>
      </c>
      <c r="K415" s="19">
        <v>0.0</v>
      </c>
      <c r="L415" s="18">
        <v>2.53</v>
      </c>
      <c r="M415" s="18">
        <v>0.88</v>
      </c>
      <c r="N415" s="19">
        <v>0.0</v>
      </c>
      <c r="O415" s="18">
        <v>0.55</v>
      </c>
      <c r="P415" s="18">
        <v>0.55</v>
      </c>
      <c r="Q415" s="18">
        <v>1.54</v>
      </c>
      <c r="R415" s="36"/>
      <c r="S415" s="36"/>
      <c r="T415" s="19">
        <v>0.0</v>
      </c>
      <c r="U415" s="20" t="s">
        <v>6223</v>
      </c>
    </row>
    <row r="416">
      <c r="A416" s="50">
        <v>399.0</v>
      </c>
      <c r="B416" s="13" t="s">
        <v>6224</v>
      </c>
      <c r="C416" s="11" t="s">
        <v>6225</v>
      </c>
      <c r="D416" s="12" t="s">
        <v>31</v>
      </c>
      <c r="E416" s="13" t="s">
        <v>6226</v>
      </c>
      <c r="F416" s="12">
        <v>30.0</v>
      </c>
      <c r="G416" s="12">
        <v>1995.0</v>
      </c>
      <c r="H416" s="15">
        <v>24.4</v>
      </c>
      <c r="I416" s="17">
        <v>0.33</v>
      </c>
      <c r="J416" s="19">
        <v>0.0</v>
      </c>
      <c r="K416" s="19">
        <v>0.0</v>
      </c>
      <c r="L416" s="18">
        <v>1.15</v>
      </c>
      <c r="M416" s="18">
        <v>1.48</v>
      </c>
      <c r="N416" s="19">
        <v>0.0</v>
      </c>
      <c r="O416" s="18">
        <v>0.16</v>
      </c>
      <c r="P416" s="18">
        <v>1.15</v>
      </c>
      <c r="Q416" s="18">
        <v>2.5</v>
      </c>
      <c r="R416" s="36"/>
      <c r="S416" s="36"/>
      <c r="T416" s="19">
        <v>0.0</v>
      </c>
      <c r="U416" s="20" t="s">
        <v>6227</v>
      </c>
    </row>
    <row r="417">
      <c r="A417" s="50">
        <v>400.0</v>
      </c>
      <c r="B417" s="13" t="s">
        <v>6228</v>
      </c>
      <c r="C417" s="11" t="s">
        <v>6229</v>
      </c>
      <c r="D417" s="12" t="s">
        <v>31</v>
      </c>
      <c r="E417" s="13" t="s">
        <v>6230</v>
      </c>
      <c r="F417" s="12">
        <v>23.0</v>
      </c>
      <c r="G417" s="12">
        <v>2002.0</v>
      </c>
      <c r="H417" s="15">
        <v>21.7</v>
      </c>
      <c r="I417" s="17">
        <v>0.23</v>
      </c>
      <c r="J417" s="19">
        <v>0.0</v>
      </c>
      <c r="K417" s="19">
        <v>0.0</v>
      </c>
      <c r="L417" s="18">
        <v>0.6</v>
      </c>
      <c r="M417" s="18">
        <v>1.71</v>
      </c>
      <c r="N417" s="18">
        <v>0.09</v>
      </c>
      <c r="O417" s="18">
        <v>1.61</v>
      </c>
      <c r="P417" s="18">
        <v>0.6</v>
      </c>
      <c r="Q417" s="18">
        <v>0.55</v>
      </c>
      <c r="R417" s="36"/>
      <c r="S417" s="36"/>
      <c r="T417" s="19">
        <v>0.0</v>
      </c>
      <c r="U417" s="20" t="s">
        <v>6231</v>
      </c>
    </row>
    <row r="418">
      <c r="A418" s="37" t="s">
        <v>3</v>
      </c>
      <c r="B418" s="51" t="s">
        <v>4</v>
      </c>
      <c r="C418" s="39" t="s">
        <v>5</v>
      </c>
      <c r="D418" s="39" t="s">
        <v>6</v>
      </c>
      <c r="E418" s="39" t="s">
        <v>7</v>
      </c>
      <c r="F418" s="39" t="s">
        <v>8</v>
      </c>
      <c r="G418" s="39" t="s">
        <v>9</v>
      </c>
      <c r="H418" s="39" t="s">
        <v>13</v>
      </c>
      <c r="I418" s="40" t="s">
        <v>20</v>
      </c>
      <c r="J418" s="39" t="s">
        <v>21</v>
      </c>
      <c r="K418" s="39" t="s">
        <v>4622</v>
      </c>
      <c r="L418" s="39" t="s">
        <v>4623</v>
      </c>
      <c r="M418" s="39" t="s">
        <v>4624</v>
      </c>
      <c r="N418" s="39" t="s">
        <v>4625</v>
      </c>
      <c r="O418" s="39" t="s">
        <v>4626</v>
      </c>
      <c r="P418" s="39" t="s">
        <v>4627</v>
      </c>
      <c r="Q418" s="39" t="s">
        <v>4628</v>
      </c>
      <c r="R418" s="39" t="s">
        <v>4629</v>
      </c>
      <c r="S418" s="39" t="s">
        <v>4630</v>
      </c>
      <c r="T418" s="39" t="s">
        <v>4631</v>
      </c>
      <c r="U418" s="40" t="s">
        <v>23</v>
      </c>
    </row>
    <row r="419">
      <c r="A419" s="50">
        <v>401.0</v>
      </c>
      <c r="B419" s="13" t="s">
        <v>6232</v>
      </c>
      <c r="C419" s="11" t="s">
        <v>6233</v>
      </c>
      <c r="D419" s="12" t="s">
        <v>26</v>
      </c>
      <c r="E419" s="13" t="s">
        <v>6234</v>
      </c>
      <c r="F419" s="12">
        <v>27.0</v>
      </c>
      <c r="G419" s="12">
        <v>1997.0</v>
      </c>
      <c r="H419" s="15">
        <v>16.8</v>
      </c>
      <c r="I419" s="17">
        <v>0.42</v>
      </c>
      <c r="J419" s="18">
        <v>0.06</v>
      </c>
      <c r="K419" s="18">
        <v>0.06</v>
      </c>
      <c r="L419" s="18">
        <v>1.61</v>
      </c>
      <c r="M419" s="18">
        <v>1.79</v>
      </c>
      <c r="N419" s="18">
        <v>0.3</v>
      </c>
      <c r="O419" s="18">
        <v>2.14</v>
      </c>
      <c r="P419" s="18">
        <v>0.42</v>
      </c>
      <c r="Q419" s="18">
        <v>1.31</v>
      </c>
      <c r="R419" s="36"/>
      <c r="S419" s="36"/>
      <c r="T419" s="19">
        <v>0.0</v>
      </c>
      <c r="U419" s="20" t="s">
        <v>6235</v>
      </c>
    </row>
    <row r="420">
      <c r="A420" s="50">
        <v>402.0</v>
      </c>
      <c r="B420" s="13" t="s">
        <v>6236</v>
      </c>
      <c r="C420" s="11" t="s">
        <v>6237</v>
      </c>
      <c r="D420" s="12" t="s">
        <v>36</v>
      </c>
      <c r="E420" s="13" t="s">
        <v>6238</v>
      </c>
      <c r="F420" s="12">
        <v>23.0</v>
      </c>
      <c r="G420" s="12">
        <v>2001.0</v>
      </c>
      <c r="H420" s="15">
        <v>2.7</v>
      </c>
      <c r="I420" s="22">
        <v>0.0</v>
      </c>
      <c r="J420" s="19">
        <v>0.0</v>
      </c>
      <c r="K420" s="19">
        <v>0.0</v>
      </c>
      <c r="L420" s="18">
        <v>0.74</v>
      </c>
      <c r="M420" s="18">
        <v>0.74</v>
      </c>
      <c r="N420" s="18">
        <v>0.37</v>
      </c>
      <c r="O420" s="18">
        <v>2.22</v>
      </c>
      <c r="P420" s="18">
        <v>0.74</v>
      </c>
      <c r="Q420" s="18">
        <v>1.48</v>
      </c>
      <c r="R420" s="36"/>
      <c r="S420" s="36"/>
      <c r="T420" s="19">
        <v>0.0</v>
      </c>
      <c r="U420" s="20" t="s">
        <v>6239</v>
      </c>
    </row>
    <row r="421">
      <c r="A421" s="50">
        <v>403.0</v>
      </c>
      <c r="B421" s="13" t="s">
        <v>6240</v>
      </c>
      <c r="C421" s="11" t="s">
        <v>6241</v>
      </c>
      <c r="D421" s="12" t="s">
        <v>31</v>
      </c>
      <c r="E421" s="13" t="s">
        <v>6242</v>
      </c>
      <c r="F421" s="12">
        <v>22.0</v>
      </c>
      <c r="G421" s="12">
        <v>2002.0</v>
      </c>
      <c r="H421" s="21">
        <v>0.0</v>
      </c>
      <c r="I421" s="23">
        <v>0.0</v>
      </c>
      <c r="J421" s="21">
        <v>0.0</v>
      </c>
      <c r="K421" s="21">
        <v>0.0</v>
      </c>
      <c r="L421" s="15">
        <v>1.0</v>
      </c>
      <c r="M421" s="21">
        <v>0.0</v>
      </c>
      <c r="N421" s="21">
        <v>0.0</v>
      </c>
      <c r="O421" s="21">
        <v>0.0</v>
      </c>
      <c r="P421" s="21">
        <v>0.0</v>
      </c>
      <c r="Q421" s="21">
        <v>0.0</v>
      </c>
      <c r="R421" s="36"/>
      <c r="S421" s="36"/>
      <c r="T421" s="21">
        <v>0.0</v>
      </c>
      <c r="U421" s="20" t="s">
        <v>6243</v>
      </c>
    </row>
    <row r="422">
      <c r="A422" s="50">
        <v>404.0</v>
      </c>
      <c r="B422" s="13" t="s">
        <v>6244</v>
      </c>
      <c r="C422" s="11" t="s">
        <v>6245</v>
      </c>
      <c r="D422" s="12" t="s">
        <v>98</v>
      </c>
      <c r="E422" s="13" t="s">
        <v>6246</v>
      </c>
      <c r="F422" s="12">
        <v>27.0</v>
      </c>
      <c r="G422" s="12">
        <v>1997.0</v>
      </c>
      <c r="H422" s="15">
        <v>16.0</v>
      </c>
      <c r="I422" s="17">
        <v>0.13</v>
      </c>
      <c r="J422" s="19">
        <v>0.0</v>
      </c>
      <c r="K422" s="19">
        <v>0.0</v>
      </c>
      <c r="L422" s="18">
        <v>0.06</v>
      </c>
      <c r="M422" s="18">
        <v>0.19</v>
      </c>
      <c r="N422" s="19">
        <v>0.0</v>
      </c>
      <c r="O422" s="19">
        <v>0.0</v>
      </c>
      <c r="P422" s="19">
        <v>0.0</v>
      </c>
      <c r="Q422" s="19">
        <v>0.0</v>
      </c>
      <c r="R422" s="36"/>
      <c r="S422" s="36"/>
      <c r="T422" s="19">
        <v>0.0</v>
      </c>
      <c r="U422" s="20" t="s">
        <v>6247</v>
      </c>
    </row>
    <row r="423">
      <c r="A423" s="50">
        <v>405.0</v>
      </c>
      <c r="B423" s="13" t="s">
        <v>6248</v>
      </c>
      <c r="C423" s="11" t="s">
        <v>6249</v>
      </c>
      <c r="D423" s="12" t="s">
        <v>98</v>
      </c>
      <c r="E423" s="13" t="s">
        <v>6250</v>
      </c>
      <c r="F423" s="12">
        <v>25.0</v>
      </c>
      <c r="G423" s="12">
        <v>1999.0</v>
      </c>
      <c r="H423" s="15">
        <v>38.0</v>
      </c>
      <c r="I423" s="17">
        <v>0.08</v>
      </c>
      <c r="J423" s="19">
        <v>0.0</v>
      </c>
      <c r="K423" s="19">
        <v>0.0</v>
      </c>
      <c r="L423" s="19">
        <v>0.0</v>
      </c>
      <c r="M423" s="18">
        <v>0.05</v>
      </c>
      <c r="N423" s="19">
        <v>0.0</v>
      </c>
      <c r="O423" s="19">
        <v>0.0</v>
      </c>
      <c r="P423" s="19">
        <v>0.0</v>
      </c>
      <c r="Q423" s="19">
        <v>0.0</v>
      </c>
      <c r="R423" s="36"/>
      <c r="S423" s="36"/>
      <c r="T423" s="18">
        <v>0.03</v>
      </c>
      <c r="U423" s="20" t="s">
        <v>6251</v>
      </c>
    </row>
    <row r="424">
      <c r="A424" s="50">
        <v>406.0</v>
      </c>
      <c r="B424" s="13" t="s">
        <v>6252</v>
      </c>
      <c r="C424" s="11" t="s">
        <v>6253</v>
      </c>
      <c r="D424" s="12" t="s">
        <v>98</v>
      </c>
      <c r="E424" s="13" t="s">
        <v>6254</v>
      </c>
      <c r="F424" s="12">
        <v>31.0</v>
      </c>
      <c r="G424" s="12">
        <v>1994.0</v>
      </c>
      <c r="H424" s="15">
        <v>38.0</v>
      </c>
      <c r="I424" s="17">
        <v>0.11</v>
      </c>
      <c r="J424" s="19">
        <v>0.0</v>
      </c>
      <c r="K424" s="19">
        <v>0.0</v>
      </c>
      <c r="L424" s="18">
        <v>0.03</v>
      </c>
      <c r="M424" s="18">
        <v>0.16</v>
      </c>
      <c r="N424" s="19">
        <v>0.0</v>
      </c>
      <c r="O424" s="19">
        <v>0.0</v>
      </c>
      <c r="P424" s="19">
        <v>0.0</v>
      </c>
      <c r="Q424" s="18">
        <v>0.03</v>
      </c>
      <c r="R424" s="36"/>
      <c r="S424" s="36"/>
      <c r="T424" s="19">
        <v>0.0</v>
      </c>
      <c r="U424" s="20" t="s">
        <v>6255</v>
      </c>
    </row>
    <row r="425">
      <c r="A425" s="50">
        <v>407.0</v>
      </c>
      <c r="B425" s="13" t="s">
        <v>6256</v>
      </c>
      <c r="C425" s="11" t="s">
        <v>6257</v>
      </c>
      <c r="D425" s="12" t="s">
        <v>36</v>
      </c>
      <c r="E425" s="13" t="s">
        <v>6258</v>
      </c>
      <c r="F425" s="12">
        <v>32.0</v>
      </c>
      <c r="G425" s="12">
        <v>1993.0</v>
      </c>
      <c r="H425" s="15">
        <v>3.5</v>
      </c>
      <c r="I425" s="17">
        <v>0.29</v>
      </c>
      <c r="J425" s="19">
        <v>0.0</v>
      </c>
      <c r="K425" s="19">
        <v>0.0</v>
      </c>
      <c r="L425" s="19">
        <v>0.0</v>
      </c>
      <c r="M425" s="18">
        <v>0.57</v>
      </c>
      <c r="N425" s="19">
        <v>0.0</v>
      </c>
      <c r="O425" s="19">
        <v>0.0</v>
      </c>
      <c r="P425" s="18">
        <v>1.43</v>
      </c>
      <c r="Q425" s="18">
        <v>1.43</v>
      </c>
      <c r="R425" s="36"/>
      <c r="S425" s="36"/>
      <c r="T425" s="18">
        <v>0.29</v>
      </c>
      <c r="U425" s="20" t="s">
        <v>6259</v>
      </c>
    </row>
    <row r="426">
      <c r="A426" s="50">
        <v>408.0</v>
      </c>
      <c r="B426" s="13" t="s">
        <v>6260</v>
      </c>
      <c r="C426" s="11" t="s">
        <v>6261</v>
      </c>
      <c r="D426" s="12" t="s">
        <v>26</v>
      </c>
      <c r="E426" s="13" t="s">
        <v>6262</v>
      </c>
      <c r="F426" s="12">
        <v>22.0</v>
      </c>
      <c r="G426" s="12">
        <v>2002.0</v>
      </c>
      <c r="H426" s="15">
        <v>23.1</v>
      </c>
      <c r="I426" s="17">
        <v>0.17</v>
      </c>
      <c r="J426" s="19">
        <v>0.0</v>
      </c>
      <c r="K426" s="19">
        <v>0.0</v>
      </c>
      <c r="L426" s="18">
        <v>1.3</v>
      </c>
      <c r="M426" s="18">
        <v>1.04</v>
      </c>
      <c r="N426" s="18">
        <v>0.43</v>
      </c>
      <c r="O426" s="18">
        <v>3.42</v>
      </c>
      <c r="P426" s="18">
        <v>0.35</v>
      </c>
      <c r="Q426" s="18">
        <v>0.87</v>
      </c>
      <c r="R426" s="36"/>
      <c r="S426" s="36"/>
      <c r="T426" s="19">
        <v>0.0</v>
      </c>
      <c r="U426" s="20" t="s">
        <v>6263</v>
      </c>
    </row>
    <row r="427">
      <c r="A427" s="50">
        <v>409.0</v>
      </c>
      <c r="B427" s="13" t="s">
        <v>6264</v>
      </c>
      <c r="C427" s="11" t="s">
        <v>6265</v>
      </c>
      <c r="D427" s="12" t="s">
        <v>41</v>
      </c>
      <c r="E427" s="13" t="s">
        <v>6266</v>
      </c>
      <c r="F427" s="12">
        <v>25.0</v>
      </c>
      <c r="G427" s="12">
        <v>1999.0</v>
      </c>
      <c r="H427" s="15">
        <v>2.9</v>
      </c>
      <c r="I427" s="22">
        <v>0.0</v>
      </c>
      <c r="J427" s="19">
        <v>0.0</v>
      </c>
      <c r="K427" s="19">
        <v>0.0</v>
      </c>
      <c r="L427" s="18">
        <v>1.38</v>
      </c>
      <c r="M427" s="19">
        <v>0.0</v>
      </c>
      <c r="N427" s="18">
        <v>0.34</v>
      </c>
      <c r="O427" s="18">
        <v>1.38</v>
      </c>
      <c r="P427" s="18">
        <v>0.34</v>
      </c>
      <c r="Q427" s="18">
        <v>0.34</v>
      </c>
      <c r="R427" s="36"/>
      <c r="S427" s="36"/>
      <c r="T427" s="19">
        <v>0.0</v>
      </c>
      <c r="U427" s="20" t="s">
        <v>6267</v>
      </c>
    </row>
    <row r="428">
      <c r="A428" s="50">
        <v>410.0</v>
      </c>
      <c r="B428" s="13" t="s">
        <v>6268</v>
      </c>
      <c r="C428" s="11" t="s">
        <v>6269</v>
      </c>
      <c r="D428" s="12" t="s">
        <v>98</v>
      </c>
      <c r="E428" s="13" t="s">
        <v>6270</v>
      </c>
      <c r="F428" s="12">
        <v>33.0</v>
      </c>
      <c r="G428" s="12">
        <v>1992.0</v>
      </c>
      <c r="H428" s="15">
        <v>26.8</v>
      </c>
      <c r="I428" s="17">
        <v>0.07</v>
      </c>
      <c r="J428" s="19">
        <v>0.0</v>
      </c>
      <c r="K428" s="19">
        <v>0.0</v>
      </c>
      <c r="L428" s="18">
        <v>0.04</v>
      </c>
      <c r="M428" s="18">
        <v>0.07</v>
      </c>
      <c r="N428" s="19">
        <v>0.0</v>
      </c>
      <c r="O428" s="19">
        <v>0.0</v>
      </c>
      <c r="P428" s="19">
        <v>0.0</v>
      </c>
      <c r="Q428" s="18">
        <v>0.04</v>
      </c>
      <c r="R428" s="36"/>
      <c r="S428" s="36"/>
      <c r="T428" s="19">
        <v>0.0</v>
      </c>
      <c r="U428" s="20" t="s">
        <v>6271</v>
      </c>
    </row>
    <row r="429">
      <c r="A429" s="50">
        <v>411.0</v>
      </c>
      <c r="B429" s="13" t="s">
        <v>6272</v>
      </c>
      <c r="C429" s="11" t="s">
        <v>6273</v>
      </c>
      <c r="D429" s="12" t="s">
        <v>36</v>
      </c>
      <c r="E429" s="13" t="s">
        <v>6274</v>
      </c>
      <c r="F429" s="12">
        <v>25.0</v>
      </c>
      <c r="G429" s="12">
        <v>1999.0</v>
      </c>
      <c r="H429" s="15">
        <v>31.1</v>
      </c>
      <c r="I429" s="17">
        <v>0.32</v>
      </c>
      <c r="J429" s="19">
        <v>0.0</v>
      </c>
      <c r="K429" s="19">
        <v>0.0</v>
      </c>
      <c r="L429" s="18">
        <v>1.03</v>
      </c>
      <c r="M429" s="18">
        <v>0.84</v>
      </c>
      <c r="N429" s="18">
        <v>0.03</v>
      </c>
      <c r="O429" s="18">
        <v>7.46</v>
      </c>
      <c r="P429" s="18">
        <v>1.0</v>
      </c>
      <c r="Q429" s="18">
        <v>1.61</v>
      </c>
      <c r="R429" s="36"/>
      <c r="S429" s="36"/>
      <c r="T429" s="19">
        <v>0.0</v>
      </c>
      <c r="U429" s="20" t="s">
        <v>6275</v>
      </c>
    </row>
    <row r="430">
      <c r="A430" s="50">
        <v>412.0</v>
      </c>
      <c r="B430" s="13" t="s">
        <v>6276</v>
      </c>
      <c r="C430" s="11" t="s">
        <v>6277</v>
      </c>
      <c r="D430" s="12" t="s">
        <v>31</v>
      </c>
      <c r="E430" s="13" t="s">
        <v>6278</v>
      </c>
      <c r="F430" s="12">
        <v>21.0</v>
      </c>
      <c r="G430" s="12">
        <v>2003.0</v>
      </c>
      <c r="H430" s="15">
        <v>13.0</v>
      </c>
      <c r="I430" s="17">
        <v>0.08</v>
      </c>
      <c r="J430" s="19">
        <v>0.0</v>
      </c>
      <c r="K430" s="19">
        <v>0.0</v>
      </c>
      <c r="L430" s="18">
        <v>1.15</v>
      </c>
      <c r="M430" s="18">
        <v>1.08</v>
      </c>
      <c r="N430" s="19">
        <v>0.0</v>
      </c>
      <c r="O430" s="18">
        <v>2.62</v>
      </c>
      <c r="P430" s="18">
        <v>1.23</v>
      </c>
      <c r="Q430" s="18">
        <v>1.38</v>
      </c>
      <c r="R430" s="36"/>
      <c r="S430" s="36"/>
      <c r="T430" s="19">
        <v>0.0</v>
      </c>
      <c r="U430" s="20" t="s">
        <v>6279</v>
      </c>
    </row>
    <row r="431">
      <c r="A431" s="50">
        <v>413.0</v>
      </c>
      <c r="B431" s="13" t="s">
        <v>6280</v>
      </c>
      <c r="C431" s="11" t="s">
        <v>6281</v>
      </c>
      <c r="D431" s="12" t="s">
        <v>98</v>
      </c>
      <c r="E431" s="13" t="s">
        <v>6282</v>
      </c>
      <c r="F431" s="12">
        <v>27.0</v>
      </c>
      <c r="G431" s="12">
        <v>1998.0</v>
      </c>
      <c r="H431" s="15">
        <v>11.2</v>
      </c>
      <c r="I431" s="17">
        <v>0.18</v>
      </c>
      <c r="J431" s="19">
        <v>0.0</v>
      </c>
      <c r="K431" s="19">
        <v>0.0</v>
      </c>
      <c r="L431" s="19">
        <v>0.0</v>
      </c>
      <c r="M431" s="18">
        <v>0.09</v>
      </c>
      <c r="N431" s="19">
        <v>0.0</v>
      </c>
      <c r="O431" s="19">
        <v>0.0</v>
      </c>
      <c r="P431" s="19">
        <v>0.0</v>
      </c>
      <c r="Q431" s="19">
        <v>0.0</v>
      </c>
      <c r="R431" s="36"/>
      <c r="S431" s="36"/>
      <c r="T431" s="19">
        <v>0.0</v>
      </c>
      <c r="U431" s="20" t="s">
        <v>6283</v>
      </c>
    </row>
    <row r="432">
      <c r="A432" s="50">
        <v>414.0</v>
      </c>
      <c r="B432" s="13" t="s">
        <v>6284</v>
      </c>
      <c r="C432" s="11" t="s">
        <v>6285</v>
      </c>
      <c r="D432" s="12" t="s">
        <v>31</v>
      </c>
      <c r="E432" s="13" t="s">
        <v>6286</v>
      </c>
      <c r="F432" s="12">
        <v>24.0</v>
      </c>
      <c r="G432" s="12">
        <v>2001.0</v>
      </c>
      <c r="H432" s="15">
        <v>16.1</v>
      </c>
      <c r="I432" s="17">
        <v>0.31</v>
      </c>
      <c r="J432" s="18">
        <v>0.06</v>
      </c>
      <c r="K432" s="18">
        <v>0.06</v>
      </c>
      <c r="L432" s="18">
        <v>0.99</v>
      </c>
      <c r="M432" s="18">
        <v>0.87</v>
      </c>
      <c r="N432" s="18">
        <v>0.12</v>
      </c>
      <c r="O432" s="18">
        <v>0.5</v>
      </c>
      <c r="P432" s="18">
        <v>0.56</v>
      </c>
      <c r="Q432" s="18">
        <v>1.3</v>
      </c>
      <c r="R432" s="36"/>
      <c r="S432" s="36"/>
      <c r="T432" s="19">
        <v>0.0</v>
      </c>
      <c r="U432" s="20" t="s">
        <v>6287</v>
      </c>
    </row>
    <row r="433">
      <c r="A433" s="50">
        <v>415.0</v>
      </c>
      <c r="B433" s="13" t="s">
        <v>6288</v>
      </c>
      <c r="C433" s="11" t="s">
        <v>6289</v>
      </c>
      <c r="D433" s="12" t="s">
        <v>98</v>
      </c>
      <c r="E433" s="13" t="s">
        <v>6290</v>
      </c>
      <c r="F433" s="12">
        <v>29.0</v>
      </c>
      <c r="G433" s="12">
        <v>1995.0</v>
      </c>
      <c r="H433" s="15">
        <v>37.0</v>
      </c>
      <c r="I433" s="17">
        <v>0.03</v>
      </c>
      <c r="J433" s="19">
        <v>0.0</v>
      </c>
      <c r="K433" s="19">
        <v>0.0</v>
      </c>
      <c r="L433" s="19">
        <v>0.0</v>
      </c>
      <c r="M433" s="18">
        <v>0.38</v>
      </c>
      <c r="N433" s="19">
        <v>0.0</v>
      </c>
      <c r="O433" s="18">
        <v>0.03</v>
      </c>
      <c r="P433" s="18">
        <v>0.03</v>
      </c>
      <c r="Q433" s="18">
        <v>0.03</v>
      </c>
      <c r="R433" s="36"/>
      <c r="S433" s="36"/>
      <c r="T433" s="19">
        <v>0.0</v>
      </c>
      <c r="U433" s="20" t="s">
        <v>6291</v>
      </c>
    </row>
    <row r="434">
      <c r="A434" s="50">
        <v>416.0</v>
      </c>
      <c r="B434" s="13" t="s">
        <v>6292</v>
      </c>
      <c r="C434" s="11" t="s">
        <v>6293</v>
      </c>
      <c r="D434" s="12" t="s">
        <v>31</v>
      </c>
      <c r="E434" s="13" t="s">
        <v>6294</v>
      </c>
      <c r="F434" s="12">
        <v>18.0</v>
      </c>
      <c r="G434" s="12">
        <v>2006.0</v>
      </c>
      <c r="H434" s="15">
        <v>12.3</v>
      </c>
      <c r="I434" s="17">
        <v>0.08</v>
      </c>
      <c r="J434" s="19">
        <v>0.0</v>
      </c>
      <c r="K434" s="19">
        <v>0.0</v>
      </c>
      <c r="L434" s="18">
        <v>0.73</v>
      </c>
      <c r="M434" s="18">
        <v>0.49</v>
      </c>
      <c r="N434" s="18">
        <v>0.08</v>
      </c>
      <c r="O434" s="18">
        <v>1.95</v>
      </c>
      <c r="P434" s="18">
        <v>0.65</v>
      </c>
      <c r="Q434" s="18">
        <v>0.49</v>
      </c>
      <c r="R434" s="36"/>
      <c r="S434" s="36"/>
      <c r="T434" s="19">
        <v>0.0</v>
      </c>
      <c r="U434" s="20" t="s">
        <v>6295</v>
      </c>
    </row>
    <row r="435">
      <c r="A435" s="50">
        <v>417.0</v>
      </c>
      <c r="B435" s="13" t="s">
        <v>6296</v>
      </c>
      <c r="C435" s="11" t="s">
        <v>6297</v>
      </c>
      <c r="D435" s="12" t="s">
        <v>31</v>
      </c>
      <c r="E435" s="13" t="s">
        <v>6298</v>
      </c>
      <c r="F435" s="12">
        <v>30.0</v>
      </c>
      <c r="G435" s="12">
        <v>1995.0</v>
      </c>
      <c r="H435" s="15">
        <v>1.0</v>
      </c>
      <c r="I435" s="22">
        <v>0.0</v>
      </c>
      <c r="J435" s="19">
        <v>0.0</v>
      </c>
      <c r="K435" s="19">
        <v>0.0</v>
      </c>
      <c r="L435" s="18">
        <v>2.0</v>
      </c>
      <c r="M435" s="18">
        <v>1.0</v>
      </c>
      <c r="N435" s="19">
        <v>0.0</v>
      </c>
      <c r="O435" s="18">
        <v>4.0</v>
      </c>
      <c r="P435" s="19">
        <v>0.0</v>
      </c>
      <c r="Q435" s="19">
        <v>0.0</v>
      </c>
      <c r="R435" s="36"/>
      <c r="S435" s="36"/>
      <c r="T435" s="19">
        <v>0.0</v>
      </c>
      <c r="U435" s="20" t="s">
        <v>6299</v>
      </c>
    </row>
    <row r="436">
      <c r="A436" s="50">
        <v>418.0</v>
      </c>
      <c r="B436" s="13" t="s">
        <v>6300</v>
      </c>
      <c r="C436" s="11" t="s">
        <v>6301</v>
      </c>
      <c r="D436" s="12" t="s">
        <v>31</v>
      </c>
      <c r="E436" s="13" t="s">
        <v>6302</v>
      </c>
      <c r="F436" s="12">
        <v>27.0</v>
      </c>
      <c r="G436" s="12">
        <v>1998.0</v>
      </c>
      <c r="H436" s="15">
        <v>18.1</v>
      </c>
      <c r="I436" s="17">
        <v>0.11</v>
      </c>
      <c r="J436" s="19">
        <v>0.0</v>
      </c>
      <c r="K436" s="19">
        <v>0.0</v>
      </c>
      <c r="L436" s="18">
        <v>1.05</v>
      </c>
      <c r="M436" s="18">
        <v>0.83</v>
      </c>
      <c r="N436" s="18">
        <v>0.22</v>
      </c>
      <c r="O436" s="18">
        <v>2.38</v>
      </c>
      <c r="P436" s="18">
        <v>0.61</v>
      </c>
      <c r="Q436" s="18">
        <v>0.22</v>
      </c>
      <c r="R436" s="36"/>
      <c r="S436" s="36"/>
      <c r="T436" s="19">
        <v>0.0</v>
      </c>
      <c r="U436" s="20" t="s">
        <v>6303</v>
      </c>
    </row>
    <row r="437">
      <c r="A437" s="50">
        <v>419.0</v>
      </c>
      <c r="B437" s="13" t="s">
        <v>6304</v>
      </c>
      <c r="C437" s="11" t="s">
        <v>6305</v>
      </c>
      <c r="D437" s="12" t="s">
        <v>36</v>
      </c>
      <c r="E437" s="13" t="s">
        <v>6306</v>
      </c>
      <c r="F437" s="12">
        <v>22.0</v>
      </c>
      <c r="G437" s="12">
        <v>2003.0</v>
      </c>
      <c r="H437" s="15">
        <v>6.1</v>
      </c>
      <c r="I437" s="17">
        <v>0.33</v>
      </c>
      <c r="J437" s="19">
        <v>0.0</v>
      </c>
      <c r="K437" s="19">
        <v>0.0</v>
      </c>
      <c r="L437" s="18">
        <v>0.82</v>
      </c>
      <c r="M437" s="18">
        <v>0.49</v>
      </c>
      <c r="N437" s="19">
        <v>0.0</v>
      </c>
      <c r="O437" s="18">
        <v>0.98</v>
      </c>
      <c r="P437" s="18">
        <v>0.66</v>
      </c>
      <c r="Q437" s="18">
        <v>0.82</v>
      </c>
      <c r="R437" s="36"/>
      <c r="S437" s="36"/>
      <c r="T437" s="19">
        <v>0.0</v>
      </c>
      <c r="U437" s="20" t="s">
        <v>6307</v>
      </c>
    </row>
    <row r="438">
      <c r="A438" s="50">
        <v>420.0</v>
      </c>
      <c r="B438" s="13" t="s">
        <v>6308</v>
      </c>
      <c r="C438" s="11" t="s">
        <v>6309</v>
      </c>
      <c r="D438" s="12" t="s">
        <v>31</v>
      </c>
      <c r="E438" s="13" t="s">
        <v>6310</v>
      </c>
      <c r="F438" s="12">
        <v>26.0</v>
      </c>
      <c r="G438" s="12">
        <v>1999.0</v>
      </c>
      <c r="H438" s="15">
        <v>34.4</v>
      </c>
      <c r="I438" s="17">
        <v>0.09</v>
      </c>
      <c r="J438" s="19">
        <v>0.0</v>
      </c>
      <c r="K438" s="19">
        <v>0.0</v>
      </c>
      <c r="L438" s="18">
        <v>0.76</v>
      </c>
      <c r="M438" s="18">
        <v>0.32</v>
      </c>
      <c r="N438" s="18">
        <v>0.03</v>
      </c>
      <c r="O438" s="18">
        <v>5.15</v>
      </c>
      <c r="P438" s="18">
        <v>0.96</v>
      </c>
      <c r="Q438" s="18">
        <v>0.96</v>
      </c>
      <c r="R438" s="36"/>
      <c r="S438" s="36"/>
      <c r="T438" s="19">
        <v>0.0</v>
      </c>
      <c r="U438" s="20" t="s">
        <v>6311</v>
      </c>
    </row>
    <row r="439">
      <c r="A439" s="50">
        <v>421.0</v>
      </c>
      <c r="B439" s="13" t="s">
        <v>6312</v>
      </c>
      <c r="C439" s="11" t="s">
        <v>6313</v>
      </c>
      <c r="D439" s="12" t="s">
        <v>36</v>
      </c>
      <c r="E439" s="13" t="s">
        <v>6314</v>
      </c>
      <c r="F439" s="12">
        <v>25.0</v>
      </c>
      <c r="G439" s="12">
        <v>2000.0</v>
      </c>
      <c r="H439" s="15">
        <v>31.4</v>
      </c>
      <c r="I439" s="17">
        <v>0.13</v>
      </c>
      <c r="J439" s="19">
        <v>0.0</v>
      </c>
      <c r="K439" s="19">
        <v>0.0</v>
      </c>
      <c r="L439" s="18">
        <v>0.54</v>
      </c>
      <c r="M439" s="18">
        <v>0.16</v>
      </c>
      <c r="N439" s="19">
        <v>0.0</v>
      </c>
      <c r="O439" s="18">
        <v>0.45</v>
      </c>
      <c r="P439" s="18">
        <v>1.37</v>
      </c>
      <c r="Q439" s="18">
        <v>1.11</v>
      </c>
      <c r="R439" s="36"/>
      <c r="S439" s="36"/>
      <c r="T439" s="19">
        <v>0.0</v>
      </c>
      <c r="U439" s="20" t="s">
        <v>6315</v>
      </c>
    </row>
    <row r="440">
      <c r="A440" s="50">
        <v>422.0</v>
      </c>
      <c r="B440" s="13" t="s">
        <v>6316</v>
      </c>
      <c r="C440" s="11" t="s">
        <v>6317</v>
      </c>
      <c r="D440" s="12" t="s">
        <v>107</v>
      </c>
      <c r="E440" s="13" t="s">
        <v>6318</v>
      </c>
      <c r="F440" s="12">
        <v>28.0</v>
      </c>
      <c r="G440" s="12">
        <v>1997.0</v>
      </c>
      <c r="H440" s="15">
        <v>21.8</v>
      </c>
      <c r="I440" s="17">
        <v>0.23</v>
      </c>
      <c r="J440" s="19">
        <v>0.0</v>
      </c>
      <c r="K440" s="19">
        <v>0.0</v>
      </c>
      <c r="L440" s="18">
        <v>1.06</v>
      </c>
      <c r="M440" s="18">
        <v>1.51</v>
      </c>
      <c r="N440" s="18">
        <v>0.46</v>
      </c>
      <c r="O440" s="18">
        <v>0.83</v>
      </c>
      <c r="P440" s="18">
        <v>0.32</v>
      </c>
      <c r="Q440" s="18">
        <v>0.73</v>
      </c>
      <c r="R440" s="36"/>
      <c r="S440" s="36"/>
      <c r="T440" s="19">
        <v>0.0</v>
      </c>
      <c r="U440" s="20" t="s">
        <v>6319</v>
      </c>
    </row>
    <row r="441">
      <c r="A441" s="50">
        <v>423.0</v>
      </c>
      <c r="B441" s="13" t="s">
        <v>6320</v>
      </c>
      <c r="C441" s="11" t="s">
        <v>6321</v>
      </c>
      <c r="D441" s="12" t="s">
        <v>31</v>
      </c>
      <c r="E441" s="13" t="s">
        <v>6322</v>
      </c>
      <c r="F441" s="12">
        <v>18.0</v>
      </c>
      <c r="G441" s="12">
        <v>2007.0</v>
      </c>
      <c r="H441" s="15">
        <v>8.5</v>
      </c>
      <c r="I441" s="17">
        <v>0.12</v>
      </c>
      <c r="J441" s="19">
        <v>0.0</v>
      </c>
      <c r="K441" s="19">
        <v>0.0</v>
      </c>
      <c r="L441" s="18">
        <v>0.94</v>
      </c>
      <c r="M441" s="18">
        <v>0.94</v>
      </c>
      <c r="N441" s="18">
        <v>0.24</v>
      </c>
      <c r="O441" s="18">
        <v>1.29</v>
      </c>
      <c r="P441" s="18">
        <v>0.47</v>
      </c>
      <c r="Q441" s="18">
        <v>0.94</v>
      </c>
      <c r="R441" s="36"/>
      <c r="S441" s="36"/>
      <c r="T441" s="19">
        <v>0.0</v>
      </c>
      <c r="U441" s="20" t="s">
        <v>6323</v>
      </c>
    </row>
    <row r="442">
      <c r="A442" s="50">
        <v>424.0</v>
      </c>
      <c r="B442" s="13" t="s">
        <v>6324</v>
      </c>
      <c r="C442" s="11" t="s">
        <v>6325</v>
      </c>
      <c r="D442" s="12" t="s">
        <v>107</v>
      </c>
      <c r="E442" s="13" t="s">
        <v>6326</v>
      </c>
      <c r="F442" s="12">
        <v>28.0</v>
      </c>
      <c r="G442" s="12">
        <v>1997.0</v>
      </c>
      <c r="H442" s="15">
        <v>0.3</v>
      </c>
      <c r="I442" s="22">
        <v>0.0</v>
      </c>
      <c r="J442" s="19">
        <v>0.0</v>
      </c>
      <c r="K442" s="19">
        <v>0.0</v>
      </c>
      <c r="L442" s="19">
        <v>0.0</v>
      </c>
      <c r="M442" s="19">
        <v>0.0</v>
      </c>
      <c r="N442" s="19">
        <v>0.0</v>
      </c>
      <c r="O442" s="19">
        <v>0.0</v>
      </c>
      <c r="P442" s="19">
        <v>0.0</v>
      </c>
      <c r="Q442" s="19">
        <v>0.0</v>
      </c>
      <c r="R442" s="36"/>
      <c r="S442" s="36"/>
      <c r="T442" s="19">
        <v>0.0</v>
      </c>
      <c r="U442" s="20" t="s">
        <v>6327</v>
      </c>
    </row>
    <row r="443">
      <c r="A443" s="50">
        <v>425.0</v>
      </c>
      <c r="B443" s="13" t="s">
        <v>6328</v>
      </c>
      <c r="C443" s="11" t="s">
        <v>6329</v>
      </c>
      <c r="D443" s="12" t="s">
        <v>36</v>
      </c>
      <c r="E443" s="13" t="s">
        <v>6330</v>
      </c>
      <c r="F443" s="12">
        <v>31.0</v>
      </c>
      <c r="G443" s="12">
        <v>1994.0</v>
      </c>
      <c r="H443" s="15">
        <v>13.1</v>
      </c>
      <c r="I443" s="22">
        <v>0.0</v>
      </c>
      <c r="J443" s="19">
        <v>0.0</v>
      </c>
      <c r="K443" s="19">
        <v>0.0</v>
      </c>
      <c r="L443" s="18">
        <v>0.31</v>
      </c>
      <c r="M443" s="18">
        <v>0.08</v>
      </c>
      <c r="N443" s="18">
        <v>0.38</v>
      </c>
      <c r="O443" s="18">
        <v>4.05</v>
      </c>
      <c r="P443" s="18">
        <v>0.53</v>
      </c>
      <c r="Q443" s="18">
        <v>0.76</v>
      </c>
      <c r="R443" s="36"/>
      <c r="S443" s="36"/>
      <c r="T443" s="19">
        <v>0.0</v>
      </c>
      <c r="U443" s="20" t="s">
        <v>6331</v>
      </c>
    </row>
    <row r="444">
      <c r="A444" s="37" t="s">
        <v>3</v>
      </c>
      <c r="B444" s="51" t="s">
        <v>4</v>
      </c>
      <c r="C444" s="39" t="s">
        <v>5</v>
      </c>
      <c r="D444" s="39" t="s">
        <v>6</v>
      </c>
      <c r="E444" s="39" t="s">
        <v>7</v>
      </c>
      <c r="F444" s="39" t="s">
        <v>8</v>
      </c>
      <c r="G444" s="39" t="s">
        <v>9</v>
      </c>
      <c r="H444" s="39" t="s">
        <v>13</v>
      </c>
      <c r="I444" s="40" t="s">
        <v>20</v>
      </c>
      <c r="J444" s="39" t="s">
        <v>21</v>
      </c>
      <c r="K444" s="39" t="s">
        <v>4622</v>
      </c>
      <c r="L444" s="39" t="s">
        <v>4623</v>
      </c>
      <c r="M444" s="39" t="s">
        <v>4624</v>
      </c>
      <c r="N444" s="39" t="s">
        <v>4625</v>
      </c>
      <c r="O444" s="39" t="s">
        <v>4626</v>
      </c>
      <c r="P444" s="39" t="s">
        <v>4627</v>
      </c>
      <c r="Q444" s="39" t="s">
        <v>4628</v>
      </c>
      <c r="R444" s="39" t="s">
        <v>4629</v>
      </c>
      <c r="S444" s="39" t="s">
        <v>4630</v>
      </c>
      <c r="T444" s="39" t="s">
        <v>4631</v>
      </c>
      <c r="U444" s="40" t="s">
        <v>23</v>
      </c>
    </row>
    <row r="445">
      <c r="A445" s="50">
        <v>426.0</v>
      </c>
      <c r="B445" s="13" t="s">
        <v>6332</v>
      </c>
      <c r="C445" s="11" t="s">
        <v>6333</v>
      </c>
      <c r="D445" s="12" t="s">
        <v>345</v>
      </c>
      <c r="E445" s="13" t="s">
        <v>6334</v>
      </c>
      <c r="F445" s="12">
        <v>27.0</v>
      </c>
      <c r="G445" s="12">
        <v>1997.0</v>
      </c>
      <c r="H445" s="15">
        <v>16.6</v>
      </c>
      <c r="I445" s="17">
        <v>0.3</v>
      </c>
      <c r="J445" s="19">
        <v>0.0</v>
      </c>
      <c r="K445" s="19">
        <v>0.0</v>
      </c>
      <c r="L445" s="18">
        <v>0.9</v>
      </c>
      <c r="M445" s="18">
        <v>0.54</v>
      </c>
      <c r="N445" s="18">
        <v>0.12</v>
      </c>
      <c r="O445" s="18">
        <v>4.64</v>
      </c>
      <c r="P445" s="18">
        <v>1.69</v>
      </c>
      <c r="Q445" s="18">
        <v>1.87</v>
      </c>
      <c r="R445" s="36"/>
      <c r="S445" s="36"/>
      <c r="T445" s="19">
        <v>0.0</v>
      </c>
      <c r="U445" s="20" t="s">
        <v>6335</v>
      </c>
    </row>
    <row r="446">
      <c r="A446" s="50">
        <v>427.0</v>
      </c>
      <c r="B446" s="13" t="s">
        <v>6336</v>
      </c>
      <c r="C446" s="11" t="s">
        <v>6337</v>
      </c>
      <c r="D446" s="12" t="s">
        <v>345</v>
      </c>
      <c r="E446" s="13" t="s">
        <v>6338</v>
      </c>
      <c r="F446" s="12">
        <v>20.0</v>
      </c>
      <c r="G446" s="12">
        <v>2004.0</v>
      </c>
      <c r="H446" s="21">
        <v>0.0</v>
      </c>
      <c r="I446" s="23">
        <v>0.0</v>
      </c>
      <c r="J446" s="21">
        <v>0.0</v>
      </c>
      <c r="K446" s="21">
        <v>0.0</v>
      </c>
      <c r="L446" s="15">
        <v>1.0</v>
      </c>
      <c r="M446" s="21">
        <v>0.0</v>
      </c>
      <c r="N446" s="21">
        <v>0.0</v>
      </c>
      <c r="O446" s="21">
        <v>0.0</v>
      </c>
      <c r="P446" s="21">
        <v>0.0</v>
      </c>
      <c r="Q446" s="21">
        <v>0.0</v>
      </c>
      <c r="R446" s="36"/>
      <c r="S446" s="36"/>
      <c r="T446" s="21">
        <v>0.0</v>
      </c>
      <c r="U446" s="20" t="s">
        <v>6339</v>
      </c>
    </row>
    <row r="447">
      <c r="A447" s="50">
        <v>428.0</v>
      </c>
      <c r="B447" s="13" t="s">
        <v>6340</v>
      </c>
      <c r="C447" s="11" t="s">
        <v>6341</v>
      </c>
      <c r="D447" s="12" t="s">
        <v>36</v>
      </c>
      <c r="E447" s="13" t="s">
        <v>6342</v>
      </c>
      <c r="F447" s="12">
        <v>27.0</v>
      </c>
      <c r="G447" s="12">
        <v>1997.0</v>
      </c>
      <c r="H447" s="15">
        <v>32.8</v>
      </c>
      <c r="I447" s="17">
        <v>0.09</v>
      </c>
      <c r="J447" s="19">
        <v>0.0</v>
      </c>
      <c r="K447" s="19">
        <v>0.0</v>
      </c>
      <c r="L447" s="18">
        <v>0.52</v>
      </c>
      <c r="M447" s="18">
        <v>0.58</v>
      </c>
      <c r="N447" s="18">
        <v>0.03</v>
      </c>
      <c r="O447" s="18">
        <v>0.18</v>
      </c>
      <c r="P447" s="18">
        <v>0.91</v>
      </c>
      <c r="Q447" s="18">
        <v>0.58</v>
      </c>
      <c r="R447" s="36"/>
      <c r="S447" s="36"/>
      <c r="T447" s="19">
        <v>0.0</v>
      </c>
      <c r="U447" s="20" t="s">
        <v>6343</v>
      </c>
    </row>
    <row r="448">
      <c r="A448" s="50">
        <v>429.0</v>
      </c>
      <c r="B448" s="13" t="s">
        <v>6344</v>
      </c>
      <c r="C448" s="11" t="s">
        <v>6345</v>
      </c>
      <c r="D448" s="12" t="s">
        <v>31</v>
      </c>
      <c r="E448" s="13" t="s">
        <v>6346</v>
      </c>
      <c r="F448" s="12">
        <v>29.0</v>
      </c>
      <c r="G448" s="12">
        <v>1996.0</v>
      </c>
      <c r="H448" s="15">
        <v>16.8</v>
      </c>
      <c r="I448" s="17">
        <v>0.18</v>
      </c>
      <c r="J448" s="19">
        <v>0.0</v>
      </c>
      <c r="K448" s="19">
        <v>0.0</v>
      </c>
      <c r="L448" s="18">
        <v>0.83</v>
      </c>
      <c r="M448" s="18">
        <v>1.85</v>
      </c>
      <c r="N448" s="19">
        <v>0.0</v>
      </c>
      <c r="O448" s="18">
        <v>0.3</v>
      </c>
      <c r="P448" s="18">
        <v>0.71</v>
      </c>
      <c r="Q448" s="18">
        <v>1.49</v>
      </c>
      <c r="R448" s="36"/>
      <c r="S448" s="36"/>
      <c r="T448" s="19">
        <v>0.0</v>
      </c>
      <c r="U448" s="20" t="s">
        <v>6347</v>
      </c>
    </row>
    <row r="449">
      <c r="A449" s="50">
        <v>430.0</v>
      </c>
      <c r="B449" s="13" t="s">
        <v>6348</v>
      </c>
      <c r="C449" s="11" t="s">
        <v>6349</v>
      </c>
      <c r="D449" s="12" t="s">
        <v>31</v>
      </c>
      <c r="E449" s="13" t="s">
        <v>6350</v>
      </c>
      <c r="F449" s="12">
        <v>31.0</v>
      </c>
      <c r="G449" s="12">
        <v>1994.0</v>
      </c>
      <c r="H449" s="15">
        <v>2.0</v>
      </c>
      <c r="I449" s="17">
        <v>0.5</v>
      </c>
      <c r="J449" s="19">
        <v>0.0</v>
      </c>
      <c r="K449" s="19">
        <v>0.0</v>
      </c>
      <c r="L449" s="18">
        <v>1.0</v>
      </c>
      <c r="M449" s="18">
        <v>2.0</v>
      </c>
      <c r="N449" s="19">
        <v>0.0</v>
      </c>
      <c r="O449" s="18">
        <v>1.0</v>
      </c>
      <c r="P449" s="18">
        <v>1.0</v>
      </c>
      <c r="Q449" s="19">
        <v>0.0</v>
      </c>
      <c r="R449" s="36"/>
      <c r="S449" s="36"/>
      <c r="T449" s="19">
        <v>0.0</v>
      </c>
      <c r="U449" s="20" t="s">
        <v>6351</v>
      </c>
    </row>
    <row r="450">
      <c r="A450" s="50">
        <v>431.0</v>
      </c>
      <c r="B450" s="13" t="s">
        <v>6352</v>
      </c>
      <c r="C450" s="11" t="s">
        <v>6353</v>
      </c>
      <c r="D450" s="12" t="s">
        <v>98</v>
      </c>
      <c r="E450" s="13" t="s">
        <v>6354</v>
      </c>
      <c r="F450" s="12">
        <v>22.0</v>
      </c>
      <c r="G450" s="12">
        <v>2003.0</v>
      </c>
      <c r="H450" s="15">
        <v>35.0</v>
      </c>
      <c r="I450" s="17">
        <v>0.11</v>
      </c>
      <c r="J450" s="19">
        <v>0.0</v>
      </c>
      <c r="K450" s="19">
        <v>0.0</v>
      </c>
      <c r="L450" s="19">
        <v>0.0</v>
      </c>
      <c r="M450" s="18">
        <v>0.4</v>
      </c>
      <c r="N450" s="19">
        <v>0.0</v>
      </c>
      <c r="O450" s="19">
        <v>0.0</v>
      </c>
      <c r="P450" s="19">
        <v>0.0</v>
      </c>
      <c r="Q450" s="19">
        <v>0.0</v>
      </c>
      <c r="R450" s="36"/>
      <c r="S450" s="36"/>
      <c r="T450" s="19">
        <v>0.0</v>
      </c>
      <c r="U450" s="20" t="s">
        <v>6355</v>
      </c>
    </row>
    <row r="451">
      <c r="A451" s="50">
        <v>432.0</v>
      </c>
      <c r="B451" s="13" t="s">
        <v>6356</v>
      </c>
      <c r="C451" s="11" t="s">
        <v>6357</v>
      </c>
      <c r="D451" s="12" t="s">
        <v>31</v>
      </c>
      <c r="E451" s="13" t="s">
        <v>6358</v>
      </c>
      <c r="F451" s="12">
        <v>23.0</v>
      </c>
      <c r="G451" s="12">
        <v>2002.0</v>
      </c>
      <c r="H451" s="15">
        <v>36.4</v>
      </c>
      <c r="I451" s="17">
        <v>0.19</v>
      </c>
      <c r="J451" s="19">
        <v>0.0</v>
      </c>
      <c r="K451" s="19">
        <v>0.0</v>
      </c>
      <c r="L451" s="18">
        <v>1.26</v>
      </c>
      <c r="M451" s="18">
        <v>1.35</v>
      </c>
      <c r="N451" s="18">
        <v>0.08</v>
      </c>
      <c r="O451" s="18">
        <v>1.4</v>
      </c>
      <c r="P451" s="18">
        <v>0.36</v>
      </c>
      <c r="Q451" s="18">
        <v>0.63</v>
      </c>
      <c r="R451" s="36"/>
      <c r="S451" s="36"/>
      <c r="T451" s="19">
        <v>0.0</v>
      </c>
      <c r="U451" s="20" t="s">
        <v>6359</v>
      </c>
    </row>
    <row r="452">
      <c r="A452" s="50">
        <v>433.0</v>
      </c>
      <c r="B452" s="13" t="s">
        <v>6360</v>
      </c>
      <c r="C452" s="11" t="s">
        <v>6361</v>
      </c>
      <c r="D452" s="12" t="s">
        <v>31</v>
      </c>
      <c r="E452" s="13" t="s">
        <v>6362</v>
      </c>
      <c r="F452" s="12">
        <v>23.0</v>
      </c>
      <c r="G452" s="12">
        <v>2002.0</v>
      </c>
      <c r="H452" s="15">
        <v>7.6</v>
      </c>
      <c r="I452" s="22">
        <v>0.0</v>
      </c>
      <c r="J452" s="19">
        <v>0.0</v>
      </c>
      <c r="K452" s="19">
        <v>0.0</v>
      </c>
      <c r="L452" s="18">
        <v>2.63</v>
      </c>
      <c r="M452" s="18">
        <v>0.92</v>
      </c>
      <c r="N452" s="18">
        <v>0.26</v>
      </c>
      <c r="O452" s="18">
        <v>0.66</v>
      </c>
      <c r="P452" s="18">
        <v>0.53</v>
      </c>
      <c r="Q452" s="18">
        <v>1.71</v>
      </c>
      <c r="R452" s="36"/>
      <c r="S452" s="36"/>
      <c r="T452" s="19">
        <v>0.0</v>
      </c>
      <c r="U452" s="20" t="s">
        <v>6363</v>
      </c>
    </row>
    <row r="453">
      <c r="A453" s="50">
        <v>434.0</v>
      </c>
      <c r="B453" s="13" t="s">
        <v>6364</v>
      </c>
      <c r="C453" s="11" t="s">
        <v>6365</v>
      </c>
      <c r="D453" s="12" t="s">
        <v>36</v>
      </c>
      <c r="E453" s="13" t="s">
        <v>6366</v>
      </c>
      <c r="F453" s="12">
        <v>27.0</v>
      </c>
      <c r="G453" s="12">
        <v>1998.0</v>
      </c>
      <c r="H453" s="15">
        <v>20.8</v>
      </c>
      <c r="I453" s="17">
        <v>0.53</v>
      </c>
      <c r="J453" s="18">
        <v>0.1</v>
      </c>
      <c r="K453" s="18">
        <v>0.05</v>
      </c>
      <c r="L453" s="18">
        <v>1.54</v>
      </c>
      <c r="M453" s="18">
        <v>0.77</v>
      </c>
      <c r="N453" s="18">
        <v>0.05</v>
      </c>
      <c r="O453" s="18">
        <v>0.05</v>
      </c>
      <c r="P453" s="18">
        <v>1.49</v>
      </c>
      <c r="Q453" s="18">
        <v>1.44</v>
      </c>
      <c r="R453" s="36"/>
      <c r="S453" s="36"/>
      <c r="T453" s="19">
        <v>0.0</v>
      </c>
      <c r="U453" s="20" t="s">
        <v>6367</v>
      </c>
    </row>
    <row r="454">
      <c r="A454" s="50">
        <v>435.0</v>
      </c>
      <c r="B454" s="13" t="s">
        <v>6368</v>
      </c>
      <c r="C454" s="11" t="s">
        <v>6369</v>
      </c>
      <c r="D454" s="12" t="s">
        <v>36</v>
      </c>
      <c r="E454" s="13" t="s">
        <v>6370</v>
      </c>
      <c r="F454" s="12">
        <v>19.0</v>
      </c>
      <c r="G454" s="12">
        <v>2006.0</v>
      </c>
      <c r="H454" s="21">
        <v>0.0</v>
      </c>
      <c r="I454" s="23">
        <v>0.0</v>
      </c>
      <c r="J454" s="21">
        <v>0.0</v>
      </c>
      <c r="K454" s="21">
        <v>0.0</v>
      </c>
      <c r="L454" s="21">
        <v>0.0</v>
      </c>
      <c r="M454" s="21">
        <v>0.0</v>
      </c>
      <c r="N454" s="21">
        <v>0.0</v>
      </c>
      <c r="O454" s="21">
        <v>0.0</v>
      </c>
      <c r="P454" s="21">
        <v>0.0</v>
      </c>
      <c r="Q454" s="21">
        <v>0.0</v>
      </c>
      <c r="R454" s="36"/>
      <c r="S454" s="36"/>
      <c r="T454" s="21">
        <v>0.0</v>
      </c>
      <c r="U454" s="20" t="s">
        <v>6371</v>
      </c>
    </row>
    <row r="455">
      <c r="A455" s="50">
        <v>436.0</v>
      </c>
      <c r="B455" s="13" t="s">
        <v>6372</v>
      </c>
      <c r="C455" s="11" t="s">
        <v>6373</v>
      </c>
      <c r="D455" s="12" t="s">
        <v>26</v>
      </c>
      <c r="E455" s="13" t="s">
        <v>6374</v>
      </c>
      <c r="F455" s="12">
        <v>23.0</v>
      </c>
      <c r="G455" s="12">
        <v>2002.0</v>
      </c>
      <c r="H455" s="15">
        <v>19.8</v>
      </c>
      <c r="I455" s="17">
        <v>0.1</v>
      </c>
      <c r="J455" s="19">
        <v>0.0</v>
      </c>
      <c r="K455" s="19">
        <v>0.0</v>
      </c>
      <c r="L455" s="18">
        <v>1.52</v>
      </c>
      <c r="M455" s="18">
        <v>1.72</v>
      </c>
      <c r="N455" s="18">
        <v>0.56</v>
      </c>
      <c r="O455" s="18">
        <v>1.01</v>
      </c>
      <c r="P455" s="18">
        <v>0.56</v>
      </c>
      <c r="Q455" s="18">
        <v>0.96</v>
      </c>
      <c r="R455" s="36"/>
      <c r="S455" s="36"/>
      <c r="T455" s="18">
        <v>0.05</v>
      </c>
      <c r="U455" s="20" t="s">
        <v>6375</v>
      </c>
    </row>
    <row r="456">
      <c r="A456" s="50">
        <v>437.0</v>
      </c>
      <c r="B456" s="13" t="s">
        <v>6376</v>
      </c>
      <c r="C456" s="11" t="s">
        <v>6377</v>
      </c>
      <c r="D456" s="12" t="s">
        <v>98</v>
      </c>
      <c r="E456" s="13" t="s">
        <v>6378</v>
      </c>
      <c r="F456" s="12">
        <v>32.0</v>
      </c>
      <c r="G456" s="12">
        <v>1993.0</v>
      </c>
      <c r="H456" s="15">
        <v>23.0</v>
      </c>
      <c r="I456" s="17">
        <v>0.09</v>
      </c>
      <c r="J456" s="19">
        <v>0.0</v>
      </c>
      <c r="K456" s="19">
        <v>0.0</v>
      </c>
      <c r="L456" s="19">
        <v>0.0</v>
      </c>
      <c r="M456" s="18">
        <v>0.26</v>
      </c>
      <c r="N456" s="19">
        <v>0.0</v>
      </c>
      <c r="O456" s="19">
        <v>0.0</v>
      </c>
      <c r="P456" s="19">
        <v>0.0</v>
      </c>
      <c r="Q456" s="19">
        <v>0.0</v>
      </c>
      <c r="R456" s="36"/>
      <c r="S456" s="36"/>
      <c r="T456" s="19">
        <v>0.0</v>
      </c>
      <c r="U456" s="20" t="s">
        <v>6379</v>
      </c>
    </row>
    <row r="457">
      <c r="A457" s="50">
        <v>438.0</v>
      </c>
      <c r="B457" s="13" t="s">
        <v>6380</v>
      </c>
      <c r="C457" s="11" t="s">
        <v>6381</v>
      </c>
      <c r="D457" s="12" t="s">
        <v>31</v>
      </c>
      <c r="E457" s="13" t="s">
        <v>6382</v>
      </c>
      <c r="F457" s="12">
        <v>20.0</v>
      </c>
      <c r="G457" s="12">
        <v>2004.0</v>
      </c>
      <c r="H457" s="15">
        <v>32.1</v>
      </c>
      <c r="I457" s="17">
        <v>0.28</v>
      </c>
      <c r="J457" s="19">
        <v>0.0</v>
      </c>
      <c r="K457" s="19">
        <v>0.0</v>
      </c>
      <c r="L457" s="18">
        <v>0.97</v>
      </c>
      <c r="M457" s="18">
        <v>1.25</v>
      </c>
      <c r="N457" s="18">
        <v>0.06</v>
      </c>
      <c r="O457" s="18">
        <v>0.65</v>
      </c>
      <c r="P457" s="18">
        <v>1.03</v>
      </c>
      <c r="Q457" s="18">
        <v>0.81</v>
      </c>
      <c r="R457" s="36"/>
      <c r="S457" s="36"/>
      <c r="T457" s="19">
        <v>0.0</v>
      </c>
      <c r="U457" s="20" t="s">
        <v>6383</v>
      </c>
    </row>
    <row r="458">
      <c r="A458" s="50">
        <v>439.0</v>
      </c>
      <c r="B458" s="13" t="s">
        <v>6384</v>
      </c>
      <c r="C458" s="11" t="s">
        <v>6385</v>
      </c>
      <c r="D458" s="12" t="s">
        <v>107</v>
      </c>
      <c r="E458" s="13" t="s">
        <v>6386</v>
      </c>
      <c r="F458" s="12">
        <v>23.0</v>
      </c>
      <c r="G458" s="12">
        <v>2001.0</v>
      </c>
      <c r="H458" s="15">
        <v>24.7</v>
      </c>
      <c r="I458" s="17">
        <v>0.08</v>
      </c>
      <c r="J458" s="19">
        <v>0.0</v>
      </c>
      <c r="K458" s="19">
        <v>0.0</v>
      </c>
      <c r="L458" s="18">
        <v>1.34</v>
      </c>
      <c r="M458" s="18">
        <v>2.19</v>
      </c>
      <c r="N458" s="18">
        <v>0.57</v>
      </c>
      <c r="O458" s="18">
        <v>4.94</v>
      </c>
      <c r="P458" s="18">
        <v>0.65</v>
      </c>
      <c r="Q458" s="18">
        <v>0.77</v>
      </c>
      <c r="R458" s="36"/>
      <c r="S458" s="36"/>
      <c r="T458" s="19">
        <v>0.0</v>
      </c>
      <c r="U458" s="20" t="s">
        <v>6387</v>
      </c>
    </row>
    <row r="459">
      <c r="A459" s="50">
        <v>440.0</v>
      </c>
      <c r="B459" s="13" t="s">
        <v>6388</v>
      </c>
      <c r="C459" s="11" t="s">
        <v>6389</v>
      </c>
      <c r="D459" s="12" t="s">
        <v>31</v>
      </c>
      <c r="E459" s="13" t="s">
        <v>6390</v>
      </c>
      <c r="F459" s="12">
        <v>33.0</v>
      </c>
      <c r="G459" s="12">
        <v>1992.0</v>
      </c>
      <c r="H459" s="15">
        <v>23.8</v>
      </c>
      <c r="I459" s="17">
        <v>0.04</v>
      </c>
      <c r="J459" s="19">
        <v>0.0</v>
      </c>
      <c r="K459" s="19">
        <v>0.0</v>
      </c>
      <c r="L459" s="18">
        <v>0.42</v>
      </c>
      <c r="M459" s="18">
        <v>0.67</v>
      </c>
      <c r="N459" s="18">
        <v>0.59</v>
      </c>
      <c r="O459" s="18">
        <v>4.92</v>
      </c>
      <c r="P459" s="18">
        <v>0.13</v>
      </c>
      <c r="Q459" s="18">
        <v>0.5</v>
      </c>
      <c r="R459" s="36"/>
      <c r="S459" s="36"/>
      <c r="T459" s="19">
        <v>0.0</v>
      </c>
      <c r="U459" s="20" t="s">
        <v>6391</v>
      </c>
    </row>
    <row r="460">
      <c r="A460" s="50">
        <v>441.0</v>
      </c>
      <c r="B460" s="13" t="s">
        <v>6392</v>
      </c>
      <c r="C460" s="11" t="s">
        <v>6393</v>
      </c>
      <c r="D460" s="12" t="s">
        <v>36</v>
      </c>
      <c r="E460" s="13" t="s">
        <v>6394</v>
      </c>
      <c r="F460" s="12">
        <v>24.0</v>
      </c>
      <c r="G460" s="12">
        <v>2001.0</v>
      </c>
      <c r="H460" s="15">
        <v>29.0</v>
      </c>
      <c r="I460" s="17">
        <v>0.07</v>
      </c>
      <c r="J460" s="19">
        <v>0.0</v>
      </c>
      <c r="K460" s="19">
        <v>0.0</v>
      </c>
      <c r="L460" s="18">
        <v>0.76</v>
      </c>
      <c r="M460" s="18">
        <v>0.55</v>
      </c>
      <c r="N460" s="18">
        <v>0.03</v>
      </c>
      <c r="O460" s="18">
        <v>0.31</v>
      </c>
      <c r="P460" s="18">
        <v>0.52</v>
      </c>
      <c r="Q460" s="18">
        <v>0.79</v>
      </c>
      <c r="R460" s="36"/>
      <c r="S460" s="36"/>
      <c r="T460" s="19">
        <v>0.0</v>
      </c>
      <c r="U460" s="20" t="s">
        <v>6395</v>
      </c>
    </row>
    <row r="461">
      <c r="A461" s="50">
        <v>442.0</v>
      </c>
      <c r="B461" s="13" t="s">
        <v>6396</v>
      </c>
      <c r="C461" s="11" t="s">
        <v>6397</v>
      </c>
      <c r="D461" s="12" t="s">
        <v>98</v>
      </c>
      <c r="E461" s="13" t="s">
        <v>6398</v>
      </c>
      <c r="F461" s="12">
        <v>27.0</v>
      </c>
      <c r="G461" s="12">
        <v>1997.0</v>
      </c>
      <c r="H461" s="15">
        <v>33.8</v>
      </c>
      <c r="I461" s="17">
        <v>0.09</v>
      </c>
      <c r="J461" s="18">
        <v>0.03</v>
      </c>
      <c r="K461" s="19">
        <v>0.0</v>
      </c>
      <c r="L461" s="18">
        <v>0.06</v>
      </c>
      <c r="M461" s="18">
        <v>0.38</v>
      </c>
      <c r="N461" s="19">
        <v>0.0</v>
      </c>
      <c r="O461" s="19">
        <v>0.0</v>
      </c>
      <c r="P461" s="18">
        <v>0.03</v>
      </c>
      <c r="Q461" s="19">
        <v>0.0</v>
      </c>
      <c r="R461" s="36"/>
      <c r="S461" s="36"/>
      <c r="T461" s="19">
        <v>0.0</v>
      </c>
      <c r="U461" s="20" t="s">
        <v>6399</v>
      </c>
    </row>
    <row r="462">
      <c r="A462" s="50">
        <v>443.0</v>
      </c>
      <c r="B462" s="13" t="s">
        <v>6400</v>
      </c>
      <c r="C462" s="11" t="s">
        <v>6401</v>
      </c>
      <c r="D462" s="12" t="s">
        <v>31</v>
      </c>
      <c r="E462" s="13" t="s">
        <v>6402</v>
      </c>
      <c r="F462" s="12">
        <v>25.0</v>
      </c>
      <c r="G462" s="12">
        <v>2000.0</v>
      </c>
      <c r="H462" s="15">
        <v>9.7</v>
      </c>
      <c r="I462" s="22">
        <v>0.0</v>
      </c>
      <c r="J462" s="19">
        <v>0.0</v>
      </c>
      <c r="K462" s="19">
        <v>0.0</v>
      </c>
      <c r="L462" s="18">
        <v>0.31</v>
      </c>
      <c r="M462" s="18">
        <v>0.21</v>
      </c>
      <c r="N462" s="18">
        <v>0.31</v>
      </c>
      <c r="O462" s="18">
        <v>2.37</v>
      </c>
      <c r="P462" s="18">
        <v>0.21</v>
      </c>
      <c r="Q462" s="18">
        <v>0.21</v>
      </c>
      <c r="R462" s="36"/>
      <c r="S462" s="36"/>
      <c r="T462" s="19">
        <v>0.0</v>
      </c>
      <c r="U462" s="20" t="s">
        <v>6403</v>
      </c>
    </row>
    <row r="463">
      <c r="A463" s="50">
        <v>444.0</v>
      </c>
      <c r="B463" s="13" t="s">
        <v>6404</v>
      </c>
      <c r="C463" s="11" t="s">
        <v>6405</v>
      </c>
      <c r="D463" s="12" t="s">
        <v>31</v>
      </c>
      <c r="E463" s="13" t="s">
        <v>6406</v>
      </c>
      <c r="F463" s="12">
        <v>27.0</v>
      </c>
      <c r="G463" s="12">
        <v>1997.0</v>
      </c>
      <c r="H463" s="15">
        <v>23.1</v>
      </c>
      <c r="I463" s="17">
        <v>0.22</v>
      </c>
      <c r="J463" s="19">
        <v>0.0</v>
      </c>
      <c r="K463" s="19">
        <v>0.0</v>
      </c>
      <c r="L463" s="18">
        <v>1.82</v>
      </c>
      <c r="M463" s="18">
        <v>0.78</v>
      </c>
      <c r="N463" s="19">
        <v>0.0</v>
      </c>
      <c r="O463" s="18">
        <v>0.35</v>
      </c>
      <c r="P463" s="18">
        <v>0.95</v>
      </c>
      <c r="Q463" s="18">
        <v>1.39</v>
      </c>
      <c r="R463" s="36"/>
      <c r="S463" s="36"/>
      <c r="T463" s="19">
        <v>0.0</v>
      </c>
      <c r="U463" s="20" t="s">
        <v>6407</v>
      </c>
    </row>
    <row r="464">
      <c r="A464" s="50">
        <v>445.0</v>
      </c>
      <c r="B464" s="13" t="s">
        <v>6408</v>
      </c>
      <c r="C464" s="11" t="s">
        <v>6409</v>
      </c>
      <c r="D464" s="12" t="s">
        <v>31</v>
      </c>
      <c r="E464" s="13" t="s">
        <v>6410</v>
      </c>
      <c r="F464" s="12">
        <v>21.0</v>
      </c>
      <c r="G464" s="12">
        <v>2004.0</v>
      </c>
      <c r="H464" s="15">
        <v>14.0</v>
      </c>
      <c r="I464" s="17">
        <v>0.29</v>
      </c>
      <c r="J464" s="19">
        <v>0.0</v>
      </c>
      <c r="K464" s="19">
        <v>0.0</v>
      </c>
      <c r="L464" s="18">
        <v>0.93</v>
      </c>
      <c r="M464" s="18">
        <v>1.57</v>
      </c>
      <c r="N464" s="18">
        <v>0.07</v>
      </c>
      <c r="O464" s="18">
        <v>0.14</v>
      </c>
      <c r="P464" s="18">
        <v>1.29</v>
      </c>
      <c r="Q464" s="18">
        <v>1.5</v>
      </c>
      <c r="R464" s="36"/>
      <c r="S464" s="36"/>
      <c r="T464" s="19">
        <v>0.0</v>
      </c>
      <c r="U464" s="20" t="s">
        <v>6411</v>
      </c>
    </row>
    <row r="465">
      <c r="A465" s="50">
        <v>446.0</v>
      </c>
      <c r="B465" s="13" t="s">
        <v>6412</v>
      </c>
      <c r="C465" s="11" t="s">
        <v>6413</v>
      </c>
      <c r="D465" s="12" t="s">
        <v>31</v>
      </c>
      <c r="E465" s="13" t="s">
        <v>6414</v>
      </c>
      <c r="F465" s="12">
        <v>27.0</v>
      </c>
      <c r="G465" s="12">
        <v>1998.0</v>
      </c>
      <c r="H465" s="15">
        <v>24.2</v>
      </c>
      <c r="I465" s="17">
        <v>0.08</v>
      </c>
      <c r="J465" s="19">
        <v>0.0</v>
      </c>
      <c r="K465" s="19">
        <v>0.0</v>
      </c>
      <c r="L465" s="18">
        <v>0.5</v>
      </c>
      <c r="M465" s="18">
        <v>1.74</v>
      </c>
      <c r="N465" s="18">
        <v>0.58</v>
      </c>
      <c r="O465" s="18">
        <v>0.99</v>
      </c>
      <c r="P465" s="18">
        <v>0.29</v>
      </c>
      <c r="Q465" s="18">
        <v>0.37</v>
      </c>
      <c r="R465" s="36"/>
      <c r="S465" s="36"/>
      <c r="T465" s="19">
        <v>0.0</v>
      </c>
      <c r="U465" s="20" t="s">
        <v>6415</v>
      </c>
    </row>
    <row r="466">
      <c r="A466" s="50">
        <v>447.0</v>
      </c>
      <c r="B466" s="13" t="s">
        <v>6416</v>
      </c>
      <c r="C466" s="11" t="s">
        <v>6417</v>
      </c>
      <c r="D466" s="12" t="s">
        <v>36</v>
      </c>
      <c r="E466" s="13" t="s">
        <v>6418</v>
      </c>
      <c r="F466" s="12">
        <v>19.0</v>
      </c>
      <c r="G466" s="12">
        <v>2005.0</v>
      </c>
      <c r="H466" s="15">
        <v>1.1</v>
      </c>
      <c r="I466" s="22">
        <v>0.0</v>
      </c>
      <c r="J466" s="19">
        <v>0.0</v>
      </c>
      <c r="K466" s="19">
        <v>0.0</v>
      </c>
      <c r="L466" s="19">
        <v>0.0</v>
      </c>
      <c r="M466" s="19">
        <v>0.0</v>
      </c>
      <c r="N466" s="19">
        <v>0.0</v>
      </c>
      <c r="O466" s="19">
        <v>0.0</v>
      </c>
      <c r="P466" s="18">
        <v>0.91</v>
      </c>
      <c r="Q466" s="19">
        <v>0.0</v>
      </c>
      <c r="R466" s="36"/>
      <c r="S466" s="36"/>
      <c r="T466" s="19">
        <v>0.0</v>
      </c>
      <c r="U466" s="20" t="s">
        <v>6419</v>
      </c>
    </row>
    <row r="467">
      <c r="A467" s="50">
        <v>448.0</v>
      </c>
      <c r="B467" s="13" t="s">
        <v>6420</v>
      </c>
      <c r="C467" s="11" t="s">
        <v>6421</v>
      </c>
      <c r="D467" s="12" t="s">
        <v>31</v>
      </c>
      <c r="E467" s="13" t="s">
        <v>6422</v>
      </c>
      <c r="F467" s="12">
        <v>21.0</v>
      </c>
      <c r="G467" s="12">
        <v>2004.0</v>
      </c>
      <c r="H467" s="15">
        <v>9.3</v>
      </c>
      <c r="I467" s="17">
        <v>0.22</v>
      </c>
      <c r="J467" s="19">
        <v>0.0</v>
      </c>
      <c r="K467" s="19">
        <v>0.0</v>
      </c>
      <c r="L467" s="18">
        <v>0.97</v>
      </c>
      <c r="M467" s="18">
        <v>1.61</v>
      </c>
      <c r="N467" s="18">
        <v>0.43</v>
      </c>
      <c r="O467" s="18">
        <v>4.3</v>
      </c>
      <c r="P467" s="18">
        <v>0.54</v>
      </c>
      <c r="Q467" s="18">
        <v>0.54</v>
      </c>
      <c r="R467" s="36"/>
      <c r="S467" s="36"/>
      <c r="T467" s="19">
        <v>0.0</v>
      </c>
      <c r="U467" s="20" t="s">
        <v>6423</v>
      </c>
    </row>
    <row r="468">
      <c r="A468" s="50">
        <v>449.0</v>
      </c>
      <c r="B468" s="13" t="s">
        <v>6424</v>
      </c>
      <c r="C468" s="11" t="s">
        <v>6425</v>
      </c>
      <c r="D468" s="12" t="s">
        <v>36</v>
      </c>
      <c r="E468" s="13" t="s">
        <v>6426</v>
      </c>
      <c r="F468" s="12">
        <v>22.0</v>
      </c>
      <c r="G468" s="12">
        <v>2003.0</v>
      </c>
      <c r="H468" s="15">
        <v>11.4</v>
      </c>
      <c r="I468" s="17">
        <v>0.18</v>
      </c>
      <c r="J468" s="19">
        <v>0.0</v>
      </c>
      <c r="K468" s="19">
        <v>0.0</v>
      </c>
      <c r="L468" s="18">
        <v>1.05</v>
      </c>
      <c r="M468" s="18">
        <v>0.44</v>
      </c>
      <c r="N468" s="18">
        <v>0.09</v>
      </c>
      <c r="O468" s="18">
        <v>2.37</v>
      </c>
      <c r="P468" s="18">
        <v>0.44</v>
      </c>
      <c r="Q468" s="18">
        <v>1.05</v>
      </c>
      <c r="R468" s="36"/>
      <c r="S468" s="36"/>
      <c r="T468" s="19">
        <v>0.0</v>
      </c>
      <c r="U468" s="20" t="s">
        <v>6427</v>
      </c>
    </row>
    <row r="469">
      <c r="A469" s="50">
        <v>450.0</v>
      </c>
      <c r="B469" s="13" t="s">
        <v>6428</v>
      </c>
      <c r="C469" s="11" t="s">
        <v>6429</v>
      </c>
      <c r="D469" s="12" t="s">
        <v>345</v>
      </c>
      <c r="E469" s="13" t="s">
        <v>6430</v>
      </c>
      <c r="F469" s="12">
        <v>19.0</v>
      </c>
      <c r="G469" s="12">
        <v>2005.0</v>
      </c>
      <c r="H469" s="15">
        <v>7.3</v>
      </c>
      <c r="I469" s="17">
        <v>0.27</v>
      </c>
      <c r="J469" s="19">
        <v>0.0</v>
      </c>
      <c r="K469" s="19">
        <v>0.0</v>
      </c>
      <c r="L469" s="18">
        <v>0.96</v>
      </c>
      <c r="M469" s="18">
        <v>0.96</v>
      </c>
      <c r="N469" s="18">
        <v>0.14</v>
      </c>
      <c r="O469" s="18">
        <v>4.79</v>
      </c>
      <c r="P469" s="18">
        <v>1.78</v>
      </c>
      <c r="Q469" s="18">
        <v>2.6</v>
      </c>
      <c r="R469" s="36"/>
      <c r="S469" s="36"/>
      <c r="T469" s="19">
        <v>0.0</v>
      </c>
      <c r="U469" s="20" t="s">
        <v>6431</v>
      </c>
    </row>
    <row r="470">
      <c r="A470" s="37" t="s">
        <v>3</v>
      </c>
      <c r="B470" s="51" t="s">
        <v>4</v>
      </c>
      <c r="C470" s="39" t="s">
        <v>5</v>
      </c>
      <c r="D470" s="39" t="s">
        <v>6</v>
      </c>
      <c r="E470" s="39" t="s">
        <v>7</v>
      </c>
      <c r="F470" s="39" t="s">
        <v>8</v>
      </c>
      <c r="G470" s="39" t="s">
        <v>9</v>
      </c>
      <c r="H470" s="39" t="s">
        <v>13</v>
      </c>
      <c r="I470" s="40" t="s">
        <v>20</v>
      </c>
      <c r="J470" s="39" t="s">
        <v>21</v>
      </c>
      <c r="K470" s="39" t="s">
        <v>4622</v>
      </c>
      <c r="L470" s="39" t="s">
        <v>4623</v>
      </c>
      <c r="M470" s="39" t="s">
        <v>4624</v>
      </c>
      <c r="N470" s="39" t="s">
        <v>4625</v>
      </c>
      <c r="O470" s="39" t="s">
        <v>4626</v>
      </c>
      <c r="P470" s="39" t="s">
        <v>4627</v>
      </c>
      <c r="Q470" s="39" t="s">
        <v>4628</v>
      </c>
      <c r="R470" s="39" t="s">
        <v>4629</v>
      </c>
      <c r="S470" s="39" t="s">
        <v>4630</v>
      </c>
      <c r="T470" s="39" t="s">
        <v>4631</v>
      </c>
      <c r="U470" s="40" t="s">
        <v>23</v>
      </c>
    </row>
    <row r="471">
      <c r="A471" s="50">
        <v>451.0</v>
      </c>
      <c r="B471" s="13" t="s">
        <v>6432</v>
      </c>
      <c r="C471" s="11" t="s">
        <v>6433</v>
      </c>
      <c r="D471" s="12" t="s">
        <v>41</v>
      </c>
      <c r="E471" s="13" t="s">
        <v>6434</v>
      </c>
      <c r="F471" s="12">
        <v>21.0</v>
      </c>
      <c r="G471" s="12">
        <v>2004.0</v>
      </c>
      <c r="H471" s="15">
        <v>0.1</v>
      </c>
      <c r="I471" s="22">
        <v>0.0</v>
      </c>
      <c r="J471" s="19">
        <v>0.0</v>
      </c>
      <c r="K471" s="19">
        <v>0.0</v>
      </c>
      <c r="L471" s="18">
        <v>10.0</v>
      </c>
      <c r="M471" s="19">
        <v>0.0</v>
      </c>
      <c r="N471" s="19">
        <v>0.0</v>
      </c>
      <c r="O471" s="19">
        <v>0.0</v>
      </c>
      <c r="P471" s="19">
        <v>0.0</v>
      </c>
      <c r="Q471" s="19">
        <v>0.0</v>
      </c>
      <c r="R471" s="36"/>
      <c r="S471" s="36"/>
      <c r="T471" s="19">
        <v>0.0</v>
      </c>
      <c r="U471" s="20" t="s">
        <v>6435</v>
      </c>
    </row>
    <row r="472">
      <c r="A472" s="50">
        <v>452.0</v>
      </c>
      <c r="B472" s="13" t="s">
        <v>6436</v>
      </c>
      <c r="C472" s="11" t="s">
        <v>6437</v>
      </c>
      <c r="D472" s="12" t="s">
        <v>26</v>
      </c>
      <c r="E472" s="13" t="s">
        <v>6438</v>
      </c>
      <c r="F472" s="12">
        <v>23.0</v>
      </c>
      <c r="G472" s="12">
        <v>2001.0</v>
      </c>
      <c r="H472" s="15">
        <v>30.5</v>
      </c>
      <c r="I472" s="17">
        <v>0.2</v>
      </c>
      <c r="J472" s="18">
        <v>0.03</v>
      </c>
      <c r="K472" s="19">
        <v>0.0</v>
      </c>
      <c r="L472" s="18">
        <v>1.64</v>
      </c>
      <c r="M472" s="18">
        <v>1.41</v>
      </c>
      <c r="N472" s="18">
        <v>0.33</v>
      </c>
      <c r="O472" s="18">
        <v>0.75</v>
      </c>
      <c r="P472" s="18">
        <v>0.62</v>
      </c>
      <c r="Q472" s="18">
        <v>0.89</v>
      </c>
      <c r="R472" s="36"/>
      <c r="S472" s="36"/>
      <c r="T472" s="19">
        <v>0.0</v>
      </c>
      <c r="U472" s="20" t="s">
        <v>6439</v>
      </c>
    </row>
    <row r="473">
      <c r="A473" s="50">
        <v>453.0</v>
      </c>
      <c r="B473" s="13" t="s">
        <v>6440</v>
      </c>
      <c r="C473" s="11" t="s">
        <v>6441</v>
      </c>
      <c r="D473" s="12" t="s">
        <v>36</v>
      </c>
      <c r="E473" s="13" t="s">
        <v>6442</v>
      </c>
      <c r="F473" s="12">
        <v>33.0</v>
      </c>
      <c r="G473" s="12">
        <v>1991.0</v>
      </c>
      <c r="H473" s="15">
        <v>12.1</v>
      </c>
      <c r="I473" s="17">
        <v>0.08</v>
      </c>
      <c r="J473" s="19">
        <v>0.0</v>
      </c>
      <c r="K473" s="19">
        <v>0.0</v>
      </c>
      <c r="L473" s="18">
        <v>1.24</v>
      </c>
      <c r="M473" s="18">
        <v>0.58</v>
      </c>
      <c r="N473" s="18">
        <v>0.08</v>
      </c>
      <c r="O473" s="18">
        <v>0.33</v>
      </c>
      <c r="P473" s="18">
        <v>1.32</v>
      </c>
      <c r="Q473" s="18">
        <v>0.74</v>
      </c>
      <c r="R473" s="36"/>
      <c r="S473" s="36"/>
      <c r="T473" s="19">
        <v>0.0</v>
      </c>
      <c r="U473" s="20" t="s">
        <v>6443</v>
      </c>
    </row>
    <row r="474">
      <c r="A474" s="50">
        <v>454.0</v>
      </c>
      <c r="B474" s="13" t="s">
        <v>6444</v>
      </c>
      <c r="C474" s="11" t="s">
        <v>6445</v>
      </c>
      <c r="D474" s="12" t="s">
        <v>31</v>
      </c>
      <c r="E474" s="13" t="s">
        <v>6446</v>
      </c>
      <c r="F474" s="12">
        <v>21.0</v>
      </c>
      <c r="G474" s="12">
        <v>2003.0</v>
      </c>
      <c r="H474" s="15">
        <v>31.7</v>
      </c>
      <c r="I474" s="17">
        <v>0.16</v>
      </c>
      <c r="J474" s="19">
        <v>0.0</v>
      </c>
      <c r="K474" s="19">
        <v>0.0</v>
      </c>
      <c r="L474" s="18">
        <v>1.42</v>
      </c>
      <c r="M474" s="18">
        <v>1.89</v>
      </c>
      <c r="N474" s="18">
        <v>0.03</v>
      </c>
      <c r="O474" s="18">
        <v>2.78</v>
      </c>
      <c r="P474" s="18">
        <v>1.1</v>
      </c>
      <c r="Q474" s="18">
        <v>1.2</v>
      </c>
      <c r="R474" s="36"/>
      <c r="S474" s="36"/>
      <c r="T474" s="19">
        <v>0.0</v>
      </c>
      <c r="U474" s="20" t="s">
        <v>6447</v>
      </c>
    </row>
    <row r="475">
      <c r="A475" s="50">
        <v>455.0</v>
      </c>
      <c r="B475" s="13" t="s">
        <v>6448</v>
      </c>
      <c r="C475" s="11" t="s">
        <v>6449</v>
      </c>
      <c r="D475" s="12" t="s">
        <v>36</v>
      </c>
      <c r="E475" s="13" t="s">
        <v>6450</v>
      </c>
      <c r="F475" s="12">
        <v>22.0</v>
      </c>
      <c r="G475" s="12">
        <v>2003.0</v>
      </c>
      <c r="H475" s="15">
        <v>1.5</v>
      </c>
      <c r="I475" s="22">
        <v>0.0</v>
      </c>
      <c r="J475" s="19">
        <v>0.0</v>
      </c>
      <c r="K475" s="19">
        <v>0.0</v>
      </c>
      <c r="L475" s="18">
        <v>0.67</v>
      </c>
      <c r="M475" s="18">
        <v>0.67</v>
      </c>
      <c r="N475" s="19">
        <v>0.0</v>
      </c>
      <c r="O475" s="18">
        <v>0.67</v>
      </c>
      <c r="P475" s="19">
        <v>0.0</v>
      </c>
      <c r="Q475" s="19">
        <v>0.0</v>
      </c>
      <c r="R475" s="36"/>
      <c r="S475" s="36"/>
      <c r="T475" s="19">
        <v>0.0</v>
      </c>
      <c r="U475" s="20" t="s">
        <v>6451</v>
      </c>
    </row>
    <row r="476">
      <c r="A476" s="50">
        <v>456.0</v>
      </c>
      <c r="B476" s="13" t="s">
        <v>6452</v>
      </c>
      <c r="C476" s="11" t="s">
        <v>6453</v>
      </c>
      <c r="D476" s="12" t="s">
        <v>98</v>
      </c>
      <c r="E476" s="13" t="s">
        <v>6454</v>
      </c>
      <c r="F476" s="12">
        <v>33.0</v>
      </c>
      <c r="G476" s="12">
        <v>1992.0</v>
      </c>
      <c r="H476" s="15">
        <v>29.6</v>
      </c>
      <c r="I476" s="17">
        <v>0.07</v>
      </c>
      <c r="J476" s="19">
        <v>0.0</v>
      </c>
      <c r="K476" s="19">
        <v>0.0</v>
      </c>
      <c r="L476" s="19">
        <v>0.0</v>
      </c>
      <c r="M476" s="18">
        <v>0.14</v>
      </c>
      <c r="N476" s="19">
        <v>0.0</v>
      </c>
      <c r="O476" s="19">
        <v>0.0</v>
      </c>
      <c r="P476" s="19">
        <v>0.0</v>
      </c>
      <c r="Q476" s="18">
        <v>0.03</v>
      </c>
      <c r="R476" s="36"/>
      <c r="S476" s="36"/>
      <c r="T476" s="19">
        <v>0.0</v>
      </c>
      <c r="U476" s="20" t="s">
        <v>6455</v>
      </c>
    </row>
    <row r="477">
      <c r="A477" s="50">
        <v>457.0</v>
      </c>
      <c r="B477" s="13" t="s">
        <v>6456</v>
      </c>
      <c r="C477" s="11" t="s">
        <v>6457</v>
      </c>
      <c r="D477" s="12" t="s">
        <v>26</v>
      </c>
      <c r="E477" s="13" t="s">
        <v>6458</v>
      </c>
      <c r="F477" s="12">
        <v>25.0</v>
      </c>
      <c r="G477" s="12">
        <v>2000.0</v>
      </c>
      <c r="H477" s="15">
        <v>15.5</v>
      </c>
      <c r="I477" s="17">
        <v>0.06</v>
      </c>
      <c r="J477" s="19">
        <v>0.0</v>
      </c>
      <c r="K477" s="19">
        <v>0.0</v>
      </c>
      <c r="L477" s="18">
        <v>1.1</v>
      </c>
      <c r="M477" s="18">
        <v>0.45</v>
      </c>
      <c r="N477" s="18">
        <v>0.45</v>
      </c>
      <c r="O477" s="18">
        <v>1.35</v>
      </c>
      <c r="P477" s="18">
        <v>0.39</v>
      </c>
      <c r="Q477" s="18">
        <v>0.71</v>
      </c>
      <c r="R477" s="36"/>
      <c r="S477" s="36"/>
      <c r="T477" s="19">
        <v>0.0</v>
      </c>
      <c r="U477" s="20" t="s">
        <v>6459</v>
      </c>
    </row>
    <row r="478">
      <c r="A478" s="50">
        <v>458.0</v>
      </c>
      <c r="B478" s="13" t="s">
        <v>6460</v>
      </c>
      <c r="C478" s="11" t="s">
        <v>6461</v>
      </c>
      <c r="D478" s="12" t="s">
        <v>31</v>
      </c>
      <c r="E478" s="13" t="s">
        <v>6462</v>
      </c>
      <c r="F478" s="12">
        <v>25.0</v>
      </c>
      <c r="G478" s="12">
        <v>2000.0</v>
      </c>
      <c r="H478" s="15">
        <v>20.0</v>
      </c>
      <c r="I478" s="17">
        <v>0.3</v>
      </c>
      <c r="J478" s="19">
        <v>0.0</v>
      </c>
      <c r="K478" s="19">
        <v>0.0</v>
      </c>
      <c r="L478" s="18">
        <v>1.85</v>
      </c>
      <c r="M478" s="18">
        <v>0.7</v>
      </c>
      <c r="N478" s="18">
        <v>0.6</v>
      </c>
      <c r="O478" s="18">
        <v>1.4</v>
      </c>
      <c r="P478" s="18">
        <v>0.3</v>
      </c>
      <c r="Q478" s="18">
        <v>1.0</v>
      </c>
      <c r="R478" s="36"/>
      <c r="S478" s="36"/>
      <c r="T478" s="19">
        <v>0.0</v>
      </c>
      <c r="U478" s="20" t="s">
        <v>6463</v>
      </c>
    </row>
    <row r="479">
      <c r="A479" s="50">
        <v>459.0</v>
      </c>
      <c r="B479" s="13" t="s">
        <v>6464</v>
      </c>
      <c r="C479" s="11" t="s">
        <v>6465</v>
      </c>
      <c r="D479" s="12" t="s">
        <v>36</v>
      </c>
      <c r="E479" s="13" t="s">
        <v>6466</v>
      </c>
      <c r="F479" s="12">
        <v>28.0</v>
      </c>
      <c r="G479" s="12">
        <v>1997.0</v>
      </c>
      <c r="H479" s="15">
        <v>36.5</v>
      </c>
      <c r="I479" s="17">
        <v>0.22</v>
      </c>
      <c r="J479" s="19">
        <v>0.0</v>
      </c>
      <c r="K479" s="19">
        <v>0.0</v>
      </c>
      <c r="L479" s="18">
        <v>0.96</v>
      </c>
      <c r="M479" s="18">
        <v>1.01</v>
      </c>
      <c r="N479" s="18">
        <v>0.03</v>
      </c>
      <c r="O479" s="18">
        <v>0.77</v>
      </c>
      <c r="P479" s="18">
        <v>1.37</v>
      </c>
      <c r="Q479" s="18">
        <v>0.93</v>
      </c>
      <c r="R479" s="36"/>
      <c r="S479" s="36"/>
      <c r="T479" s="19">
        <v>0.0</v>
      </c>
      <c r="U479" s="20" t="s">
        <v>6467</v>
      </c>
    </row>
    <row r="480">
      <c r="A480" s="50">
        <v>460.0</v>
      </c>
      <c r="B480" s="13" t="s">
        <v>6468</v>
      </c>
      <c r="C480" s="11" t="s">
        <v>6469</v>
      </c>
      <c r="D480" s="12" t="s">
        <v>41</v>
      </c>
      <c r="E480" s="13" t="s">
        <v>6470</v>
      </c>
      <c r="F480" s="12">
        <v>22.0</v>
      </c>
      <c r="G480" s="12">
        <v>2003.0</v>
      </c>
      <c r="H480" s="15">
        <v>18.3</v>
      </c>
      <c r="I480" s="17">
        <v>0.11</v>
      </c>
      <c r="J480" s="19">
        <v>0.0</v>
      </c>
      <c r="K480" s="19">
        <v>0.0</v>
      </c>
      <c r="L480" s="18">
        <v>0.93</v>
      </c>
      <c r="M480" s="18">
        <v>0.33</v>
      </c>
      <c r="N480" s="18">
        <v>0.38</v>
      </c>
      <c r="O480" s="18">
        <v>0.11</v>
      </c>
      <c r="P480" s="18">
        <v>0.16</v>
      </c>
      <c r="Q480" s="18">
        <v>0.16</v>
      </c>
      <c r="R480" s="36"/>
      <c r="S480" s="36"/>
      <c r="T480" s="19">
        <v>0.0</v>
      </c>
      <c r="U480" s="20" t="s">
        <v>6471</v>
      </c>
    </row>
    <row r="481">
      <c r="A481" s="50">
        <v>461.0</v>
      </c>
      <c r="B481" s="13" t="s">
        <v>6472</v>
      </c>
      <c r="C481" s="11" t="s">
        <v>6473</v>
      </c>
      <c r="D481" s="12" t="s">
        <v>345</v>
      </c>
      <c r="E481" s="13" t="s">
        <v>6474</v>
      </c>
      <c r="F481" s="12">
        <v>25.0</v>
      </c>
      <c r="G481" s="12">
        <v>2000.0</v>
      </c>
      <c r="H481" s="15">
        <v>20.3</v>
      </c>
      <c r="I481" s="22">
        <v>0.0</v>
      </c>
      <c r="J481" s="19">
        <v>0.0</v>
      </c>
      <c r="K481" s="19">
        <v>0.0</v>
      </c>
      <c r="L481" s="18">
        <v>1.63</v>
      </c>
      <c r="M481" s="18">
        <v>0.15</v>
      </c>
      <c r="N481" s="18">
        <v>0.2</v>
      </c>
      <c r="O481" s="18">
        <v>2.71</v>
      </c>
      <c r="P481" s="18">
        <v>1.13</v>
      </c>
      <c r="Q481" s="18">
        <v>1.43</v>
      </c>
      <c r="R481" s="36"/>
      <c r="S481" s="36"/>
      <c r="T481" s="19">
        <v>0.0</v>
      </c>
      <c r="U481" s="20" t="s">
        <v>6475</v>
      </c>
    </row>
    <row r="482">
      <c r="A482" s="50">
        <v>462.0</v>
      </c>
      <c r="B482" s="13" t="s">
        <v>6476</v>
      </c>
      <c r="C482" s="11" t="s">
        <v>6477</v>
      </c>
      <c r="D482" s="12" t="s">
        <v>36</v>
      </c>
      <c r="E482" s="13" t="s">
        <v>6478</v>
      </c>
      <c r="F482" s="12">
        <v>30.0</v>
      </c>
      <c r="G482" s="12">
        <v>1995.0</v>
      </c>
      <c r="H482" s="15">
        <v>35.8</v>
      </c>
      <c r="I482" s="17">
        <v>0.25</v>
      </c>
      <c r="J482" s="19">
        <v>0.0</v>
      </c>
      <c r="K482" s="19">
        <v>0.0</v>
      </c>
      <c r="L482" s="18">
        <v>1.34</v>
      </c>
      <c r="M482" s="18">
        <v>0.56</v>
      </c>
      <c r="N482" s="19">
        <v>0.0</v>
      </c>
      <c r="O482" s="18">
        <v>1.51</v>
      </c>
      <c r="P482" s="18">
        <v>1.2</v>
      </c>
      <c r="Q482" s="18">
        <v>1.26</v>
      </c>
      <c r="R482" s="36"/>
      <c r="S482" s="36"/>
      <c r="T482" s="19">
        <v>0.0</v>
      </c>
      <c r="U482" s="20" t="s">
        <v>6479</v>
      </c>
    </row>
    <row r="483">
      <c r="A483" s="50">
        <v>463.0</v>
      </c>
      <c r="B483" s="13" t="s">
        <v>6480</v>
      </c>
      <c r="C483" s="11" t="s">
        <v>6481</v>
      </c>
      <c r="D483" s="12" t="s">
        <v>31</v>
      </c>
      <c r="E483" s="13" t="s">
        <v>6482</v>
      </c>
      <c r="F483" s="12">
        <v>30.0</v>
      </c>
      <c r="G483" s="12">
        <v>1994.0</v>
      </c>
      <c r="H483" s="15">
        <v>31.9</v>
      </c>
      <c r="I483" s="17">
        <v>0.31</v>
      </c>
      <c r="J483" s="19">
        <v>0.0</v>
      </c>
      <c r="K483" s="19">
        <v>0.0</v>
      </c>
      <c r="L483" s="18">
        <v>1.13</v>
      </c>
      <c r="M483" s="18">
        <v>0.69</v>
      </c>
      <c r="N483" s="18">
        <v>0.16</v>
      </c>
      <c r="O483" s="18">
        <v>2.26</v>
      </c>
      <c r="P483" s="18">
        <v>0.66</v>
      </c>
      <c r="Q483" s="18">
        <v>0.88</v>
      </c>
      <c r="R483" s="36"/>
      <c r="S483" s="36"/>
      <c r="T483" s="19">
        <v>0.0</v>
      </c>
      <c r="U483" s="20" t="s">
        <v>6483</v>
      </c>
    </row>
    <row r="484">
      <c r="A484" s="50">
        <v>464.0</v>
      </c>
      <c r="B484" s="13" t="s">
        <v>6484</v>
      </c>
      <c r="C484" s="11" t="s">
        <v>6485</v>
      </c>
      <c r="D484" s="12" t="s">
        <v>41</v>
      </c>
      <c r="E484" s="13" t="s">
        <v>6486</v>
      </c>
      <c r="F484" s="12">
        <v>25.0</v>
      </c>
      <c r="G484" s="12">
        <v>1999.0</v>
      </c>
      <c r="H484" s="15">
        <v>0.1</v>
      </c>
      <c r="I484" s="22">
        <v>0.0</v>
      </c>
      <c r="J484" s="19">
        <v>0.0</v>
      </c>
      <c r="K484" s="19">
        <v>0.0</v>
      </c>
      <c r="L484" s="19">
        <v>0.0</v>
      </c>
      <c r="M484" s="18">
        <v>10.0</v>
      </c>
      <c r="N484" s="19">
        <v>0.0</v>
      </c>
      <c r="O484" s="18">
        <v>10.0</v>
      </c>
      <c r="P484" s="19">
        <v>0.0</v>
      </c>
      <c r="Q484" s="18">
        <v>10.0</v>
      </c>
      <c r="R484" s="36"/>
      <c r="S484" s="36"/>
      <c r="T484" s="19">
        <v>0.0</v>
      </c>
      <c r="U484" s="20" t="s">
        <v>6487</v>
      </c>
    </row>
    <row r="485">
      <c r="A485" s="50">
        <v>465.0</v>
      </c>
      <c r="B485" s="13" t="s">
        <v>6488</v>
      </c>
      <c r="C485" s="11" t="s">
        <v>6489</v>
      </c>
      <c r="D485" s="12" t="s">
        <v>26</v>
      </c>
      <c r="E485" s="13" t="s">
        <v>6490</v>
      </c>
      <c r="F485" s="12">
        <v>22.0</v>
      </c>
      <c r="G485" s="12">
        <v>2003.0</v>
      </c>
      <c r="H485" s="15">
        <v>19.5</v>
      </c>
      <c r="I485" s="17">
        <v>0.26</v>
      </c>
      <c r="J485" s="18">
        <v>0.05</v>
      </c>
      <c r="K485" s="19">
        <v>0.0</v>
      </c>
      <c r="L485" s="18">
        <v>1.08</v>
      </c>
      <c r="M485" s="18">
        <v>2.26</v>
      </c>
      <c r="N485" s="19">
        <v>0.0</v>
      </c>
      <c r="O485" s="18">
        <v>2.62</v>
      </c>
      <c r="P485" s="18">
        <v>0.77</v>
      </c>
      <c r="Q485" s="18">
        <v>1.03</v>
      </c>
      <c r="R485" s="36"/>
      <c r="S485" s="36"/>
      <c r="T485" s="19">
        <v>0.0</v>
      </c>
      <c r="U485" s="20" t="s">
        <v>6491</v>
      </c>
    </row>
    <row r="486">
      <c r="A486" s="50">
        <v>466.0</v>
      </c>
      <c r="B486" s="13" t="s">
        <v>6492</v>
      </c>
      <c r="C486" s="11" t="s">
        <v>6493</v>
      </c>
      <c r="D486" s="12" t="s">
        <v>36</v>
      </c>
      <c r="E486" s="13" t="s">
        <v>6494</v>
      </c>
      <c r="F486" s="12">
        <v>34.0</v>
      </c>
      <c r="G486" s="12">
        <v>1991.0</v>
      </c>
      <c r="H486" s="15">
        <v>12.0</v>
      </c>
      <c r="I486" s="17">
        <v>0.25</v>
      </c>
      <c r="J486" s="19">
        <v>0.0</v>
      </c>
      <c r="K486" s="19">
        <v>0.0</v>
      </c>
      <c r="L486" s="18">
        <v>1.58</v>
      </c>
      <c r="M486" s="18">
        <v>0.92</v>
      </c>
      <c r="N486" s="19">
        <v>0.0</v>
      </c>
      <c r="O486" s="18">
        <v>1.08</v>
      </c>
      <c r="P486" s="18">
        <v>0.83</v>
      </c>
      <c r="Q486" s="18">
        <v>1.0</v>
      </c>
      <c r="R486" s="36"/>
      <c r="S486" s="36"/>
      <c r="T486" s="19">
        <v>0.0</v>
      </c>
      <c r="U486" s="20" t="s">
        <v>6495</v>
      </c>
    </row>
    <row r="487">
      <c r="A487" s="50">
        <v>467.0</v>
      </c>
      <c r="B487" s="13" t="s">
        <v>6496</v>
      </c>
      <c r="C487" s="11" t="s">
        <v>6497</v>
      </c>
      <c r="D487" s="12" t="s">
        <v>31</v>
      </c>
      <c r="E487" s="13" t="s">
        <v>6498</v>
      </c>
      <c r="F487" s="12">
        <v>25.0</v>
      </c>
      <c r="G487" s="12">
        <v>2000.0</v>
      </c>
      <c r="H487" s="15">
        <v>21.4</v>
      </c>
      <c r="I487" s="17">
        <v>0.05</v>
      </c>
      <c r="J487" s="19">
        <v>0.0</v>
      </c>
      <c r="K487" s="19">
        <v>0.0</v>
      </c>
      <c r="L487" s="18">
        <v>0.47</v>
      </c>
      <c r="M487" s="18">
        <v>0.79</v>
      </c>
      <c r="N487" s="18">
        <v>0.14</v>
      </c>
      <c r="O487" s="18">
        <v>0.61</v>
      </c>
      <c r="P487" s="18">
        <v>1.03</v>
      </c>
      <c r="Q487" s="18">
        <v>1.03</v>
      </c>
      <c r="R487" s="36"/>
      <c r="S487" s="36"/>
      <c r="T487" s="19">
        <v>0.0</v>
      </c>
      <c r="U487" s="20" t="s">
        <v>6499</v>
      </c>
    </row>
    <row r="488">
      <c r="A488" s="50">
        <v>468.0</v>
      </c>
      <c r="B488" s="13" t="s">
        <v>6500</v>
      </c>
      <c r="C488" s="11" t="s">
        <v>6501</v>
      </c>
      <c r="D488" s="12" t="s">
        <v>41</v>
      </c>
      <c r="E488" s="13" t="s">
        <v>6502</v>
      </c>
      <c r="F488" s="12">
        <v>27.0</v>
      </c>
      <c r="G488" s="12">
        <v>1997.0</v>
      </c>
      <c r="H488" s="15">
        <v>11.1</v>
      </c>
      <c r="I488" s="17">
        <v>0.09</v>
      </c>
      <c r="J488" s="19">
        <v>0.0</v>
      </c>
      <c r="K488" s="19">
        <v>0.0</v>
      </c>
      <c r="L488" s="18">
        <v>1.08</v>
      </c>
      <c r="M488" s="18">
        <v>0.81</v>
      </c>
      <c r="N488" s="18">
        <v>0.27</v>
      </c>
      <c r="O488" s="18">
        <v>0.18</v>
      </c>
      <c r="P488" s="18">
        <v>0.27</v>
      </c>
      <c r="Q488" s="18">
        <v>1.44</v>
      </c>
      <c r="R488" s="36"/>
      <c r="S488" s="36"/>
      <c r="T488" s="19">
        <v>0.0</v>
      </c>
      <c r="U488" s="20" t="s">
        <v>6503</v>
      </c>
    </row>
    <row r="489">
      <c r="A489" s="50">
        <v>469.0</v>
      </c>
      <c r="B489" s="13" t="s">
        <v>6504</v>
      </c>
      <c r="C489" s="11" t="s">
        <v>6505</v>
      </c>
      <c r="D489" s="12" t="s">
        <v>36</v>
      </c>
      <c r="E489" s="13" t="s">
        <v>6506</v>
      </c>
      <c r="F489" s="12">
        <v>20.0</v>
      </c>
      <c r="G489" s="12">
        <v>2005.0</v>
      </c>
      <c r="H489" s="15">
        <v>0.4</v>
      </c>
      <c r="I489" s="22">
        <v>0.0</v>
      </c>
      <c r="J489" s="19">
        <v>0.0</v>
      </c>
      <c r="K489" s="19">
        <v>0.0</v>
      </c>
      <c r="L489" s="18">
        <v>5.0</v>
      </c>
      <c r="M489" s="18">
        <v>5.0</v>
      </c>
      <c r="N489" s="19">
        <v>0.0</v>
      </c>
      <c r="O489" s="18">
        <v>5.0</v>
      </c>
      <c r="P489" s="19">
        <v>0.0</v>
      </c>
      <c r="Q489" s="19">
        <v>0.0</v>
      </c>
      <c r="R489" s="36"/>
      <c r="S489" s="36"/>
      <c r="T489" s="19">
        <v>0.0</v>
      </c>
      <c r="U489" s="20" t="s">
        <v>6507</v>
      </c>
    </row>
    <row r="490">
      <c r="A490" s="50">
        <v>470.0</v>
      </c>
      <c r="B490" s="13" t="s">
        <v>6508</v>
      </c>
      <c r="C490" s="11" t="s">
        <v>6509</v>
      </c>
      <c r="D490" s="12" t="s">
        <v>36</v>
      </c>
      <c r="E490" s="13" t="s">
        <v>6510</v>
      </c>
      <c r="F490" s="12">
        <v>24.0</v>
      </c>
      <c r="G490" s="12">
        <v>2000.0</v>
      </c>
      <c r="H490" s="15">
        <v>1.9</v>
      </c>
      <c r="I490" s="22">
        <v>0.0</v>
      </c>
      <c r="J490" s="19">
        <v>0.0</v>
      </c>
      <c r="K490" s="19">
        <v>0.0</v>
      </c>
      <c r="L490" s="18">
        <v>2.11</v>
      </c>
      <c r="M490" s="19">
        <v>0.0</v>
      </c>
      <c r="N490" s="19">
        <v>0.0</v>
      </c>
      <c r="O490" s="18">
        <v>2.63</v>
      </c>
      <c r="P490" s="18">
        <v>0.53</v>
      </c>
      <c r="Q490" s="18">
        <v>0.53</v>
      </c>
      <c r="R490" s="36"/>
      <c r="S490" s="36"/>
      <c r="T490" s="19">
        <v>0.0</v>
      </c>
      <c r="U490" s="20" t="s">
        <v>6511</v>
      </c>
    </row>
    <row r="491">
      <c r="A491" s="50">
        <v>471.0</v>
      </c>
      <c r="B491" s="13" t="s">
        <v>6512</v>
      </c>
      <c r="C491" s="11" t="s">
        <v>6513</v>
      </c>
      <c r="D491" s="12" t="s">
        <v>345</v>
      </c>
      <c r="E491" s="13" t="s">
        <v>6514</v>
      </c>
      <c r="F491" s="12">
        <v>27.0</v>
      </c>
      <c r="G491" s="12">
        <v>1998.0</v>
      </c>
      <c r="H491" s="15">
        <v>1.1</v>
      </c>
      <c r="I491" s="17">
        <v>0.91</v>
      </c>
      <c r="J491" s="19">
        <v>0.0</v>
      </c>
      <c r="K491" s="19">
        <v>0.0</v>
      </c>
      <c r="L491" s="18">
        <v>3.64</v>
      </c>
      <c r="M491" s="19">
        <v>0.0</v>
      </c>
      <c r="N491" s="19">
        <v>0.0</v>
      </c>
      <c r="O491" s="18">
        <v>5.45</v>
      </c>
      <c r="P491" s="18">
        <v>1.82</v>
      </c>
      <c r="Q491" s="19">
        <v>0.0</v>
      </c>
      <c r="R491" s="36"/>
      <c r="S491" s="36"/>
      <c r="T491" s="19">
        <v>0.0</v>
      </c>
      <c r="U491" s="20" t="s">
        <v>6515</v>
      </c>
    </row>
    <row r="492">
      <c r="A492" s="50">
        <v>472.0</v>
      </c>
      <c r="B492" s="13" t="s">
        <v>6516</v>
      </c>
      <c r="C492" s="11" t="s">
        <v>6517</v>
      </c>
      <c r="D492" s="12" t="s">
        <v>31</v>
      </c>
      <c r="E492" s="13" t="s">
        <v>6518</v>
      </c>
      <c r="F492" s="12">
        <v>30.0</v>
      </c>
      <c r="G492" s="12">
        <v>1995.0</v>
      </c>
      <c r="H492" s="15">
        <v>24.4</v>
      </c>
      <c r="I492" s="17">
        <v>0.12</v>
      </c>
      <c r="J492" s="18">
        <v>0.04</v>
      </c>
      <c r="K492" s="19">
        <v>0.0</v>
      </c>
      <c r="L492" s="18">
        <v>1.52</v>
      </c>
      <c r="M492" s="18">
        <v>0.9</v>
      </c>
      <c r="N492" s="18">
        <v>0.2</v>
      </c>
      <c r="O492" s="18">
        <v>0.57</v>
      </c>
      <c r="P492" s="18">
        <v>0.66</v>
      </c>
      <c r="Q492" s="18">
        <v>0.94</v>
      </c>
      <c r="R492" s="36"/>
      <c r="S492" s="36"/>
      <c r="T492" s="19">
        <v>0.0</v>
      </c>
      <c r="U492" s="20" t="s">
        <v>6519</v>
      </c>
    </row>
    <row r="493">
      <c r="A493" s="50">
        <v>473.0</v>
      </c>
      <c r="B493" s="13" t="s">
        <v>6520</v>
      </c>
      <c r="C493" s="11" t="s">
        <v>6521</v>
      </c>
      <c r="D493" s="12" t="s">
        <v>31</v>
      </c>
      <c r="E493" s="13" t="s">
        <v>6522</v>
      </c>
      <c r="F493" s="12">
        <v>19.0</v>
      </c>
      <c r="G493" s="12">
        <v>2006.0</v>
      </c>
      <c r="H493" s="15">
        <v>1.6</v>
      </c>
      <c r="I493" s="17">
        <v>0.63</v>
      </c>
      <c r="J493" s="19">
        <v>0.0</v>
      </c>
      <c r="K493" s="19">
        <v>0.0</v>
      </c>
      <c r="L493" s="18">
        <v>1.88</v>
      </c>
      <c r="M493" s="18">
        <v>1.25</v>
      </c>
      <c r="N493" s="19">
        <v>0.0</v>
      </c>
      <c r="O493" s="18">
        <v>1.88</v>
      </c>
      <c r="P493" s="18">
        <v>1.25</v>
      </c>
      <c r="Q493" s="19">
        <v>0.0</v>
      </c>
      <c r="R493" s="36"/>
      <c r="S493" s="36"/>
      <c r="T493" s="19">
        <v>0.0</v>
      </c>
      <c r="U493" s="20" t="s">
        <v>6523</v>
      </c>
    </row>
    <row r="494">
      <c r="A494" s="50">
        <v>474.0</v>
      </c>
      <c r="B494" s="13" t="s">
        <v>6524</v>
      </c>
      <c r="C494" s="11" t="s">
        <v>6525</v>
      </c>
      <c r="D494" s="12" t="s">
        <v>345</v>
      </c>
      <c r="E494" s="13" t="s">
        <v>6526</v>
      </c>
      <c r="F494" s="12">
        <v>24.0</v>
      </c>
      <c r="G494" s="12">
        <v>2000.0</v>
      </c>
      <c r="H494" s="15">
        <v>22.8</v>
      </c>
      <c r="I494" s="17">
        <v>0.18</v>
      </c>
      <c r="J494" s="19">
        <v>0.0</v>
      </c>
      <c r="K494" s="19">
        <v>0.0</v>
      </c>
      <c r="L494" s="18">
        <v>1.23</v>
      </c>
      <c r="M494" s="18">
        <v>0.92</v>
      </c>
      <c r="N494" s="18">
        <v>0.18</v>
      </c>
      <c r="O494" s="18">
        <v>2.15</v>
      </c>
      <c r="P494" s="18">
        <v>0.66</v>
      </c>
      <c r="Q494" s="18">
        <v>1.1</v>
      </c>
      <c r="R494" s="36"/>
      <c r="S494" s="36"/>
      <c r="T494" s="19">
        <v>0.0</v>
      </c>
      <c r="U494" s="20" t="s">
        <v>6527</v>
      </c>
    </row>
    <row r="495">
      <c r="A495" s="50">
        <v>475.0</v>
      </c>
      <c r="B495" s="13" t="s">
        <v>6528</v>
      </c>
      <c r="C495" s="11" t="s">
        <v>6529</v>
      </c>
      <c r="D495" s="12" t="s">
        <v>31</v>
      </c>
      <c r="E495" s="13" t="s">
        <v>6530</v>
      </c>
      <c r="F495" s="12">
        <v>26.0</v>
      </c>
      <c r="G495" s="12">
        <v>1998.0</v>
      </c>
      <c r="H495" s="15">
        <v>26.3</v>
      </c>
      <c r="I495" s="17">
        <v>0.11</v>
      </c>
      <c r="J495" s="19">
        <v>0.0</v>
      </c>
      <c r="K495" s="19">
        <v>0.0</v>
      </c>
      <c r="L495" s="18">
        <v>1.37</v>
      </c>
      <c r="M495" s="18">
        <v>0.91</v>
      </c>
      <c r="N495" s="19">
        <v>0.0</v>
      </c>
      <c r="O495" s="18">
        <v>5.89</v>
      </c>
      <c r="P495" s="18">
        <v>0.72</v>
      </c>
      <c r="Q495" s="18">
        <v>1.33</v>
      </c>
      <c r="R495" s="36"/>
      <c r="S495" s="36"/>
      <c r="T495" s="19">
        <v>0.0</v>
      </c>
      <c r="U495" s="20" t="s">
        <v>6531</v>
      </c>
    </row>
    <row r="496">
      <c r="A496" s="37" t="s">
        <v>3</v>
      </c>
      <c r="B496" s="51" t="s">
        <v>4</v>
      </c>
      <c r="C496" s="39" t="s">
        <v>5</v>
      </c>
      <c r="D496" s="39" t="s">
        <v>6</v>
      </c>
      <c r="E496" s="39" t="s">
        <v>7</v>
      </c>
      <c r="F496" s="39" t="s">
        <v>8</v>
      </c>
      <c r="G496" s="39" t="s">
        <v>9</v>
      </c>
      <c r="H496" s="39" t="s">
        <v>13</v>
      </c>
      <c r="I496" s="40" t="s">
        <v>20</v>
      </c>
      <c r="J496" s="39" t="s">
        <v>21</v>
      </c>
      <c r="K496" s="39" t="s">
        <v>4622</v>
      </c>
      <c r="L496" s="39" t="s">
        <v>4623</v>
      </c>
      <c r="M496" s="39" t="s">
        <v>4624</v>
      </c>
      <c r="N496" s="39" t="s">
        <v>4625</v>
      </c>
      <c r="O496" s="39" t="s">
        <v>4626</v>
      </c>
      <c r="P496" s="39" t="s">
        <v>4627</v>
      </c>
      <c r="Q496" s="39" t="s">
        <v>4628</v>
      </c>
      <c r="R496" s="39" t="s">
        <v>4629</v>
      </c>
      <c r="S496" s="39" t="s">
        <v>4630</v>
      </c>
      <c r="T496" s="39" t="s">
        <v>4631</v>
      </c>
      <c r="U496" s="40" t="s">
        <v>23</v>
      </c>
    </row>
    <row r="497">
      <c r="A497" s="50">
        <v>476.0</v>
      </c>
      <c r="B497" s="13" t="s">
        <v>6532</v>
      </c>
      <c r="C497" s="11" t="s">
        <v>6533</v>
      </c>
      <c r="D497" s="12" t="s">
        <v>36</v>
      </c>
      <c r="E497" s="13" t="s">
        <v>6534</v>
      </c>
      <c r="F497" s="12">
        <v>31.0</v>
      </c>
      <c r="G497" s="12">
        <v>1994.0</v>
      </c>
      <c r="H497" s="15">
        <v>4.9</v>
      </c>
      <c r="I497" s="22">
        <v>0.0</v>
      </c>
      <c r="J497" s="19">
        <v>0.0</v>
      </c>
      <c r="K497" s="19">
        <v>0.0</v>
      </c>
      <c r="L497" s="19">
        <v>0.0</v>
      </c>
      <c r="M497" s="19">
        <v>0.0</v>
      </c>
      <c r="N497" s="19">
        <v>0.0</v>
      </c>
      <c r="O497" s="18">
        <v>0.82</v>
      </c>
      <c r="P497" s="18">
        <v>0.61</v>
      </c>
      <c r="Q497" s="18">
        <v>0.2</v>
      </c>
      <c r="R497" s="36"/>
      <c r="S497" s="36"/>
      <c r="T497" s="19">
        <v>0.0</v>
      </c>
      <c r="U497" s="20" t="s">
        <v>6535</v>
      </c>
    </row>
    <row r="498">
      <c r="A498" s="50">
        <v>477.0</v>
      </c>
      <c r="B498" s="13" t="s">
        <v>6536</v>
      </c>
      <c r="C498" s="11" t="s">
        <v>6537</v>
      </c>
      <c r="D498" s="12" t="s">
        <v>41</v>
      </c>
      <c r="E498" s="13" t="s">
        <v>6538</v>
      </c>
      <c r="F498" s="12">
        <v>25.0</v>
      </c>
      <c r="G498" s="12">
        <v>2000.0</v>
      </c>
      <c r="H498" s="15">
        <v>15.6</v>
      </c>
      <c r="I498" s="17">
        <v>0.13</v>
      </c>
      <c r="J498" s="19">
        <v>0.0</v>
      </c>
      <c r="K498" s="19">
        <v>0.0</v>
      </c>
      <c r="L498" s="18">
        <v>1.92</v>
      </c>
      <c r="M498" s="18">
        <v>0.71</v>
      </c>
      <c r="N498" s="18">
        <v>0.58</v>
      </c>
      <c r="O498" s="18">
        <v>0.19</v>
      </c>
      <c r="P498" s="18">
        <v>0.19</v>
      </c>
      <c r="Q498" s="18">
        <v>0.13</v>
      </c>
      <c r="R498" s="36"/>
      <c r="S498" s="36"/>
      <c r="T498" s="19">
        <v>0.0</v>
      </c>
      <c r="U498" s="20" t="s">
        <v>6539</v>
      </c>
    </row>
    <row r="499">
      <c r="A499" s="50">
        <v>478.0</v>
      </c>
      <c r="B499" s="13" t="s">
        <v>6540</v>
      </c>
      <c r="C499" s="11" t="s">
        <v>6541</v>
      </c>
      <c r="D499" s="12" t="s">
        <v>41</v>
      </c>
      <c r="E499" s="13" t="s">
        <v>6542</v>
      </c>
      <c r="F499" s="12">
        <v>25.0</v>
      </c>
      <c r="G499" s="12">
        <v>2000.0</v>
      </c>
      <c r="H499" s="15">
        <v>10.0</v>
      </c>
      <c r="I499" s="17">
        <v>0.2</v>
      </c>
      <c r="J499" s="19">
        <v>0.0</v>
      </c>
      <c r="K499" s="19">
        <v>0.0</v>
      </c>
      <c r="L499" s="18">
        <v>2.1</v>
      </c>
      <c r="M499" s="18">
        <v>1.0</v>
      </c>
      <c r="N499" s="18">
        <v>0.1</v>
      </c>
      <c r="O499" s="19">
        <v>0.0</v>
      </c>
      <c r="P499" s="18">
        <v>0.1</v>
      </c>
      <c r="Q499" s="19">
        <v>0.0</v>
      </c>
      <c r="R499" s="36"/>
      <c r="S499" s="36"/>
      <c r="T499" s="19">
        <v>0.0</v>
      </c>
      <c r="U499" s="20" t="s">
        <v>6543</v>
      </c>
    </row>
    <row r="500">
      <c r="A500" s="50">
        <v>479.0</v>
      </c>
      <c r="B500" s="13" t="s">
        <v>6544</v>
      </c>
      <c r="C500" s="11" t="s">
        <v>6545</v>
      </c>
      <c r="D500" s="12" t="s">
        <v>36</v>
      </c>
      <c r="E500" s="13" t="s">
        <v>6546</v>
      </c>
      <c r="F500" s="12">
        <v>25.0</v>
      </c>
      <c r="G500" s="12">
        <v>1999.0</v>
      </c>
      <c r="H500" s="15">
        <v>32.6</v>
      </c>
      <c r="I500" s="17">
        <v>0.15</v>
      </c>
      <c r="J500" s="19">
        <v>0.0</v>
      </c>
      <c r="K500" s="19">
        <v>0.0</v>
      </c>
      <c r="L500" s="18">
        <v>0.83</v>
      </c>
      <c r="M500" s="18">
        <v>0.67</v>
      </c>
      <c r="N500" s="18">
        <v>0.15</v>
      </c>
      <c r="O500" s="18">
        <v>0.06</v>
      </c>
      <c r="P500" s="18">
        <v>0.98</v>
      </c>
      <c r="Q500" s="18">
        <v>0.67</v>
      </c>
      <c r="R500" s="36"/>
      <c r="S500" s="36"/>
      <c r="T500" s="19">
        <v>0.0</v>
      </c>
      <c r="U500" s="20" t="s">
        <v>6547</v>
      </c>
    </row>
    <row r="501">
      <c r="A501" s="50">
        <v>480.0</v>
      </c>
      <c r="B501" s="13" t="s">
        <v>6548</v>
      </c>
      <c r="C501" s="11" t="s">
        <v>6549</v>
      </c>
      <c r="D501" s="12" t="s">
        <v>26</v>
      </c>
      <c r="E501" s="13" t="s">
        <v>6550</v>
      </c>
      <c r="F501" s="12">
        <v>23.0</v>
      </c>
      <c r="G501" s="12">
        <v>2001.0</v>
      </c>
      <c r="H501" s="15">
        <v>27.4</v>
      </c>
      <c r="I501" s="17">
        <v>0.22</v>
      </c>
      <c r="J501" s="19">
        <v>0.0</v>
      </c>
      <c r="K501" s="19">
        <v>0.0</v>
      </c>
      <c r="L501" s="18">
        <v>1.79</v>
      </c>
      <c r="M501" s="18">
        <v>2.45</v>
      </c>
      <c r="N501" s="18">
        <v>0.22</v>
      </c>
      <c r="O501" s="18">
        <v>2.15</v>
      </c>
      <c r="P501" s="18">
        <v>0.55</v>
      </c>
      <c r="Q501" s="18">
        <v>0.95</v>
      </c>
      <c r="R501" s="36"/>
      <c r="S501" s="36"/>
      <c r="T501" s="19">
        <v>0.0</v>
      </c>
      <c r="U501" s="20" t="s">
        <v>6551</v>
      </c>
    </row>
    <row r="502">
      <c r="A502" s="50">
        <v>481.0</v>
      </c>
      <c r="B502" s="13" t="s">
        <v>6552</v>
      </c>
      <c r="C502" s="11" t="s">
        <v>6553</v>
      </c>
      <c r="D502" s="12" t="s">
        <v>264</v>
      </c>
      <c r="E502" s="13" t="s">
        <v>6554</v>
      </c>
      <c r="F502" s="12">
        <v>24.0</v>
      </c>
      <c r="G502" s="12">
        <v>2000.0</v>
      </c>
      <c r="H502" s="15">
        <v>35.9</v>
      </c>
      <c r="I502" s="17">
        <v>0.22</v>
      </c>
      <c r="J502" s="18">
        <v>0.03</v>
      </c>
      <c r="K502" s="19">
        <v>0.0</v>
      </c>
      <c r="L502" s="18">
        <v>1.17</v>
      </c>
      <c r="M502" s="18">
        <v>0.84</v>
      </c>
      <c r="N502" s="18">
        <v>0.06</v>
      </c>
      <c r="O502" s="18">
        <v>5.74</v>
      </c>
      <c r="P502" s="18">
        <v>0.81</v>
      </c>
      <c r="Q502" s="18">
        <v>0.89</v>
      </c>
      <c r="R502" s="36"/>
      <c r="S502" s="36"/>
      <c r="T502" s="19">
        <v>0.0</v>
      </c>
      <c r="U502" s="20" t="s">
        <v>6555</v>
      </c>
    </row>
    <row r="503">
      <c r="A503" s="50">
        <v>482.0</v>
      </c>
      <c r="B503" s="13" t="s">
        <v>6556</v>
      </c>
      <c r="C503" s="11" t="s">
        <v>6557</v>
      </c>
      <c r="D503" s="12" t="s">
        <v>31</v>
      </c>
      <c r="E503" s="13" t="s">
        <v>6558</v>
      </c>
      <c r="F503" s="12">
        <v>20.0</v>
      </c>
      <c r="G503" s="12">
        <v>2005.0</v>
      </c>
      <c r="H503" s="15">
        <v>0.4</v>
      </c>
      <c r="I503" s="22">
        <v>0.0</v>
      </c>
      <c r="J503" s="19">
        <v>0.0</v>
      </c>
      <c r="K503" s="19">
        <v>0.0</v>
      </c>
      <c r="L503" s="19">
        <v>0.0</v>
      </c>
      <c r="M503" s="18">
        <v>2.5</v>
      </c>
      <c r="N503" s="19">
        <v>0.0</v>
      </c>
      <c r="O503" s="18">
        <v>12.5</v>
      </c>
      <c r="P503" s="19">
        <v>0.0</v>
      </c>
      <c r="Q503" s="19">
        <v>0.0</v>
      </c>
      <c r="R503" s="36"/>
      <c r="S503" s="36"/>
      <c r="T503" s="19">
        <v>0.0</v>
      </c>
      <c r="U503" s="20" t="s">
        <v>6559</v>
      </c>
    </row>
    <row r="504">
      <c r="A504" s="50">
        <v>483.0</v>
      </c>
      <c r="B504" s="13" t="s">
        <v>6560</v>
      </c>
      <c r="C504" s="11" t="s">
        <v>6561</v>
      </c>
      <c r="D504" s="12" t="s">
        <v>26</v>
      </c>
      <c r="E504" s="13" t="s">
        <v>6562</v>
      </c>
      <c r="F504" s="12">
        <v>20.0</v>
      </c>
      <c r="G504" s="12">
        <v>2005.0</v>
      </c>
      <c r="H504" s="15">
        <v>17.3</v>
      </c>
      <c r="I504" s="22">
        <v>0.0</v>
      </c>
      <c r="J504" s="19">
        <v>0.0</v>
      </c>
      <c r="K504" s="19">
        <v>0.0</v>
      </c>
      <c r="L504" s="18">
        <v>0.29</v>
      </c>
      <c r="M504" s="18">
        <v>0.06</v>
      </c>
      <c r="N504" s="18">
        <v>0.12</v>
      </c>
      <c r="O504" s="18">
        <v>2.89</v>
      </c>
      <c r="P504" s="18">
        <v>0.17</v>
      </c>
      <c r="Q504" s="18">
        <v>0.35</v>
      </c>
      <c r="R504" s="36"/>
      <c r="S504" s="36"/>
      <c r="T504" s="19">
        <v>0.0</v>
      </c>
      <c r="U504" s="20" t="s">
        <v>6563</v>
      </c>
    </row>
    <row r="505">
      <c r="A505" s="50">
        <v>484.0</v>
      </c>
      <c r="B505" s="13" t="s">
        <v>6564</v>
      </c>
      <c r="C505" s="11" t="s">
        <v>6565</v>
      </c>
      <c r="D505" s="12" t="s">
        <v>31</v>
      </c>
      <c r="E505" s="13" t="s">
        <v>6566</v>
      </c>
      <c r="F505" s="12">
        <v>26.0</v>
      </c>
      <c r="G505" s="12">
        <v>1998.0</v>
      </c>
      <c r="H505" s="15">
        <v>14.6</v>
      </c>
      <c r="I505" s="17">
        <v>0.07</v>
      </c>
      <c r="J505" s="19">
        <v>0.0</v>
      </c>
      <c r="K505" s="19">
        <v>0.0</v>
      </c>
      <c r="L505" s="18">
        <v>0.89</v>
      </c>
      <c r="M505" s="18">
        <v>0.68</v>
      </c>
      <c r="N505" s="19">
        <v>0.0</v>
      </c>
      <c r="O505" s="18">
        <v>2.67</v>
      </c>
      <c r="P505" s="18">
        <v>1.44</v>
      </c>
      <c r="Q505" s="18">
        <v>1.03</v>
      </c>
      <c r="R505" s="36"/>
      <c r="S505" s="36"/>
      <c r="T505" s="19">
        <v>0.0</v>
      </c>
      <c r="U505" s="20" t="s">
        <v>6567</v>
      </c>
    </row>
    <row r="506">
      <c r="A506" s="50">
        <v>485.0</v>
      </c>
      <c r="B506" s="13" t="s">
        <v>6568</v>
      </c>
      <c r="C506" s="11" t="s">
        <v>6569</v>
      </c>
      <c r="D506" s="12" t="s">
        <v>36</v>
      </c>
      <c r="E506" s="13" t="s">
        <v>6570</v>
      </c>
      <c r="F506" s="12">
        <v>32.0</v>
      </c>
      <c r="G506" s="12">
        <v>1992.0</v>
      </c>
      <c r="H506" s="15">
        <v>37.0</v>
      </c>
      <c r="I506" s="17">
        <v>0.22</v>
      </c>
      <c r="J506" s="19">
        <v>0.0</v>
      </c>
      <c r="K506" s="19">
        <v>0.0</v>
      </c>
      <c r="L506" s="18">
        <v>0.86</v>
      </c>
      <c r="M506" s="18">
        <v>0.95</v>
      </c>
      <c r="N506" s="18">
        <v>0.05</v>
      </c>
      <c r="O506" s="18">
        <v>0.19</v>
      </c>
      <c r="P506" s="18">
        <v>0.78</v>
      </c>
      <c r="Q506" s="18">
        <v>0.81</v>
      </c>
      <c r="R506" s="36"/>
      <c r="S506" s="36"/>
      <c r="T506" s="19">
        <v>0.0</v>
      </c>
      <c r="U506" s="20" t="s">
        <v>6571</v>
      </c>
    </row>
    <row r="507">
      <c r="A507" s="50">
        <v>486.0</v>
      </c>
      <c r="B507" s="13" t="s">
        <v>6572</v>
      </c>
      <c r="C507" s="11" t="s">
        <v>6573</v>
      </c>
      <c r="D507" s="12" t="s">
        <v>31</v>
      </c>
      <c r="E507" s="13" t="s">
        <v>6574</v>
      </c>
      <c r="F507" s="12">
        <v>26.0</v>
      </c>
      <c r="G507" s="12">
        <v>1999.0</v>
      </c>
      <c r="H507" s="15">
        <v>30.4</v>
      </c>
      <c r="I507" s="17">
        <v>0.2</v>
      </c>
      <c r="J507" s="19">
        <v>0.0</v>
      </c>
      <c r="K507" s="19">
        <v>0.0</v>
      </c>
      <c r="L507" s="18">
        <v>1.02</v>
      </c>
      <c r="M507" s="18">
        <v>1.15</v>
      </c>
      <c r="N507" s="18">
        <v>0.13</v>
      </c>
      <c r="O507" s="18">
        <v>3.75</v>
      </c>
      <c r="P507" s="18">
        <v>0.53</v>
      </c>
      <c r="Q507" s="18">
        <v>0.69</v>
      </c>
      <c r="R507" s="36"/>
      <c r="S507" s="36"/>
      <c r="T507" s="19">
        <v>0.0</v>
      </c>
      <c r="U507" s="20" t="s">
        <v>6575</v>
      </c>
    </row>
    <row r="508">
      <c r="A508" s="50">
        <v>487.0</v>
      </c>
      <c r="B508" s="13" t="s">
        <v>6576</v>
      </c>
      <c r="C508" s="11" t="s">
        <v>6577</v>
      </c>
      <c r="D508" s="12" t="s">
        <v>26</v>
      </c>
      <c r="E508" s="13" t="s">
        <v>6578</v>
      </c>
      <c r="F508" s="12">
        <v>21.0</v>
      </c>
      <c r="G508" s="12">
        <v>2003.0</v>
      </c>
      <c r="H508" s="15">
        <v>14.1</v>
      </c>
      <c r="I508" s="17">
        <v>0.14</v>
      </c>
      <c r="J508" s="19">
        <v>0.0</v>
      </c>
      <c r="K508" s="19">
        <v>0.0</v>
      </c>
      <c r="L508" s="18">
        <v>0.85</v>
      </c>
      <c r="M508" s="18">
        <v>1.13</v>
      </c>
      <c r="N508" s="18">
        <v>0.07</v>
      </c>
      <c r="O508" s="18">
        <v>2.41</v>
      </c>
      <c r="P508" s="18">
        <v>0.14</v>
      </c>
      <c r="Q508" s="18">
        <v>0.64</v>
      </c>
      <c r="R508" s="36"/>
      <c r="S508" s="36"/>
      <c r="T508" s="19">
        <v>0.0</v>
      </c>
      <c r="U508" s="20" t="s">
        <v>6579</v>
      </c>
    </row>
    <row r="509">
      <c r="A509" s="50">
        <v>488.0</v>
      </c>
      <c r="B509" s="13" t="s">
        <v>6580</v>
      </c>
      <c r="C509" s="11" t="s">
        <v>6581</v>
      </c>
      <c r="D509" s="12" t="s">
        <v>264</v>
      </c>
      <c r="E509" s="13" t="s">
        <v>6582</v>
      </c>
      <c r="F509" s="12">
        <v>23.0</v>
      </c>
      <c r="G509" s="12">
        <v>2001.0</v>
      </c>
      <c r="H509" s="15">
        <v>20.5</v>
      </c>
      <c r="I509" s="17">
        <v>0.15</v>
      </c>
      <c r="J509" s="19">
        <v>0.0</v>
      </c>
      <c r="K509" s="19">
        <v>0.0</v>
      </c>
      <c r="L509" s="18">
        <v>0.39</v>
      </c>
      <c r="M509" s="18">
        <v>0.44</v>
      </c>
      <c r="N509" s="18">
        <v>0.1</v>
      </c>
      <c r="O509" s="18">
        <v>4.39</v>
      </c>
      <c r="P509" s="18">
        <v>0.68</v>
      </c>
      <c r="Q509" s="18">
        <v>0.73</v>
      </c>
      <c r="R509" s="36"/>
      <c r="S509" s="36"/>
      <c r="T509" s="19">
        <v>0.0</v>
      </c>
      <c r="U509" s="20" t="s">
        <v>6583</v>
      </c>
    </row>
    <row r="510">
      <c r="A510" s="50">
        <v>489.0</v>
      </c>
      <c r="B510" s="13" t="s">
        <v>6584</v>
      </c>
      <c r="C510" s="11" t="s">
        <v>6585</v>
      </c>
      <c r="D510" s="12" t="s">
        <v>26</v>
      </c>
      <c r="E510" s="13" t="s">
        <v>6586</v>
      </c>
      <c r="F510" s="12">
        <v>20.0</v>
      </c>
      <c r="G510" s="12">
        <v>2005.0</v>
      </c>
      <c r="H510" s="15">
        <v>15.0</v>
      </c>
      <c r="I510" s="17">
        <v>0.07</v>
      </c>
      <c r="J510" s="19">
        <v>0.0</v>
      </c>
      <c r="K510" s="19">
        <v>0.0</v>
      </c>
      <c r="L510" s="18">
        <v>1.27</v>
      </c>
      <c r="M510" s="18">
        <v>1.53</v>
      </c>
      <c r="N510" s="18">
        <v>0.2</v>
      </c>
      <c r="O510" s="18">
        <v>6.13</v>
      </c>
      <c r="P510" s="18">
        <v>0.33</v>
      </c>
      <c r="Q510" s="18">
        <v>0.8</v>
      </c>
      <c r="R510" s="36"/>
      <c r="S510" s="36"/>
      <c r="T510" s="19">
        <v>0.0</v>
      </c>
      <c r="U510" s="20" t="s">
        <v>6587</v>
      </c>
    </row>
    <row r="511">
      <c r="A511" s="50">
        <v>490.0</v>
      </c>
      <c r="B511" s="13" t="s">
        <v>6588</v>
      </c>
      <c r="C511" s="11" t="s">
        <v>6589</v>
      </c>
      <c r="D511" s="12" t="s">
        <v>36</v>
      </c>
      <c r="E511" s="13" t="s">
        <v>6590</v>
      </c>
      <c r="F511" s="12">
        <v>29.0</v>
      </c>
      <c r="G511" s="12">
        <v>1995.0</v>
      </c>
      <c r="H511" s="15">
        <v>19.9</v>
      </c>
      <c r="I511" s="17">
        <v>0.1</v>
      </c>
      <c r="J511" s="19">
        <v>0.0</v>
      </c>
      <c r="K511" s="19">
        <v>0.0</v>
      </c>
      <c r="L511" s="18">
        <v>1.36</v>
      </c>
      <c r="M511" s="18">
        <v>1.56</v>
      </c>
      <c r="N511" s="18">
        <v>0.05</v>
      </c>
      <c r="O511" s="18">
        <v>1.71</v>
      </c>
      <c r="P511" s="18">
        <v>1.31</v>
      </c>
      <c r="Q511" s="18">
        <v>1.91</v>
      </c>
      <c r="R511" s="36"/>
      <c r="S511" s="36"/>
      <c r="T511" s="19">
        <v>0.0</v>
      </c>
      <c r="U511" s="20" t="s">
        <v>6591</v>
      </c>
    </row>
    <row r="512">
      <c r="A512" s="50">
        <v>491.0</v>
      </c>
      <c r="B512" s="13" t="s">
        <v>6592</v>
      </c>
      <c r="C512" s="11" t="s">
        <v>6593</v>
      </c>
      <c r="D512" s="12" t="s">
        <v>41</v>
      </c>
      <c r="E512" s="13" t="s">
        <v>6594</v>
      </c>
      <c r="F512" s="12">
        <v>24.0</v>
      </c>
      <c r="G512" s="12">
        <v>2001.0</v>
      </c>
      <c r="H512" s="15">
        <v>36.5</v>
      </c>
      <c r="I512" s="17">
        <v>0.19</v>
      </c>
      <c r="J512" s="19">
        <v>0.0</v>
      </c>
      <c r="K512" s="19">
        <v>0.0</v>
      </c>
      <c r="L512" s="18">
        <v>2.03</v>
      </c>
      <c r="M512" s="18">
        <v>0.71</v>
      </c>
      <c r="N512" s="18">
        <v>0.66</v>
      </c>
      <c r="O512" s="18">
        <v>0.52</v>
      </c>
      <c r="P512" s="18">
        <v>0.33</v>
      </c>
      <c r="Q512" s="18">
        <v>0.58</v>
      </c>
      <c r="R512" s="36"/>
      <c r="S512" s="36"/>
      <c r="T512" s="19">
        <v>0.0</v>
      </c>
      <c r="U512" s="20" t="s">
        <v>6595</v>
      </c>
    </row>
    <row r="513">
      <c r="A513" s="50">
        <v>492.0</v>
      </c>
      <c r="B513" s="13" t="s">
        <v>6596</v>
      </c>
      <c r="C513" s="11" t="s">
        <v>6597</v>
      </c>
      <c r="D513" s="12" t="s">
        <v>36</v>
      </c>
      <c r="E513" s="13" t="s">
        <v>6598</v>
      </c>
      <c r="F513" s="12">
        <v>23.0</v>
      </c>
      <c r="G513" s="12">
        <v>2001.0</v>
      </c>
      <c r="H513" s="15">
        <v>32.9</v>
      </c>
      <c r="I513" s="17">
        <v>0.12</v>
      </c>
      <c r="J513" s="19">
        <v>0.0</v>
      </c>
      <c r="K513" s="19">
        <v>0.0</v>
      </c>
      <c r="L513" s="18">
        <v>0.73</v>
      </c>
      <c r="M513" s="18">
        <v>0.33</v>
      </c>
      <c r="N513" s="18">
        <v>0.06</v>
      </c>
      <c r="O513" s="18">
        <v>0.27</v>
      </c>
      <c r="P513" s="18">
        <v>0.91</v>
      </c>
      <c r="Q513" s="18">
        <v>1.03</v>
      </c>
      <c r="R513" s="36"/>
      <c r="S513" s="36"/>
      <c r="T513" s="19">
        <v>0.0</v>
      </c>
      <c r="U513" s="20" t="s">
        <v>6599</v>
      </c>
    </row>
    <row r="514">
      <c r="A514" s="50">
        <v>493.0</v>
      </c>
      <c r="B514" s="13" t="s">
        <v>6600</v>
      </c>
      <c r="C514" s="11" t="s">
        <v>6601</v>
      </c>
      <c r="D514" s="12" t="s">
        <v>31</v>
      </c>
      <c r="E514" s="13" t="s">
        <v>6602</v>
      </c>
      <c r="F514" s="12">
        <v>28.0</v>
      </c>
      <c r="G514" s="12">
        <v>1997.0</v>
      </c>
      <c r="H514" s="15">
        <v>20.7</v>
      </c>
      <c r="I514" s="22">
        <v>0.0</v>
      </c>
      <c r="J514" s="19">
        <v>0.0</v>
      </c>
      <c r="K514" s="19">
        <v>0.0</v>
      </c>
      <c r="L514" s="18">
        <v>1.21</v>
      </c>
      <c r="M514" s="18">
        <v>1.93</v>
      </c>
      <c r="N514" s="18">
        <v>0.05</v>
      </c>
      <c r="O514" s="18">
        <v>2.17</v>
      </c>
      <c r="P514" s="18">
        <v>0.77</v>
      </c>
      <c r="Q514" s="18">
        <v>1.88</v>
      </c>
      <c r="R514" s="36"/>
      <c r="S514" s="36"/>
      <c r="T514" s="19">
        <v>0.0</v>
      </c>
      <c r="U514" s="20" t="s">
        <v>6603</v>
      </c>
    </row>
    <row r="515">
      <c r="A515" s="50">
        <v>494.0</v>
      </c>
      <c r="B515" s="13" t="s">
        <v>6604</v>
      </c>
      <c r="C515" s="11" t="s">
        <v>6605</v>
      </c>
      <c r="D515" s="12" t="s">
        <v>36</v>
      </c>
      <c r="E515" s="13" t="s">
        <v>6606</v>
      </c>
      <c r="F515" s="12">
        <v>24.0</v>
      </c>
      <c r="G515" s="12">
        <v>2001.0</v>
      </c>
      <c r="H515" s="15">
        <v>27.3</v>
      </c>
      <c r="I515" s="17">
        <v>0.18</v>
      </c>
      <c r="J515" s="19">
        <v>0.0</v>
      </c>
      <c r="K515" s="19">
        <v>0.0</v>
      </c>
      <c r="L515" s="18">
        <v>1.39</v>
      </c>
      <c r="M515" s="18">
        <v>1.06</v>
      </c>
      <c r="N515" s="19">
        <v>0.0</v>
      </c>
      <c r="O515" s="18">
        <v>1.68</v>
      </c>
      <c r="P515" s="18">
        <v>0.88</v>
      </c>
      <c r="Q515" s="18">
        <v>1.28</v>
      </c>
      <c r="R515" s="36"/>
      <c r="S515" s="36"/>
      <c r="T515" s="19">
        <v>0.0</v>
      </c>
      <c r="U515" s="20" t="s">
        <v>6607</v>
      </c>
    </row>
    <row r="516">
      <c r="A516" s="50">
        <v>495.0</v>
      </c>
      <c r="B516" s="13" t="s">
        <v>6608</v>
      </c>
      <c r="C516" s="11" t="s">
        <v>6609</v>
      </c>
      <c r="D516" s="12" t="s">
        <v>36</v>
      </c>
      <c r="E516" s="13" t="s">
        <v>6610</v>
      </c>
      <c r="F516" s="12">
        <v>25.0</v>
      </c>
      <c r="G516" s="12">
        <v>1999.0</v>
      </c>
      <c r="H516" s="15">
        <v>20.2</v>
      </c>
      <c r="I516" s="17">
        <v>0.25</v>
      </c>
      <c r="J516" s="18">
        <v>0.05</v>
      </c>
      <c r="K516" s="19">
        <v>0.0</v>
      </c>
      <c r="L516" s="18">
        <v>0.45</v>
      </c>
      <c r="M516" s="18">
        <v>0.15</v>
      </c>
      <c r="N516" s="18">
        <v>0.05</v>
      </c>
      <c r="O516" s="18">
        <v>0.1</v>
      </c>
      <c r="P516" s="18">
        <v>0.79</v>
      </c>
      <c r="Q516" s="18">
        <v>1.19</v>
      </c>
      <c r="R516" s="36"/>
      <c r="S516" s="36"/>
      <c r="T516" s="19">
        <v>0.0</v>
      </c>
      <c r="U516" s="20" t="s">
        <v>6611</v>
      </c>
    </row>
    <row r="517">
      <c r="A517" s="50">
        <v>496.0</v>
      </c>
      <c r="B517" s="13" t="s">
        <v>6612</v>
      </c>
      <c r="C517" s="11" t="s">
        <v>6613</v>
      </c>
      <c r="D517" s="12" t="s">
        <v>31</v>
      </c>
      <c r="E517" s="13" t="s">
        <v>6614</v>
      </c>
      <c r="F517" s="12">
        <v>25.0</v>
      </c>
      <c r="G517" s="12">
        <v>2000.0</v>
      </c>
      <c r="H517" s="15">
        <v>28.2</v>
      </c>
      <c r="I517" s="17">
        <v>0.14</v>
      </c>
      <c r="J517" s="19">
        <v>0.0</v>
      </c>
      <c r="K517" s="19">
        <v>0.0</v>
      </c>
      <c r="L517" s="18">
        <v>0.85</v>
      </c>
      <c r="M517" s="18">
        <v>1.49</v>
      </c>
      <c r="N517" s="18">
        <v>0.04</v>
      </c>
      <c r="O517" s="18">
        <v>3.37</v>
      </c>
      <c r="P517" s="18">
        <v>0.99</v>
      </c>
      <c r="Q517" s="18">
        <v>0.89</v>
      </c>
      <c r="R517" s="36"/>
      <c r="S517" s="36"/>
      <c r="T517" s="19">
        <v>0.0</v>
      </c>
      <c r="U517" s="20" t="s">
        <v>6615</v>
      </c>
    </row>
    <row r="518">
      <c r="A518" s="50">
        <v>497.0</v>
      </c>
      <c r="B518" s="13" t="s">
        <v>6616</v>
      </c>
      <c r="C518" s="11" t="s">
        <v>6617</v>
      </c>
      <c r="D518" s="12" t="s">
        <v>36</v>
      </c>
      <c r="E518" s="13" t="s">
        <v>6618</v>
      </c>
      <c r="F518" s="12">
        <v>28.0</v>
      </c>
      <c r="G518" s="12">
        <v>1997.0</v>
      </c>
      <c r="H518" s="15">
        <v>18.6</v>
      </c>
      <c r="I518" s="17">
        <v>0.05</v>
      </c>
      <c r="J518" s="19">
        <v>0.0</v>
      </c>
      <c r="K518" s="19">
        <v>0.0</v>
      </c>
      <c r="L518" s="18">
        <v>0.38</v>
      </c>
      <c r="M518" s="18">
        <v>0.27</v>
      </c>
      <c r="N518" s="19">
        <v>0.0</v>
      </c>
      <c r="O518" s="18">
        <v>0.22</v>
      </c>
      <c r="P518" s="18">
        <v>0.59</v>
      </c>
      <c r="Q518" s="18">
        <v>0.75</v>
      </c>
      <c r="R518" s="36"/>
      <c r="S518" s="36"/>
      <c r="T518" s="18">
        <v>0.05</v>
      </c>
      <c r="U518" s="20" t="s">
        <v>6619</v>
      </c>
    </row>
    <row r="519">
      <c r="A519" s="50">
        <v>498.0</v>
      </c>
      <c r="B519" s="13" t="s">
        <v>6620</v>
      </c>
      <c r="C519" s="11" t="s">
        <v>6621</v>
      </c>
      <c r="D519" s="12" t="s">
        <v>31</v>
      </c>
      <c r="E519" s="13" t="s">
        <v>6622</v>
      </c>
      <c r="F519" s="12">
        <v>19.0</v>
      </c>
      <c r="G519" s="12">
        <v>2005.0</v>
      </c>
      <c r="H519" s="15">
        <v>1.6</v>
      </c>
      <c r="I519" s="17">
        <v>0.63</v>
      </c>
      <c r="J519" s="19">
        <v>0.0</v>
      </c>
      <c r="K519" s="19">
        <v>0.0</v>
      </c>
      <c r="L519" s="18">
        <v>0.63</v>
      </c>
      <c r="M519" s="18">
        <v>1.25</v>
      </c>
      <c r="N519" s="19">
        <v>0.0</v>
      </c>
      <c r="O519" s="18">
        <v>1.88</v>
      </c>
      <c r="P519" s="18">
        <v>1.88</v>
      </c>
      <c r="Q519" s="19">
        <v>0.0</v>
      </c>
      <c r="R519" s="36"/>
      <c r="S519" s="36"/>
      <c r="T519" s="19">
        <v>0.0</v>
      </c>
      <c r="U519" s="20" t="s">
        <v>6623</v>
      </c>
    </row>
    <row r="520">
      <c r="A520" s="50">
        <v>499.0</v>
      </c>
      <c r="B520" s="13" t="s">
        <v>6624</v>
      </c>
      <c r="C520" s="11" t="s">
        <v>6625</v>
      </c>
      <c r="D520" s="12" t="s">
        <v>98</v>
      </c>
      <c r="E520" s="13" t="s">
        <v>6626</v>
      </c>
      <c r="F520" s="12">
        <v>22.0</v>
      </c>
      <c r="G520" s="12">
        <v>2002.0</v>
      </c>
      <c r="H520" s="15">
        <v>4.0</v>
      </c>
      <c r="I520" s="22">
        <v>0.0</v>
      </c>
      <c r="J520" s="19">
        <v>0.0</v>
      </c>
      <c r="K520" s="19">
        <v>0.0</v>
      </c>
      <c r="L520" s="19">
        <v>0.0</v>
      </c>
      <c r="M520" s="18">
        <v>0.25</v>
      </c>
      <c r="N520" s="19">
        <v>0.0</v>
      </c>
      <c r="O520" s="19">
        <v>0.0</v>
      </c>
      <c r="P520" s="19">
        <v>0.0</v>
      </c>
      <c r="Q520" s="18">
        <v>0.25</v>
      </c>
      <c r="R520" s="36"/>
      <c r="S520" s="36"/>
      <c r="T520" s="19">
        <v>0.0</v>
      </c>
      <c r="U520" s="20" t="s">
        <v>6627</v>
      </c>
    </row>
    <row r="521">
      <c r="A521" s="50">
        <v>500.0</v>
      </c>
      <c r="B521" s="13" t="s">
        <v>6628</v>
      </c>
      <c r="C521" s="11" t="s">
        <v>6629</v>
      </c>
      <c r="D521" s="12" t="s">
        <v>31</v>
      </c>
      <c r="E521" s="13" t="s">
        <v>6630</v>
      </c>
      <c r="F521" s="12">
        <v>29.0</v>
      </c>
      <c r="G521" s="12">
        <v>1996.0</v>
      </c>
      <c r="H521" s="15">
        <v>3.0</v>
      </c>
      <c r="I521" s="22">
        <v>0.0</v>
      </c>
      <c r="J521" s="19">
        <v>0.0</v>
      </c>
      <c r="K521" s="19">
        <v>0.0</v>
      </c>
      <c r="L521" s="18">
        <v>2.0</v>
      </c>
      <c r="M521" s="18">
        <v>2.67</v>
      </c>
      <c r="N521" s="18">
        <v>1.0</v>
      </c>
      <c r="O521" s="18">
        <v>5.0</v>
      </c>
      <c r="P521" s="19">
        <v>0.0</v>
      </c>
      <c r="Q521" s="18">
        <v>0.33</v>
      </c>
      <c r="R521" s="36"/>
      <c r="S521" s="36"/>
      <c r="T521" s="19">
        <v>0.0</v>
      </c>
      <c r="U521" s="20" t="s">
        <v>6631</v>
      </c>
    </row>
    <row r="522">
      <c r="A522" s="37" t="s">
        <v>3</v>
      </c>
      <c r="B522" s="51" t="s">
        <v>4</v>
      </c>
      <c r="C522" s="39" t="s">
        <v>5</v>
      </c>
      <c r="D522" s="39" t="s">
        <v>6</v>
      </c>
      <c r="E522" s="39" t="s">
        <v>7</v>
      </c>
      <c r="F522" s="39" t="s">
        <v>8</v>
      </c>
      <c r="G522" s="39" t="s">
        <v>9</v>
      </c>
      <c r="H522" s="39" t="s">
        <v>13</v>
      </c>
      <c r="I522" s="40" t="s">
        <v>20</v>
      </c>
      <c r="J522" s="39" t="s">
        <v>21</v>
      </c>
      <c r="K522" s="39" t="s">
        <v>4622</v>
      </c>
      <c r="L522" s="39" t="s">
        <v>4623</v>
      </c>
      <c r="M522" s="39" t="s">
        <v>4624</v>
      </c>
      <c r="N522" s="39" t="s">
        <v>4625</v>
      </c>
      <c r="O522" s="39" t="s">
        <v>4626</v>
      </c>
      <c r="P522" s="39" t="s">
        <v>4627</v>
      </c>
      <c r="Q522" s="39" t="s">
        <v>4628</v>
      </c>
      <c r="R522" s="39" t="s">
        <v>4629</v>
      </c>
      <c r="S522" s="39" t="s">
        <v>4630</v>
      </c>
      <c r="T522" s="39" t="s">
        <v>4631</v>
      </c>
      <c r="U522" s="40" t="s">
        <v>23</v>
      </c>
    </row>
    <row r="523">
      <c r="A523" s="50">
        <v>501.0</v>
      </c>
      <c r="B523" s="13" t="s">
        <v>6632</v>
      </c>
      <c r="C523" s="11" t="s">
        <v>6633</v>
      </c>
      <c r="D523" s="12" t="s">
        <v>107</v>
      </c>
      <c r="E523" s="13" t="s">
        <v>6634</v>
      </c>
      <c r="F523" s="12">
        <v>29.0</v>
      </c>
      <c r="G523" s="12">
        <v>1996.0</v>
      </c>
      <c r="H523" s="15">
        <v>1.3</v>
      </c>
      <c r="I523" s="17">
        <v>0.77</v>
      </c>
      <c r="J523" s="19">
        <v>0.0</v>
      </c>
      <c r="K523" s="19">
        <v>0.0</v>
      </c>
      <c r="L523" s="18">
        <v>0.77</v>
      </c>
      <c r="M523" s="19">
        <v>0.0</v>
      </c>
      <c r="N523" s="18">
        <v>1.54</v>
      </c>
      <c r="O523" s="18">
        <v>9.23</v>
      </c>
      <c r="P523" s="19">
        <v>0.0</v>
      </c>
      <c r="Q523" s="18">
        <v>0.77</v>
      </c>
      <c r="R523" s="36"/>
      <c r="S523" s="36"/>
      <c r="T523" s="19">
        <v>0.0</v>
      </c>
      <c r="U523" s="20" t="s">
        <v>6635</v>
      </c>
    </row>
    <row r="524">
      <c r="A524" s="50">
        <v>502.0</v>
      </c>
      <c r="B524" s="13" t="s">
        <v>6636</v>
      </c>
      <c r="C524" s="11" t="s">
        <v>6637</v>
      </c>
      <c r="D524" s="12" t="s">
        <v>26</v>
      </c>
      <c r="E524" s="13" t="s">
        <v>6638</v>
      </c>
      <c r="F524" s="12">
        <v>29.0</v>
      </c>
      <c r="G524" s="12">
        <v>1995.0</v>
      </c>
      <c r="H524" s="15">
        <v>7.0</v>
      </c>
      <c r="I524" s="17">
        <v>0.14</v>
      </c>
      <c r="J524" s="19">
        <v>0.0</v>
      </c>
      <c r="K524" s="19">
        <v>0.0</v>
      </c>
      <c r="L524" s="18">
        <v>1.57</v>
      </c>
      <c r="M524" s="18">
        <v>1.71</v>
      </c>
      <c r="N524" s="18">
        <v>0.14</v>
      </c>
      <c r="O524" s="18">
        <v>1.86</v>
      </c>
      <c r="P524" s="18">
        <v>0.29</v>
      </c>
      <c r="Q524" s="18">
        <v>0.57</v>
      </c>
      <c r="R524" s="36"/>
      <c r="S524" s="36"/>
      <c r="T524" s="19">
        <v>0.0</v>
      </c>
      <c r="U524" s="20" t="s">
        <v>6639</v>
      </c>
    </row>
    <row r="525">
      <c r="A525" s="50">
        <v>503.0</v>
      </c>
      <c r="B525" s="13" t="s">
        <v>6640</v>
      </c>
      <c r="C525" s="11" t="s">
        <v>6641</v>
      </c>
      <c r="D525" s="12" t="s">
        <v>107</v>
      </c>
      <c r="E525" s="13" t="s">
        <v>6642</v>
      </c>
      <c r="F525" s="12">
        <v>26.0</v>
      </c>
      <c r="G525" s="12">
        <v>1999.0</v>
      </c>
      <c r="H525" s="15">
        <v>0.5</v>
      </c>
      <c r="I525" s="22">
        <v>0.0</v>
      </c>
      <c r="J525" s="19">
        <v>0.0</v>
      </c>
      <c r="K525" s="19">
        <v>0.0</v>
      </c>
      <c r="L525" s="19">
        <v>0.0</v>
      </c>
      <c r="M525" s="19">
        <v>0.0</v>
      </c>
      <c r="N525" s="19">
        <v>0.0</v>
      </c>
      <c r="O525" s="18">
        <v>6.0</v>
      </c>
      <c r="P525" s="19">
        <v>0.0</v>
      </c>
      <c r="Q525" s="18">
        <v>2.0</v>
      </c>
      <c r="R525" s="36"/>
      <c r="S525" s="36"/>
      <c r="T525" s="19">
        <v>0.0</v>
      </c>
      <c r="U525" s="20" t="s">
        <v>6643</v>
      </c>
    </row>
    <row r="526">
      <c r="A526" s="50">
        <v>504.0</v>
      </c>
      <c r="B526" s="13" t="s">
        <v>6644</v>
      </c>
      <c r="C526" s="11" t="s">
        <v>6645</v>
      </c>
      <c r="D526" s="12" t="s">
        <v>36</v>
      </c>
      <c r="E526" s="13" t="s">
        <v>6646</v>
      </c>
      <c r="F526" s="12">
        <v>34.0</v>
      </c>
      <c r="G526" s="12">
        <v>1990.0</v>
      </c>
      <c r="H526" s="15">
        <v>17.6</v>
      </c>
      <c r="I526" s="17">
        <v>0.17</v>
      </c>
      <c r="J526" s="19">
        <v>0.0</v>
      </c>
      <c r="K526" s="19">
        <v>0.0</v>
      </c>
      <c r="L526" s="18">
        <v>1.25</v>
      </c>
      <c r="M526" s="18">
        <v>1.08</v>
      </c>
      <c r="N526" s="18">
        <v>0.06</v>
      </c>
      <c r="O526" s="18">
        <v>5.45</v>
      </c>
      <c r="P526" s="18">
        <v>0.4</v>
      </c>
      <c r="Q526" s="18">
        <v>0.74</v>
      </c>
      <c r="R526" s="36"/>
      <c r="S526" s="36"/>
      <c r="T526" s="19">
        <v>0.0</v>
      </c>
      <c r="U526" s="20" t="s">
        <v>6647</v>
      </c>
    </row>
    <row r="527">
      <c r="A527" s="50">
        <v>505.0</v>
      </c>
      <c r="B527" s="13" t="s">
        <v>6648</v>
      </c>
      <c r="C527" s="11" t="s">
        <v>6649</v>
      </c>
      <c r="D527" s="12" t="s">
        <v>107</v>
      </c>
      <c r="E527" s="13" t="s">
        <v>6650</v>
      </c>
      <c r="F527" s="12">
        <v>30.0</v>
      </c>
      <c r="G527" s="12">
        <v>1994.0</v>
      </c>
      <c r="H527" s="15">
        <v>22.2</v>
      </c>
      <c r="I527" s="17">
        <v>0.09</v>
      </c>
      <c r="J527" s="19">
        <v>0.0</v>
      </c>
      <c r="K527" s="19">
        <v>0.0</v>
      </c>
      <c r="L527" s="18">
        <v>0.59</v>
      </c>
      <c r="M527" s="18">
        <v>1.76</v>
      </c>
      <c r="N527" s="18">
        <v>0.23</v>
      </c>
      <c r="O527" s="18">
        <v>2.61</v>
      </c>
      <c r="P527" s="18">
        <v>0.41</v>
      </c>
      <c r="Q527" s="18">
        <v>0.68</v>
      </c>
      <c r="R527" s="36"/>
      <c r="S527" s="36"/>
      <c r="T527" s="19">
        <v>0.0</v>
      </c>
      <c r="U527" s="20" t="s">
        <v>6651</v>
      </c>
    </row>
    <row r="528">
      <c r="A528" s="50">
        <v>506.0</v>
      </c>
      <c r="B528" s="13" t="s">
        <v>6652</v>
      </c>
      <c r="C528" s="11" t="s">
        <v>6653</v>
      </c>
      <c r="D528" s="12" t="s">
        <v>36</v>
      </c>
      <c r="E528" s="13" t="s">
        <v>6654</v>
      </c>
      <c r="F528" s="12">
        <v>23.0</v>
      </c>
      <c r="G528" s="12">
        <v>2001.0</v>
      </c>
      <c r="H528" s="15">
        <v>37.5</v>
      </c>
      <c r="I528" s="17">
        <v>0.13</v>
      </c>
      <c r="J528" s="19">
        <v>0.0</v>
      </c>
      <c r="K528" s="19">
        <v>0.0</v>
      </c>
      <c r="L528" s="18">
        <v>1.04</v>
      </c>
      <c r="M528" s="18">
        <v>0.85</v>
      </c>
      <c r="N528" s="19">
        <v>0.0</v>
      </c>
      <c r="O528" s="18">
        <v>3.79</v>
      </c>
      <c r="P528" s="18">
        <v>1.15</v>
      </c>
      <c r="Q528" s="18">
        <v>1.36</v>
      </c>
      <c r="R528" s="36"/>
      <c r="S528" s="36"/>
      <c r="T528" s="19">
        <v>0.0</v>
      </c>
      <c r="U528" s="20" t="s">
        <v>6655</v>
      </c>
    </row>
    <row r="529">
      <c r="A529" s="50">
        <v>507.0</v>
      </c>
      <c r="B529" s="13" t="s">
        <v>6656</v>
      </c>
      <c r="C529" s="11" t="s">
        <v>6657</v>
      </c>
      <c r="D529" s="12" t="s">
        <v>36</v>
      </c>
      <c r="E529" s="13" t="s">
        <v>6658</v>
      </c>
      <c r="F529" s="12">
        <v>27.0</v>
      </c>
      <c r="G529" s="12">
        <v>1997.0</v>
      </c>
      <c r="H529" s="15">
        <v>13.3</v>
      </c>
      <c r="I529" s="17">
        <v>0.08</v>
      </c>
      <c r="J529" s="19">
        <v>0.0</v>
      </c>
      <c r="K529" s="19">
        <v>0.0</v>
      </c>
      <c r="L529" s="18">
        <v>0.98</v>
      </c>
      <c r="M529" s="18">
        <v>0.15</v>
      </c>
      <c r="N529" s="18">
        <v>0.08</v>
      </c>
      <c r="O529" s="18">
        <v>0.08</v>
      </c>
      <c r="P529" s="18">
        <v>0.9</v>
      </c>
      <c r="Q529" s="18">
        <v>0.6</v>
      </c>
      <c r="R529" s="36"/>
      <c r="S529" s="36"/>
      <c r="T529" s="18">
        <v>0.08</v>
      </c>
      <c r="U529" s="20" t="s">
        <v>6659</v>
      </c>
    </row>
    <row r="530">
      <c r="A530" s="50">
        <v>508.0</v>
      </c>
      <c r="B530" s="13" t="s">
        <v>6660</v>
      </c>
      <c r="C530" s="11" t="s">
        <v>6661</v>
      </c>
      <c r="D530" s="12" t="s">
        <v>41</v>
      </c>
      <c r="E530" s="13" t="s">
        <v>6662</v>
      </c>
      <c r="F530" s="12">
        <v>19.0</v>
      </c>
      <c r="G530" s="12">
        <v>2006.0</v>
      </c>
      <c r="H530" s="15">
        <v>1.5</v>
      </c>
      <c r="I530" s="22">
        <v>0.0</v>
      </c>
      <c r="J530" s="19">
        <v>0.0</v>
      </c>
      <c r="K530" s="19">
        <v>0.0</v>
      </c>
      <c r="L530" s="18">
        <v>2.67</v>
      </c>
      <c r="M530" s="18">
        <v>0.67</v>
      </c>
      <c r="N530" s="18">
        <v>0.67</v>
      </c>
      <c r="O530" s="18">
        <v>0.67</v>
      </c>
      <c r="P530" s="19">
        <v>0.0</v>
      </c>
      <c r="Q530" s="18">
        <v>0.67</v>
      </c>
      <c r="R530" s="36"/>
      <c r="S530" s="36"/>
      <c r="T530" s="19">
        <v>0.0</v>
      </c>
      <c r="U530" s="20" t="s">
        <v>6663</v>
      </c>
    </row>
    <row r="531">
      <c r="A531" s="50">
        <v>509.0</v>
      </c>
      <c r="B531" s="13" t="s">
        <v>6664</v>
      </c>
      <c r="C531" s="11" t="s">
        <v>6665</v>
      </c>
      <c r="D531" s="12" t="s">
        <v>41</v>
      </c>
      <c r="E531" s="13" t="s">
        <v>6666</v>
      </c>
      <c r="F531" s="12">
        <v>22.0</v>
      </c>
      <c r="G531" s="12">
        <v>2003.0</v>
      </c>
      <c r="H531" s="15">
        <v>1.9</v>
      </c>
      <c r="I531" s="22">
        <v>0.0</v>
      </c>
      <c r="J531" s="19">
        <v>0.0</v>
      </c>
      <c r="K531" s="19">
        <v>0.0</v>
      </c>
      <c r="L531" s="18">
        <v>2.11</v>
      </c>
      <c r="M531" s="18">
        <v>3.68</v>
      </c>
      <c r="N531" s="18">
        <v>1.58</v>
      </c>
      <c r="O531" s="18">
        <v>3.16</v>
      </c>
      <c r="P531" s="19">
        <v>0.0</v>
      </c>
      <c r="Q531" s="18">
        <v>0.53</v>
      </c>
      <c r="R531" s="36"/>
      <c r="S531" s="36"/>
      <c r="T531" s="19">
        <v>0.0</v>
      </c>
      <c r="U531" s="20" t="s">
        <v>6667</v>
      </c>
    </row>
    <row r="532">
      <c r="A532" s="50">
        <v>510.0</v>
      </c>
      <c r="B532" s="13" t="s">
        <v>6668</v>
      </c>
      <c r="C532" s="11" t="s">
        <v>6669</v>
      </c>
      <c r="D532" s="12" t="s">
        <v>345</v>
      </c>
      <c r="E532" s="13" t="s">
        <v>6670</v>
      </c>
      <c r="F532" s="12">
        <v>22.0</v>
      </c>
      <c r="G532" s="12">
        <v>2002.0</v>
      </c>
      <c r="H532" s="15">
        <v>14.9</v>
      </c>
      <c r="I532" s="17">
        <v>0.27</v>
      </c>
      <c r="J532" s="19">
        <v>0.0</v>
      </c>
      <c r="K532" s="19">
        <v>0.0</v>
      </c>
      <c r="L532" s="18">
        <v>1.14</v>
      </c>
      <c r="M532" s="18">
        <v>1.48</v>
      </c>
      <c r="N532" s="18">
        <v>0.2</v>
      </c>
      <c r="O532" s="18">
        <v>1.81</v>
      </c>
      <c r="P532" s="18">
        <v>0.47</v>
      </c>
      <c r="Q532" s="18">
        <v>1.34</v>
      </c>
      <c r="R532" s="36"/>
      <c r="S532" s="36"/>
      <c r="T532" s="19">
        <v>0.0</v>
      </c>
      <c r="U532" s="20" t="s">
        <v>6671</v>
      </c>
    </row>
    <row r="533">
      <c r="A533" s="50">
        <v>511.0</v>
      </c>
      <c r="B533" s="13" t="s">
        <v>6672</v>
      </c>
      <c r="C533" s="11" t="s">
        <v>6673</v>
      </c>
      <c r="D533" s="12" t="s">
        <v>31</v>
      </c>
      <c r="E533" s="13" t="s">
        <v>6674</v>
      </c>
      <c r="F533" s="12">
        <v>24.0</v>
      </c>
      <c r="G533" s="12">
        <v>2001.0</v>
      </c>
      <c r="H533" s="15">
        <v>9.9</v>
      </c>
      <c r="I533" s="17">
        <v>0.1</v>
      </c>
      <c r="J533" s="19">
        <v>0.0</v>
      </c>
      <c r="K533" s="19">
        <v>0.0</v>
      </c>
      <c r="L533" s="18">
        <v>2.42</v>
      </c>
      <c r="M533" s="18">
        <v>1.52</v>
      </c>
      <c r="N533" s="19">
        <v>0.0</v>
      </c>
      <c r="O533" s="18">
        <v>0.1</v>
      </c>
      <c r="P533" s="18">
        <v>2.02</v>
      </c>
      <c r="Q533" s="18">
        <v>3.03</v>
      </c>
      <c r="R533" s="36"/>
      <c r="S533" s="36"/>
      <c r="T533" s="19">
        <v>0.0</v>
      </c>
      <c r="U533" s="20" t="s">
        <v>6675</v>
      </c>
    </row>
    <row r="534">
      <c r="A534" s="50">
        <v>512.0</v>
      </c>
      <c r="B534" s="13" t="s">
        <v>6676</v>
      </c>
      <c r="C534" s="11" t="s">
        <v>6677</v>
      </c>
      <c r="D534" s="12" t="s">
        <v>31</v>
      </c>
      <c r="E534" s="13" t="s">
        <v>6678</v>
      </c>
      <c r="F534" s="12">
        <v>21.0</v>
      </c>
      <c r="G534" s="12">
        <v>2004.0</v>
      </c>
      <c r="H534" s="15">
        <v>26.0</v>
      </c>
      <c r="I534" s="17">
        <v>0.12</v>
      </c>
      <c r="J534" s="18">
        <v>0.04</v>
      </c>
      <c r="K534" s="18">
        <v>0.04</v>
      </c>
      <c r="L534" s="18">
        <v>1.08</v>
      </c>
      <c r="M534" s="18">
        <v>1.15</v>
      </c>
      <c r="N534" s="18">
        <v>0.04</v>
      </c>
      <c r="O534" s="18">
        <v>0.27</v>
      </c>
      <c r="P534" s="18">
        <v>0.65</v>
      </c>
      <c r="Q534" s="18">
        <v>1.0</v>
      </c>
      <c r="R534" s="36"/>
      <c r="S534" s="36"/>
      <c r="T534" s="19">
        <v>0.0</v>
      </c>
      <c r="U534" s="20" t="s">
        <v>6679</v>
      </c>
    </row>
    <row r="535">
      <c r="A535" s="50">
        <v>513.0</v>
      </c>
      <c r="B535" s="13" t="s">
        <v>6680</v>
      </c>
      <c r="C535" s="11" t="s">
        <v>6681</v>
      </c>
      <c r="D535" s="12" t="s">
        <v>41</v>
      </c>
      <c r="E535" s="13" t="s">
        <v>6682</v>
      </c>
      <c r="F535" s="12">
        <v>28.0</v>
      </c>
      <c r="G535" s="12">
        <v>1997.0</v>
      </c>
      <c r="H535" s="15">
        <v>2.6</v>
      </c>
      <c r="I535" s="17">
        <v>0.38</v>
      </c>
      <c r="J535" s="19">
        <v>0.0</v>
      </c>
      <c r="K535" s="19">
        <v>0.0</v>
      </c>
      <c r="L535" s="18">
        <v>2.31</v>
      </c>
      <c r="M535" s="18">
        <v>3.85</v>
      </c>
      <c r="N535" s="18">
        <v>1.15</v>
      </c>
      <c r="O535" s="18">
        <v>0.77</v>
      </c>
      <c r="P535" s="19">
        <v>0.0</v>
      </c>
      <c r="Q535" s="18">
        <v>0.38</v>
      </c>
      <c r="R535" s="36"/>
      <c r="S535" s="36"/>
      <c r="T535" s="19">
        <v>0.0</v>
      </c>
      <c r="U535" s="20" t="s">
        <v>6683</v>
      </c>
    </row>
    <row r="536">
      <c r="A536" s="50">
        <v>514.0</v>
      </c>
      <c r="B536" s="13" t="s">
        <v>6684</v>
      </c>
      <c r="C536" s="11" t="s">
        <v>6685</v>
      </c>
      <c r="D536" s="12" t="s">
        <v>98</v>
      </c>
      <c r="E536" s="13" t="s">
        <v>6686</v>
      </c>
      <c r="F536" s="12">
        <v>23.0</v>
      </c>
      <c r="G536" s="12">
        <v>2001.0</v>
      </c>
      <c r="H536" s="15">
        <v>1.0</v>
      </c>
      <c r="I536" s="22">
        <v>0.0</v>
      </c>
      <c r="J536" s="19">
        <v>0.0</v>
      </c>
      <c r="K536" s="19">
        <v>0.0</v>
      </c>
      <c r="L536" s="19">
        <v>0.0</v>
      </c>
      <c r="M536" s="19">
        <v>0.0</v>
      </c>
      <c r="N536" s="19">
        <v>0.0</v>
      </c>
      <c r="O536" s="19">
        <v>0.0</v>
      </c>
      <c r="P536" s="19">
        <v>0.0</v>
      </c>
      <c r="Q536" s="19">
        <v>0.0</v>
      </c>
      <c r="R536" s="36"/>
      <c r="S536" s="36"/>
      <c r="T536" s="19">
        <v>0.0</v>
      </c>
      <c r="U536" s="20" t="s">
        <v>6687</v>
      </c>
    </row>
    <row r="537">
      <c r="A537" s="50">
        <v>515.0</v>
      </c>
      <c r="B537" s="13" t="s">
        <v>6688</v>
      </c>
      <c r="C537" s="11" t="s">
        <v>6689</v>
      </c>
      <c r="D537" s="12" t="s">
        <v>36</v>
      </c>
      <c r="E537" s="13" t="s">
        <v>6690</v>
      </c>
      <c r="F537" s="12">
        <v>34.0</v>
      </c>
      <c r="G537" s="12">
        <v>1991.0</v>
      </c>
      <c r="H537" s="15">
        <v>38.0</v>
      </c>
      <c r="I537" s="17">
        <v>0.11</v>
      </c>
      <c r="J537" s="19">
        <v>0.0</v>
      </c>
      <c r="K537" s="19">
        <v>0.0</v>
      </c>
      <c r="L537" s="18">
        <v>0.5</v>
      </c>
      <c r="M537" s="18">
        <v>0.47</v>
      </c>
      <c r="N537" s="18">
        <v>0.03</v>
      </c>
      <c r="O537" s="18">
        <v>0.03</v>
      </c>
      <c r="P537" s="18">
        <v>0.68</v>
      </c>
      <c r="Q537" s="18">
        <v>0.39</v>
      </c>
      <c r="R537" s="36"/>
      <c r="S537" s="36"/>
      <c r="T537" s="19">
        <v>0.0</v>
      </c>
      <c r="U537" s="20" t="s">
        <v>6691</v>
      </c>
    </row>
    <row r="538">
      <c r="A538" s="50">
        <v>516.0</v>
      </c>
      <c r="B538" s="13" t="s">
        <v>6692</v>
      </c>
      <c r="C538" s="11" t="s">
        <v>6693</v>
      </c>
      <c r="D538" s="12" t="s">
        <v>36</v>
      </c>
      <c r="E538" s="13" t="s">
        <v>6694</v>
      </c>
      <c r="F538" s="12">
        <v>33.0</v>
      </c>
      <c r="G538" s="12">
        <v>1992.0</v>
      </c>
      <c r="H538" s="15">
        <v>11.7</v>
      </c>
      <c r="I538" s="17">
        <v>0.43</v>
      </c>
      <c r="J538" s="19">
        <v>0.0</v>
      </c>
      <c r="K538" s="19">
        <v>0.0</v>
      </c>
      <c r="L538" s="18">
        <v>0.85</v>
      </c>
      <c r="M538" s="18">
        <v>1.88</v>
      </c>
      <c r="N538" s="18">
        <v>0.17</v>
      </c>
      <c r="O538" s="18">
        <v>1.54</v>
      </c>
      <c r="P538" s="18">
        <v>1.62</v>
      </c>
      <c r="Q538" s="18">
        <v>1.45</v>
      </c>
      <c r="R538" s="36"/>
      <c r="S538" s="36"/>
      <c r="T538" s="19">
        <v>0.0</v>
      </c>
      <c r="U538" s="20" t="s">
        <v>6695</v>
      </c>
    </row>
    <row r="539">
      <c r="A539" s="50">
        <v>517.0</v>
      </c>
      <c r="B539" s="13" t="s">
        <v>6696</v>
      </c>
      <c r="C539" s="11" t="s">
        <v>6697</v>
      </c>
      <c r="D539" s="12" t="s">
        <v>36</v>
      </c>
      <c r="E539" s="13" t="s">
        <v>6698</v>
      </c>
      <c r="F539" s="12">
        <v>24.0</v>
      </c>
      <c r="G539" s="12">
        <v>2001.0</v>
      </c>
      <c r="H539" s="15">
        <v>33.8</v>
      </c>
      <c r="I539" s="17">
        <v>0.27</v>
      </c>
      <c r="J539" s="18">
        <v>0.03</v>
      </c>
      <c r="K539" s="19">
        <v>0.0</v>
      </c>
      <c r="L539" s="18">
        <v>0.83</v>
      </c>
      <c r="M539" s="18">
        <v>0.65</v>
      </c>
      <c r="N539" s="18">
        <v>0.06</v>
      </c>
      <c r="O539" s="18">
        <v>0.09</v>
      </c>
      <c r="P539" s="18">
        <v>0.62</v>
      </c>
      <c r="Q539" s="18">
        <v>0.59</v>
      </c>
      <c r="R539" s="36"/>
      <c r="S539" s="36"/>
      <c r="T539" s="19">
        <v>0.0</v>
      </c>
      <c r="U539" s="20" t="s">
        <v>6699</v>
      </c>
    </row>
    <row r="540">
      <c r="A540" s="50">
        <v>518.0</v>
      </c>
      <c r="B540" s="13" t="s">
        <v>6700</v>
      </c>
      <c r="C540" s="11" t="s">
        <v>6701</v>
      </c>
      <c r="D540" s="12" t="s">
        <v>98</v>
      </c>
      <c r="E540" s="13" t="s">
        <v>6702</v>
      </c>
      <c r="F540" s="12">
        <v>22.0</v>
      </c>
      <c r="G540" s="12">
        <v>2002.0</v>
      </c>
      <c r="H540" s="15">
        <v>38.0</v>
      </c>
      <c r="I540" s="17">
        <v>0.08</v>
      </c>
      <c r="J540" s="19">
        <v>0.0</v>
      </c>
      <c r="K540" s="19">
        <v>0.0</v>
      </c>
      <c r="L540" s="18">
        <v>0.05</v>
      </c>
      <c r="M540" s="18">
        <v>0.05</v>
      </c>
      <c r="N540" s="19">
        <v>0.0</v>
      </c>
      <c r="O540" s="19">
        <v>0.0</v>
      </c>
      <c r="P540" s="19">
        <v>0.0</v>
      </c>
      <c r="Q540" s="18">
        <v>0.03</v>
      </c>
      <c r="R540" s="36"/>
      <c r="S540" s="36"/>
      <c r="T540" s="18">
        <v>0.03</v>
      </c>
      <c r="U540" s="20" t="s">
        <v>6703</v>
      </c>
    </row>
    <row r="541">
      <c r="A541" s="50">
        <v>519.0</v>
      </c>
      <c r="B541" s="13" t="s">
        <v>6704</v>
      </c>
      <c r="C541" s="11" t="s">
        <v>6705</v>
      </c>
      <c r="D541" s="12" t="s">
        <v>98</v>
      </c>
      <c r="E541" s="13" t="s">
        <v>6706</v>
      </c>
      <c r="F541" s="12">
        <v>28.0</v>
      </c>
      <c r="G541" s="12">
        <v>1996.0</v>
      </c>
      <c r="H541" s="15">
        <v>31.0</v>
      </c>
      <c r="I541" s="17">
        <v>0.03</v>
      </c>
      <c r="J541" s="19">
        <v>0.0</v>
      </c>
      <c r="K541" s="19">
        <v>0.0</v>
      </c>
      <c r="L541" s="19">
        <v>0.0</v>
      </c>
      <c r="M541" s="18">
        <v>0.1</v>
      </c>
      <c r="N541" s="19">
        <v>0.0</v>
      </c>
      <c r="O541" s="19">
        <v>0.0</v>
      </c>
      <c r="P541" s="19">
        <v>0.0</v>
      </c>
      <c r="Q541" s="18">
        <v>0.03</v>
      </c>
      <c r="R541" s="36"/>
      <c r="S541" s="36"/>
      <c r="T541" s="19">
        <v>0.0</v>
      </c>
      <c r="U541" s="20" t="s">
        <v>6707</v>
      </c>
    </row>
    <row r="542">
      <c r="A542" s="50">
        <v>520.0</v>
      </c>
      <c r="B542" s="13" t="s">
        <v>6708</v>
      </c>
      <c r="C542" s="11" t="s">
        <v>6709</v>
      </c>
      <c r="D542" s="12" t="s">
        <v>345</v>
      </c>
      <c r="E542" s="13" t="s">
        <v>6710</v>
      </c>
      <c r="F542" s="12">
        <v>35.0</v>
      </c>
      <c r="G542" s="12">
        <v>1990.0</v>
      </c>
      <c r="H542" s="15">
        <v>34.4</v>
      </c>
      <c r="I542" s="17">
        <v>0.26</v>
      </c>
      <c r="J542" s="19">
        <v>0.0</v>
      </c>
      <c r="K542" s="19">
        <v>0.0</v>
      </c>
      <c r="L542" s="18">
        <v>0.93</v>
      </c>
      <c r="M542" s="18">
        <v>0.64</v>
      </c>
      <c r="N542" s="18">
        <v>0.03</v>
      </c>
      <c r="O542" s="18">
        <v>1.08</v>
      </c>
      <c r="P542" s="18">
        <v>1.25</v>
      </c>
      <c r="Q542" s="18">
        <v>0.93</v>
      </c>
      <c r="R542" s="36"/>
      <c r="S542" s="36"/>
      <c r="T542" s="19">
        <v>0.0</v>
      </c>
      <c r="U542" s="20" t="s">
        <v>6711</v>
      </c>
    </row>
    <row r="543">
      <c r="A543" s="50">
        <v>521.0</v>
      </c>
      <c r="B543" s="13" t="s">
        <v>6712</v>
      </c>
      <c r="C543" s="11" t="s">
        <v>6713</v>
      </c>
      <c r="D543" s="12" t="s">
        <v>36</v>
      </c>
      <c r="E543" s="13" t="s">
        <v>6714</v>
      </c>
      <c r="F543" s="12">
        <v>28.0</v>
      </c>
      <c r="G543" s="12">
        <v>1997.0</v>
      </c>
      <c r="H543" s="15">
        <v>15.4</v>
      </c>
      <c r="I543" s="17">
        <v>0.13</v>
      </c>
      <c r="J543" s="19">
        <v>0.0</v>
      </c>
      <c r="K543" s="19">
        <v>0.0</v>
      </c>
      <c r="L543" s="18">
        <v>0.78</v>
      </c>
      <c r="M543" s="18">
        <v>1.62</v>
      </c>
      <c r="N543" s="18">
        <v>0.06</v>
      </c>
      <c r="O543" s="18">
        <v>1.3</v>
      </c>
      <c r="P543" s="18">
        <v>0.58</v>
      </c>
      <c r="Q543" s="18">
        <v>1.95</v>
      </c>
      <c r="R543" s="36"/>
      <c r="S543" s="36"/>
      <c r="T543" s="19">
        <v>0.0</v>
      </c>
      <c r="U543" s="20" t="s">
        <v>6715</v>
      </c>
    </row>
    <row r="544">
      <c r="A544" s="50">
        <v>522.0</v>
      </c>
      <c r="B544" s="13" t="s">
        <v>6716</v>
      </c>
      <c r="C544" s="11" t="s">
        <v>6717</v>
      </c>
      <c r="D544" s="12" t="s">
        <v>345</v>
      </c>
      <c r="E544" s="13" t="s">
        <v>6718</v>
      </c>
      <c r="F544" s="12">
        <v>27.0</v>
      </c>
      <c r="G544" s="12">
        <v>1997.0</v>
      </c>
      <c r="H544" s="15">
        <v>23.1</v>
      </c>
      <c r="I544" s="17">
        <v>0.17</v>
      </c>
      <c r="J544" s="19">
        <v>0.0</v>
      </c>
      <c r="K544" s="19">
        <v>0.0</v>
      </c>
      <c r="L544" s="18">
        <v>1.0</v>
      </c>
      <c r="M544" s="18">
        <v>0.52</v>
      </c>
      <c r="N544" s="18">
        <v>0.04</v>
      </c>
      <c r="O544" s="18">
        <v>1.86</v>
      </c>
      <c r="P544" s="18">
        <v>1.77</v>
      </c>
      <c r="Q544" s="18">
        <v>1.04</v>
      </c>
      <c r="R544" s="36"/>
      <c r="S544" s="36"/>
      <c r="T544" s="19">
        <v>0.0</v>
      </c>
      <c r="U544" s="20" t="s">
        <v>6719</v>
      </c>
    </row>
    <row r="545">
      <c r="A545" s="50">
        <v>523.0</v>
      </c>
      <c r="B545" s="13" t="s">
        <v>6720</v>
      </c>
      <c r="C545" s="11" t="s">
        <v>6721</v>
      </c>
      <c r="D545" s="12" t="s">
        <v>31</v>
      </c>
      <c r="E545" s="13" t="s">
        <v>6722</v>
      </c>
      <c r="F545" s="12">
        <v>30.0</v>
      </c>
      <c r="G545" s="12">
        <v>1994.0</v>
      </c>
      <c r="H545" s="15">
        <v>4.6</v>
      </c>
      <c r="I545" s="22">
        <v>0.0</v>
      </c>
      <c r="J545" s="19">
        <v>0.0</v>
      </c>
      <c r="K545" s="19">
        <v>0.0</v>
      </c>
      <c r="L545" s="18">
        <v>0.87</v>
      </c>
      <c r="M545" s="18">
        <v>0.43</v>
      </c>
      <c r="N545" s="19">
        <v>0.0</v>
      </c>
      <c r="O545" s="18">
        <v>4.78</v>
      </c>
      <c r="P545" s="18">
        <v>1.3</v>
      </c>
      <c r="Q545" s="18">
        <v>0.43</v>
      </c>
      <c r="R545" s="36"/>
      <c r="S545" s="36"/>
      <c r="T545" s="19">
        <v>0.0</v>
      </c>
      <c r="U545" s="20" t="s">
        <v>6723</v>
      </c>
    </row>
    <row r="546">
      <c r="A546" s="50">
        <v>524.0</v>
      </c>
      <c r="B546" s="13" t="s">
        <v>6724</v>
      </c>
      <c r="C546" s="11" t="s">
        <v>6725</v>
      </c>
      <c r="D546" s="12" t="s">
        <v>31</v>
      </c>
      <c r="E546" s="13" t="s">
        <v>6726</v>
      </c>
      <c r="F546" s="12">
        <v>30.0</v>
      </c>
      <c r="G546" s="12">
        <v>1994.0</v>
      </c>
      <c r="H546" s="15">
        <v>7.6</v>
      </c>
      <c r="I546" s="17">
        <v>0.13</v>
      </c>
      <c r="J546" s="19">
        <v>0.0</v>
      </c>
      <c r="K546" s="19">
        <v>0.0</v>
      </c>
      <c r="L546" s="18">
        <v>0.53</v>
      </c>
      <c r="M546" s="18">
        <v>1.45</v>
      </c>
      <c r="N546" s="19">
        <v>0.0</v>
      </c>
      <c r="O546" s="18">
        <v>6.84</v>
      </c>
      <c r="P546" s="18">
        <v>1.97</v>
      </c>
      <c r="Q546" s="18">
        <v>0.53</v>
      </c>
      <c r="R546" s="36"/>
      <c r="S546" s="36"/>
      <c r="T546" s="19">
        <v>0.0</v>
      </c>
      <c r="U546" s="20" t="s">
        <v>6727</v>
      </c>
    </row>
    <row r="547">
      <c r="A547" s="50">
        <v>525.0</v>
      </c>
      <c r="B547" s="13" t="s">
        <v>6728</v>
      </c>
      <c r="C547" s="11" t="s">
        <v>6729</v>
      </c>
      <c r="D547" s="12" t="s">
        <v>41</v>
      </c>
      <c r="E547" s="13" t="s">
        <v>6730</v>
      </c>
      <c r="F547" s="12">
        <v>29.0</v>
      </c>
      <c r="G547" s="12">
        <v>1995.0</v>
      </c>
      <c r="H547" s="15">
        <v>31.5</v>
      </c>
      <c r="I547" s="17">
        <v>0.13</v>
      </c>
      <c r="J547" s="19">
        <v>0.0</v>
      </c>
      <c r="K547" s="19">
        <v>0.0</v>
      </c>
      <c r="L547" s="18">
        <v>1.11</v>
      </c>
      <c r="M547" s="18">
        <v>1.02</v>
      </c>
      <c r="N547" s="18">
        <v>0.79</v>
      </c>
      <c r="O547" s="18">
        <v>0.22</v>
      </c>
      <c r="P547" s="18">
        <v>0.16</v>
      </c>
      <c r="Q547" s="18">
        <v>0.44</v>
      </c>
      <c r="R547" s="36"/>
      <c r="S547" s="36"/>
      <c r="T547" s="19">
        <v>0.0</v>
      </c>
      <c r="U547" s="20" t="s">
        <v>6731</v>
      </c>
    </row>
    <row r="548">
      <c r="A548" s="37" t="s">
        <v>3</v>
      </c>
      <c r="B548" s="51" t="s">
        <v>4</v>
      </c>
      <c r="C548" s="39" t="s">
        <v>5</v>
      </c>
      <c r="D548" s="39" t="s">
        <v>6</v>
      </c>
      <c r="E548" s="39" t="s">
        <v>7</v>
      </c>
      <c r="F548" s="39" t="s">
        <v>8</v>
      </c>
      <c r="G548" s="39" t="s">
        <v>9</v>
      </c>
      <c r="H548" s="39" t="s">
        <v>13</v>
      </c>
      <c r="I548" s="40" t="s">
        <v>20</v>
      </c>
      <c r="J548" s="39" t="s">
        <v>21</v>
      </c>
      <c r="K548" s="39" t="s">
        <v>4622</v>
      </c>
      <c r="L548" s="39" t="s">
        <v>4623</v>
      </c>
      <c r="M548" s="39" t="s">
        <v>4624</v>
      </c>
      <c r="N548" s="39" t="s">
        <v>4625</v>
      </c>
      <c r="O548" s="39" t="s">
        <v>4626</v>
      </c>
      <c r="P548" s="39" t="s">
        <v>4627</v>
      </c>
      <c r="Q548" s="39" t="s">
        <v>4628</v>
      </c>
      <c r="R548" s="39" t="s">
        <v>4629</v>
      </c>
      <c r="S548" s="39" t="s">
        <v>4630</v>
      </c>
      <c r="T548" s="39" t="s">
        <v>4631</v>
      </c>
      <c r="U548" s="40" t="s">
        <v>23</v>
      </c>
    </row>
    <row r="549">
      <c r="A549" s="50">
        <v>526.0</v>
      </c>
      <c r="B549" s="13" t="s">
        <v>6732</v>
      </c>
      <c r="C549" s="11" t="s">
        <v>6733</v>
      </c>
      <c r="D549" s="12" t="s">
        <v>31</v>
      </c>
      <c r="E549" s="13" t="s">
        <v>6734</v>
      </c>
      <c r="F549" s="12">
        <v>19.0</v>
      </c>
      <c r="G549" s="12">
        <v>2006.0</v>
      </c>
      <c r="H549" s="15">
        <v>0.7</v>
      </c>
      <c r="I549" s="17">
        <v>1.43</v>
      </c>
      <c r="J549" s="19">
        <v>0.0</v>
      </c>
      <c r="K549" s="19">
        <v>0.0</v>
      </c>
      <c r="L549" s="18">
        <v>4.29</v>
      </c>
      <c r="M549" s="19">
        <v>0.0</v>
      </c>
      <c r="N549" s="19">
        <v>0.0</v>
      </c>
      <c r="O549" s="19">
        <v>0.0</v>
      </c>
      <c r="P549" s="19">
        <v>0.0</v>
      </c>
      <c r="Q549" s="18">
        <v>1.43</v>
      </c>
      <c r="R549" s="36"/>
      <c r="S549" s="36"/>
      <c r="T549" s="19">
        <v>0.0</v>
      </c>
      <c r="U549" s="20" t="s">
        <v>6735</v>
      </c>
    </row>
    <row r="550">
      <c r="A550" s="50">
        <v>527.0</v>
      </c>
      <c r="B550" s="13" t="s">
        <v>6736</v>
      </c>
      <c r="C550" s="11" t="s">
        <v>6737</v>
      </c>
      <c r="D550" s="12" t="s">
        <v>98</v>
      </c>
      <c r="E550" s="13" t="s">
        <v>6738</v>
      </c>
      <c r="F550" s="12">
        <v>21.0</v>
      </c>
      <c r="G550" s="12">
        <v>2004.0</v>
      </c>
      <c r="H550" s="15">
        <v>3.0</v>
      </c>
      <c r="I550" s="22">
        <v>0.0</v>
      </c>
      <c r="J550" s="19">
        <v>0.0</v>
      </c>
      <c r="K550" s="19">
        <v>0.0</v>
      </c>
      <c r="L550" s="19">
        <v>0.0</v>
      </c>
      <c r="M550" s="19">
        <v>0.0</v>
      </c>
      <c r="N550" s="19">
        <v>0.0</v>
      </c>
      <c r="O550" s="19">
        <v>0.0</v>
      </c>
      <c r="P550" s="19">
        <v>0.0</v>
      </c>
      <c r="Q550" s="19">
        <v>0.0</v>
      </c>
      <c r="R550" s="36"/>
      <c r="S550" s="36"/>
      <c r="T550" s="19">
        <v>0.0</v>
      </c>
      <c r="U550" s="20" t="s">
        <v>6739</v>
      </c>
    </row>
    <row r="551">
      <c r="A551" s="50">
        <v>528.0</v>
      </c>
      <c r="B551" s="13" t="s">
        <v>6740</v>
      </c>
      <c r="C551" s="11" t="s">
        <v>6741</v>
      </c>
      <c r="D551" s="12" t="s">
        <v>41</v>
      </c>
      <c r="E551" s="13" t="s">
        <v>6742</v>
      </c>
      <c r="F551" s="12">
        <v>34.0</v>
      </c>
      <c r="G551" s="12">
        <v>1990.0</v>
      </c>
      <c r="H551" s="15">
        <v>25.1</v>
      </c>
      <c r="I551" s="17">
        <v>0.2</v>
      </c>
      <c r="J551" s="19">
        <v>0.0</v>
      </c>
      <c r="K551" s="19">
        <v>0.0</v>
      </c>
      <c r="L551" s="18">
        <v>1.24</v>
      </c>
      <c r="M551" s="18">
        <v>0.4</v>
      </c>
      <c r="N551" s="18">
        <v>0.2</v>
      </c>
      <c r="O551" s="18">
        <v>0.12</v>
      </c>
      <c r="P551" s="18">
        <v>0.32</v>
      </c>
      <c r="Q551" s="18">
        <v>0.56</v>
      </c>
      <c r="R551" s="36"/>
      <c r="S551" s="36"/>
      <c r="T551" s="19">
        <v>0.0</v>
      </c>
      <c r="U551" s="20" t="s">
        <v>6743</v>
      </c>
    </row>
    <row r="552">
      <c r="A552" s="50">
        <v>529.0</v>
      </c>
      <c r="B552" s="13" t="s">
        <v>6744</v>
      </c>
      <c r="C552" s="11" t="s">
        <v>6745</v>
      </c>
      <c r="D552" s="12" t="s">
        <v>31</v>
      </c>
      <c r="E552" s="13" t="s">
        <v>6746</v>
      </c>
      <c r="F552" s="12">
        <v>21.0</v>
      </c>
      <c r="G552" s="12">
        <v>2004.0</v>
      </c>
      <c r="H552" s="15">
        <v>28.4</v>
      </c>
      <c r="I552" s="17">
        <v>0.21</v>
      </c>
      <c r="J552" s="18">
        <v>0.04</v>
      </c>
      <c r="K552" s="18">
        <v>0.04</v>
      </c>
      <c r="L552" s="18">
        <v>1.23</v>
      </c>
      <c r="M552" s="18">
        <v>1.09</v>
      </c>
      <c r="N552" s="19">
        <v>0.0</v>
      </c>
      <c r="O552" s="18">
        <v>3.03</v>
      </c>
      <c r="P552" s="18">
        <v>0.95</v>
      </c>
      <c r="Q552" s="18">
        <v>1.27</v>
      </c>
      <c r="R552" s="36"/>
      <c r="S552" s="36"/>
      <c r="T552" s="19">
        <v>0.0</v>
      </c>
      <c r="U552" s="20" t="s">
        <v>6747</v>
      </c>
    </row>
    <row r="553">
      <c r="A553" s="50">
        <v>530.0</v>
      </c>
      <c r="B553" s="13" t="s">
        <v>6748</v>
      </c>
      <c r="C553" s="11" t="s">
        <v>6749</v>
      </c>
      <c r="D553" s="12" t="s">
        <v>36</v>
      </c>
      <c r="E553" s="13" t="s">
        <v>6750</v>
      </c>
      <c r="F553" s="12">
        <v>27.0</v>
      </c>
      <c r="G553" s="12">
        <v>1997.0</v>
      </c>
      <c r="H553" s="15">
        <v>7.8</v>
      </c>
      <c r="I553" s="22">
        <v>0.0</v>
      </c>
      <c r="J553" s="19">
        <v>0.0</v>
      </c>
      <c r="K553" s="19">
        <v>0.0</v>
      </c>
      <c r="L553" s="18">
        <v>0.64</v>
      </c>
      <c r="M553" s="18">
        <v>0.77</v>
      </c>
      <c r="N553" s="18">
        <v>0.38</v>
      </c>
      <c r="O553" s="18">
        <v>2.05</v>
      </c>
      <c r="P553" s="18">
        <v>1.15</v>
      </c>
      <c r="Q553" s="18">
        <v>1.15</v>
      </c>
      <c r="R553" s="36"/>
      <c r="S553" s="36"/>
      <c r="T553" s="19">
        <v>0.0</v>
      </c>
      <c r="U553" s="20" t="s">
        <v>6751</v>
      </c>
    </row>
    <row r="554">
      <c r="A554" s="50">
        <v>531.0</v>
      </c>
      <c r="B554" s="13" t="s">
        <v>6752</v>
      </c>
      <c r="C554" s="11" t="s">
        <v>6753</v>
      </c>
      <c r="D554" s="12" t="s">
        <v>36</v>
      </c>
      <c r="E554" s="13" t="s">
        <v>6754</v>
      </c>
      <c r="F554" s="12">
        <v>25.0</v>
      </c>
      <c r="G554" s="12">
        <v>1999.0</v>
      </c>
      <c r="H554" s="15">
        <v>21.1</v>
      </c>
      <c r="I554" s="17">
        <v>0.38</v>
      </c>
      <c r="J554" s="19">
        <v>0.0</v>
      </c>
      <c r="K554" s="19">
        <v>0.0</v>
      </c>
      <c r="L554" s="18">
        <v>1.42</v>
      </c>
      <c r="M554" s="18">
        <v>1.04</v>
      </c>
      <c r="N554" s="18">
        <v>0.09</v>
      </c>
      <c r="O554" s="18">
        <v>0.81</v>
      </c>
      <c r="P554" s="18">
        <v>1.14</v>
      </c>
      <c r="Q554" s="18">
        <v>2.04</v>
      </c>
      <c r="R554" s="36"/>
      <c r="S554" s="36"/>
      <c r="T554" s="19">
        <v>0.0</v>
      </c>
      <c r="U554" s="20" t="s">
        <v>6755</v>
      </c>
    </row>
    <row r="555">
      <c r="A555" s="50">
        <v>532.0</v>
      </c>
      <c r="B555" s="13" t="s">
        <v>6756</v>
      </c>
      <c r="C555" s="11" t="s">
        <v>6757</v>
      </c>
      <c r="D555" s="12" t="s">
        <v>36</v>
      </c>
      <c r="E555" s="13" t="s">
        <v>6758</v>
      </c>
      <c r="F555" s="12">
        <v>24.0</v>
      </c>
      <c r="G555" s="12">
        <v>2001.0</v>
      </c>
      <c r="H555" s="15">
        <v>35.6</v>
      </c>
      <c r="I555" s="17">
        <v>0.17</v>
      </c>
      <c r="J555" s="18">
        <v>0.03</v>
      </c>
      <c r="K555" s="19">
        <v>0.0</v>
      </c>
      <c r="L555" s="18">
        <v>0.81</v>
      </c>
      <c r="M555" s="18">
        <v>1.46</v>
      </c>
      <c r="N555" s="18">
        <v>0.11</v>
      </c>
      <c r="O555" s="18">
        <v>4.02</v>
      </c>
      <c r="P555" s="18">
        <v>1.29</v>
      </c>
      <c r="Q555" s="18">
        <v>1.71</v>
      </c>
      <c r="R555" s="36"/>
      <c r="S555" s="36"/>
      <c r="T555" s="19">
        <v>0.0</v>
      </c>
      <c r="U555" s="20" t="s">
        <v>6759</v>
      </c>
    </row>
    <row r="556">
      <c r="A556" s="50">
        <v>533.0</v>
      </c>
      <c r="B556" s="13" t="s">
        <v>6760</v>
      </c>
      <c r="C556" s="11" t="s">
        <v>6761</v>
      </c>
      <c r="D556" s="12" t="s">
        <v>31</v>
      </c>
      <c r="E556" s="13" t="s">
        <v>6762</v>
      </c>
      <c r="F556" s="12">
        <v>18.0</v>
      </c>
      <c r="G556" s="12">
        <v>2007.0</v>
      </c>
      <c r="H556" s="15">
        <v>9.4</v>
      </c>
      <c r="I556" s="17">
        <v>0.43</v>
      </c>
      <c r="J556" s="19">
        <v>0.0</v>
      </c>
      <c r="K556" s="19">
        <v>0.0</v>
      </c>
      <c r="L556" s="18">
        <v>1.28</v>
      </c>
      <c r="M556" s="18">
        <v>0.96</v>
      </c>
      <c r="N556" s="18">
        <v>0.64</v>
      </c>
      <c r="O556" s="18">
        <v>1.7</v>
      </c>
      <c r="P556" s="18">
        <v>0.43</v>
      </c>
      <c r="Q556" s="18">
        <v>0.64</v>
      </c>
      <c r="R556" s="36"/>
      <c r="S556" s="36"/>
      <c r="T556" s="19">
        <v>0.0</v>
      </c>
      <c r="U556" s="20" t="s">
        <v>6763</v>
      </c>
    </row>
    <row r="557">
      <c r="A557" s="50">
        <v>534.0</v>
      </c>
      <c r="B557" s="13" t="s">
        <v>6764</v>
      </c>
      <c r="C557" s="11" t="s">
        <v>6765</v>
      </c>
      <c r="D557" s="12" t="s">
        <v>31</v>
      </c>
      <c r="E557" s="13" t="s">
        <v>6766</v>
      </c>
      <c r="F557" s="12">
        <v>25.0</v>
      </c>
      <c r="G557" s="12">
        <v>1999.0</v>
      </c>
      <c r="H557" s="15">
        <v>10.9</v>
      </c>
      <c r="I557" s="17">
        <v>0.28</v>
      </c>
      <c r="J557" s="19">
        <v>0.0</v>
      </c>
      <c r="K557" s="19">
        <v>0.0</v>
      </c>
      <c r="L557" s="18">
        <v>1.47</v>
      </c>
      <c r="M557" s="18">
        <v>1.01</v>
      </c>
      <c r="N557" s="18">
        <v>0.18</v>
      </c>
      <c r="O557" s="18">
        <v>1.47</v>
      </c>
      <c r="P557" s="18">
        <v>0.64</v>
      </c>
      <c r="Q557" s="18">
        <v>1.38</v>
      </c>
      <c r="R557" s="36"/>
      <c r="S557" s="36"/>
      <c r="T557" s="19">
        <v>0.0</v>
      </c>
      <c r="U557" s="20" t="s">
        <v>6767</v>
      </c>
    </row>
    <row r="558">
      <c r="A558" s="50">
        <v>535.0</v>
      </c>
      <c r="B558" s="13" t="s">
        <v>6768</v>
      </c>
      <c r="C558" s="11" t="s">
        <v>6769</v>
      </c>
      <c r="D558" s="12" t="s">
        <v>41</v>
      </c>
      <c r="E558" s="13" t="s">
        <v>6770</v>
      </c>
      <c r="F558" s="12">
        <v>33.0</v>
      </c>
      <c r="G558" s="12">
        <v>1992.0</v>
      </c>
      <c r="H558" s="15">
        <v>13.9</v>
      </c>
      <c r="I558" s="17">
        <v>0.07</v>
      </c>
      <c r="J558" s="19">
        <v>0.0</v>
      </c>
      <c r="K558" s="19">
        <v>0.0</v>
      </c>
      <c r="L558" s="18">
        <v>0.86</v>
      </c>
      <c r="M558" s="18">
        <v>1.01</v>
      </c>
      <c r="N558" s="18">
        <v>0.65</v>
      </c>
      <c r="O558" s="18">
        <v>0.36</v>
      </c>
      <c r="P558" s="18">
        <v>0.22</v>
      </c>
      <c r="Q558" s="18">
        <v>0.14</v>
      </c>
      <c r="R558" s="36"/>
      <c r="S558" s="36"/>
      <c r="T558" s="19">
        <v>0.0</v>
      </c>
      <c r="U558" s="20" t="s">
        <v>6771</v>
      </c>
    </row>
    <row r="559">
      <c r="A559" s="50">
        <v>536.0</v>
      </c>
      <c r="B559" s="13" t="s">
        <v>6772</v>
      </c>
      <c r="C559" s="11" t="s">
        <v>6773</v>
      </c>
      <c r="D559" s="12" t="s">
        <v>31</v>
      </c>
      <c r="E559" s="13" t="s">
        <v>6774</v>
      </c>
      <c r="F559" s="12">
        <v>28.0</v>
      </c>
      <c r="G559" s="12">
        <v>1997.0</v>
      </c>
      <c r="H559" s="15">
        <v>29.7</v>
      </c>
      <c r="I559" s="17">
        <v>0.24</v>
      </c>
      <c r="J559" s="19">
        <v>0.0</v>
      </c>
      <c r="K559" s="19">
        <v>0.0</v>
      </c>
      <c r="L559" s="18">
        <v>0.44</v>
      </c>
      <c r="M559" s="18">
        <v>1.25</v>
      </c>
      <c r="N559" s="18">
        <v>0.44</v>
      </c>
      <c r="O559" s="18">
        <v>3.87</v>
      </c>
      <c r="P559" s="18">
        <v>0.54</v>
      </c>
      <c r="Q559" s="18">
        <v>0.64</v>
      </c>
      <c r="R559" s="36"/>
      <c r="S559" s="36"/>
      <c r="T559" s="19">
        <v>0.0</v>
      </c>
      <c r="U559" s="20" t="s">
        <v>6775</v>
      </c>
    </row>
    <row r="560">
      <c r="A560" s="50">
        <v>537.0</v>
      </c>
      <c r="B560" s="13" t="s">
        <v>6776</v>
      </c>
      <c r="C560" s="11" t="s">
        <v>6777</v>
      </c>
      <c r="D560" s="12" t="s">
        <v>31</v>
      </c>
      <c r="E560" s="13" t="s">
        <v>6778</v>
      </c>
      <c r="F560" s="12">
        <v>20.0</v>
      </c>
      <c r="G560" s="12">
        <v>2004.0</v>
      </c>
      <c r="H560" s="15">
        <v>0.1</v>
      </c>
      <c r="I560" s="22">
        <v>0.0</v>
      </c>
      <c r="J560" s="19">
        <v>0.0</v>
      </c>
      <c r="K560" s="19">
        <v>0.0</v>
      </c>
      <c r="L560" s="19">
        <v>0.0</v>
      </c>
      <c r="M560" s="19">
        <v>0.0</v>
      </c>
      <c r="N560" s="19">
        <v>0.0</v>
      </c>
      <c r="O560" s="19">
        <v>0.0</v>
      </c>
      <c r="P560" s="19">
        <v>0.0</v>
      </c>
      <c r="Q560" s="19">
        <v>0.0</v>
      </c>
      <c r="R560" s="36"/>
      <c r="S560" s="36"/>
      <c r="T560" s="19">
        <v>0.0</v>
      </c>
      <c r="U560" s="20" t="s">
        <v>6779</v>
      </c>
    </row>
    <row r="561">
      <c r="A561" s="50">
        <v>538.0</v>
      </c>
      <c r="B561" s="13" t="s">
        <v>6780</v>
      </c>
      <c r="C561" s="11" t="s">
        <v>6781</v>
      </c>
      <c r="D561" s="12" t="s">
        <v>31</v>
      </c>
      <c r="E561" s="13" t="s">
        <v>6782</v>
      </c>
      <c r="F561" s="12">
        <v>22.0</v>
      </c>
      <c r="G561" s="12">
        <v>2003.0</v>
      </c>
      <c r="H561" s="15">
        <v>26.4</v>
      </c>
      <c r="I561" s="17">
        <v>0.04</v>
      </c>
      <c r="J561" s="19">
        <v>0.0</v>
      </c>
      <c r="K561" s="19">
        <v>0.0</v>
      </c>
      <c r="L561" s="18">
        <v>0.83</v>
      </c>
      <c r="M561" s="18">
        <v>0.72</v>
      </c>
      <c r="N561" s="18">
        <v>0.08</v>
      </c>
      <c r="O561" s="18">
        <v>1.21</v>
      </c>
      <c r="P561" s="18">
        <v>0.45</v>
      </c>
      <c r="Q561" s="18">
        <v>0.98</v>
      </c>
      <c r="R561" s="36"/>
      <c r="S561" s="36"/>
      <c r="T561" s="19">
        <v>0.0</v>
      </c>
      <c r="U561" s="20" t="s">
        <v>6783</v>
      </c>
    </row>
    <row r="562">
      <c r="A562" s="50">
        <v>539.0</v>
      </c>
      <c r="B562" s="13" t="s">
        <v>6784</v>
      </c>
      <c r="C562" s="11" t="s">
        <v>6785</v>
      </c>
      <c r="D562" s="12" t="s">
        <v>41</v>
      </c>
      <c r="E562" s="13" t="s">
        <v>6786</v>
      </c>
      <c r="F562" s="12">
        <v>28.0</v>
      </c>
      <c r="G562" s="12">
        <v>1996.0</v>
      </c>
      <c r="H562" s="15">
        <v>5.9</v>
      </c>
      <c r="I562" s="17">
        <v>0.51</v>
      </c>
      <c r="J562" s="19">
        <v>0.0</v>
      </c>
      <c r="K562" s="19">
        <v>0.0</v>
      </c>
      <c r="L562" s="18">
        <v>1.02</v>
      </c>
      <c r="M562" s="18">
        <v>0.34</v>
      </c>
      <c r="N562" s="18">
        <v>0.68</v>
      </c>
      <c r="O562" s="18">
        <v>0.17</v>
      </c>
      <c r="P562" s="19">
        <v>0.0</v>
      </c>
      <c r="Q562" s="18">
        <v>0.85</v>
      </c>
      <c r="R562" s="36"/>
      <c r="S562" s="36"/>
      <c r="T562" s="19">
        <v>0.0</v>
      </c>
      <c r="U562" s="20" t="s">
        <v>6787</v>
      </c>
    </row>
    <row r="563">
      <c r="A563" s="50">
        <v>540.0</v>
      </c>
      <c r="B563" s="13" t="s">
        <v>6788</v>
      </c>
      <c r="C563" s="11" t="s">
        <v>6789</v>
      </c>
      <c r="D563" s="12" t="s">
        <v>107</v>
      </c>
      <c r="E563" s="13" t="s">
        <v>6790</v>
      </c>
      <c r="F563" s="12">
        <v>23.0</v>
      </c>
      <c r="G563" s="12">
        <v>2002.0</v>
      </c>
      <c r="H563" s="15">
        <v>21.1</v>
      </c>
      <c r="I563" s="22">
        <v>0.0</v>
      </c>
      <c r="J563" s="19">
        <v>0.0</v>
      </c>
      <c r="K563" s="19">
        <v>0.0</v>
      </c>
      <c r="L563" s="18">
        <v>0.95</v>
      </c>
      <c r="M563" s="18">
        <v>0.95</v>
      </c>
      <c r="N563" s="18">
        <v>0.38</v>
      </c>
      <c r="O563" s="18">
        <v>0.14</v>
      </c>
      <c r="P563" s="18">
        <v>0.24</v>
      </c>
      <c r="Q563" s="18">
        <v>0.62</v>
      </c>
      <c r="R563" s="36"/>
      <c r="S563" s="36"/>
      <c r="T563" s="18">
        <v>0.05</v>
      </c>
      <c r="U563" s="20" t="s">
        <v>6791</v>
      </c>
    </row>
    <row r="564">
      <c r="A564" s="50">
        <v>541.0</v>
      </c>
      <c r="B564" s="13" t="s">
        <v>6792</v>
      </c>
      <c r="C564" s="11" t="s">
        <v>6793</v>
      </c>
      <c r="D564" s="12" t="s">
        <v>41</v>
      </c>
      <c r="E564" s="13" t="s">
        <v>6794</v>
      </c>
      <c r="F564" s="12">
        <v>33.0</v>
      </c>
      <c r="G564" s="12">
        <v>1991.0</v>
      </c>
      <c r="H564" s="15">
        <v>10.0</v>
      </c>
      <c r="I564" s="22">
        <v>0.0</v>
      </c>
      <c r="J564" s="19">
        <v>0.0</v>
      </c>
      <c r="K564" s="19">
        <v>0.0</v>
      </c>
      <c r="L564" s="18">
        <v>0.6</v>
      </c>
      <c r="M564" s="18">
        <v>0.6</v>
      </c>
      <c r="N564" s="18">
        <v>0.4</v>
      </c>
      <c r="O564" s="18">
        <v>0.1</v>
      </c>
      <c r="P564" s="18">
        <v>0.1</v>
      </c>
      <c r="Q564" s="18">
        <v>0.1</v>
      </c>
      <c r="R564" s="36"/>
      <c r="S564" s="36"/>
      <c r="T564" s="19">
        <v>0.0</v>
      </c>
      <c r="U564" s="20" t="s">
        <v>6795</v>
      </c>
    </row>
    <row r="565">
      <c r="A565" s="50">
        <v>542.0</v>
      </c>
      <c r="B565" s="13" t="s">
        <v>6796</v>
      </c>
      <c r="C565" s="11" t="s">
        <v>6797</v>
      </c>
      <c r="D565" s="12" t="s">
        <v>98</v>
      </c>
      <c r="E565" s="13" t="s">
        <v>6798</v>
      </c>
      <c r="F565" s="12">
        <v>28.0</v>
      </c>
      <c r="G565" s="12">
        <v>1997.0</v>
      </c>
      <c r="H565" s="15">
        <v>2.4</v>
      </c>
      <c r="I565" s="22">
        <v>0.0</v>
      </c>
      <c r="J565" s="19">
        <v>0.0</v>
      </c>
      <c r="K565" s="19">
        <v>0.0</v>
      </c>
      <c r="L565" s="19">
        <v>0.0</v>
      </c>
      <c r="M565" s="19">
        <v>0.0</v>
      </c>
      <c r="N565" s="19">
        <v>0.0</v>
      </c>
      <c r="O565" s="19">
        <v>0.0</v>
      </c>
      <c r="P565" s="19">
        <v>0.0</v>
      </c>
      <c r="Q565" s="19">
        <v>0.0</v>
      </c>
      <c r="R565" s="36"/>
      <c r="S565" s="36"/>
      <c r="T565" s="19">
        <v>0.0</v>
      </c>
      <c r="U565" s="20" t="s">
        <v>6799</v>
      </c>
    </row>
    <row r="566">
      <c r="A566" s="50">
        <v>543.0</v>
      </c>
      <c r="B566" s="13" t="s">
        <v>6800</v>
      </c>
      <c r="C566" s="11" t="s">
        <v>6801</v>
      </c>
      <c r="D566" s="12" t="s">
        <v>36</v>
      </c>
      <c r="E566" s="13" t="s">
        <v>6802</v>
      </c>
      <c r="F566" s="12">
        <v>28.0</v>
      </c>
      <c r="G566" s="12">
        <v>1997.0</v>
      </c>
      <c r="H566" s="15">
        <v>5.6</v>
      </c>
      <c r="I566" s="22">
        <v>0.0</v>
      </c>
      <c r="J566" s="19">
        <v>0.0</v>
      </c>
      <c r="K566" s="19">
        <v>0.0</v>
      </c>
      <c r="L566" s="18">
        <v>0.71</v>
      </c>
      <c r="M566" s="18">
        <v>0.18</v>
      </c>
      <c r="N566" s="19">
        <v>0.0</v>
      </c>
      <c r="O566" s="19">
        <v>0.0</v>
      </c>
      <c r="P566" s="18">
        <v>1.07</v>
      </c>
      <c r="Q566" s="18">
        <v>0.36</v>
      </c>
      <c r="R566" s="36"/>
      <c r="S566" s="36"/>
      <c r="T566" s="19">
        <v>0.0</v>
      </c>
      <c r="U566" s="20" t="s">
        <v>6803</v>
      </c>
    </row>
    <row r="567">
      <c r="A567" s="50">
        <v>544.0</v>
      </c>
      <c r="B567" s="13" t="s">
        <v>6804</v>
      </c>
      <c r="C567" s="11" t="s">
        <v>6805</v>
      </c>
      <c r="D567" s="12" t="s">
        <v>31</v>
      </c>
      <c r="E567" s="13" t="s">
        <v>6806</v>
      </c>
      <c r="F567" s="12">
        <v>32.0</v>
      </c>
      <c r="G567" s="12">
        <v>1992.0</v>
      </c>
      <c r="H567" s="15">
        <v>32.3</v>
      </c>
      <c r="I567" s="17">
        <v>0.25</v>
      </c>
      <c r="J567" s="19">
        <v>0.0</v>
      </c>
      <c r="K567" s="19">
        <v>0.0</v>
      </c>
      <c r="L567" s="18">
        <v>0.71</v>
      </c>
      <c r="M567" s="18">
        <v>1.24</v>
      </c>
      <c r="N567" s="19">
        <v>0.0</v>
      </c>
      <c r="O567" s="18">
        <v>3.07</v>
      </c>
      <c r="P567" s="18">
        <v>0.9</v>
      </c>
      <c r="Q567" s="18">
        <v>1.02</v>
      </c>
      <c r="R567" s="36"/>
      <c r="S567" s="36"/>
      <c r="T567" s="19">
        <v>0.0</v>
      </c>
      <c r="U567" s="20" t="s">
        <v>6807</v>
      </c>
    </row>
    <row r="568">
      <c r="A568" s="50">
        <v>545.0</v>
      </c>
      <c r="B568" s="13" t="s">
        <v>6808</v>
      </c>
      <c r="C568" s="11" t="s">
        <v>6809</v>
      </c>
      <c r="D568" s="12" t="s">
        <v>31</v>
      </c>
      <c r="E568" s="13" t="s">
        <v>6810</v>
      </c>
      <c r="F568" s="12">
        <v>21.0</v>
      </c>
      <c r="G568" s="12">
        <v>2004.0</v>
      </c>
      <c r="H568" s="15">
        <v>29.5</v>
      </c>
      <c r="I568" s="17">
        <v>0.24</v>
      </c>
      <c r="J568" s="19">
        <v>0.0</v>
      </c>
      <c r="K568" s="19">
        <v>0.0</v>
      </c>
      <c r="L568" s="18">
        <v>1.25</v>
      </c>
      <c r="M568" s="18">
        <v>0.41</v>
      </c>
      <c r="N568" s="18">
        <v>0.03</v>
      </c>
      <c r="O568" s="18">
        <v>1.02</v>
      </c>
      <c r="P568" s="18">
        <v>0.95</v>
      </c>
      <c r="Q568" s="18">
        <v>1.56</v>
      </c>
      <c r="R568" s="36"/>
      <c r="S568" s="36"/>
      <c r="T568" s="19">
        <v>0.0</v>
      </c>
      <c r="U568" s="20" t="s">
        <v>6811</v>
      </c>
    </row>
    <row r="569">
      <c r="A569" s="50">
        <v>546.0</v>
      </c>
      <c r="B569" s="13" t="s">
        <v>6812</v>
      </c>
      <c r="C569" s="11" t="s">
        <v>6813</v>
      </c>
      <c r="D569" s="12" t="s">
        <v>31</v>
      </c>
      <c r="E569" s="13" t="s">
        <v>6814</v>
      </c>
      <c r="F569" s="12">
        <v>27.0</v>
      </c>
      <c r="G569" s="12">
        <v>1997.0</v>
      </c>
      <c r="H569" s="15">
        <v>6.9</v>
      </c>
      <c r="I569" s="17">
        <v>0.43</v>
      </c>
      <c r="J569" s="19">
        <v>0.0</v>
      </c>
      <c r="K569" s="19">
        <v>0.0</v>
      </c>
      <c r="L569" s="18">
        <v>1.88</v>
      </c>
      <c r="M569" s="18">
        <v>1.88</v>
      </c>
      <c r="N569" s="19">
        <v>0.0</v>
      </c>
      <c r="O569" s="18">
        <v>0.72</v>
      </c>
      <c r="P569" s="18">
        <v>1.3</v>
      </c>
      <c r="Q569" s="18">
        <v>1.45</v>
      </c>
      <c r="R569" s="36"/>
      <c r="S569" s="36"/>
      <c r="T569" s="19">
        <v>0.0</v>
      </c>
      <c r="U569" s="20" t="s">
        <v>6815</v>
      </c>
    </row>
    <row r="570">
      <c r="A570" s="50">
        <v>547.0</v>
      </c>
      <c r="B570" s="13" t="s">
        <v>6816</v>
      </c>
      <c r="C570" s="11" t="s">
        <v>6817</v>
      </c>
      <c r="D570" s="12" t="s">
        <v>36</v>
      </c>
      <c r="E570" s="13" t="s">
        <v>6818</v>
      </c>
      <c r="F570" s="12">
        <v>19.0</v>
      </c>
      <c r="G570" s="12">
        <v>2005.0</v>
      </c>
      <c r="H570" s="15">
        <v>19.3</v>
      </c>
      <c r="I570" s="17">
        <v>0.05</v>
      </c>
      <c r="J570" s="19">
        <v>0.0</v>
      </c>
      <c r="K570" s="19">
        <v>0.0</v>
      </c>
      <c r="L570" s="18">
        <v>0.88</v>
      </c>
      <c r="M570" s="18">
        <v>0.26</v>
      </c>
      <c r="N570" s="18">
        <v>0.1</v>
      </c>
      <c r="O570" s="18">
        <v>0.16</v>
      </c>
      <c r="P570" s="18">
        <v>1.61</v>
      </c>
      <c r="Q570" s="18">
        <v>1.04</v>
      </c>
      <c r="R570" s="36"/>
      <c r="S570" s="36"/>
      <c r="T570" s="19">
        <v>0.0</v>
      </c>
      <c r="U570" s="20" t="s">
        <v>6819</v>
      </c>
    </row>
    <row r="571">
      <c r="A571" s="50">
        <v>548.0</v>
      </c>
      <c r="B571" s="13" t="s">
        <v>6820</v>
      </c>
      <c r="C571" s="11" t="s">
        <v>6821</v>
      </c>
      <c r="D571" s="12" t="s">
        <v>36</v>
      </c>
      <c r="E571" s="13" t="s">
        <v>6822</v>
      </c>
      <c r="F571" s="12">
        <v>28.0</v>
      </c>
      <c r="G571" s="12">
        <v>1996.0</v>
      </c>
      <c r="H571" s="15">
        <v>3.9</v>
      </c>
      <c r="I571" s="22">
        <v>0.0</v>
      </c>
      <c r="J571" s="19">
        <v>0.0</v>
      </c>
      <c r="K571" s="19">
        <v>0.0</v>
      </c>
      <c r="L571" s="18">
        <v>0.26</v>
      </c>
      <c r="M571" s="18">
        <v>0.51</v>
      </c>
      <c r="N571" s="18">
        <v>0.26</v>
      </c>
      <c r="O571" s="18">
        <v>4.62</v>
      </c>
      <c r="P571" s="18">
        <v>0.51</v>
      </c>
      <c r="Q571" s="18">
        <v>1.54</v>
      </c>
      <c r="R571" s="36"/>
      <c r="S571" s="36"/>
      <c r="T571" s="19">
        <v>0.0</v>
      </c>
      <c r="U571" s="20" t="s">
        <v>6823</v>
      </c>
    </row>
    <row r="572">
      <c r="A572" s="50">
        <v>549.0</v>
      </c>
      <c r="B572" s="13" t="s">
        <v>6824</v>
      </c>
      <c r="C572" s="11" t="s">
        <v>6825</v>
      </c>
      <c r="D572" s="12" t="s">
        <v>107</v>
      </c>
      <c r="E572" s="13" t="s">
        <v>6826</v>
      </c>
      <c r="F572" s="12">
        <v>24.0</v>
      </c>
      <c r="G572" s="12">
        <v>2001.0</v>
      </c>
      <c r="H572" s="15">
        <v>7.0</v>
      </c>
      <c r="I572" s="17">
        <v>0.43</v>
      </c>
      <c r="J572" s="19">
        <v>0.0</v>
      </c>
      <c r="K572" s="19">
        <v>0.0</v>
      </c>
      <c r="L572" s="18">
        <v>1.14</v>
      </c>
      <c r="M572" s="18">
        <v>0.86</v>
      </c>
      <c r="N572" s="18">
        <v>0.14</v>
      </c>
      <c r="O572" s="18">
        <v>0.71</v>
      </c>
      <c r="P572" s="18">
        <v>0.14</v>
      </c>
      <c r="Q572" s="18">
        <v>0.86</v>
      </c>
      <c r="R572" s="36"/>
      <c r="S572" s="36"/>
      <c r="T572" s="19">
        <v>0.0</v>
      </c>
      <c r="U572" s="20" t="s">
        <v>6827</v>
      </c>
    </row>
    <row r="573">
      <c r="A573" s="50">
        <v>550.0</v>
      </c>
      <c r="B573" s="13" t="s">
        <v>6828</v>
      </c>
      <c r="C573" s="11" t="s">
        <v>6829</v>
      </c>
      <c r="D573" s="12" t="s">
        <v>31</v>
      </c>
      <c r="E573" s="13" t="s">
        <v>6830</v>
      </c>
      <c r="F573" s="12">
        <v>26.0</v>
      </c>
      <c r="G573" s="12">
        <v>1999.0</v>
      </c>
      <c r="H573" s="15">
        <v>33.2</v>
      </c>
      <c r="I573" s="17">
        <v>0.12</v>
      </c>
      <c r="J573" s="19">
        <v>0.0</v>
      </c>
      <c r="K573" s="19">
        <v>0.0</v>
      </c>
      <c r="L573" s="18">
        <v>0.99</v>
      </c>
      <c r="M573" s="18">
        <v>0.45</v>
      </c>
      <c r="N573" s="18">
        <v>0.03</v>
      </c>
      <c r="O573" s="18">
        <v>0.39</v>
      </c>
      <c r="P573" s="18">
        <v>1.17</v>
      </c>
      <c r="Q573" s="18">
        <v>1.17</v>
      </c>
      <c r="R573" s="36"/>
      <c r="S573" s="36"/>
      <c r="T573" s="19">
        <v>0.0</v>
      </c>
      <c r="U573" s="20" t="s">
        <v>6831</v>
      </c>
    </row>
    <row r="574">
      <c r="A574" s="37" t="s">
        <v>3</v>
      </c>
      <c r="B574" s="51" t="s">
        <v>4</v>
      </c>
      <c r="C574" s="39" t="s">
        <v>5</v>
      </c>
      <c r="D574" s="39" t="s">
        <v>6</v>
      </c>
      <c r="E574" s="39" t="s">
        <v>7</v>
      </c>
      <c r="F574" s="39" t="s">
        <v>8</v>
      </c>
      <c r="G574" s="39" t="s">
        <v>9</v>
      </c>
      <c r="H574" s="39" t="s">
        <v>13</v>
      </c>
      <c r="I574" s="40" t="s">
        <v>20</v>
      </c>
      <c r="J574" s="39" t="s">
        <v>21</v>
      </c>
      <c r="K574" s="39" t="s">
        <v>4622</v>
      </c>
      <c r="L574" s="39" t="s">
        <v>4623</v>
      </c>
      <c r="M574" s="39" t="s">
        <v>4624</v>
      </c>
      <c r="N574" s="39" t="s">
        <v>4625</v>
      </c>
      <c r="O574" s="39" t="s">
        <v>4626</v>
      </c>
      <c r="P574" s="39" t="s">
        <v>4627</v>
      </c>
      <c r="Q574" s="39" t="s">
        <v>4628</v>
      </c>
      <c r="R574" s="39" t="s">
        <v>4629</v>
      </c>
      <c r="S574" s="39" t="s">
        <v>4630</v>
      </c>
      <c r="T574" s="39" t="s">
        <v>4631</v>
      </c>
      <c r="U574" s="40" t="s">
        <v>23</v>
      </c>
    </row>
    <row r="575">
      <c r="A575" s="24">
        <v>551.0</v>
      </c>
      <c r="B575" s="28" t="s">
        <v>6832</v>
      </c>
      <c r="C575" s="26" t="s">
        <v>6833</v>
      </c>
      <c r="D575" s="27" t="s">
        <v>31</v>
      </c>
      <c r="E575" s="28" t="s">
        <v>6834</v>
      </c>
      <c r="F575" s="27">
        <v>26.0</v>
      </c>
      <c r="G575" s="27">
        <v>1998.0</v>
      </c>
      <c r="H575" s="30">
        <v>15.2</v>
      </c>
      <c r="I575" s="52">
        <v>0.0</v>
      </c>
      <c r="J575" s="34">
        <v>0.0</v>
      </c>
      <c r="K575" s="34">
        <v>0.0</v>
      </c>
      <c r="L575" s="33">
        <v>0.59</v>
      </c>
      <c r="M575" s="33">
        <v>0.59</v>
      </c>
      <c r="N575" s="33">
        <v>0.13</v>
      </c>
      <c r="O575" s="33">
        <v>1.45</v>
      </c>
      <c r="P575" s="33">
        <v>0.46</v>
      </c>
      <c r="Q575" s="33">
        <v>0.59</v>
      </c>
      <c r="R575" s="53"/>
      <c r="S575" s="53"/>
      <c r="T575" s="34">
        <v>0.0</v>
      </c>
      <c r="U575" s="35" t="s">
        <v>6835</v>
      </c>
    </row>
  </sheetData>
  <mergeCells count="2">
    <mergeCell ref="A1:H1"/>
    <mergeCell ref="I1:T1"/>
  </mergeCells>
  <hyperlinks>
    <hyperlink r:id="rId1" ref="B3"/>
    <hyperlink r:id="rId2" ref="C3"/>
    <hyperlink r:id="rId3" ref="E3"/>
    <hyperlink r:id="rId4" ref="U3"/>
    <hyperlink r:id="rId5" ref="B4"/>
    <hyperlink r:id="rId6" ref="C4"/>
    <hyperlink r:id="rId7" ref="E4"/>
    <hyperlink r:id="rId8" ref="U4"/>
    <hyperlink r:id="rId9" ref="B5"/>
    <hyperlink r:id="rId10" ref="C5"/>
    <hyperlink r:id="rId11" ref="E5"/>
    <hyperlink r:id="rId12" ref="U5"/>
    <hyperlink r:id="rId13" ref="B6"/>
    <hyperlink r:id="rId14" ref="C6"/>
    <hyperlink r:id="rId15" ref="E6"/>
    <hyperlink r:id="rId16" ref="U6"/>
    <hyperlink r:id="rId17" ref="B7"/>
    <hyperlink r:id="rId18" ref="C7"/>
    <hyperlink r:id="rId19" ref="E7"/>
    <hyperlink r:id="rId20" ref="U7"/>
    <hyperlink r:id="rId21" ref="B8"/>
    <hyperlink r:id="rId22" ref="C8"/>
    <hyperlink r:id="rId23" ref="E8"/>
    <hyperlink r:id="rId24" ref="U8"/>
    <hyperlink r:id="rId25" ref="B9"/>
    <hyperlink r:id="rId26" ref="C9"/>
    <hyperlink r:id="rId27" ref="E9"/>
    <hyperlink r:id="rId28" ref="U9"/>
    <hyperlink r:id="rId29" ref="B10"/>
    <hyperlink r:id="rId30" ref="C10"/>
    <hyperlink r:id="rId31" ref="E10"/>
    <hyperlink r:id="rId32" ref="U10"/>
    <hyperlink r:id="rId33" ref="B11"/>
    <hyperlink r:id="rId34" ref="C11"/>
    <hyperlink r:id="rId35" ref="E11"/>
    <hyperlink r:id="rId36" ref="U11"/>
    <hyperlink r:id="rId37" ref="B12"/>
    <hyperlink r:id="rId38" ref="C12"/>
    <hyperlink r:id="rId39" ref="E12"/>
    <hyperlink r:id="rId40" ref="U12"/>
    <hyperlink r:id="rId41" ref="B13"/>
    <hyperlink r:id="rId42" ref="C13"/>
    <hyperlink r:id="rId43" ref="E13"/>
    <hyperlink r:id="rId44" ref="U13"/>
    <hyperlink r:id="rId45" ref="B14"/>
    <hyperlink r:id="rId46" ref="C14"/>
    <hyperlink r:id="rId47" ref="E14"/>
    <hyperlink r:id="rId48" ref="U14"/>
    <hyperlink r:id="rId49" ref="B15"/>
    <hyperlink r:id="rId50" ref="C15"/>
    <hyperlink r:id="rId51" ref="E15"/>
    <hyperlink r:id="rId52" ref="U15"/>
    <hyperlink r:id="rId53" ref="B16"/>
    <hyperlink r:id="rId54" ref="C16"/>
    <hyperlink r:id="rId55" ref="E16"/>
    <hyperlink r:id="rId56" ref="U16"/>
    <hyperlink r:id="rId57" ref="B17"/>
    <hyperlink r:id="rId58" ref="C17"/>
    <hyperlink r:id="rId59" ref="E17"/>
    <hyperlink r:id="rId60" ref="U17"/>
    <hyperlink r:id="rId61" ref="B18"/>
    <hyperlink r:id="rId62" ref="C18"/>
    <hyperlink r:id="rId63" ref="E18"/>
    <hyperlink r:id="rId64" ref="U18"/>
    <hyperlink r:id="rId65" ref="B19"/>
    <hyperlink r:id="rId66" ref="C19"/>
    <hyperlink r:id="rId67" ref="E19"/>
    <hyperlink r:id="rId68" ref="U19"/>
    <hyperlink r:id="rId69" ref="B20"/>
    <hyperlink r:id="rId70" ref="C20"/>
    <hyperlink r:id="rId71" ref="E20"/>
    <hyperlink r:id="rId72" ref="U20"/>
    <hyperlink r:id="rId73" ref="B21"/>
    <hyperlink r:id="rId74" ref="C21"/>
    <hyperlink r:id="rId75" ref="E21"/>
    <hyperlink r:id="rId76" ref="U21"/>
    <hyperlink r:id="rId77" ref="B22"/>
    <hyperlink r:id="rId78" ref="C22"/>
    <hyperlink r:id="rId79" ref="E22"/>
    <hyperlink r:id="rId80" ref="U22"/>
    <hyperlink r:id="rId81" ref="B23"/>
    <hyperlink r:id="rId82" ref="C23"/>
    <hyperlink r:id="rId83" ref="E23"/>
    <hyperlink r:id="rId84" ref="U23"/>
    <hyperlink r:id="rId85" ref="B24"/>
    <hyperlink r:id="rId86" ref="C24"/>
    <hyperlink r:id="rId87" ref="E24"/>
    <hyperlink r:id="rId88" ref="U24"/>
    <hyperlink r:id="rId89" ref="B25"/>
    <hyperlink r:id="rId90" ref="C25"/>
    <hyperlink r:id="rId91" ref="E25"/>
    <hyperlink r:id="rId92" ref="U25"/>
    <hyperlink r:id="rId93" ref="B26"/>
    <hyperlink r:id="rId94" ref="C26"/>
    <hyperlink r:id="rId95" ref="E26"/>
    <hyperlink r:id="rId96" ref="U26"/>
    <hyperlink r:id="rId97" ref="B27"/>
    <hyperlink r:id="rId98" ref="C27"/>
    <hyperlink r:id="rId99" ref="E27"/>
    <hyperlink r:id="rId100" ref="U27"/>
    <hyperlink r:id="rId101" ref="B29"/>
    <hyperlink r:id="rId102" ref="C29"/>
    <hyperlink r:id="rId103" ref="E29"/>
    <hyperlink r:id="rId104" ref="U29"/>
    <hyperlink r:id="rId105" ref="B30"/>
    <hyperlink r:id="rId106" ref="C30"/>
    <hyperlink r:id="rId107" ref="E30"/>
    <hyperlink r:id="rId108" ref="U30"/>
    <hyperlink r:id="rId109" ref="B31"/>
    <hyperlink r:id="rId110" ref="C31"/>
    <hyperlink r:id="rId111" ref="E31"/>
    <hyperlink r:id="rId112" ref="U31"/>
    <hyperlink r:id="rId113" ref="B32"/>
    <hyperlink r:id="rId114" ref="C32"/>
    <hyperlink r:id="rId115" ref="E32"/>
    <hyperlink r:id="rId116" ref="U32"/>
    <hyperlink r:id="rId117" ref="B33"/>
    <hyperlink r:id="rId118" ref="C33"/>
    <hyperlink r:id="rId119" ref="E33"/>
    <hyperlink r:id="rId120" ref="U33"/>
    <hyperlink r:id="rId121" ref="B34"/>
    <hyperlink r:id="rId122" ref="C34"/>
    <hyperlink r:id="rId123" ref="E34"/>
    <hyperlink r:id="rId124" ref="U34"/>
    <hyperlink r:id="rId125" ref="B35"/>
    <hyperlink r:id="rId126" ref="C35"/>
    <hyperlink r:id="rId127" ref="E35"/>
    <hyperlink r:id="rId128" ref="U35"/>
    <hyperlink r:id="rId129" ref="B36"/>
    <hyperlink r:id="rId130" ref="C36"/>
    <hyperlink r:id="rId131" ref="E36"/>
    <hyperlink r:id="rId132" ref="U36"/>
    <hyperlink r:id="rId133" ref="B37"/>
    <hyperlink r:id="rId134" ref="C37"/>
    <hyperlink r:id="rId135" ref="E37"/>
    <hyperlink r:id="rId136" ref="U37"/>
    <hyperlink r:id="rId137" ref="B38"/>
    <hyperlink r:id="rId138" ref="C38"/>
    <hyperlink r:id="rId139" ref="E38"/>
    <hyperlink r:id="rId140" ref="U38"/>
    <hyperlink r:id="rId141" ref="B39"/>
    <hyperlink r:id="rId142" ref="C39"/>
    <hyperlink r:id="rId143" ref="E39"/>
    <hyperlink r:id="rId144" ref="U39"/>
    <hyperlink r:id="rId145" ref="B40"/>
    <hyperlink r:id="rId146" ref="C40"/>
    <hyperlink r:id="rId147" ref="E40"/>
    <hyperlink r:id="rId148" ref="U40"/>
    <hyperlink r:id="rId149" ref="B41"/>
    <hyperlink r:id="rId150" ref="C41"/>
    <hyperlink r:id="rId151" ref="E41"/>
    <hyperlink r:id="rId152" ref="U41"/>
    <hyperlink r:id="rId153" ref="B42"/>
    <hyperlink r:id="rId154" ref="C42"/>
    <hyperlink r:id="rId155" ref="E42"/>
    <hyperlink r:id="rId156" ref="U42"/>
    <hyperlink r:id="rId157" ref="B43"/>
    <hyperlink r:id="rId158" ref="C43"/>
    <hyperlink r:id="rId159" ref="E43"/>
    <hyperlink r:id="rId160" ref="U43"/>
    <hyperlink r:id="rId161" ref="B44"/>
    <hyperlink r:id="rId162" ref="C44"/>
    <hyperlink r:id="rId163" ref="E44"/>
    <hyperlink r:id="rId164" ref="U44"/>
    <hyperlink r:id="rId165" ref="B45"/>
    <hyperlink r:id="rId166" ref="C45"/>
    <hyperlink r:id="rId167" ref="E45"/>
    <hyperlink r:id="rId168" ref="U45"/>
    <hyperlink r:id="rId169" ref="B46"/>
    <hyperlink r:id="rId170" ref="C46"/>
    <hyperlink r:id="rId171" ref="E46"/>
    <hyperlink r:id="rId172" ref="U46"/>
    <hyperlink r:id="rId173" ref="B47"/>
    <hyperlink r:id="rId174" ref="C47"/>
    <hyperlink r:id="rId175" ref="E47"/>
    <hyperlink r:id="rId176" ref="U47"/>
    <hyperlink r:id="rId177" ref="B48"/>
    <hyperlink r:id="rId178" ref="C48"/>
    <hyperlink r:id="rId179" ref="E48"/>
    <hyperlink r:id="rId180" ref="U48"/>
    <hyperlink r:id="rId181" ref="B49"/>
    <hyperlink r:id="rId182" ref="C49"/>
    <hyperlink r:id="rId183" ref="E49"/>
    <hyperlink r:id="rId184" ref="U49"/>
    <hyperlink r:id="rId185" ref="B50"/>
    <hyperlink r:id="rId186" ref="C50"/>
    <hyperlink r:id="rId187" ref="E50"/>
    <hyperlink r:id="rId188" ref="U50"/>
    <hyperlink r:id="rId189" ref="B51"/>
    <hyperlink r:id="rId190" ref="C51"/>
    <hyperlink r:id="rId191" ref="E51"/>
    <hyperlink r:id="rId192" ref="U51"/>
    <hyperlink r:id="rId193" ref="B52"/>
    <hyperlink r:id="rId194" ref="C52"/>
    <hyperlink r:id="rId195" ref="E52"/>
    <hyperlink r:id="rId196" ref="U52"/>
    <hyperlink r:id="rId197" ref="B53"/>
    <hyperlink r:id="rId198" ref="C53"/>
    <hyperlink r:id="rId199" ref="E53"/>
    <hyperlink r:id="rId200" ref="U53"/>
    <hyperlink r:id="rId201" ref="B55"/>
    <hyperlink r:id="rId202" ref="C55"/>
    <hyperlink r:id="rId203" ref="E55"/>
    <hyperlink r:id="rId204" ref="U55"/>
    <hyperlink r:id="rId205" ref="B56"/>
    <hyperlink r:id="rId206" ref="C56"/>
    <hyperlink r:id="rId207" ref="E56"/>
    <hyperlink r:id="rId208" ref="U56"/>
    <hyperlink r:id="rId209" ref="B57"/>
    <hyperlink r:id="rId210" ref="C57"/>
    <hyperlink r:id="rId211" ref="E57"/>
    <hyperlink r:id="rId212" ref="U57"/>
    <hyperlink r:id="rId213" ref="B58"/>
    <hyperlink r:id="rId214" ref="C58"/>
    <hyperlink r:id="rId215" ref="E58"/>
    <hyperlink r:id="rId216" ref="U58"/>
    <hyperlink r:id="rId217" ref="B59"/>
    <hyperlink r:id="rId218" ref="C59"/>
    <hyperlink r:id="rId219" ref="E59"/>
    <hyperlink r:id="rId220" ref="U59"/>
    <hyperlink r:id="rId221" ref="B60"/>
    <hyperlink r:id="rId222" ref="C60"/>
    <hyperlink r:id="rId223" ref="E60"/>
    <hyperlink r:id="rId224" ref="U60"/>
    <hyperlink r:id="rId225" ref="B61"/>
    <hyperlink r:id="rId226" ref="C61"/>
    <hyperlink r:id="rId227" ref="E61"/>
    <hyperlink r:id="rId228" ref="U61"/>
    <hyperlink r:id="rId229" ref="B62"/>
    <hyperlink r:id="rId230" ref="C62"/>
    <hyperlink r:id="rId231" ref="E62"/>
    <hyperlink r:id="rId232" ref="U62"/>
    <hyperlink r:id="rId233" ref="B63"/>
    <hyperlink r:id="rId234" ref="C63"/>
    <hyperlink r:id="rId235" ref="E63"/>
    <hyperlink r:id="rId236" ref="U63"/>
    <hyperlink r:id="rId237" ref="B64"/>
    <hyperlink r:id="rId238" ref="C64"/>
    <hyperlink r:id="rId239" ref="E64"/>
    <hyperlink r:id="rId240" ref="U64"/>
    <hyperlink r:id="rId241" ref="B65"/>
    <hyperlink r:id="rId242" ref="C65"/>
    <hyperlink r:id="rId243" ref="E65"/>
    <hyperlink r:id="rId244" ref="U65"/>
    <hyperlink r:id="rId245" ref="B66"/>
    <hyperlink r:id="rId246" ref="C66"/>
    <hyperlink r:id="rId247" ref="E66"/>
    <hyperlink r:id="rId248" ref="U66"/>
    <hyperlink r:id="rId249" ref="B67"/>
    <hyperlink r:id="rId250" ref="C67"/>
    <hyperlink r:id="rId251" ref="E67"/>
    <hyperlink r:id="rId252" ref="U67"/>
    <hyperlink r:id="rId253" ref="B68"/>
    <hyperlink r:id="rId254" ref="C68"/>
    <hyperlink r:id="rId255" ref="E68"/>
    <hyperlink r:id="rId256" ref="U68"/>
    <hyperlink r:id="rId257" ref="B69"/>
    <hyperlink r:id="rId258" ref="C69"/>
    <hyperlink r:id="rId259" ref="E69"/>
    <hyperlink r:id="rId260" ref="U69"/>
    <hyperlink r:id="rId261" ref="B70"/>
    <hyperlink r:id="rId262" ref="C70"/>
    <hyperlink r:id="rId263" ref="E70"/>
    <hyperlink r:id="rId264" ref="U70"/>
    <hyperlink r:id="rId265" ref="B71"/>
    <hyperlink r:id="rId266" ref="C71"/>
    <hyperlink r:id="rId267" ref="E71"/>
    <hyperlink r:id="rId268" ref="U71"/>
    <hyperlink r:id="rId269" ref="B72"/>
    <hyperlink r:id="rId270" ref="C72"/>
    <hyperlink r:id="rId271" ref="E72"/>
    <hyperlink r:id="rId272" ref="U72"/>
    <hyperlink r:id="rId273" ref="B73"/>
    <hyperlink r:id="rId274" ref="C73"/>
    <hyperlink r:id="rId275" ref="E73"/>
    <hyperlink r:id="rId276" ref="U73"/>
    <hyperlink r:id="rId277" ref="B74"/>
    <hyperlink r:id="rId278" ref="C74"/>
    <hyperlink r:id="rId279" ref="E74"/>
    <hyperlink r:id="rId280" ref="U74"/>
    <hyperlink r:id="rId281" ref="B75"/>
    <hyperlink r:id="rId282" ref="C75"/>
    <hyperlink r:id="rId283" ref="E75"/>
    <hyperlink r:id="rId284" ref="U75"/>
    <hyperlink r:id="rId285" ref="B76"/>
    <hyperlink r:id="rId286" ref="C76"/>
    <hyperlink r:id="rId287" ref="E76"/>
    <hyperlink r:id="rId288" ref="U76"/>
    <hyperlink r:id="rId289" ref="B77"/>
    <hyperlink r:id="rId290" ref="C77"/>
    <hyperlink r:id="rId291" ref="E77"/>
    <hyperlink r:id="rId292" ref="U77"/>
    <hyperlink r:id="rId293" ref="B78"/>
    <hyperlink r:id="rId294" ref="C78"/>
    <hyperlink r:id="rId295" ref="E78"/>
    <hyperlink r:id="rId296" ref="U78"/>
    <hyperlink r:id="rId297" ref="B79"/>
    <hyperlink r:id="rId298" ref="C79"/>
    <hyperlink r:id="rId299" ref="E79"/>
    <hyperlink r:id="rId300" ref="U79"/>
    <hyperlink r:id="rId301" ref="B81"/>
    <hyperlink r:id="rId302" ref="C81"/>
    <hyperlink r:id="rId303" ref="E81"/>
    <hyperlink r:id="rId304" ref="U81"/>
    <hyperlink r:id="rId305" ref="B82"/>
    <hyperlink r:id="rId306" ref="C82"/>
    <hyperlink r:id="rId307" ref="E82"/>
    <hyperlink r:id="rId308" ref="U82"/>
    <hyperlink r:id="rId309" ref="B83"/>
    <hyperlink r:id="rId310" ref="C83"/>
    <hyperlink r:id="rId311" ref="E83"/>
    <hyperlink r:id="rId312" ref="U83"/>
    <hyperlink r:id="rId313" ref="B84"/>
    <hyperlink r:id="rId314" ref="C84"/>
    <hyperlink r:id="rId315" ref="E84"/>
    <hyperlink r:id="rId316" ref="U84"/>
    <hyperlink r:id="rId317" ref="B85"/>
    <hyperlink r:id="rId318" ref="C85"/>
    <hyperlink r:id="rId319" ref="E85"/>
    <hyperlink r:id="rId320" ref="U85"/>
    <hyperlink r:id="rId321" ref="B86"/>
    <hyperlink r:id="rId322" ref="C86"/>
    <hyperlink r:id="rId323" ref="E86"/>
    <hyperlink r:id="rId324" ref="U86"/>
    <hyperlink r:id="rId325" ref="B87"/>
    <hyperlink r:id="rId326" ref="C87"/>
    <hyperlink r:id="rId327" ref="E87"/>
    <hyperlink r:id="rId328" ref="U87"/>
    <hyperlink r:id="rId329" ref="B88"/>
    <hyperlink r:id="rId330" ref="C88"/>
    <hyperlink r:id="rId331" ref="E88"/>
    <hyperlink r:id="rId332" ref="U88"/>
    <hyperlink r:id="rId333" ref="B89"/>
    <hyperlink r:id="rId334" ref="C89"/>
    <hyperlink r:id="rId335" ref="E89"/>
    <hyperlink r:id="rId336" ref="U89"/>
    <hyperlink r:id="rId337" ref="B90"/>
    <hyperlink r:id="rId338" ref="C90"/>
    <hyperlink r:id="rId339" ref="E90"/>
    <hyperlink r:id="rId340" ref="U90"/>
    <hyperlink r:id="rId341" ref="B91"/>
    <hyperlink r:id="rId342" ref="C91"/>
    <hyperlink r:id="rId343" ref="E91"/>
    <hyperlink r:id="rId344" ref="U91"/>
    <hyperlink r:id="rId345" ref="B92"/>
    <hyperlink r:id="rId346" ref="C92"/>
    <hyperlink r:id="rId347" ref="E92"/>
    <hyperlink r:id="rId348" ref="U92"/>
    <hyperlink r:id="rId349" ref="B93"/>
    <hyperlink r:id="rId350" ref="C93"/>
    <hyperlink r:id="rId351" ref="E93"/>
    <hyperlink r:id="rId352" ref="U93"/>
    <hyperlink r:id="rId353" ref="B94"/>
    <hyperlink r:id="rId354" ref="C94"/>
    <hyperlink r:id="rId355" ref="E94"/>
    <hyperlink r:id="rId356" ref="U94"/>
    <hyperlink r:id="rId357" ref="B95"/>
    <hyperlink r:id="rId358" ref="C95"/>
    <hyperlink r:id="rId359" ref="E95"/>
    <hyperlink r:id="rId360" ref="U95"/>
    <hyperlink r:id="rId361" ref="B96"/>
    <hyperlink r:id="rId362" ref="C96"/>
    <hyperlink r:id="rId363" ref="E96"/>
    <hyperlink r:id="rId364" ref="U96"/>
    <hyperlink r:id="rId365" ref="B97"/>
    <hyperlink r:id="rId366" ref="C97"/>
    <hyperlink r:id="rId367" ref="E97"/>
    <hyperlink r:id="rId368" ref="U97"/>
    <hyperlink r:id="rId369" ref="B98"/>
    <hyperlink r:id="rId370" ref="C98"/>
    <hyperlink r:id="rId371" ref="E98"/>
    <hyperlink r:id="rId372" ref="U98"/>
    <hyperlink r:id="rId373" ref="B99"/>
    <hyperlink r:id="rId374" ref="C99"/>
    <hyperlink r:id="rId375" ref="E99"/>
    <hyperlink r:id="rId376" ref="U99"/>
    <hyperlink r:id="rId377" ref="B100"/>
    <hyperlink r:id="rId378" ref="C100"/>
    <hyperlink r:id="rId379" ref="E100"/>
    <hyperlink r:id="rId380" ref="U100"/>
    <hyperlink r:id="rId381" ref="B101"/>
    <hyperlink r:id="rId382" ref="C101"/>
    <hyperlink r:id="rId383" ref="E101"/>
    <hyperlink r:id="rId384" ref="U101"/>
    <hyperlink r:id="rId385" ref="B102"/>
    <hyperlink r:id="rId386" ref="C102"/>
    <hyperlink r:id="rId387" ref="E102"/>
    <hyperlink r:id="rId388" ref="U102"/>
    <hyperlink r:id="rId389" ref="B103"/>
    <hyperlink r:id="rId390" ref="C103"/>
    <hyperlink r:id="rId391" ref="E103"/>
    <hyperlink r:id="rId392" ref="U103"/>
    <hyperlink r:id="rId393" ref="B104"/>
    <hyperlink r:id="rId394" ref="C104"/>
    <hyperlink r:id="rId395" ref="E104"/>
    <hyperlink r:id="rId396" ref="U104"/>
    <hyperlink r:id="rId397" ref="B105"/>
    <hyperlink r:id="rId398" ref="C105"/>
    <hyperlink r:id="rId399" ref="E105"/>
    <hyperlink r:id="rId400" ref="U105"/>
    <hyperlink r:id="rId401" ref="B107"/>
    <hyperlink r:id="rId402" ref="C107"/>
    <hyperlink r:id="rId403" ref="E107"/>
    <hyperlink r:id="rId404" ref="U107"/>
    <hyperlink r:id="rId405" ref="B108"/>
    <hyperlink r:id="rId406" ref="C108"/>
    <hyperlink r:id="rId407" ref="E108"/>
    <hyperlink r:id="rId408" ref="U108"/>
    <hyperlink r:id="rId409" ref="B109"/>
    <hyperlink r:id="rId410" ref="C109"/>
    <hyperlink r:id="rId411" ref="E109"/>
    <hyperlink r:id="rId412" ref="U109"/>
    <hyperlink r:id="rId413" ref="B110"/>
    <hyperlink r:id="rId414" ref="C110"/>
    <hyperlink r:id="rId415" ref="E110"/>
    <hyperlink r:id="rId416" ref="U110"/>
    <hyperlink r:id="rId417" ref="B111"/>
    <hyperlink r:id="rId418" ref="C111"/>
    <hyperlink r:id="rId419" ref="E111"/>
    <hyperlink r:id="rId420" ref="U111"/>
    <hyperlink r:id="rId421" ref="B112"/>
    <hyperlink r:id="rId422" ref="C112"/>
    <hyperlink r:id="rId423" ref="E112"/>
    <hyperlink r:id="rId424" ref="U112"/>
    <hyperlink r:id="rId425" ref="B113"/>
    <hyperlink r:id="rId426" ref="C113"/>
    <hyperlink r:id="rId427" ref="E113"/>
    <hyperlink r:id="rId428" ref="U113"/>
    <hyperlink r:id="rId429" ref="B114"/>
    <hyperlink r:id="rId430" ref="C114"/>
    <hyperlink r:id="rId431" ref="E114"/>
    <hyperlink r:id="rId432" ref="U114"/>
    <hyperlink r:id="rId433" ref="B115"/>
    <hyperlink r:id="rId434" ref="C115"/>
    <hyperlink r:id="rId435" ref="E115"/>
    <hyperlink r:id="rId436" ref="U115"/>
    <hyperlink r:id="rId437" ref="B116"/>
    <hyperlink r:id="rId438" ref="C116"/>
    <hyperlink r:id="rId439" ref="E116"/>
    <hyperlink r:id="rId440" ref="U116"/>
    <hyperlink r:id="rId441" ref="B117"/>
    <hyperlink r:id="rId442" ref="C117"/>
    <hyperlink r:id="rId443" ref="E117"/>
    <hyperlink r:id="rId444" ref="U117"/>
    <hyperlink r:id="rId445" ref="B118"/>
    <hyperlink r:id="rId446" ref="C118"/>
    <hyperlink r:id="rId447" ref="E118"/>
    <hyperlink r:id="rId448" ref="U118"/>
    <hyperlink r:id="rId449" ref="B119"/>
    <hyperlink r:id="rId450" ref="C119"/>
    <hyperlink r:id="rId451" ref="E119"/>
    <hyperlink r:id="rId452" ref="U119"/>
    <hyperlink r:id="rId453" ref="B120"/>
    <hyperlink r:id="rId454" ref="C120"/>
    <hyperlink r:id="rId455" ref="E120"/>
    <hyperlink r:id="rId456" ref="U120"/>
    <hyperlink r:id="rId457" ref="B121"/>
    <hyperlink r:id="rId458" ref="C121"/>
    <hyperlink r:id="rId459" ref="E121"/>
    <hyperlink r:id="rId460" ref="U121"/>
    <hyperlink r:id="rId461" ref="B122"/>
    <hyperlink r:id="rId462" ref="C122"/>
    <hyperlink r:id="rId463" ref="E122"/>
    <hyperlink r:id="rId464" ref="U122"/>
    <hyperlink r:id="rId465" ref="B123"/>
    <hyperlink r:id="rId466" ref="C123"/>
    <hyperlink r:id="rId467" ref="E123"/>
    <hyperlink r:id="rId468" ref="U123"/>
    <hyperlink r:id="rId469" ref="B124"/>
    <hyperlink r:id="rId470" ref="C124"/>
    <hyperlink r:id="rId471" ref="E124"/>
    <hyperlink r:id="rId472" ref="U124"/>
    <hyperlink r:id="rId473" ref="B125"/>
    <hyperlink r:id="rId474" ref="C125"/>
    <hyperlink r:id="rId475" ref="E125"/>
    <hyperlink r:id="rId476" ref="U125"/>
    <hyperlink r:id="rId477" ref="B126"/>
    <hyperlink r:id="rId478" ref="C126"/>
    <hyperlink r:id="rId479" ref="E126"/>
    <hyperlink r:id="rId480" ref="U126"/>
    <hyperlink r:id="rId481" ref="B127"/>
    <hyperlink r:id="rId482" ref="C127"/>
    <hyperlink r:id="rId483" ref="E127"/>
    <hyperlink r:id="rId484" ref="U127"/>
    <hyperlink r:id="rId485" ref="B128"/>
    <hyperlink r:id="rId486" ref="C128"/>
    <hyperlink r:id="rId487" ref="E128"/>
    <hyperlink r:id="rId488" ref="U128"/>
    <hyperlink r:id="rId489" ref="B129"/>
    <hyperlink r:id="rId490" ref="C129"/>
    <hyperlink r:id="rId491" ref="E129"/>
    <hyperlink r:id="rId492" ref="U129"/>
    <hyperlink r:id="rId493" ref="B130"/>
    <hyperlink r:id="rId494" ref="C130"/>
    <hyperlink r:id="rId495" ref="E130"/>
    <hyperlink r:id="rId496" ref="U130"/>
    <hyperlink r:id="rId497" ref="B131"/>
    <hyperlink r:id="rId498" ref="C131"/>
    <hyperlink r:id="rId499" ref="E131"/>
    <hyperlink r:id="rId500" ref="U131"/>
    <hyperlink r:id="rId501" ref="B133"/>
    <hyperlink r:id="rId502" ref="C133"/>
    <hyperlink r:id="rId503" ref="E133"/>
    <hyperlink r:id="rId504" ref="U133"/>
    <hyperlink r:id="rId505" ref="B134"/>
    <hyperlink r:id="rId506" ref="C134"/>
    <hyperlink r:id="rId507" ref="E134"/>
    <hyperlink r:id="rId508" ref="U134"/>
    <hyperlink r:id="rId509" ref="B135"/>
    <hyperlink r:id="rId510" ref="C135"/>
    <hyperlink r:id="rId511" ref="E135"/>
    <hyperlink r:id="rId512" ref="U135"/>
    <hyperlink r:id="rId513" ref="B136"/>
    <hyperlink r:id="rId514" ref="C136"/>
    <hyperlink r:id="rId515" ref="E136"/>
    <hyperlink r:id="rId516" ref="U136"/>
    <hyperlink r:id="rId517" ref="B137"/>
    <hyperlink r:id="rId518" ref="C137"/>
    <hyperlink r:id="rId519" ref="E137"/>
    <hyperlink r:id="rId520" ref="U137"/>
    <hyperlink r:id="rId521" ref="B138"/>
    <hyperlink r:id="rId522" ref="C138"/>
    <hyperlink r:id="rId523" ref="E138"/>
    <hyperlink r:id="rId524" ref="U138"/>
    <hyperlink r:id="rId525" ref="B139"/>
    <hyperlink r:id="rId526" ref="C139"/>
    <hyperlink r:id="rId527" ref="E139"/>
    <hyperlink r:id="rId528" ref="U139"/>
    <hyperlink r:id="rId529" ref="B140"/>
    <hyperlink r:id="rId530" ref="C140"/>
    <hyperlink r:id="rId531" ref="E140"/>
    <hyperlink r:id="rId532" ref="U140"/>
    <hyperlink r:id="rId533" ref="B141"/>
    <hyperlink r:id="rId534" ref="C141"/>
    <hyperlink r:id="rId535" ref="E141"/>
    <hyperlink r:id="rId536" ref="U141"/>
    <hyperlink r:id="rId537" ref="B142"/>
    <hyperlink r:id="rId538" ref="C142"/>
    <hyperlink r:id="rId539" ref="E142"/>
    <hyperlink r:id="rId540" ref="U142"/>
    <hyperlink r:id="rId541" ref="B143"/>
    <hyperlink r:id="rId542" ref="C143"/>
    <hyperlink r:id="rId543" ref="E143"/>
    <hyperlink r:id="rId544" ref="U143"/>
    <hyperlink r:id="rId545" ref="B144"/>
    <hyperlink r:id="rId546" ref="C144"/>
    <hyperlink r:id="rId547" ref="E144"/>
    <hyperlink r:id="rId548" ref="U144"/>
    <hyperlink r:id="rId549" ref="B145"/>
    <hyperlink r:id="rId550" ref="C145"/>
    <hyperlink r:id="rId551" ref="E145"/>
    <hyperlink r:id="rId552" ref="U145"/>
    <hyperlink r:id="rId553" ref="B146"/>
    <hyperlink r:id="rId554" ref="C146"/>
    <hyperlink r:id="rId555" ref="E146"/>
    <hyperlink r:id="rId556" ref="U146"/>
    <hyperlink r:id="rId557" ref="B147"/>
    <hyperlink r:id="rId558" ref="C147"/>
    <hyperlink r:id="rId559" ref="E147"/>
    <hyperlink r:id="rId560" ref="U147"/>
    <hyperlink r:id="rId561" ref="B148"/>
    <hyperlink r:id="rId562" ref="C148"/>
    <hyperlink r:id="rId563" ref="E148"/>
    <hyperlink r:id="rId564" ref="U148"/>
    <hyperlink r:id="rId565" ref="B149"/>
    <hyperlink r:id="rId566" ref="C149"/>
    <hyperlink r:id="rId567" ref="E149"/>
    <hyperlink r:id="rId568" ref="U149"/>
    <hyperlink r:id="rId569" ref="B150"/>
    <hyperlink r:id="rId570" ref="C150"/>
    <hyperlink r:id="rId571" ref="E150"/>
    <hyperlink r:id="rId572" ref="U150"/>
    <hyperlink r:id="rId573" ref="B151"/>
    <hyperlink r:id="rId574" ref="C151"/>
    <hyperlink r:id="rId575" ref="E151"/>
    <hyperlink r:id="rId576" ref="U151"/>
    <hyperlink r:id="rId577" ref="B152"/>
    <hyperlink r:id="rId578" ref="C152"/>
    <hyperlink r:id="rId579" ref="E152"/>
    <hyperlink r:id="rId580" ref="U152"/>
    <hyperlink r:id="rId581" ref="B153"/>
    <hyperlink r:id="rId582" ref="C153"/>
    <hyperlink r:id="rId583" ref="E153"/>
    <hyperlink r:id="rId584" ref="U153"/>
    <hyperlink r:id="rId585" ref="B154"/>
    <hyperlink r:id="rId586" ref="C154"/>
    <hyperlink r:id="rId587" ref="E154"/>
    <hyperlink r:id="rId588" ref="U154"/>
    <hyperlink r:id="rId589" ref="B155"/>
    <hyperlink r:id="rId590" ref="C155"/>
    <hyperlink r:id="rId591" ref="E155"/>
    <hyperlink r:id="rId592" ref="U155"/>
    <hyperlink r:id="rId593" ref="B156"/>
    <hyperlink r:id="rId594" ref="C156"/>
    <hyperlink r:id="rId595" ref="E156"/>
    <hyperlink r:id="rId596" ref="U156"/>
    <hyperlink r:id="rId597" ref="B157"/>
    <hyperlink r:id="rId598" ref="C157"/>
    <hyperlink r:id="rId599" ref="E157"/>
    <hyperlink r:id="rId600" ref="U157"/>
    <hyperlink r:id="rId601" ref="B159"/>
    <hyperlink r:id="rId602" ref="C159"/>
    <hyperlink r:id="rId603" ref="E159"/>
    <hyperlink r:id="rId604" ref="U159"/>
    <hyperlink r:id="rId605" ref="B160"/>
    <hyperlink r:id="rId606" ref="C160"/>
    <hyperlink r:id="rId607" ref="E160"/>
    <hyperlink r:id="rId608" ref="U160"/>
    <hyperlink r:id="rId609" ref="B161"/>
    <hyperlink r:id="rId610" ref="C161"/>
    <hyperlink r:id="rId611" ref="E161"/>
    <hyperlink r:id="rId612" ref="U161"/>
    <hyperlink r:id="rId613" ref="B162"/>
    <hyperlink r:id="rId614" ref="C162"/>
    <hyperlink r:id="rId615" ref="E162"/>
    <hyperlink r:id="rId616" ref="U162"/>
    <hyperlink r:id="rId617" ref="B163"/>
    <hyperlink r:id="rId618" ref="C163"/>
    <hyperlink r:id="rId619" ref="E163"/>
    <hyperlink r:id="rId620" ref="U163"/>
    <hyperlink r:id="rId621" ref="B164"/>
    <hyperlink r:id="rId622" ref="C164"/>
    <hyperlink r:id="rId623" ref="E164"/>
    <hyperlink r:id="rId624" ref="U164"/>
    <hyperlink r:id="rId625" ref="B165"/>
    <hyperlink r:id="rId626" ref="C165"/>
    <hyperlink r:id="rId627" ref="E165"/>
    <hyperlink r:id="rId628" ref="U165"/>
    <hyperlink r:id="rId629" ref="B166"/>
    <hyperlink r:id="rId630" ref="C166"/>
    <hyperlink r:id="rId631" ref="E166"/>
    <hyperlink r:id="rId632" ref="U166"/>
    <hyperlink r:id="rId633" ref="B167"/>
    <hyperlink r:id="rId634" ref="C167"/>
    <hyperlink r:id="rId635" ref="E167"/>
    <hyperlink r:id="rId636" ref="U167"/>
    <hyperlink r:id="rId637" ref="B168"/>
    <hyperlink r:id="rId638" ref="C168"/>
    <hyperlink r:id="rId639" ref="E168"/>
    <hyperlink r:id="rId640" ref="U168"/>
    <hyperlink r:id="rId641" ref="B169"/>
    <hyperlink r:id="rId642" ref="C169"/>
    <hyperlink r:id="rId643" ref="E169"/>
    <hyperlink r:id="rId644" ref="U169"/>
    <hyperlink r:id="rId645" ref="B170"/>
    <hyperlink r:id="rId646" ref="C170"/>
    <hyperlink r:id="rId647" ref="E170"/>
    <hyperlink r:id="rId648" ref="U170"/>
    <hyperlink r:id="rId649" ref="B171"/>
    <hyperlink r:id="rId650" ref="C171"/>
    <hyperlink r:id="rId651" ref="E171"/>
    <hyperlink r:id="rId652" ref="U171"/>
    <hyperlink r:id="rId653" ref="B172"/>
    <hyperlink r:id="rId654" ref="C172"/>
    <hyperlink r:id="rId655" ref="E172"/>
    <hyperlink r:id="rId656" ref="U172"/>
    <hyperlink r:id="rId657" ref="B173"/>
    <hyperlink r:id="rId658" ref="C173"/>
    <hyperlink r:id="rId659" ref="E173"/>
    <hyperlink r:id="rId660" ref="U173"/>
    <hyperlink r:id="rId661" ref="B174"/>
    <hyperlink r:id="rId662" ref="C174"/>
    <hyperlink r:id="rId663" ref="E174"/>
    <hyperlink r:id="rId664" ref="U174"/>
    <hyperlink r:id="rId665" ref="B175"/>
    <hyperlink r:id="rId666" ref="C175"/>
    <hyperlink r:id="rId667" ref="E175"/>
    <hyperlink r:id="rId668" ref="U175"/>
    <hyperlink r:id="rId669" ref="B176"/>
    <hyperlink r:id="rId670" ref="C176"/>
    <hyperlink r:id="rId671" ref="E176"/>
    <hyperlink r:id="rId672" ref="U176"/>
    <hyperlink r:id="rId673" ref="B177"/>
    <hyperlink r:id="rId674" ref="C177"/>
    <hyperlink r:id="rId675" ref="E177"/>
    <hyperlink r:id="rId676" ref="U177"/>
    <hyperlink r:id="rId677" ref="B178"/>
    <hyperlink r:id="rId678" ref="C178"/>
    <hyperlink r:id="rId679" ref="E178"/>
    <hyperlink r:id="rId680" ref="U178"/>
    <hyperlink r:id="rId681" ref="B179"/>
    <hyperlink r:id="rId682" ref="C179"/>
    <hyperlink r:id="rId683" ref="E179"/>
    <hyperlink r:id="rId684" ref="U179"/>
    <hyperlink r:id="rId685" ref="B180"/>
    <hyperlink r:id="rId686" ref="C180"/>
    <hyperlink r:id="rId687" ref="E180"/>
    <hyperlink r:id="rId688" ref="U180"/>
    <hyperlink r:id="rId689" ref="B181"/>
    <hyperlink r:id="rId690" ref="C181"/>
    <hyperlink r:id="rId691" ref="E181"/>
    <hyperlink r:id="rId692" ref="U181"/>
    <hyperlink r:id="rId693" ref="B182"/>
    <hyperlink r:id="rId694" ref="C182"/>
    <hyperlink r:id="rId695" ref="E182"/>
    <hyperlink r:id="rId696" ref="U182"/>
    <hyperlink r:id="rId697" ref="B183"/>
    <hyperlink r:id="rId698" ref="C183"/>
    <hyperlink r:id="rId699" ref="E183"/>
    <hyperlink r:id="rId700" ref="U183"/>
    <hyperlink r:id="rId701" ref="B185"/>
    <hyperlink r:id="rId702" ref="C185"/>
    <hyperlink r:id="rId703" ref="E185"/>
    <hyperlink r:id="rId704" ref="U185"/>
    <hyperlink r:id="rId705" ref="B186"/>
    <hyperlink r:id="rId706" ref="C186"/>
    <hyperlink r:id="rId707" ref="E186"/>
    <hyperlink r:id="rId708" ref="U186"/>
    <hyperlink r:id="rId709" ref="B187"/>
    <hyperlink r:id="rId710" ref="C187"/>
    <hyperlink r:id="rId711" ref="E187"/>
    <hyperlink r:id="rId712" ref="U187"/>
    <hyperlink r:id="rId713" ref="B188"/>
    <hyperlink r:id="rId714" ref="C188"/>
    <hyperlink r:id="rId715" ref="E188"/>
    <hyperlink r:id="rId716" ref="U188"/>
    <hyperlink r:id="rId717" ref="B189"/>
    <hyperlink r:id="rId718" ref="C189"/>
    <hyperlink r:id="rId719" ref="E189"/>
    <hyperlink r:id="rId720" ref="U189"/>
    <hyperlink r:id="rId721" ref="B190"/>
    <hyperlink r:id="rId722" ref="C190"/>
    <hyperlink r:id="rId723" ref="E190"/>
    <hyperlink r:id="rId724" ref="U190"/>
    <hyperlink r:id="rId725" ref="B191"/>
    <hyperlink r:id="rId726" ref="C191"/>
    <hyperlink r:id="rId727" ref="E191"/>
    <hyperlink r:id="rId728" ref="U191"/>
    <hyperlink r:id="rId729" ref="B192"/>
    <hyperlink r:id="rId730" ref="C192"/>
    <hyperlink r:id="rId731" ref="E192"/>
    <hyperlink r:id="rId732" ref="U192"/>
    <hyperlink r:id="rId733" ref="B193"/>
    <hyperlink r:id="rId734" ref="C193"/>
    <hyperlink r:id="rId735" ref="E193"/>
    <hyperlink r:id="rId736" ref="U193"/>
    <hyperlink r:id="rId737" ref="B194"/>
    <hyperlink r:id="rId738" ref="C194"/>
    <hyperlink r:id="rId739" ref="E194"/>
    <hyperlink r:id="rId740" ref="U194"/>
    <hyperlink r:id="rId741" ref="B195"/>
    <hyperlink r:id="rId742" ref="C195"/>
    <hyperlink r:id="rId743" ref="E195"/>
    <hyperlink r:id="rId744" ref="U195"/>
    <hyperlink r:id="rId745" ref="B196"/>
    <hyperlink r:id="rId746" ref="C196"/>
    <hyperlink r:id="rId747" ref="E196"/>
    <hyperlink r:id="rId748" ref="U196"/>
    <hyperlink r:id="rId749" ref="B197"/>
    <hyperlink r:id="rId750" ref="C197"/>
    <hyperlink r:id="rId751" ref="E197"/>
    <hyperlink r:id="rId752" ref="U197"/>
    <hyperlink r:id="rId753" ref="B198"/>
    <hyperlink r:id="rId754" ref="C198"/>
    <hyperlink r:id="rId755" ref="E198"/>
    <hyperlink r:id="rId756" ref="U198"/>
    <hyperlink r:id="rId757" ref="B199"/>
    <hyperlink r:id="rId758" ref="C199"/>
    <hyperlink r:id="rId759" ref="E199"/>
    <hyperlink r:id="rId760" ref="U199"/>
    <hyperlink r:id="rId761" ref="B200"/>
    <hyperlink r:id="rId762" ref="C200"/>
    <hyperlink r:id="rId763" ref="E200"/>
    <hyperlink r:id="rId764" ref="U200"/>
    <hyperlink r:id="rId765" ref="B201"/>
    <hyperlink r:id="rId766" ref="C201"/>
    <hyperlink r:id="rId767" ref="E201"/>
    <hyperlink r:id="rId768" ref="U201"/>
    <hyperlink r:id="rId769" ref="B202"/>
    <hyperlink r:id="rId770" ref="C202"/>
    <hyperlink r:id="rId771" ref="E202"/>
    <hyperlink r:id="rId772" ref="U202"/>
    <hyperlink r:id="rId773" ref="B203"/>
    <hyperlink r:id="rId774" ref="C203"/>
    <hyperlink r:id="rId775" ref="E203"/>
    <hyperlink r:id="rId776" ref="U203"/>
    <hyperlink r:id="rId777" ref="B204"/>
    <hyperlink r:id="rId778" ref="C204"/>
    <hyperlink r:id="rId779" ref="E204"/>
    <hyperlink r:id="rId780" ref="U204"/>
    <hyperlink r:id="rId781" ref="B205"/>
    <hyperlink r:id="rId782" ref="C205"/>
    <hyperlink r:id="rId783" ref="E205"/>
    <hyperlink r:id="rId784" ref="U205"/>
    <hyperlink r:id="rId785" ref="B206"/>
    <hyperlink r:id="rId786" ref="C206"/>
    <hyperlink r:id="rId787" ref="E206"/>
    <hyperlink r:id="rId788" ref="U206"/>
    <hyperlink r:id="rId789" ref="B207"/>
    <hyperlink r:id="rId790" ref="C207"/>
    <hyperlink r:id="rId791" ref="E207"/>
    <hyperlink r:id="rId792" ref="U207"/>
    <hyperlink r:id="rId793" ref="B208"/>
    <hyperlink r:id="rId794" ref="C208"/>
    <hyperlink r:id="rId795" ref="E208"/>
    <hyperlink r:id="rId796" ref="U208"/>
    <hyperlink r:id="rId797" ref="B209"/>
    <hyperlink r:id="rId798" ref="C209"/>
    <hyperlink r:id="rId799" ref="E209"/>
    <hyperlink r:id="rId800" ref="U209"/>
    <hyperlink r:id="rId801" ref="B211"/>
    <hyperlink r:id="rId802" ref="C211"/>
    <hyperlink r:id="rId803" ref="E211"/>
    <hyperlink r:id="rId804" ref="U211"/>
    <hyperlink r:id="rId805" ref="B212"/>
    <hyperlink r:id="rId806" ref="C212"/>
    <hyperlink r:id="rId807" ref="E212"/>
    <hyperlink r:id="rId808" ref="U212"/>
    <hyperlink r:id="rId809" ref="B213"/>
    <hyperlink r:id="rId810" ref="C213"/>
    <hyperlink r:id="rId811" ref="E213"/>
    <hyperlink r:id="rId812" ref="U213"/>
    <hyperlink r:id="rId813" ref="B214"/>
    <hyperlink r:id="rId814" ref="C214"/>
    <hyperlink r:id="rId815" ref="E214"/>
    <hyperlink r:id="rId816" ref="U214"/>
    <hyperlink r:id="rId817" ref="B215"/>
    <hyperlink r:id="rId818" ref="C215"/>
    <hyperlink r:id="rId819" ref="E215"/>
    <hyperlink r:id="rId820" ref="U215"/>
    <hyperlink r:id="rId821" ref="B216"/>
    <hyperlink r:id="rId822" ref="C216"/>
    <hyperlink r:id="rId823" ref="E216"/>
    <hyperlink r:id="rId824" ref="U216"/>
    <hyperlink r:id="rId825" ref="B217"/>
    <hyperlink r:id="rId826" ref="C217"/>
    <hyperlink r:id="rId827" ref="E217"/>
    <hyperlink r:id="rId828" ref="U217"/>
    <hyperlink r:id="rId829" ref="B218"/>
    <hyperlink r:id="rId830" ref="C218"/>
    <hyperlink r:id="rId831" ref="E218"/>
    <hyperlink r:id="rId832" ref="U218"/>
    <hyperlink r:id="rId833" ref="B219"/>
    <hyperlink r:id="rId834" ref="C219"/>
    <hyperlink r:id="rId835" ref="E219"/>
    <hyperlink r:id="rId836" ref="U219"/>
    <hyperlink r:id="rId837" ref="B220"/>
    <hyperlink r:id="rId838" ref="C220"/>
    <hyperlink r:id="rId839" ref="E220"/>
    <hyperlink r:id="rId840" ref="U220"/>
    <hyperlink r:id="rId841" ref="B221"/>
    <hyperlink r:id="rId842" ref="C221"/>
    <hyperlink r:id="rId843" ref="E221"/>
    <hyperlink r:id="rId844" ref="U221"/>
    <hyperlink r:id="rId845" ref="B222"/>
    <hyperlink r:id="rId846" ref="C222"/>
    <hyperlink r:id="rId847" ref="E222"/>
    <hyperlink r:id="rId848" ref="U222"/>
    <hyperlink r:id="rId849" ref="B223"/>
    <hyperlink r:id="rId850" ref="C223"/>
    <hyperlink r:id="rId851" ref="E223"/>
    <hyperlink r:id="rId852" ref="U223"/>
    <hyperlink r:id="rId853" ref="B224"/>
    <hyperlink r:id="rId854" ref="C224"/>
    <hyperlink r:id="rId855" ref="E224"/>
    <hyperlink r:id="rId856" ref="U224"/>
    <hyperlink r:id="rId857" ref="B225"/>
    <hyperlink r:id="rId858" ref="C225"/>
    <hyperlink r:id="rId859" ref="E225"/>
    <hyperlink r:id="rId860" ref="U225"/>
    <hyperlink r:id="rId861" ref="B226"/>
    <hyperlink r:id="rId862" ref="C226"/>
    <hyperlink r:id="rId863" ref="E226"/>
    <hyperlink r:id="rId864" ref="U226"/>
    <hyperlink r:id="rId865" ref="B227"/>
    <hyperlink r:id="rId866" ref="C227"/>
    <hyperlink r:id="rId867" ref="E227"/>
    <hyperlink r:id="rId868" ref="U227"/>
    <hyperlink r:id="rId869" ref="B228"/>
    <hyperlink r:id="rId870" ref="C228"/>
    <hyperlink r:id="rId871" ref="E228"/>
    <hyperlink r:id="rId872" ref="U228"/>
    <hyperlink r:id="rId873" ref="B229"/>
    <hyperlink r:id="rId874" ref="C229"/>
    <hyperlink r:id="rId875" ref="E229"/>
    <hyperlink r:id="rId876" ref="U229"/>
    <hyperlink r:id="rId877" ref="B230"/>
    <hyperlink r:id="rId878" ref="C230"/>
    <hyperlink r:id="rId879" ref="E230"/>
    <hyperlink r:id="rId880" ref="U230"/>
    <hyperlink r:id="rId881" ref="B231"/>
    <hyperlink r:id="rId882" ref="C231"/>
    <hyperlink r:id="rId883" ref="E231"/>
    <hyperlink r:id="rId884" ref="U231"/>
    <hyperlink r:id="rId885" ref="B232"/>
    <hyperlink r:id="rId886" ref="C232"/>
    <hyperlink r:id="rId887" ref="E232"/>
    <hyperlink r:id="rId888" ref="U232"/>
    <hyperlink r:id="rId889" ref="B233"/>
    <hyperlink r:id="rId890" ref="C233"/>
    <hyperlink r:id="rId891" ref="E233"/>
    <hyperlink r:id="rId892" ref="U233"/>
    <hyperlink r:id="rId893" ref="B234"/>
    <hyperlink r:id="rId894" ref="C234"/>
    <hyperlink r:id="rId895" ref="E234"/>
    <hyperlink r:id="rId896" ref="U234"/>
    <hyperlink r:id="rId897" ref="B235"/>
    <hyperlink r:id="rId898" ref="C235"/>
    <hyperlink r:id="rId899" ref="E235"/>
    <hyperlink r:id="rId900" ref="U235"/>
    <hyperlink r:id="rId901" ref="B237"/>
    <hyperlink r:id="rId902" ref="C237"/>
    <hyperlink r:id="rId903" ref="E237"/>
    <hyperlink r:id="rId904" ref="U237"/>
    <hyperlink r:id="rId905" ref="B238"/>
    <hyperlink r:id="rId906" ref="C238"/>
    <hyperlink r:id="rId907" ref="E238"/>
    <hyperlink r:id="rId908" ref="U238"/>
    <hyperlink r:id="rId909" ref="B239"/>
    <hyperlink r:id="rId910" ref="C239"/>
    <hyperlink r:id="rId911" ref="E239"/>
    <hyperlink r:id="rId912" ref="U239"/>
    <hyperlink r:id="rId913" ref="B240"/>
    <hyperlink r:id="rId914" ref="C240"/>
    <hyperlink r:id="rId915" ref="E240"/>
    <hyperlink r:id="rId916" ref="U240"/>
    <hyperlink r:id="rId917" ref="B241"/>
    <hyperlink r:id="rId918" ref="C241"/>
    <hyperlink r:id="rId919" ref="E241"/>
    <hyperlink r:id="rId920" ref="U241"/>
    <hyperlink r:id="rId921" ref="B242"/>
    <hyperlink r:id="rId922" ref="C242"/>
    <hyperlink r:id="rId923" ref="E242"/>
    <hyperlink r:id="rId924" ref="U242"/>
    <hyperlink r:id="rId925" ref="B243"/>
    <hyperlink r:id="rId926" ref="C243"/>
    <hyperlink r:id="rId927" ref="E243"/>
    <hyperlink r:id="rId928" ref="U243"/>
    <hyperlink r:id="rId929" ref="B244"/>
    <hyperlink r:id="rId930" ref="C244"/>
    <hyperlink r:id="rId931" ref="E244"/>
    <hyperlink r:id="rId932" ref="U244"/>
    <hyperlink r:id="rId933" ref="B245"/>
    <hyperlink r:id="rId934" ref="C245"/>
    <hyperlink r:id="rId935" ref="E245"/>
    <hyperlink r:id="rId936" ref="U245"/>
    <hyperlink r:id="rId937" ref="B246"/>
    <hyperlink r:id="rId938" ref="C246"/>
    <hyperlink r:id="rId939" ref="E246"/>
    <hyperlink r:id="rId940" ref="U246"/>
    <hyperlink r:id="rId941" ref="B247"/>
    <hyperlink r:id="rId942" ref="C247"/>
    <hyperlink r:id="rId943" ref="E247"/>
    <hyperlink r:id="rId944" ref="U247"/>
    <hyperlink r:id="rId945" ref="B248"/>
    <hyperlink r:id="rId946" ref="C248"/>
    <hyperlink r:id="rId947" ref="E248"/>
    <hyperlink r:id="rId948" ref="U248"/>
    <hyperlink r:id="rId949" ref="B249"/>
    <hyperlink r:id="rId950" ref="C249"/>
    <hyperlink r:id="rId951" ref="E249"/>
    <hyperlink r:id="rId952" ref="U249"/>
    <hyperlink r:id="rId953" ref="B250"/>
    <hyperlink r:id="rId954" ref="C250"/>
    <hyperlink r:id="rId955" ref="E250"/>
    <hyperlink r:id="rId956" ref="U250"/>
    <hyperlink r:id="rId957" ref="B251"/>
    <hyperlink r:id="rId958" ref="C251"/>
    <hyperlink r:id="rId959" ref="E251"/>
    <hyperlink r:id="rId960" ref="U251"/>
    <hyperlink r:id="rId961" ref="B252"/>
    <hyperlink r:id="rId962" ref="C252"/>
    <hyperlink r:id="rId963" ref="E252"/>
    <hyperlink r:id="rId964" ref="U252"/>
    <hyperlink r:id="rId965" ref="B253"/>
    <hyperlink r:id="rId966" ref="C253"/>
    <hyperlink r:id="rId967" ref="E253"/>
    <hyperlink r:id="rId968" ref="U253"/>
    <hyperlink r:id="rId969" ref="B254"/>
    <hyperlink r:id="rId970" ref="C254"/>
    <hyperlink r:id="rId971" ref="E254"/>
    <hyperlink r:id="rId972" ref="U254"/>
    <hyperlink r:id="rId973" ref="B255"/>
    <hyperlink r:id="rId974" ref="C255"/>
    <hyperlink r:id="rId975" ref="E255"/>
    <hyperlink r:id="rId976" ref="U255"/>
    <hyperlink r:id="rId977" ref="B256"/>
    <hyperlink r:id="rId978" ref="C256"/>
    <hyperlink r:id="rId979" ref="E256"/>
    <hyperlink r:id="rId980" ref="U256"/>
    <hyperlink r:id="rId981" ref="B257"/>
    <hyperlink r:id="rId982" ref="C257"/>
    <hyperlink r:id="rId983" ref="E257"/>
    <hyperlink r:id="rId984" ref="U257"/>
    <hyperlink r:id="rId985" ref="B258"/>
    <hyperlink r:id="rId986" ref="C258"/>
    <hyperlink r:id="rId987" ref="E258"/>
    <hyperlink r:id="rId988" ref="U258"/>
    <hyperlink r:id="rId989" ref="B259"/>
    <hyperlink r:id="rId990" ref="C259"/>
    <hyperlink r:id="rId991" ref="E259"/>
    <hyperlink r:id="rId992" ref="U259"/>
    <hyperlink r:id="rId993" ref="B260"/>
    <hyperlink r:id="rId994" ref="C260"/>
    <hyperlink r:id="rId995" ref="E260"/>
    <hyperlink r:id="rId996" ref="U260"/>
    <hyperlink r:id="rId997" ref="B261"/>
    <hyperlink r:id="rId998" ref="C261"/>
    <hyperlink r:id="rId999" ref="E261"/>
    <hyperlink r:id="rId1000" ref="U261"/>
    <hyperlink r:id="rId1001" ref="B263"/>
    <hyperlink r:id="rId1002" ref="C263"/>
    <hyperlink r:id="rId1003" ref="E263"/>
    <hyperlink r:id="rId1004" ref="U263"/>
    <hyperlink r:id="rId1005" ref="B264"/>
    <hyperlink r:id="rId1006" ref="C264"/>
    <hyperlink r:id="rId1007" ref="E264"/>
    <hyperlink r:id="rId1008" ref="U264"/>
    <hyperlink r:id="rId1009" ref="B265"/>
    <hyperlink r:id="rId1010" ref="C265"/>
    <hyperlink r:id="rId1011" ref="E265"/>
    <hyperlink r:id="rId1012" ref="U265"/>
    <hyperlink r:id="rId1013" ref="B266"/>
    <hyperlink r:id="rId1014" ref="C266"/>
    <hyperlink r:id="rId1015" ref="E266"/>
    <hyperlink r:id="rId1016" ref="U266"/>
    <hyperlink r:id="rId1017" ref="B267"/>
    <hyperlink r:id="rId1018" ref="C267"/>
    <hyperlink r:id="rId1019" ref="E267"/>
    <hyperlink r:id="rId1020" ref="U267"/>
    <hyperlink r:id="rId1021" ref="B268"/>
    <hyperlink r:id="rId1022" ref="C268"/>
    <hyperlink r:id="rId1023" ref="E268"/>
    <hyperlink r:id="rId1024" ref="U268"/>
    <hyperlink r:id="rId1025" ref="B269"/>
    <hyperlink r:id="rId1026" ref="C269"/>
    <hyperlink r:id="rId1027" ref="E269"/>
    <hyperlink r:id="rId1028" ref="U269"/>
    <hyperlink r:id="rId1029" ref="B270"/>
    <hyperlink r:id="rId1030" ref="C270"/>
    <hyperlink r:id="rId1031" ref="E270"/>
    <hyperlink r:id="rId1032" ref="U270"/>
    <hyperlink r:id="rId1033" ref="B271"/>
    <hyperlink r:id="rId1034" ref="C271"/>
    <hyperlink r:id="rId1035" ref="E271"/>
    <hyperlink r:id="rId1036" ref="U271"/>
    <hyperlink r:id="rId1037" ref="B272"/>
    <hyperlink r:id="rId1038" ref="C272"/>
    <hyperlink r:id="rId1039" ref="E272"/>
    <hyperlink r:id="rId1040" ref="U272"/>
    <hyperlink r:id="rId1041" ref="B273"/>
    <hyperlink r:id="rId1042" ref="C273"/>
    <hyperlink r:id="rId1043" ref="E273"/>
    <hyperlink r:id="rId1044" ref="U273"/>
    <hyperlink r:id="rId1045" ref="B274"/>
    <hyperlink r:id="rId1046" ref="C274"/>
    <hyperlink r:id="rId1047" ref="E274"/>
    <hyperlink r:id="rId1048" ref="U274"/>
    <hyperlink r:id="rId1049" ref="B275"/>
    <hyperlink r:id="rId1050" ref="C275"/>
    <hyperlink r:id="rId1051" ref="E275"/>
    <hyperlink r:id="rId1052" ref="U275"/>
    <hyperlink r:id="rId1053" ref="B276"/>
    <hyperlink r:id="rId1054" ref="C276"/>
    <hyperlink r:id="rId1055" ref="E276"/>
    <hyperlink r:id="rId1056" ref="U276"/>
    <hyperlink r:id="rId1057" ref="B277"/>
    <hyperlink r:id="rId1058" ref="C277"/>
    <hyperlink r:id="rId1059" ref="E277"/>
    <hyperlink r:id="rId1060" ref="U277"/>
    <hyperlink r:id="rId1061" ref="B278"/>
    <hyperlink r:id="rId1062" ref="C278"/>
    <hyperlink r:id="rId1063" ref="E278"/>
    <hyperlink r:id="rId1064" ref="U278"/>
    <hyperlink r:id="rId1065" ref="B279"/>
    <hyperlink r:id="rId1066" ref="C279"/>
    <hyperlink r:id="rId1067" ref="E279"/>
    <hyperlink r:id="rId1068" ref="U279"/>
    <hyperlink r:id="rId1069" ref="B280"/>
    <hyperlink r:id="rId1070" ref="C280"/>
    <hyperlink r:id="rId1071" ref="E280"/>
    <hyperlink r:id="rId1072" ref="U280"/>
    <hyperlink r:id="rId1073" ref="B281"/>
    <hyperlink r:id="rId1074" ref="C281"/>
    <hyperlink r:id="rId1075" ref="E281"/>
    <hyperlink r:id="rId1076" ref="U281"/>
    <hyperlink r:id="rId1077" ref="B282"/>
    <hyperlink r:id="rId1078" ref="C282"/>
    <hyperlink r:id="rId1079" ref="E282"/>
    <hyperlink r:id="rId1080" ref="U282"/>
    <hyperlink r:id="rId1081" ref="B283"/>
    <hyperlink r:id="rId1082" ref="C283"/>
    <hyperlink r:id="rId1083" ref="E283"/>
    <hyperlink r:id="rId1084" ref="U283"/>
    <hyperlink r:id="rId1085" ref="B284"/>
    <hyperlink r:id="rId1086" ref="C284"/>
    <hyperlink r:id="rId1087" ref="E284"/>
    <hyperlink r:id="rId1088" ref="U284"/>
    <hyperlink r:id="rId1089" ref="B285"/>
    <hyperlink r:id="rId1090" ref="C285"/>
    <hyperlink r:id="rId1091" ref="E285"/>
    <hyperlink r:id="rId1092" ref="U285"/>
    <hyperlink r:id="rId1093" ref="B286"/>
    <hyperlink r:id="rId1094" ref="C286"/>
    <hyperlink r:id="rId1095" ref="E286"/>
    <hyperlink r:id="rId1096" ref="U286"/>
    <hyperlink r:id="rId1097" ref="B287"/>
    <hyperlink r:id="rId1098" ref="C287"/>
    <hyperlink r:id="rId1099" ref="E287"/>
    <hyperlink r:id="rId1100" ref="U287"/>
    <hyperlink r:id="rId1101" ref="B289"/>
    <hyperlink r:id="rId1102" ref="C289"/>
    <hyperlink r:id="rId1103" ref="E289"/>
    <hyperlink r:id="rId1104" ref="U289"/>
    <hyperlink r:id="rId1105" ref="B290"/>
    <hyperlink r:id="rId1106" ref="C290"/>
    <hyperlink r:id="rId1107" ref="E290"/>
    <hyperlink r:id="rId1108" ref="U290"/>
    <hyperlink r:id="rId1109" ref="B291"/>
    <hyperlink r:id="rId1110" ref="C291"/>
    <hyperlink r:id="rId1111" ref="E291"/>
    <hyperlink r:id="rId1112" ref="U291"/>
    <hyperlink r:id="rId1113" ref="B292"/>
    <hyperlink r:id="rId1114" ref="C292"/>
    <hyperlink r:id="rId1115" ref="E292"/>
    <hyperlink r:id="rId1116" ref="U292"/>
    <hyperlink r:id="rId1117" ref="B293"/>
    <hyperlink r:id="rId1118" ref="C293"/>
    <hyperlink r:id="rId1119" ref="E293"/>
    <hyperlink r:id="rId1120" ref="U293"/>
    <hyperlink r:id="rId1121" ref="B294"/>
    <hyperlink r:id="rId1122" ref="C294"/>
    <hyperlink r:id="rId1123" ref="E294"/>
    <hyperlink r:id="rId1124" ref="U294"/>
    <hyperlink r:id="rId1125" ref="B295"/>
    <hyperlink r:id="rId1126" ref="C295"/>
    <hyperlink r:id="rId1127" ref="E295"/>
    <hyperlink r:id="rId1128" ref="U295"/>
    <hyperlink r:id="rId1129" ref="B296"/>
    <hyperlink r:id="rId1130" ref="C296"/>
    <hyperlink r:id="rId1131" ref="E296"/>
    <hyperlink r:id="rId1132" ref="U296"/>
    <hyperlink r:id="rId1133" ref="B297"/>
    <hyperlink r:id="rId1134" ref="C297"/>
    <hyperlink r:id="rId1135" ref="E297"/>
    <hyperlink r:id="rId1136" ref="U297"/>
    <hyperlink r:id="rId1137" ref="B298"/>
    <hyperlink r:id="rId1138" ref="C298"/>
    <hyperlink r:id="rId1139" ref="E298"/>
    <hyperlink r:id="rId1140" ref="U298"/>
    <hyperlink r:id="rId1141" ref="B299"/>
    <hyperlink r:id="rId1142" ref="C299"/>
    <hyperlink r:id="rId1143" ref="E299"/>
    <hyperlink r:id="rId1144" ref="U299"/>
    <hyperlink r:id="rId1145" ref="B300"/>
    <hyperlink r:id="rId1146" ref="C300"/>
    <hyperlink r:id="rId1147" ref="E300"/>
    <hyperlink r:id="rId1148" ref="U300"/>
    <hyperlink r:id="rId1149" ref="B301"/>
    <hyperlink r:id="rId1150" ref="C301"/>
    <hyperlink r:id="rId1151" ref="E301"/>
    <hyperlink r:id="rId1152" ref="U301"/>
    <hyperlink r:id="rId1153" ref="B302"/>
    <hyperlink r:id="rId1154" ref="C302"/>
    <hyperlink r:id="rId1155" ref="E302"/>
    <hyperlink r:id="rId1156" ref="U302"/>
    <hyperlink r:id="rId1157" ref="B303"/>
    <hyperlink r:id="rId1158" ref="C303"/>
    <hyperlink r:id="rId1159" ref="E303"/>
    <hyperlink r:id="rId1160" ref="U303"/>
    <hyperlink r:id="rId1161" ref="B304"/>
    <hyperlink r:id="rId1162" ref="C304"/>
    <hyperlink r:id="rId1163" ref="E304"/>
    <hyperlink r:id="rId1164" ref="U304"/>
    <hyperlink r:id="rId1165" ref="B305"/>
    <hyperlink r:id="rId1166" ref="C305"/>
    <hyperlink r:id="rId1167" ref="E305"/>
    <hyperlink r:id="rId1168" ref="U305"/>
    <hyperlink r:id="rId1169" ref="B306"/>
    <hyperlink r:id="rId1170" ref="C306"/>
    <hyperlink r:id="rId1171" ref="E306"/>
    <hyperlink r:id="rId1172" ref="U306"/>
    <hyperlink r:id="rId1173" ref="B307"/>
    <hyperlink r:id="rId1174" ref="C307"/>
    <hyperlink r:id="rId1175" ref="E307"/>
    <hyperlink r:id="rId1176" ref="U307"/>
    <hyperlink r:id="rId1177" ref="B308"/>
    <hyperlink r:id="rId1178" ref="C308"/>
    <hyperlink r:id="rId1179" ref="E308"/>
    <hyperlink r:id="rId1180" ref="U308"/>
    <hyperlink r:id="rId1181" ref="B309"/>
    <hyperlink r:id="rId1182" ref="C309"/>
    <hyperlink r:id="rId1183" ref="E309"/>
    <hyperlink r:id="rId1184" ref="U309"/>
    <hyperlink r:id="rId1185" ref="B310"/>
    <hyperlink r:id="rId1186" ref="C310"/>
    <hyperlink r:id="rId1187" ref="E310"/>
    <hyperlink r:id="rId1188" ref="U310"/>
    <hyperlink r:id="rId1189" ref="B311"/>
    <hyperlink r:id="rId1190" ref="C311"/>
    <hyperlink r:id="rId1191" ref="E311"/>
    <hyperlink r:id="rId1192" ref="U311"/>
    <hyperlink r:id="rId1193" ref="B312"/>
    <hyperlink r:id="rId1194" ref="C312"/>
    <hyperlink r:id="rId1195" ref="E312"/>
    <hyperlink r:id="rId1196" ref="U312"/>
    <hyperlink r:id="rId1197" ref="B313"/>
    <hyperlink r:id="rId1198" ref="C313"/>
    <hyperlink r:id="rId1199" ref="E313"/>
    <hyperlink r:id="rId1200" ref="U313"/>
    <hyperlink r:id="rId1201" ref="B315"/>
    <hyperlink r:id="rId1202" ref="C315"/>
    <hyperlink r:id="rId1203" ref="E315"/>
    <hyperlink r:id="rId1204" ref="U315"/>
    <hyperlink r:id="rId1205" ref="B316"/>
    <hyperlink r:id="rId1206" ref="C316"/>
    <hyperlink r:id="rId1207" ref="E316"/>
    <hyperlink r:id="rId1208" ref="U316"/>
    <hyperlink r:id="rId1209" ref="B317"/>
    <hyperlink r:id="rId1210" ref="C317"/>
    <hyperlink r:id="rId1211" ref="E317"/>
    <hyperlink r:id="rId1212" ref="U317"/>
    <hyperlink r:id="rId1213" ref="B318"/>
    <hyperlink r:id="rId1214" ref="C318"/>
    <hyperlink r:id="rId1215" ref="E318"/>
    <hyperlink r:id="rId1216" ref="U318"/>
    <hyperlink r:id="rId1217" ref="B319"/>
    <hyperlink r:id="rId1218" ref="C319"/>
    <hyperlink r:id="rId1219" ref="E319"/>
    <hyperlink r:id="rId1220" ref="U319"/>
    <hyperlink r:id="rId1221" ref="B320"/>
    <hyperlink r:id="rId1222" ref="C320"/>
    <hyperlink r:id="rId1223" ref="E320"/>
    <hyperlink r:id="rId1224" ref="U320"/>
    <hyperlink r:id="rId1225" ref="B321"/>
    <hyperlink r:id="rId1226" ref="C321"/>
    <hyperlink r:id="rId1227" ref="E321"/>
    <hyperlink r:id="rId1228" ref="U321"/>
    <hyperlink r:id="rId1229" ref="B322"/>
    <hyperlink r:id="rId1230" ref="C322"/>
    <hyperlink r:id="rId1231" ref="E322"/>
    <hyperlink r:id="rId1232" ref="U322"/>
    <hyperlink r:id="rId1233" ref="B323"/>
    <hyperlink r:id="rId1234" ref="C323"/>
    <hyperlink r:id="rId1235" ref="E323"/>
    <hyperlink r:id="rId1236" ref="U323"/>
    <hyperlink r:id="rId1237" ref="B324"/>
    <hyperlink r:id="rId1238" ref="C324"/>
    <hyperlink r:id="rId1239" ref="E324"/>
    <hyperlink r:id="rId1240" ref="U324"/>
    <hyperlink r:id="rId1241" ref="B325"/>
    <hyperlink r:id="rId1242" ref="C325"/>
    <hyperlink r:id="rId1243" ref="E325"/>
    <hyperlink r:id="rId1244" ref="U325"/>
    <hyperlink r:id="rId1245" ref="B326"/>
    <hyperlink r:id="rId1246" ref="C326"/>
    <hyperlink r:id="rId1247" ref="E326"/>
    <hyperlink r:id="rId1248" ref="U326"/>
    <hyperlink r:id="rId1249" ref="B327"/>
    <hyperlink r:id="rId1250" ref="C327"/>
    <hyperlink r:id="rId1251" ref="E327"/>
    <hyperlink r:id="rId1252" ref="U327"/>
    <hyperlink r:id="rId1253" ref="B328"/>
    <hyperlink r:id="rId1254" ref="C328"/>
    <hyperlink r:id="rId1255" ref="E328"/>
    <hyperlink r:id="rId1256" ref="U328"/>
    <hyperlink r:id="rId1257" ref="B329"/>
    <hyperlink r:id="rId1258" ref="C329"/>
    <hyperlink r:id="rId1259" ref="E329"/>
    <hyperlink r:id="rId1260" ref="U329"/>
    <hyperlink r:id="rId1261" ref="B330"/>
    <hyperlink r:id="rId1262" ref="C330"/>
    <hyperlink r:id="rId1263" ref="E330"/>
    <hyperlink r:id="rId1264" ref="U330"/>
    <hyperlink r:id="rId1265" ref="B331"/>
    <hyperlink r:id="rId1266" ref="C331"/>
    <hyperlink r:id="rId1267" ref="E331"/>
    <hyperlink r:id="rId1268" ref="U331"/>
    <hyperlink r:id="rId1269" ref="B332"/>
    <hyperlink r:id="rId1270" ref="C332"/>
    <hyperlink r:id="rId1271" ref="E332"/>
    <hyperlink r:id="rId1272" ref="U332"/>
    <hyperlink r:id="rId1273" ref="B333"/>
    <hyperlink r:id="rId1274" ref="C333"/>
    <hyperlink r:id="rId1275" ref="E333"/>
    <hyperlink r:id="rId1276" ref="U333"/>
    <hyperlink r:id="rId1277" ref="B334"/>
    <hyperlink r:id="rId1278" ref="C334"/>
    <hyperlink r:id="rId1279" ref="E334"/>
    <hyperlink r:id="rId1280" ref="U334"/>
    <hyperlink r:id="rId1281" ref="B335"/>
    <hyperlink r:id="rId1282" ref="C335"/>
    <hyperlink r:id="rId1283" ref="E335"/>
    <hyperlink r:id="rId1284" ref="U335"/>
    <hyperlink r:id="rId1285" ref="B336"/>
    <hyperlink r:id="rId1286" ref="C336"/>
    <hyperlink r:id="rId1287" ref="E336"/>
    <hyperlink r:id="rId1288" ref="U336"/>
    <hyperlink r:id="rId1289" ref="B337"/>
    <hyperlink r:id="rId1290" ref="C337"/>
    <hyperlink r:id="rId1291" ref="E337"/>
    <hyperlink r:id="rId1292" ref="U337"/>
    <hyperlink r:id="rId1293" ref="B338"/>
    <hyperlink r:id="rId1294" ref="C338"/>
    <hyperlink r:id="rId1295" ref="E338"/>
    <hyperlink r:id="rId1296" ref="U338"/>
    <hyperlink r:id="rId1297" ref="B339"/>
    <hyperlink r:id="rId1298" ref="C339"/>
    <hyperlink r:id="rId1299" ref="E339"/>
    <hyperlink r:id="rId1300" ref="U339"/>
    <hyperlink r:id="rId1301" ref="B341"/>
    <hyperlink r:id="rId1302" ref="C341"/>
    <hyperlink r:id="rId1303" ref="E341"/>
    <hyperlink r:id="rId1304" ref="U341"/>
    <hyperlink r:id="rId1305" ref="B342"/>
    <hyperlink r:id="rId1306" ref="C342"/>
    <hyperlink r:id="rId1307" ref="E342"/>
    <hyperlink r:id="rId1308" ref="U342"/>
    <hyperlink r:id="rId1309" ref="B343"/>
    <hyperlink r:id="rId1310" ref="C343"/>
    <hyperlink r:id="rId1311" ref="E343"/>
    <hyperlink r:id="rId1312" ref="U343"/>
    <hyperlink r:id="rId1313" ref="B344"/>
    <hyperlink r:id="rId1314" ref="C344"/>
    <hyperlink r:id="rId1315" ref="E344"/>
    <hyperlink r:id="rId1316" ref="U344"/>
    <hyperlink r:id="rId1317" ref="B345"/>
    <hyperlink r:id="rId1318" ref="C345"/>
    <hyperlink r:id="rId1319" ref="E345"/>
    <hyperlink r:id="rId1320" ref="U345"/>
    <hyperlink r:id="rId1321" ref="B346"/>
    <hyperlink r:id="rId1322" ref="C346"/>
    <hyperlink r:id="rId1323" ref="E346"/>
    <hyperlink r:id="rId1324" ref="U346"/>
    <hyperlink r:id="rId1325" ref="B347"/>
    <hyperlink r:id="rId1326" ref="C347"/>
    <hyperlink r:id="rId1327" ref="E347"/>
    <hyperlink r:id="rId1328" ref="U347"/>
    <hyperlink r:id="rId1329" ref="B348"/>
    <hyperlink r:id="rId1330" ref="C348"/>
    <hyperlink r:id="rId1331" ref="E348"/>
    <hyperlink r:id="rId1332" ref="U348"/>
    <hyperlink r:id="rId1333" ref="B349"/>
    <hyperlink r:id="rId1334" ref="C349"/>
    <hyperlink r:id="rId1335" ref="E349"/>
    <hyperlink r:id="rId1336" ref="U349"/>
    <hyperlink r:id="rId1337" ref="B350"/>
    <hyperlink r:id="rId1338" ref="C350"/>
    <hyperlink r:id="rId1339" ref="E350"/>
    <hyperlink r:id="rId1340" ref="U350"/>
    <hyperlink r:id="rId1341" ref="B351"/>
    <hyperlink r:id="rId1342" ref="C351"/>
    <hyperlink r:id="rId1343" ref="E351"/>
    <hyperlink r:id="rId1344" ref="U351"/>
    <hyperlink r:id="rId1345" ref="B352"/>
    <hyperlink r:id="rId1346" ref="C352"/>
    <hyperlink r:id="rId1347" ref="E352"/>
    <hyperlink r:id="rId1348" ref="U352"/>
    <hyperlink r:id="rId1349" ref="B353"/>
    <hyperlink r:id="rId1350" ref="C353"/>
    <hyperlink r:id="rId1351" ref="E353"/>
    <hyperlink r:id="rId1352" ref="U353"/>
    <hyperlink r:id="rId1353" ref="B354"/>
    <hyperlink r:id="rId1354" ref="C354"/>
    <hyperlink r:id="rId1355" ref="E354"/>
    <hyperlink r:id="rId1356" ref="U354"/>
    <hyperlink r:id="rId1357" ref="B355"/>
    <hyperlink r:id="rId1358" ref="C355"/>
    <hyperlink r:id="rId1359" ref="E355"/>
    <hyperlink r:id="rId1360" ref="U355"/>
    <hyperlink r:id="rId1361" ref="B356"/>
    <hyperlink r:id="rId1362" ref="C356"/>
    <hyperlink r:id="rId1363" ref="E356"/>
    <hyperlink r:id="rId1364" ref="U356"/>
    <hyperlink r:id="rId1365" ref="B357"/>
    <hyperlink r:id="rId1366" ref="C357"/>
    <hyperlink r:id="rId1367" ref="E357"/>
    <hyperlink r:id="rId1368" ref="U357"/>
    <hyperlink r:id="rId1369" ref="B358"/>
    <hyperlink r:id="rId1370" ref="C358"/>
    <hyperlink r:id="rId1371" ref="E358"/>
    <hyperlink r:id="rId1372" ref="U358"/>
    <hyperlink r:id="rId1373" ref="B359"/>
    <hyperlink r:id="rId1374" ref="C359"/>
    <hyperlink r:id="rId1375" ref="E359"/>
    <hyperlink r:id="rId1376" ref="U359"/>
    <hyperlink r:id="rId1377" ref="B360"/>
    <hyperlink r:id="rId1378" ref="C360"/>
    <hyperlink r:id="rId1379" ref="E360"/>
    <hyperlink r:id="rId1380" ref="U360"/>
    <hyperlink r:id="rId1381" ref="B361"/>
    <hyperlink r:id="rId1382" ref="C361"/>
    <hyperlink r:id="rId1383" ref="E361"/>
    <hyperlink r:id="rId1384" ref="U361"/>
    <hyperlink r:id="rId1385" ref="B362"/>
    <hyperlink r:id="rId1386" ref="C362"/>
    <hyperlink r:id="rId1387" ref="E362"/>
    <hyperlink r:id="rId1388" ref="U362"/>
    <hyperlink r:id="rId1389" ref="B363"/>
    <hyperlink r:id="rId1390" ref="C363"/>
    <hyperlink r:id="rId1391" ref="E363"/>
    <hyperlink r:id="rId1392" ref="U363"/>
    <hyperlink r:id="rId1393" ref="B364"/>
    <hyperlink r:id="rId1394" ref="C364"/>
    <hyperlink r:id="rId1395" ref="E364"/>
    <hyperlink r:id="rId1396" ref="U364"/>
    <hyperlink r:id="rId1397" ref="B365"/>
    <hyperlink r:id="rId1398" ref="C365"/>
    <hyperlink r:id="rId1399" ref="E365"/>
    <hyperlink r:id="rId1400" ref="U365"/>
    <hyperlink r:id="rId1401" ref="B367"/>
    <hyperlink r:id="rId1402" ref="C367"/>
    <hyperlink r:id="rId1403" ref="E367"/>
    <hyperlink r:id="rId1404" ref="U367"/>
    <hyperlink r:id="rId1405" ref="B368"/>
    <hyperlink r:id="rId1406" ref="C368"/>
    <hyperlink r:id="rId1407" ref="E368"/>
    <hyperlink r:id="rId1408" ref="U368"/>
    <hyperlink r:id="rId1409" ref="B369"/>
    <hyperlink r:id="rId1410" ref="C369"/>
    <hyperlink r:id="rId1411" ref="E369"/>
    <hyperlink r:id="rId1412" ref="U369"/>
    <hyperlink r:id="rId1413" ref="B370"/>
    <hyperlink r:id="rId1414" ref="C370"/>
    <hyperlink r:id="rId1415" ref="E370"/>
    <hyperlink r:id="rId1416" ref="U370"/>
    <hyperlink r:id="rId1417" ref="B371"/>
    <hyperlink r:id="rId1418" ref="C371"/>
    <hyperlink r:id="rId1419" ref="E371"/>
    <hyperlink r:id="rId1420" ref="U371"/>
    <hyperlink r:id="rId1421" ref="B372"/>
    <hyperlink r:id="rId1422" ref="C372"/>
    <hyperlink r:id="rId1423" ref="E372"/>
    <hyperlink r:id="rId1424" ref="U372"/>
    <hyperlink r:id="rId1425" ref="B373"/>
    <hyperlink r:id="rId1426" ref="C373"/>
    <hyperlink r:id="rId1427" ref="E373"/>
    <hyperlink r:id="rId1428" ref="U373"/>
    <hyperlink r:id="rId1429" ref="B374"/>
    <hyperlink r:id="rId1430" ref="C374"/>
    <hyperlink r:id="rId1431" ref="E374"/>
    <hyperlink r:id="rId1432" ref="U374"/>
    <hyperlink r:id="rId1433" ref="B375"/>
    <hyperlink r:id="rId1434" ref="C375"/>
    <hyperlink r:id="rId1435" ref="E375"/>
    <hyperlink r:id="rId1436" ref="U375"/>
    <hyperlink r:id="rId1437" ref="B376"/>
    <hyperlink r:id="rId1438" ref="C376"/>
    <hyperlink r:id="rId1439" ref="E376"/>
    <hyperlink r:id="rId1440" ref="U376"/>
    <hyperlink r:id="rId1441" ref="B377"/>
    <hyperlink r:id="rId1442" ref="C377"/>
    <hyperlink r:id="rId1443" ref="E377"/>
    <hyperlink r:id="rId1444" ref="U377"/>
    <hyperlink r:id="rId1445" ref="B378"/>
    <hyperlink r:id="rId1446" ref="C378"/>
    <hyperlink r:id="rId1447" ref="E378"/>
    <hyperlink r:id="rId1448" ref="U378"/>
    <hyperlink r:id="rId1449" ref="B379"/>
    <hyperlink r:id="rId1450" ref="C379"/>
    <hyperlink r:id="rId1451" ref="E379"/>
    <hyperlink r:id="rId1452" ref="U379"/>
    <hyperlink r:id="rId1453" ref="B380"/>
    <hyperlink r:id="rId1454" ref="C380"/>
    <hyperlink r:id="rId1455" ref="E380"/>
    <hyperlink r:id="rId1456" ref="U380"/>
    <hyperlink r:id="rId1457" ref="B381"/>
    <hyperlink r:id="rId1458" ref="C381"/>
    <hyperlink r:id="rId1459" ref="E381"/>
    <hyperlink r:id="rId1460" ref="U381"/>
    <hyperlink r:id="rId1461" ref="B382"/>
    <hyperlink r:id="rId1462" ref="C382"/>
    <hyperlink r:id="rId1463" ref="E382"/>
    <hyperlink r:id="rId1464" ref="U382"/>
    <hyperlink r:id="rId1465" ref="B383"/>
    <hyperlink r:id="rId1466" ref="C383"/>
    <hyperlink r:id="rId1467" ref="E383"/>
    <hyperlink r:id="rId1468" ref="U383"/>
    <hyperlink r:id="rId1469" ref="B384"/>
    <hyperlink r:id="rId1470" ref="C384"/>
    <hyperlink r:id="rId1471" ref="E384"/>
    <hyperlink r:id="rId1472" ref="U384"/>
    <hyperlink r:id="rId1473" ref="B385"/>
    <hyperlink r:id="rId1474" ref="C385"/>
    <hyperlink r:id="rId1475" ref="E385"/>
    <hyperlink r:id="rId1476" ref="U385"/>
    <hyperlink r:id="rId1477" ref="B386"/>
    <hyperlink r:id="rId1478" ref="C386"/>
    <hyperlink r:id="rId1479" ref="E386"/>
    <hyperlink r:id="rId1480" ref="U386"/>
    <hyperlink r:id="rId1481" ref="B387"/>
    <hyperlink r:id="rId1482" ref="C387"/>
    <hyperlink r:id="rId1483" ref="E387"/>
    <hyperlink r:id="rId1484" ref="U387"/>
    <hyperlink r:id="rId1485" ref="B388"/>
    <hyperlink r:id="rId1486" ref="C388"/>
    <hyperlink r:id="rId1487" ref="E388"/>
    <hyperlink r:id="rId1488" ref="U388"/>
    <hyperlink r:id="rId1489" ref="B389"/>
    <hyperlink r:id="rId1490" ref="C389"/>
    <hyperlink r:id="rId1491" ref="E389"/>
    <hyperlink r:id="rId1492" ref="U389"/>
    <hyperlink r:id="rId1493" ref="B390"/>
    <hyperlink r:id="rId1494" ref="C390"/>
    <hyperlink r:id="rId1495" ref="E390"/>
    <hyperlink r:id="rId1496" ref="U390"/>
    <hyperlink r:id="rId1497" ref="B391"/>
    <hyperlink r:id="rId1498" ref="C391"/>
    <hyperlink r:id="rId1499" ref="E391"/>
    <hyperlink r:id="rId1500" ref="U391"/>
    <hyperlink r:id="rId1501" ref="B393"/>
    <hyperlink r:id="rId1502" ref="C393"/>
    <hyperlink r:id="rId1503" ref="E393"/>
    <hyperlink r:id="rId1504" ref="U393"/>
    <hyperlink r:id="rId1505" ref="B394"/>
    <hyperlink r:id="rId1506" ref="C394"/>
    <hyperlink r:id="rId1507" ref="E394"/>
    <hyperlink r:id="rId1508" ref="U394"/>
    <hyperlink r:id="rId1509" ref="B395"/>
    <hyperlink r:id="rId1510" ref="C395"/>
    <hyperlink r:id="rId1511" ref="E395"/>
    <hyperlink r:id="rId1512" ref="U395"/>
    <hyperlink r:id="rId1513" ref="B396"/>
    <hyperlink r:id="rId1514" ref="C396"/>
    <hyperlink r:id="rId1515" ref="E396"/>
    <hyperlink r:id="rId1516" ref="U396"/>
    <hyperlink r:id="rId1517" ref="B397"/>
    <hyperlink r:id="rId1518" ref="C397"/>
    <hyperlink r:id="rId1519" ref="E397"/>
    <hyperlink r:id="rId1520" ref="U397"/>
    <hyperlink r:id="rId1521" ref="B398"/>
    <hyperlink r:id="rId1522" ref="C398"/>
    <hyperlink r:id="rId1523" ref="E398"/>
    <hyperlink r:id="rId1524" ref="U398"/>
    <hyperlink r:id="rId1525" ref="B399"/>
    <hyperlink r:id="rId1526" ref="C399"/>
    <hyperlink r:id="rId1527" ref="E399"/>
    <hyperlink r:id="rId1528" ref="U399"/>
    <hyperlink r:id="rId1529" ref="B400"/>
    <hyperlink r:id="rId1530" ref="C400"/>
    <hyperlink r:id="rId1531" ref="E400"/>
    <hyperlink r:id="rId1532" ref="U400"/>
    <hyperlink r:id="rId1533" ref="B401"/>
    <hyperlink r:id="rId1534" ref="C401"/>
    <hyperlink r:id="rId1535" ref="E401"/>
    <hyperlink r:id="rId1536" ref="U401"/>
    <hyperlink r:id="rId1537" ref="B402"/>
    <hyperlink r:id="rId1538" ref="C402"/>
    <hyperlink r:id="rId1539" ref="E402"/>
    <hyperlink r:id="rId1540" ref="U402"/>
    <hyperlink r:id="rId1541" ref="B403"/>
    <hyperlink r:id="rId1542" ref="C403"/>
    <hyperlink r:id="rId1543" ref="E403"/>
    <hyperlink r:id="rId1544" ref="U403"/>
    <hyperlink r:id="rId1545" ref="B404"/>
    <hyperlink r:id="rId1546" ref="C404"/>
    <hyperlink r:id="rId1547" ref="E404"/>
    <hyperlink r:id="rId1548" ref="U404"/>
    <hyperlink r:id="rId1549" ref="B405"/>
    <hyperlink r:id="rId1550" ref="C405"/>
    <hyperlink r:id="rId1551" ref="E405"/>
    <hyperlink r:id="rId1552" ref="U405"/>
    <hyperlink r:id="rId1553" ref="B406"/>
    <hyperlink r:id="rId1554" ref="C406"/>
    <hyperlink r:id="rId1555" ref="E406"/>
    <hyperlink r:id="rId1556" ref="U406"/>
    <hyperlink r:id="rId1557" ref="B407"/>
    <hyperlink r:id="rId1558" ref="C407"/>
    <hyperlink r:id="rId1559" ref="E407"/>
    <hyperlink r:id="rId1560" ref="U407"/>
    <hyperlink r:id="rId1561" ref="B408"/>
    <hyperlink r:id="rId1562" ref="C408"/>
    <hyperlink r:id="rId1563" ref="E408"/>
    <hyperlink r:id="rId1564" ref="U408"/>
    <hyperlink r:id="rId1565" ref="B409"/>
    <hyperlink r:id="rId1566" ref="C409"/>
    <hyperlink r:id="rId1567" ref="E409"/>
    <hyperlink r:id="rId1568" ref="U409"/>
    <hyperlink r:id="rId1569" ref="B410"/>
    <hyperlink r:id="rId1570" ref="C410"/>
    <hyperlink r:id="rId1571" ref="E410"/>
    <hyperlink r:id="rId1572" ref="U410"/>
    <hyperlink r:id="rId1573" ref="B411"/>
    <hyperlink r:id="rId1574" ref="C411"/>
    <hyperlink r:id="rId1575" ref="E411"/>
    <hyperlink r:id="rId1576" ref="U411"/>
    <hyperlink r:id="rId1577" ref="B412"/>
    <hyperlink r:id="rId1578" ref="C412"/>
    <hyperlink r:id="rId1579" ref="E412"/>
    <hyperlink r:id="rId1580" ref="U412"/>
    <hyperlink r:id="rId1581" ref="B413"/>
    <hyperlink r:id="rId1582" ref="C413"/>
    <hyperlink r:id="rId1583" ref="E413"/>
    <hyperlink r:id="rId1584" ref="U413"/>
    <hyperlink r:id="rId1585" ref="B414"/>
    <hyperlink r:id="rId1586" ref="C414"/>
    <hyperlink r:id="rId1587" ref="E414"/>
    <hyperlink r:id="rId1588" ref="U414"/>
    <hyperlink r:id="rId1589" ref="B415"/>
    <hyperlink r:id="rId1590" ref="C415"/>
    <hyperlink r:id="rId1591" ref="E415"/>
    <hyperlink r:id="rId1592" ref="U415"/>
    <hyperlink r:id="rId1593" ref="B416"/>
    <hyperlink r:id="rId1594" ref="C416"/>
    <hyperlink r:id="rId1595" ref="E416"/>
    <hyperlink r:id="rId1596" ref="U416"/>
    <hyperlink r:id="rId1597" ref="B417"/>
    <hyperlink r:id="rId1598" ref="C417"/>
    <hyperlink r:id="rId1599" ref="E417"/>
    <hyperlink r:id="rId1600" ref="U417"/>
    <hyperlink r:id="rId1601" ref="B419"/>
    <hyperlink r:id="rId1602" ref="C419"/>
    <hyperlink r:id="rId1603" ref="E419"/>
    <hyperlink r:id="rId1604" ref="U419"/>
    <hyperlink r:id="rId1605" ref="B420"/>
    <hyperlink r:id="rId1606" ref="C420"/>
    <hyperlink r:id="rId1607" ref="E420"/>
    <hyperlink r:id="rId1608" ref="U420"/>
    <hyperlink r:id="rId1609" ref="B421"/>
    <hyperlink r:id="rId1610" ref="C421"/>
    <hyperlink r:id="rId1611" ref="E421"/>
    <hyperlink r:id="rId1612" ref="U421"/>
    <hyperlink r:id="rId1613" ref="B422"/>
    <hyperlink r:id="rId1614" ref="C422"/>
    <hyperlink r:id="rId1615" ref="E422"/>
    <hyperlink r:id="rId1616" ref="U422"/>
    <hyperlink r:id="rId1617" ref="B423"/>
    <hyperlink r:id="rId1618" ref="C423"/>
    <hyperlink r:id="rId1619" ref="E423"/>
    <hyperlink r:id="rId1620" ref="U423"/>
    <hyperlink r:id="rId1621" ref="B424"/>
    <hyperlink r:id="rId1622" ref="C424"/>
    <hyperlink r:id="rId1623" ref="E424"/>
    <hyperlink r:id="rId1624" ref="U424"/>
    <hyperlink r:id="rId1625" ref="B425"/>
    <hyperlink r:id="rId1626" ref="C425"/>
    <hyperlink r:id="rId1627" ref="E425"/>
    <hyperlink r:id="rId1628" ref="U425"/>
    <hyperlink r:id="rId1629" ref="B426"/>
    <hyperlink r:id="rId1630" ref="C426"/>
    <hyperlink r:id="rId1631" ref="E426"/>
    <hyperlink r:id="rId1632" ref="U426"/>
    <hyperlink r:id="rId1633" ref="B427"/>
    <hyperlink r:id="rId1634" ref="C427"/>
    <hyperlink r:id="rId1635" ref="E427"/>
    <hyperlink r:id="rId1636" ref="U427"/>
    <hyperlink r:id="rId1637" ref="B428"/>
    <hyperlink r:id="rId1638" ref="C428"/>
    <hyperlink r:id="rId1639" ref="E428"/>
    <hyperlink r:id="rId1640" ref="U428"/>
    <hyperlink r:id="rId1641" ref="B429"/>
    <hyperlink r:id="rId1642" ref="C429"/>
    <hyperlink r:id="rId1643" ref="E429"/>
    <hyperlink r:id="rId1644" ref="U429"/>
    <hyperlink r:id="rId1645" ref="B430"/>
    <hyperlink r:id="rId1646" ref="C430"/>
    <hyperlink r:id="rId1647" ref="E430"/>
    <hyperlink r:id="rId1648" ref="U430"/>
    <hyperlink r:id="rId1649" ref="B431"/>
    <hyperlink r:id="rId1650" ref="C431"/>
    <hyperlink r:id="rId1651" ref="E431"/>
    <hyperlink r:id="rId1652" ref="U431"/>
    <hyperlink r:id="rId1653" ref="B432"/>
    <hyperlink r:id="rId1654" ref="C432"/>
    <hyperlink r:id="rId1655" ref="E432"/>
    <hyperlink r:id="rId1656" ref="U432"/>
    <hyperlink r:id="rId1657" ref="B433"/>
    <hyperlink r:id="rId1658" ref="C433"/>
    <hyperlink r:id="rId1659" ref="E433"/>
    <hyperlink r:id="rId1660" ref="U433"/>
    <hyperlink r:id="rId1661" ref="B434"/>
    <hyperlink r:id="rId1662" ref="C434"/>
    <hyperlink r:id="rId1663" ref="E434"/>
    <hyperlink r:id="rId1664" ref="U434"/>
    <hyperlink r:id="rId1665" ref="B435"/>
    <hyperlink r:id="rId1666" ref="C435"/>
    <hyperlink r:id="rId1667" ref="E435"/>
    <hyperlink r:id="rId1668" ref="U435"/>
    <hyperlink r:id="rId1669" ref="B436"/>
    <hyperlink r:id="rId1670" ref="C436"/>
    <hyperlink r:id="rId1671" ref="E436"/>
    <hyperlink r:id="rId1672" ref="U436"/>
    <hyperlink r:id="rId1673" ref="B437"/>
    <hyperlink r:id="rId1674" ref="C437"/>
    <hyperlink r:id="rId1675" ref="E437"/>
    <hyperlink r:id="rId1676" ref="U437"/>
    <hyperlink r:id="rId1677" ref="B438"/>
    <hyperlink r:id="rId1678" ref="C438"/>
    <hyperlink r:id="rId1679" ref="E438"/>
    <hyperlink r:id="rId1680" ref="U438"/>
    <hyperlink r:id="rId1681" ref="B439"/>
    <hyperlink r:id="rId1682" ref="C439"/>
    <hyperlink r:id="rId1683" ref="E439"/>
    <hyperlink r:id="rId1684" ref="U439"/>
    <hyperlink r:id="rId1685" ref="B440"/>
    <hyperlink r:id="rId1686" ref="C440"/>
    <hyperlink r:id="rId1687" ref="E440"/>
    <hyperlink r:id="rId1688" ref="U440"/>
    <hyperlink r:id="rId1689" ref="B441"/>
    <hyperlink r:id="rId1690" ref="C441"/>
    <hyperlink r:id="rId1691" ref="E441"/>
    <hyperlink r:id="rId1692" ref="U441"/>
    <hyperlink r:id="rId1693" ref="B442"/>
    <hyperlink r:id="rId1694" ref="C442"/>
    <hyperlink r:id="rId1695" ref="E442"/>
    <hyperlink r:id="rId1696" ref="U442"/>
    <hyperlink r:id="rId1697" ref="B443"/>
    <hyperlink r:id="rId1698" ref="C443"/>
    <hyperlink r:id="rId1699" ref="E443"/>
    <hyperlink r:id="rId1700" ref="U443"/>
    <hyperlink r:id="rId1701" ref="B445"/>
    <hyperlink r:id="rId1702" ref="C445"/>
    <hyperlink r:id="rId1703" ref="E445"/>
    <hyperlink r:id="rId1704" ref="U445"/>
    <hyperlink r:id="rId1705" ref="B446"/>
    <hyperlink r:id="rId1706" ref="C446"/>
    <hyperlink r:id="rId1707" ref="E446"/>
    <hyperlink r:id="rId1708" ref="U446"/>
    <hyperlink r:id="rId1709" ref="B447"/>
    <hyperlink r:id="rId1710" ref="C447"/>
    <hyperlink r:id="rId1711" ref="E447"/>
    <hyperlink r:id="rId1712" ref="U447"/>
    <hyperlink r:id="rId1713" ref="B448"/>
    <hyperlink r:id="rId1714" ref="C448"/>
    <hyperlink r:id="rId1715" ref="E448"/>
    <hyperlink r:id="rId1716" ref="U448"/>
    <hyperlink r:id="rId1717" ref="B449"/>
    <hyperlink r:id="rId1718" ref="C449"/>
    <hyperlink r:id="rId1719" ref="E449"/>
    <hyperlink r:id="rId1720" ref="U449"/>
    <hyperlink r:id="rId1721" ref="B450"/>
    <hyperlink r:id="rId1722" ref="C450"/>
    <hyperlink r:id="rId1723" ref="E450"/>
    <hyperlink r:id="rId1724" ref="U450"/>
    <hyperlink r:id="rId1725" ref="B451"/>
    <hyperlink r:id="rId1726" ref="C451"/>
    <hyperlink r:id="rId1727" ref="E451"/>
    <hyperlink r:id="rId1728" ref="U451"/>
    <hyperlink r:id="rId1729" ref="B452"/>
    <hyperlink r:id="rId1730" ref="C452"/>
    <hyperlink r:id="rId1731" ref="E452"/>
    <hyperlink r:id="rId1732" ref="U452"/>
    <hyperlink r:id="rId1733" ref="B453"/>
    <hyperlink r:id="rId1734" ref="C453"/>
    <hyperlink r:id="rId1735" ref="E453"/>
    <hyperlink r:id="rId1736" ref="U453"/>
    <hyperlink r:id="rId1737" ref="B454"/>
    <hyperlink r:id="rId1738" ref="C454"/>
    <hyperlink r:id="rId1739" ref="E454"/>
    <hyperlink r:id="rId1740" ref="U454"/>
    <hyperlink r:id="rId1741" ref="B455"/>
    <hyperlink r:id="rId1742" ref="C455"/>
    <hyperlink r:id="rId1743" ref="E455"/>
    <hyperlink r:id="rId1744" ref="U455"/>
    <hyperlink r:id="rId1745" ref="B456"/>
    <hyperlink r:id="rId1746" ref="C456"/>
    <hyperlink r:id="rId1747" ref="E456"/>
    <hyperlink r:id="rId1748" ref="U456"/>
    <hyperlink r:id="rId1749" ref="B457"/>
    <hyperlink r:id="rId1750" ref="C457"/>
    <hyperlink r:id="rId1751" ref="E457"/>
    <hyperlink r:id="rId1752" ref="U457"/>
    <hyperlink r:id="rId1753" ref="B458"/>
    <hyperlink r:id="rId1754" ref="C458"/>
    <hyperlink r:id="rId1755" ref="E458"/>
    <hyperlink r:id="rId1756" ref="U458"/>
    <hyperlink r:id="rId1757" ref="B459"/>
    <hyperlink r:id="rId1758" ref="C459"/>
    <hyperlink r:id="rId1759" ref="E459"/>
    <hyperlink r:id="rId1760" ref="U459"/>
    <hyperlink r:id="rId1761" ref="B460"/>
    <hyperlink r:id="rId1762" ref="C460"/>
    <hyperlink r:id="rId1763" ref="E460"/>
    <hyperlink r:id="rId1764" ref="U460"/>
    <hyperlink r:id="rId1765" ref="B461"/>
    <hyperlink r:id="rId1766" ref="C461"/>
    <hyperlink r:id="rId1767" ref="E461"/>
    <hyperlink r:id="rId1768" ref="U461"/>
    <hyperlink r:id="rId1769" ref="B462"/>
    <hyperlink r:id="rId1770" ref="C462"/>
    <hyperlink r:id="rId1771" ref="E462"/>
    <hyperlink r:id="rId1772" ref="U462"/>
    <hyperlink r:id="rId1773" ref="B463"/>
    <hyperlink r:id="rId1774" ref="C463"/>
    <hyperlink r:id="rId1775" ref="E463"/>
    <hyperlink r:id="rId1776" ref="U463"/>
    <hyperlink r:id="rId1777" ref="B464"/>
    <hyperlink r:id="rId1778" ref="C464"/>
    <hyperlink r:id="rId1779" ref="E464"/>
    <hyperlink r:id="rId1780" ref="U464"/>
    <hyperlink r:id="rId1781" ref="B465"/>
    <hyperlink r:id="rId1782" ref="C465"/>
    <hyperlink r:id="rId1783" ref="E465"/>
    <hyperlink r:id="rId1784" ref="U465"/>
    <hyperlink r:id="rId1785" ref="B466"/>
    <hyperlink r:id="rId1786" ref="C466"/>
    <hyperlink r:id="rId1787" ref="E466"/>
    <hyperlink r:id="rId1788" ref="U466"/>
    <hyperlink r:id="rId1789" ref="B467"/>
    <hyperlink r:id="rId1790" ref="C467"/>
    <hyperlink r:id="rId1791" ref="E467"/>
    <hyperlink r:id="rId1792" ref="U467"/>
    <hyperlink r:id="rId1793" ref="B468"/>
    <hyperlink r:id="rId1794" ref="C468"/>
    <hyperlink r:id="rId1795" ref="E468"/>
    <hyperlink r:id="rId1796" ref="U468"/>
    <hyperlink r:id="rId1797" ref="B469"/>
    <hyperlink r:id="rId1798" ref="C469"/>
    <hyperlink r:id="rId1799" ref="E469"/>
    <hyperlink r:id="rId1800" ref="U469"/>
    <hyperlink r:id="rId1801" ref="B471"/>
    <hyperlink r:id="rId1802" ref="C471"/>
    <hyperlink r:id="rId1803" ref="E471"/>
    <hyperlink r:id="rId1804" ref="U471"/>
    <hyperlink r:id="rId1805" ref="B472"/>
    <hyperlink r:id="rId1806" ref="C472"/>
    <hyperlink r:id="rId1807" ref="E472"/>
    <hyperlink r:id="rId1808" ref="U472"/>
    <hyperlink r:id="rId1809" ref="B473"/>
    <hyperlink r:id="rId1810" ref="C473"/>
    <hyperlink r:id="rId1811" ref="E473"/>
    <hyperlink r:id="rId1812" ref="U473"/>
    <hyperlink r:id="rId1813" ref="B474"/>
    <hyperlink r:id="rId1814" ref="C474"/>
    <hyperlink r:id="rId1815" ref="E474"/>
    <hyperlink r:id="rId1816" ref="U474"/>
    <hyperlink r:id="rId1817" ref="B475"/>
    <hyperlink r:id="rId1818" ref="C475"/>
    <hyperlink r:id="rId1819" ref="E475"/>
    <hyperlink r:id="rId1820" ref="U475"/>
    <hyperlink r:id="rId1821" ref="B476"/>
    <hyperlink r:id="rId1822" ref="C476"/>
    <hyperlink r:id="rId1823" ref="E476"/>
    <hyperlink r:id="rId1824" ref="U476"/>
    <hyperlink r:id="rId1825" ref="B477"/>
    <hyperlink r:id="rId1826" ref="C477"/>
    <hyperlink r:id="rId1827" ref="E477"/>
    <hyperlink r:id="rId1828" ref="U477"/>
    <hyperlink r:id="rId1829" ref="B478"/>
    <hyperlink r:id="rId1830" ref="C478"/>
    <hyperlink r:id="rId1831" ref="E478"/>
    <hyperlink r:id="rId1832" ref="U478"/>
    <hyperlink r:id="rId1833" ref="B479"/>
    <hyperlink r:id="rId1834" ref="C479"/>
    <hyperlink r:id="rId1835" ref="E479"/>
    <hyperlink r:id="rId1836" ref="U479"/>
    <hyperlink r:id="rId1837" ref="B480"/>
    <hyperlink r:id="rId1838" ref="C480"/>
    <hyperlink r:id="rId1839" ref="E480"/>
    <hyperlink r:id="rId1840" ref="U480"/>
    <hyperlink r:id="rId1841" ref="B481"/>
    <hyperlink r:id="rId1842" ref="C481"/>
    <hyperlink r:id="rId1843" ref="E481"/>
    <hyperlink r:id="rId1844" ref="U481"/>
    <hyperlink r:id="rId1845" ref="B482"/>
    <hyperlink r:id="rId1846" ref="C482"/>
    <hyperlink r:id="rId1847" ref="E482"/>
    <hyperlink r:id="rId1848" ref="U482"/>
    <hyperlink r:id="rId1849" ref="B483"/>
    <hyperlink r:id="rId1850" ref="C483"/>
    <hyperlink r:id="rId1851" ref="E483"/>
    <hyperlink r:id="rId1852" ref="U483"/>
    <hyperlink r:id="rId1853" ref="B484"/>
    <hyperlink r:id="rId1854" ref="C484"/>
    <hyperlink r:id="rId1855" ref="E484"/>
    <hyperlink r:id="rId1856" ref="U484"/>
    <hyperlink r:id="rId1857" ref="B485"/>
    <hyperlink r:id="rId1858" ref="C485"/>
    <hyperlink r:id="rId1859" ref="E485"/>
    <hyperlink r:id="rId1860" ref="U485"/>
    <hyperlink r:id="rId1861" ref="B486"/>
    <hyperlink r:id="rId1862" ref="C486"/>
    <hyperlink r:id="rId1863" ref="E486"/>
    <hyperlink r:id="rId1864" ref="U486"/>
    <hyperlink r:id="rId1865" ref="B487"/>
    <hyperlink r:id="rId1866" ref="C487"/>
    <hyperlink r:id="rId1867" ref="E487"/>
    <hyperlink r:id="rId1868" ref="U487"/>
    <hyperlink r:id="rId1869" ref="B488"/>
    <hyperlink r:id="rId1870" ref="C488"/>
    <hyperlink r:id="rId1871" ref="E488"/>
    <hyperlink r:id="rId1872" ref="U488"/>
    <hyperlink r:id="rId1873" ref="B489"/>
    <hyperlink r:id="rId1874" ref="C489"/>
    <hyperlink r:id="rId1875" ref="E489"/>
    <hyperlink r:id="rId1876" ref="U489"/>
    <hyperlink r:id="rId1877" ref="B490"/>
    <hyperlink r:id="rId1878" ref="C490"/>
    <hyperlink r:id="rId1879" ref="E490"/>
    <hyperlink r:id="rId1880" ref="U490"/>
    <hyperlink r:id="rId1881" ref="B491"/>
    <hyperlink r:id="rId1882" ref="C491"/>
    <hyperlink r:id="rId1883" ref="E491"/>
    <hyperlink r:id="rId1884" ref="U491"/>
    <hyperlink r:id="rId1885" ref="B492"/>
    <hyperlink r:id="rId1886" ref="C492"/>
    <hyperlink r:id="rId1887" ref="E492"/>
    <hyperlink r:id="rId1888" ref="U492"/>
    <hyperlink r:id="rId1889" ref="B493"/>
    <hyperlink r:id="rId1890" ref="C493"/>
    <hyperlink r:id="rId1891" ref="E493"/>
    <hyperlink r:id="rId1892" ref="U493"/>
    <hyperlink r:id="rId1893" ref="B494"/>
    <hyperlink r:id="rId1894" ref="C494"/>
    <hyperlink r:id="rId1895" ref="E494"/>
    <hyperlink r:id="rId1896" ref="U494"/>
    <hyperlink r:id="rId1897" ref="B495"/>
    <hyperlink r:id="rId1898" ref="C495"/>
    <hyperlink r:id="rId1899" ref="E495"/>
    <hyperlink r:id="rId1900" ref="U495"/>
    <hyperlink r:id="rId1901" ref="B497"/>
    <hyperlink r:id="rId1902" ref="C497"/>
    <hyperlink r:id="rId1903" ref="E497"/>
    <hyperlink r:id="rId1904" ref="U497"/>
    <hyperlink r:id="rId1905" ref="B498"/>
    <hyperlink r:id="rId1906" ref="C498"/>
    <hyperlink r:id="rId1907" ref="E498"/>
    <hyperlink r:id="rId1908" ref="U498"/>
    <hyperlink r:id="rId1909" ref="B499"/>
    <hyperlink r:id="rId1910" ref="C499"/>
    <hyperlink r:id="rId1911" ref="E499"/>
    <hyperlink r:id="rId1912" ref="U499"/>
    <hyperlink r:id="rId1913" ref="B500"/>
    <hyperlink r:id="rId1914" ref="C500"/>
    <hyperlink r:id="rId1915" ref="E500"/>
    <hyperlink r:id="rId1916" ref="U500"/>
    <hyperlink r:id="rId1917" ref="B501"/>
    <hyperlink r:id="rId1918" ref="C501"/>
    <hyperlink r:id="rId1919" ref="E501"/>
    <hyperlink r:id="rId1920" ref="U501"/>
    <hyperlink r:id="rId1921" ref="B502"/>
    <hyperlink r:id="rId1922" ref="C502"/>
    <hyperlink r:id="rId1923" ref="E502"/>
    <hyperlink r:id="rId1924" ref="U502"/>
    <hyperlink r:id="rId1925" ref="B503"/>
    <hyperlink r:id="rId1926" ref="C503"/>
    <hyperlink r:id="rId1927" ref="E503"/>
    <hyperlink r:id="rId1928" ref="U503"/>
    <hyperlink r:id="rId1929" ref="B504"/>
    <hyperlink r:id="rId1930" ref="C504"/>
    <hyperlink r:id="rId1931" ref="E504"/>
    <hyperlink r:id="rId1932" ref="U504"/>
    <hyperlink r:id="rId1933" ref="B505"/>
    <hyperlink r:id="rId1934" ref="C505"/>
    <hyperlink r:id="rId1935" ref="E505"/>
    <hyperlink r:id="rId1936" ref="U505"/>
    <hyperlink r:id="rId1937" ref="B506"/>
    <hyperlink r:id="rId1938" ref="C506"/>
    <hyperlink r:id="rId1939" ref="E506"/>
    <hyperlink r:id="rId1940" ref="U506"/>
    <hyperlink r:id="rId1941" ref="B507"/>
    <hyperlink r:id="rId1942" ref="C507"/>
    <hyperlink r:id="rId1943" ref="E507"/>
    <hyperlink r:id="rId1944" ref="U507"/>
    <hyperlink r:id="rId1945" ref="B508"/>
    <hyperlink r:id="rId1946" ref="C508"/>
    <hyperlink r:id="rId1947" ref="E508"/>
    <hyperlink r:id="rId1948" ref="U508"/>
    <hyperlink r:id="rId1949" ref="B509"/>
    <hyperlink r:id="rId1950" ref="C509"/>
    <hyperlink r:id="rId1951" ref="E509"/>
    <hyperlink r:id="rId1952" ref="U509"/>
    <hyperlink r:id="rId1953" ref="B510"/>
    <hyperlink r:id="rId1954" ref="C510"/>
    <hyperlink r:id="rId1955" ref="E510"/>
    <hyperlink r:id="rId1956" ref="U510"/>
    <hyperlink r:id="rId1957" ref="B511"/>
    <hyperlink r:id="rId1958" ref="C511"/>
    <hyperlink r:id="rId1959" ref="E511"/>
    <hyperlink r:id="rId1960" ref="U511"/>
    <hyperlink r:id="rId1961" ref="B512"/>
    <hyperlink r:id="rId1962" ref="C512"/>
    <hyperlink r:id="rId1963" ref="E512"/>
    <hyperlink r:id="rId1964" ref="U512"/>
    <hyperlink r:id="rId1965" ref="B513"/>
    <hyperlink r:id="rId1966" ref="C513"/>
    <hyperlink r:id="rId1967" ref="E513"/>
    <hyperlink r:id="rId1968" ref="U513"/>
    <hyperlink r:id="rId1969" ref="B514"/>
    <hyperlink r:id="rId1970" ref="C514"/>
    <hyperlink r:id="rId1971" ref="E514"/>
    <hyperlink r:id="rId1972" ref="U514"/>
    <hyperlink r:id="rId1973" ref="B515"/>
    <hyperlink r:id="rId1974" ref="C515"/>
    <hyperlink r:id="rId1975" ref="E515"/>
    <hyperlink r:id="rId1976" ref="U515"/>
    <hyperlink r:id="rId1977" ref="B516"/>
    <hyperlink r:id="rId1978" ref="C516"/>
    <hyperlink r:id="rId1979" ref="E516"/>
    <hyperlink r:id="rId1980" ref="U516"/>
    <hyperlink r:id="rId1981" ref="B517"/>
    <hyperlink r:id="rId1982" ref="C517"/>
    <hyperlink r:id="rId1983" ref="E517"/>
    <hyperlink r:id="rId1984" ref="U517"/>
    <hyperlink r:id="rId1985" ref="B518"/>
    <hyperlink r:id="rId1986" ref="C518"/>
    <hyperlink r:id="rId1987" ref="E518"/>
    <hyperlink r:id="rId1988" ref="U518"/>
    <hyperlink r:id="rId1989" ref="B519"/>
    <hyperlink r:id="rId1990" ref="C519"/>
    <hyperlink r:id="rId1991" ref="E519"/>
    <hyperlink r:id="rId1992" ref="U519"/>
    <hyperlink r:id="rId1993" ref="B520"/>
    <hyperlink r:id="rId1994" ref="C520"/>
    <hyperlink r:id="rId1995" ref="E520"/>
    <hyperlink r:id="rId1996" ref="U520"/>
    <hyperlink r:id="rId1997" ref="B521"/>
    <hyperlink r:id="rId1998" ref="C521"/>
    <hyperlink r:id="rId1999" ref="E521"/>
    <hyperlink r:id="rId2000" ref="U521"/>
    <hyperlink r:id="rId2001" ref="B523"/>
    <hyperlink r:id="rId2002" ref="C523"/>
    <hyperlink r:id="rId2003" ref="E523"/>
    <hyperlink r:id="rId2004" ref="U523"/>
    <hyperlink r:id="rId2005" ref="B524"/>
    <hyperlink r:id="rId2006" ref="C524"/>
    <hyperlink r:id="rId2007" ref="E524"/>
    <hyperlink r:id="rId2008" ref="U524"/>
    <hyperlink r:id="rId2009" ref="B525"/>
    <hyperlink r:id="rId2010" ref="C525"/>
    <hyperlink r:id="rId2011" ref="E525"/>
    <hyperlink r:id="rId2012" ref="U525"/>
    <hyperlink r:id="rId2013" ref="B526"/>
    <hyperlink r:id="rId2014" ref="C526"/>
    <hyperlink r:id="rId2015" ref="E526"/>
    <hyperlink r:id="rId2016" ref="U526"/>
    <hyperlink r:id="rId2017" ref="B527"/>
    <hyperlink r:id="rId2018" ref="C527"/>
    <hyperlink r:id="rId2019" ref="E527"/>
    <hyperlink r:id="rId2020" ref="U527"/>
    <hyperlink r:id="rId2021" ref="B528"/>
    <hyperlink r:id="rId2022" ref="C528"/>
    <hyperlink r:id="rId2023" ref="E528"/>
    <hyperlink r:id="rId2024" ref="U528"/>
    <hyperlink r:id="rId2025" ref="B529"/>
    <hyperlink r:id="rId2026" ref="C529"/>
    <hyperlink r:id="rId2027" ref="E529"/>
    <hyperlink r:id="rId2028" ref="U529"/>
    <hyperlink r:id="rId2029" ref="B530"/>
    <hyperlink r:id="rId2030" ref="C530"/>
    <hyperlink r:id="rId2031" ref="E530"/>
    <hyperlink r:id="rId2032" ref="U530"/>
    <hyperlink r:id="rId2033" ref="B531"/>
    <hyperlink r:id="rId2034" ref="C531"/>
    <hyperlink r:id="rId2035" ref="E531"/>
    <hyperlink r:id="rId2036" ref="U531"/>
    <hyperlink r:id="rId2037" ref="B532"/>
    <hyperlink r:id="rId2038" ref="C532"/>
    <hyperlink r:id="rId2039" ref="E532"/>
    <hyperlink r:id="rId2040" ref="U532"/>
    <hyperlink r:id="rId2041" ref="B533"/>
    <hyperlink r:id="rId2042" ref="C533"/>
    <hyperlink r:id="rId2043" ref="E533"/>
    <hyperlink r:id="rId2044" ref="U533"/>
    <hyperlink r:id="rId2045" ref="B534"/>
    <hyperlink r:id="rId2046" ref="C534"/>
    <hyperlink r:id="rId2047" ref="E534"/>
    <hyperlink r:id="rId2048" ref="U534"/>
    <hyperlink r:id="rId2049" ref="B535"/>
    <hyperlink r:id="rId2050" ref="C535"/>
    <hyperlink r:id="rId2051" ref="E535"/>
    <hyperlink r:id="rId2052" ref="U535"/>
    <hyperlink r:id="rId2053" ref="B536"/>
    <hyperlink r:id="rId2054" ref="C536"/>
    <hyperlink r:id="rId2055" ref="E536"/>
    <hyperlink r:id="rId2056" ref="U536"/>
    <hyperlink r:id="rId2057" ref="B537"/>
    <hyperlink r:id="rId2058" ref="C537"/>
    <hyperlink r:id="rId2059" ref="E537"/>
    <hyperlink r:id="rId2060" ref="U537"/>
    <hyperlink r:id="rId2061" ref="B538"/>
    <hyperlink r:id="rId2062" ref="C538"/>
    <hyperlink r:id="rId2063" ref="E538"/>
    <hyperlink r:id="rId2064" ref="U538"/>
    <hyperlink r:id="rId2065" ref="B539"/>
    <hyperlink r:id="rId2066" ref="C539"/>
    <hyperlink r:id="rId2067" ref="E539"/>
    <hyperlink r:id="rId2068" ref="U539"/>
    <hyperlink r:id="rId2069" ref="B540"/>
    <hyperlink r:id="rId2070" ref="C540"/>
    <hyperlink r:id="rId2071" ref="E540"/>
    <hyperlink r:id="rId2072" ref="U540"/>
    <hyperlink r:id="rId2073" ref="B541"/>
    <hyperlink r:id="rId2074" ref="C541"/>
    <hyperlink r:id="rId2075" ref="E541"/>
    <hyperlink r:id="rId2076" ref="U541"/>
    <hyperlink r:id="rId2077" ref="B542"/>
    <hyperlink r:id="rId2078" ref="C542"/>
    <hyperlink r:id="rId2079" ref="E542"/>
    <hyperlink r:id="rId2080" ref="U542"/>
    <hyperlink r:id="rId2081" ref="B543"/>
    <hyperlink r:id="rId2082" ref="C543"/>
    <hyperlink r:id="rId2083" ref="E543"/>
    <hyperlink r:id="rId2084" ref="U543"/>
    <hyperlink r:id="rId2085" ref="B544"/>
    <hyperlink r:id="rId2086" ref="C544"/>
    <hyperlink r:id="rId2087" ref="E544"/>
    <hyperlink r:id="rId2088" ref="U544"/>
    <hyperlink r:id="rId2089" ref="B545"/>
    <hyperlink r:id="rId2090" ref="C545"/>
    <hyperlink r:id="rId2091" ref="E545"/>
    <hyperlink r:id="rId2092" ref="U545"/>
    <hyperlink r:id="rId2093" ref="B546"/>
    <hyperlink r:id="rId2094" ref="C546"/>
    <hyperlink r:id="rId2095" ref="E546"/>
    <hyperlink r:id="rId2096" ref="U546"/>
    <hyperlink r:id="rId2097" ref="B547"/>
    <hyperlink r:id="rId2098" ref="C547"/>
    <hyperlink r:id="rId2099" ref="E547"/>
    <hyperlink r:id="rId2100" ref="U547"/>
    <hyperlink r:id="rId2101" ref="B549"/>
    <hyperlink r:id="rId2102" ref="C549"/>
    <hyperlink r:id="rId2103" ref="E549"/>
    <hyperlink r:id="rId2104" ref="U549"/>
    <hyperlink r:id="rId2105" ref="B550"/>
    <hyperlink r:id="rId2106" ref="C550"/>
    <hyperlink r:id="rId2107" ref="E550"/>
    <hyperlink r:id="rId2108" ref="U550"/>
    <hyperlink r:id="rId2109" ref="B551"/>
    <hyperlink r:id="rId2110" ref="C551"/>
    <hyperlink r:id="rId2111" ref="E551"/>
    <hyperlink r:id="rId2112" ref="U551"/>
    <hyperlink r:id="rId2113" ref="B552"/>
    <hyperlink r:id="rId2114" ref="C552"/>
    <hyperlink r:id="rId2115" ref="E552"/>
    <hyperlink r:id="rId2116" ref="U552"/>
    <hyperlink r:id="rId2117" ref="B553"/>
    <hyperlink r:id="rId2118" ref="C553"/>
    <hyperlink r:id="rId2119" ref="E553"/>
    <hyperlink r:id="rId2120" ref="U553"/>
    <hyperlink r:id="rId2121" ref="B554"/>
    <hyperlink r:id="rId2122" ref="C554"/>
    <hyperlink r:id="rId2123" ref="E554"/>
    <hyperlink r:id="rId2124" ref="U554"/>
    <hyperlink r:id="rId2125" ref="B555"/>
    <hyperlink r:id="rId2126" ref="C555"/>
    <hyperlink r:id="rId2127" ref="E555"/>
    <hyperlink r:id="rId2128" ref="U555"/>
    <hyperlink r:id="rId2129" ref="B556"/>
    <hyperlink r:id="rId2130" ref="C556"/>
    <hyperlink r:id="rId2131" ref="E556"/>
    <hyperlink r:id="rId2132" ref="U556"/>
    <hyperlink r:id="rId2133" ref="B557"/>
    <hyperlink r:id="rId2134" ref="C557"/>
    <hyperlink r:id="rId2135" ref="E557"/>
    <hyperlink r:id="rId2136" ref="U557"/>
    <hyperlink r:id="rId2137" ref="B558"/>
    <hyperlink r:id="rId2138" ref="C558"/>
    <hyperlink r:id="rId2139" ref="E558"/>
    <hyperlink r:id="rId2140" ref="U558"/>
    <hyperlink r:id="rId2141" ref="B559"/>
    <hyperlink r:id="rId2142" ref="C559"/>
    <hyperlink r:id="rId2143" ref="E559"/>
    <hyperlink r:id="rId2144" ref="U559"/>
    <hyperlink r:id="rId2145" ref="B560"/>
    <hyperlink r:id="rId2146" ref="C560"/>
    <hyperlink r:id="rId2147" ref="E560"/>
    <hyperlink r:id="rId2148" ref="U560"/>
    <hyperlink r:id="rId2149" ref="B561"/>
    <hyperlink r:id="rId2150" ref="C561"/>
    <hyperlink r:id="rId2151" ref="E561"/>
    <hyperlink r:id="rId2152" ref="U561"/>
    <hyperlink r:id="rId2153" ref="B562"/>
    <hyperlink r:id="rId2154" ref="C562"/>
    <hyperlink r:id="rId2155" ref="E562"/>
    <hyperlink r:id="rId2156" ref="U562"/>
    <hyperlink r:id="rId2157" ref="B563"/>
    <hyperlink r:id="rId2158" ref="C563"/>
    <hyperlink r:id="rId2159" ref="E563"/>
    <hyperlink r:id="rId2160" ref="U563"/>
    <hyperlink r:id="rId2161" ref="B564"/>
    <hyperlink r:id="rId2162" ref="C564"/>
    <hyperlink r:id="rId2163" ref="E564"/>
    <hyperlink r:id="rId2164" ref="U564"/>
    <hyperlink r:id="rId2165" ref="B565"/>
    <hyperlink r:id="rId2166" ref="C565"/>
    <hyperlink r:id="rId2167" ref="E565"/>
    <hyperlink r:id="rId2168" ref="U565"/>
    <hyperlink r:id="rId2169" ref="B566"/>
    <hyperlink r:id="rId2170" ref="C566"/>
    <hyperlink r:id="rId2171" ref="E566"/>
    <hyperlink r:id="rId2172" ref="U566"/>
    <hyperlink r:id="rId2173" ref="B567"/>
    <hyperlink r:id="rId2174" ref="C567"/>
    <hyperlink r:id="rId2175" ref="E567"/>
    <hyperlink r:id="rId2176" ref="U567"/>
    <hyperlink r:id="rId2177" ref="B568"/>
    <hyperlink r:id="rId2178" ref="C568"/>
    <hyperlink r:id="rId2179" ref="E568"/>
    <hyperlink r:id="rId2180" ref="U568"/>
    <hyperlink r:id="rId2181" ref="B569"/>
    <hyperlink r:id="rId2182" ref="C569"/>
    <hyperlink r:id="rId2183" ref="E569"/>
    <hyperlink r:id="rId2184" ref="U569"/>
    <hyperlink r:id="rId2185" ref="B570"/>
    <hyperlink r:id="rId2186" ref="C570"/>
    <hyperlink r:id="rId2187" ref="E570"/>
    <hyperlink r:id="rId2188" ref="U570"/>
    <hyperlink r:id="rId2189" ref="B571"/>
    <hyperlink r:id="rId2190" ref="C571"/>
    <hyperlink r:id="rId2191" ref="E571"/>
    <hyperlink r:id="rId2192" ref="U571"/>
    <hyperlink r:id="rId2193" ref="B572"/>
    <hyperlink r:id="rId2194" ref="C572"/>
    <hyperlink r:id="rId2195" ref="E572"/>
    <hyperlink r:id="rId2196" ref="U572"/>
    <hyperlink r:id="rId2197" ref="B573"/>
    <hyperlink r:id="rId2198" ref="C573"/>
    <hyperlink r:id="rId2199" ref="E573"/>
    <hyperlink r:id="rId2200" ref="U573"/>
    <hyperlink r:id="rId2201" ref="B575"/>
    <hyperlink r:id="rId2202" ref="C575"/>
    <hyperlink r:id="rId2203" ref="E575"/>
    <hyperlink r:id="rId2204" ref="U575"/>
  </hyperlinks>
  <drawing r:id="rId220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2"/>
      <c r="C1" s="2"/>
      <c r="D1" s="2"/>
      <c r="E1" s="2"/>
      <c r="F1" s="4" t="s">
        <v>11</v>
      </c>
      <c r="G1" s="2"/>
      <c r="H1" s="2"/>
      <c r="I1" s="4" t="s">
        <v>6836</v>
      </c>
      <c r="J1" s="2"/>
      <c r="K1" s="2"/>
      <c r="L1" s="4" t="s">
        <v>6837</v>
      </c>
      <c r="M1" s="2"/>
      <c r="N1" s="2"/>
      <c r="O1" s="2"/>
      <c r="P1" s="2"/>
      <c r="Q1" s="2"/>
      <c r="R1" s="5"/>
    </row>
    <row r="2">
      <c r="A2" s="6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4" t="s">
        <v>10</v>
      </c>
      <c r="I2" s="8" t="s">
        <v>12</v>
      </c>
      <c r="J2" s="8" t="s">
        <v>6838</v>
      </c>
      <c r="K2" s="8" t="s">
        <v>6839</v>
      </c>
      <c r="L2" s="8" t="s">
        <v>13</v>
      </c>
      <c r="M2" s="4" t="s">
        <v>11</v>
      </c>
      <c r="N2" s="8" t="s">
        <v>6840</v>
      </c>
      <c r="O2" s="8" t="s">
        <v>6841</v>
      </c>
      <c r="P2" s="4" t="s">
        <v>6836</v>
      </c>
      <c r="Q2" s="8" t="s">
        <v>6842</v>
      </c>
      <c r="R2" s="8" t="s">
        <v>6843</v>
      </c>
      <c r="S2" s="4" t="s">
        <v>6844</v>
      </c>
      <c r="T2" s="8" t="s">
        <v>6845</v>
      </c>
      <c r="U2" s="8" t="s">
        <v>6846</v>
      </c>
      <c r="V2" s="5" t="str">
        <f>+/-</f>
        <v>#ERROR!</v>
      </c>
      <c r="W2" s="5" t="str">
        <f>+/-90</f>
        <v>#ERROR!</v>
      </c>
      <c r="X2" s="8" t="s">
        <v>6847</v>
      </c>
      <c r="Y2" s="4" t="s">
        <v>23</v>
      </c>
    </row>
    <row r="3">
      <c r="A3" s="9">
        <v>1.0</v>
      </c>
      <c r="B3" s="10" t="s">
        <v>6848</v>
      </c>
      <c r="C3" s="11" t="s">
        <v>6849</v>
      </c>
      <c r="D3" s="12" t="s">
        <v>26</v>
      </c>
      <c r="E3" s="13" t="s">
        <v>6850</v>
      </c>
      <c r="F3" s="12">
        <v>24.0</v>
      </c>
      <c r="G3" s="12">
        <v>2000.0</v>
      </c>
      <c r="H3" s="14">
        <v>37.0</v>
      </c>
      <c r="I3" s="16">
        <v>2449.0</v>
      </c>
      <c r="J3" s="15">
        <v>66.0</v>
      </c>
      <c r="K3" s="15">
        <v>71.6</v>
      </c>
      <c r="L3" s="15">
        <v>27.2</v>
      </c>
      <c r="M3" s="17">
        <v>1.1</v>
      </c>
      <c r="N3" s="15">
        <v>77.0</v>
      </c>
      <c r="O3" s="18">
        <v>0.07</v>
      </c>
      <c r="P3" s="17">
        <v>0.26</v>
      </c>
      <c r="Q3" s="15">
        <v>21.0</v>
      </c>
      <c r="R3" s="18">
        <v>0.04</v>
      </c>
      <c r="S3" s="14">
        <v>1.19</v>
      </c>
      <c r="T3" s="18">
        <v>1.29</v>
      </c>
      <c r="U3" s="18">
        <v>1.14</v>
      </c>
      <c r="V3" s="54">
        <v>0.15</v>
      </c>
      <c r="W3" s="55">
        <f>+0.15</f>
        <v>0.15</v>
      </c>
      <c r="X3" s="55">
        <f>+1.17</f>
        <v>1.17</v>
      </c>
      <c r="Y3" s="20" t="s">
        <v>6851</v>
      </c>
    </row>
    <row r="4">
      <c r="A4" s="9">
        <v>2.0</v>
      </c>
      <c r="B4" s="10" t="s">
        <v>6852</v>
      </c>
      <c r="C4" s="11" t="s">
        <v>6853</v>
      </c>
      <c r="D4" s="12" t="s">
        <v>31</v>
      </c>
      <c r="E4" s="13" t="s">
        <v>6854</v>
      </c>
      <c r="F4" s="12">
        <v>15.0</v>
      </c>
      <c r="G4" s="12">
        <v>2009.0</v>
      </c>
      <c r="H4" s="14">
        <v>1.0</v>
      </c>
      <c r="I4" s="15">
        <v>17.0</v>
      </c>
      <c r="J4" s="15">
        <v>17.0</v>
      </c>
      <c r="K4" s="15">
        <v>0.5</v>
      </c>
      <c r="L4" s="15">
        <v>0.2</v>
      </c>
      <c r="M4" s="22">
        <v>0.0</v>
      </c>
      <c r="N4" s="36"/>
      <c r="O4" s="19">
        <v>0.0</v>
      </c>
      <c r="P4" s="17">
        <v>5.0</v>
      </c>
      <c r="Q4" s="15">
        <v>17.0</v>
      </c>
      <c r="R4" s="18">
        <v>5.0</v>
      </c>
      <c r="S4" s="14">
        <v>1.0</v>
      </c>
      <c r="T4" s="19">
        <v>0.0</v>
      </c>
      <c r="U4" s="19">
        <v>0.0</v>
      </c>
      <c r="V4" s="19">
        <v>0.0</v>
      </c>
      <c r="W4" s="21">
        <v>0.0</v>
      </c>
      <c r="X4" s="55">
        <f>+1.08</f>
        <v>1.08</v>
      </c>
      <c r="Y4" s="20" t="s">
        <v>6855</v>
      </c>
    </row>
    <row r="5">
      <c r="A5" s="9">
        <v>3.0</v>
      </c>
      <c r="B5" s="10" t="s">
        <v>6856</v>
      </c>
      <c r="C5" s="11" t="s">
        <v>6857</v>
      </c>
      <c r="D5" s="12" t="s">
        <v>36</v>
      </c>
      <c r="E5" s="13" t="s">
        <v>6858</v>
      </c>
      <c r="F5" s="12">
        <v>19.0</v>
      </c>
      <c r="G5" s="12">
        <v>2006.0</v>
      </c>
      <c r="H5" s="14">
        <v>3.0</v>
      </c>
      <c r="I5" s="15">
        <v>164.0</v>
      </c>
      <c r="J5" s="15">
        <v>55.0</v>
      </c>
      <c r="K5" s="15">
        <v>4.8</v>
      </c>
      <c r="L5" s="15">
        <v>1.8</v>
      </c>
      <c r="M5" s="17">
        <v>1.11</v>
      </c>
      <c r="N5" s="15">
        <v>60.0</v>
      </c>
      <c r="O5" s="19">
        <v>0.0</v>
      </c>
      <c r="P5" s="17">
        <v>0.56</v>
      </c>
      <c r="Q5" s="15">
        <v>45.0</v>
      </c>
      <c r="R5" s="18">
        <v>7.22</v>
      </c>
      <c r="S5" s="14">
        <v>1.0</v>
      </c>
      <c r="T5" s="18">
        <v>1.11</v>
      </c>
      <c r="U5" s="18">
        <v>2.22</v>
      </c>
      <c r="V5" s="56">
        <v>-1.11</v>
      </c>
      <c r="W5" s="57">
        <v>-1.1</v>
      </c>
      <c r="X5" s="57">
        <v>-1.07</v>
      </c>
      <c r="Y5" s="20" t="s">
        <v>6859</v>
      </c>
    </row>
    <row r="6">
      <c r="A6" s="9">
        <v>4.0</v>
      </c>
      <c r="B6" s="10" t="s">
        <v>6860</v>
      </c>
      <c r="C6" s="11" t="s">
        <v>6861</v>
      </c>
      <c r="D6" s="12" t="s">
        <v>41</v>
      </c>
      <c r="E6" s="13" t="s">
        <v>6862</v>
      </c>
      <c r="F6" s="12">
        <v>27.0</v>
      </c>
      <c r="G6" s="12">
        <v>1997.0</v>
      </c>
      <c r="H6" s="14">
        <v>12.0</v>
      </c>
      <c r="I6" s="15">
        <v>286.0</v>
      </c>
      <c r="J6" s="15">
        <v>24.0</v>
      </c>
      <c r="K6" s="15">
        <v>8.4</v>
      </c>
      <c r="L6" s="15">
        <v>3.2</v>
      </c>
      <c r="M6" s="17">
        <v>0.63</v>
      </c>
      <c r="N6" s="15">
        <v>75.0</v>
      </c>
      <c r="O6" s="18">
        <v>0.31</v>
      </c>
      <c r="P6" s="17">
        <v>3.13</v>
      </c>
      <c r="Q6" s="15">
        <v>14.0</v>
      </c>
      <c r="R6" s="18">
        <v>0.63</v>
      </c>
      <c r="S6" s="14">
        <v>1.0</v>
      </c>
      <c r="T6" s="18">
        <v>1.25</v>
      </c>
      <c r="U6" s="18">
        <v>2.5</v>
      </c>
      <c r="V6" s="56">
        <v>-1.25</v>
      </c>
      <c r="W6" s="57">
        <v>-1.26</v>
      </c>
      <c r="X6" s="57">
        <v>-1.57</v>
      </c>
      <c r="Y6" s="20" t="s">
        <v>6863</v>
      </c>
    </row>
    <row r="7">
      <c r="A7" s="9">
        <v>5.0</v>
      </c>
      <c r="B7" s="10" t="s">
        <v>6864</v>
      </c>
      <c r="C7" s="11" t="s">
        <v>6865</v>
      </c>
      <c r="D7" s="12" t="s">
        <v>36</v>
      </c>
      <c r="E7" s="13" t="s">
        <v>6866</v>
      </c>
      <c r="F7" s="12">
        <v>19.0</v>
      </c>
      <c r="G7" s="12">
        <v>2006.0</v>
      </c>
      <c r="H7" s="14">
        <v>17.0</v>
      </c>
      <c r="I7" s="15">
        <v>666.0</v>
      </c>
      <c r="J7" s="15">
        <v>39.0</v>
      </c>
      <c r="K7" s="15">
        <v>19.5</v>
      </c>
      <c r="L7" s="15">
        <v>7.4</v>
      </c>
      <c r="M7" s="17">
        <v>1.08</v>
      </c>
      <c r="N7" s="15">
        <v>71.0</v>
      </c>
      <c r="O7" s="18">
        <v>0.14</v>
      </c>
      <c r="P7" s="17">
        <v>1.22</v>
      </c>
      <c r="Q7" s="15">
        <v>11.0</v>
      </c>
      <c r="R7" s="18">
        <v>2.43</v>
      </c>
      <c r="S7" s="14">
        <v>1.18</v>
      </c>
      <c r="T7" s="18">
        <v>1.35</v>
      </c>
      <c r="U7" s="18">
        <v>1.76</v>
      </c>
      <c r="V7" s="56">
        <v>-0.41</v>
      </c>
      <c r="W7" s="57">
        <v>-0.41</v>
      </c>
      <c r="X7" s="57">
        <v>-0.7</v>
      </c>
      <c r="Y7" s="20" t="s">
        <v>6867</v>
      </c>
    </row>
    <row r="8">
      <c r="A8" s="9">
        <v>6.0</v>
      </c>
      <c r="B8" s="10" t="s">
        <v>6868</v>
      </c>
      <c r="C8" s="11" t="s">
        <v>6869</v>
      </c>
      <c r="D8" s="12" t="s">
        <v>31</v>
      </c>
      <c r="E8" s="13" t="s">
        <v>6870</v>
      </c>
      <c r="F8" s="12">
        <v>26.0</v>
      </c>
      <c r="G8" s="12">
        <v>1999.0</v>
      </c>
      <c r="H8" s="14">
        <v>25.0</v>
      </c>
      <c r="I8" s="16">
        <v>1773.0</v>
      </c>
      <c r="J8" s="15">
        <v>71.0</v>
      </c>
      <c r="K8" s="15">
        <v>51.8</v>
      </c>
      <c r="L8" s="15">
        <v>19.7</v>
      </c>
      <c r="M8" s="17">
        <v>1.07</v>
      </c>
      <c r="N8" s="15">
        <v>79.0</v>
      </c>
      <c r="O8" s="18">
        <v>0.51</v>
      </c>
      <c r="P8" s="17">
        <v>0.2</v>
      </c>
      <c r="Q8" s="15">
        <v>28.0</v>
      </c>
      <c r="R8" s="18">
        <v>0.05</v>
      </c>
      <c r="S8" s="14">
        <v>1.52</v>
      </c>
      <c r="T8" s="18">
        <v>1.27</v>
      </c>
      <c r="U8" s="18">
        <v>1.42</v>
      </c>
      <c r="V8" s="56">
        <v>-0.15</v>
      </c>
      <c r="W8" s="57">
        <v>-0.15</v>
      </c>
      <c r="X8" s="57">
        <v>-0.53</v>
      </c>
      <c r="Y8" s="20" t="s">
        <v>6871</v>
      </c>
    </row>
    <row r="9">
      <c r="A9" s="9">
        <v>7.0</v>
      </c>
      <c r="B9" s="10" t="s">
        <v>6872</v>
      </c>
      <c r="C9" s="11" t="s">
        <v>6873</v>
      </c>
      <c r="D9" s="12" t="s">
        <v>36</v>
      </c>
      <c r="E9" s="13" t="s">
        <v>6874</v>
      </c>
      <c r="F9" s="12">
        <v>27.0</v>
      </c>
      <c r="G9" s="12">
        <v>1997.0</v>
      </c>
      <c r="H9" s="14">
        <v>16.0</v>
      </c>
      <c r="I9" s="15">
        <v>795.0</v>
      </c>
      <c r="J9" s="15">
        <v>50.0</v>
      </c>
      <c r="K9" s="15">
        <v>23.2</v>
      </c>
      <c r="L9" s="15">
        <v>8.8</v>
      </c>
      <c r="M9" s="17">
        <v>0.91</v>
      </c>
      <c r="N9" s="15">
        <v>80.0</v>
      </c>
      <c r="O9" s="18">
        <v>0.68</v>
      </c>
      <c r="P9" s="17">
        <v>0.91</v>
      </c>
      <c r="Q9" s="15">
        <v>19.0</v>
      </c>
      <c r="R9" s="18">
        <v>1.36</v>
      </c>
      <c r="S9" s="14">
        <v>1.44</v>
      </c>
      <c r="T9" s="18">
        <v>1.82</v>
      </c>
      <c r="U9" s="18">
        <v>1.59</v>
      </c>
      <c r="V9" s="54">
        <v>0.23</v>
      </c>
      <c r="W9" s="55">
        <f>+0.23</f>
        <v>0.23</v>
      </c>
      <c r="X9" s="55">
        <f>+0.09</f>
        <v>0.09</v>
      </c>
      <c r="Y9" s="20" t="s">
        <v>6875</v>
      </c>
    </row>
    <row r="10">
      <c r="A10" s="9">
        <v>8.0</v>
      </c>
      <c r="B10" s="10" t="s">
        <v>6876</v>
      </c>
      <c r="C10" s="11" t="s">
        <v>6877</v>
      </c>
      <c r="D10" s="12" t="s">
        <v>26</v>
      </c>
      <c r="E10" s="13" t="s">
        <v>6878</v>
      </c>
      <c r="F10" s="12">
        <v>23.0</v>
      </c>
      <c r="G10" s="12">
        <v>2002.0</v>
      </c>
      <c r="H10" s="14">
        <v>14.0</v>
      </c>
      <c r="I10" s="15">
        <v>653.0</v>
      </c>
      <c r="J10" s="15">
        <v>47.0</v>
      </c>
      <c r="K10" s="15">
        <v>19.1</v>
      </c>
      <c r="L10" s="15">
        <v>7.3</v>
      </c>
      <c r="M10" s="17">
        <v>1.23</v>
      </c>
      <c r="N10" s="15">
        <v>64.0</v>
      </c>
      <c r="O10" s="19">
        <v>0.0</v>
      </c>
      <c r="P10" s="17">
        <v>0.68</v>
      </c>
      <c r="Q10" s="15">
        <v>16.0</v>
      </c>
      <c r="R10" s="18">
        <v>1.1</v>
      </c>
      <c r="S10" s="14">
        <v>1.07</v>
      </c>
      <c r="T10" s="18">
        <v>0.82</v>
      </c>
      <c r="U10" s="18">
        <v>1.1</v>
      </c>
      <c r="V10" s="56">
        <v>-0.27</v>
      </c>
      <c r="W10" s="57">
        <v>-0.28</v>
      </c>
      <c r="X10" s="57">
        <v>-0.15</v>
      </c>
      <c r="Y10" s="20" t="s">
        <v>6879</v>
      </c>
    </row>
    <row r="11">
      <c r="A11" s="9">
        <v>9.0</v>
      </c>
      <c r="B11" s="10" t="s">
        <v>6880</v>
      </c>
      <c r="C11" s="11" t="s">
        <v>6881</v>
      </c>
      <c r="D11" s="12" t="s">
        <v>31</v>
      </c>
      <c r="E11" s="13" t="s">
        <v>6882</v>
      </c>
      <c r="F11" s="12">
        <v>25.0</v>
      </c>
      <c r="G11" s="12">
        <v>2000.0</v>
      </c>
      <c r="H11" s="14">
        <v>31.0</v>
      </c>
      <c r="I11" s="16">
        <v>1093.0</v>
      </c>
      <c r="J11" s="15">
        <v>35.0</v>
      </c>
      <c r="K11" s="15">
        <v>32.0</v>
      </c>
      <c r="L11" s="15">
        <v>12.1</v>
      </c>
      <c r="M11" s="17">
        <v>0.83</v>
      </c>
      <c r="N11" s="15">
        <v>73.0</v>
      </c>
      <c r="O11" s="18">
        <v>0.17</v>
      </c>
      <c r="P11" s="17">
        <v>1.74</v>
      </c>
      <c r="Q11" s="15">
        <v>17.0</v>
      </c>
      <c r="R11" s="18">
        <v>0.5</v>
      </c>
      <c r="S11" s="14">
        <v>1.48</v>
      </c>
      <c r="T11" s="18">
        <v>1.49</v>
      </c>
      <c r="U11" s="18">
        <v>1.4</v>
      </c>
      <c r="V11" s="54">
        <v>0.08</v>
      </c>
      <c r="W11" s="55">
        <f>+0.08</f>
        <v>0.08</v>
      </c>
      <c r="X11" s="57">
        <v>-0.03</v>
      </c>
      <c r="Y11" s="20" t="s">
        <v>6883</v>
      </c>
    </row>
    <row r="12">
      <c r="A12" s="9">
        <v>10.0</v>
      </c>
      <c r="B12" s="10" t="s">
        <v>6884</v>
      </c>
      <c r="C12" s="11" t="s">
        <v>6885</v>
      </c>
      <c r="D12" s="12" t="s">
        <v>36</v>
      </c>
      <c r="E12" s="13" t="s">
        <v>6886</v>
      </c>
      <c r="F12" s="12">
        <v>28.0</v>
      </c>
      <c r="G12" s="12">
        <v>1997.0</v>
      </c>
      <c r="H12" s="14">
        <v>14.0</v>
      </c>
      <c r="I12" s="16">
        <v>1101.0</v>
      </c>
      <c r="J12" s="15">
        <v>79.0</v>
      </c>
      <c r="K12" s="15">
        <v>32.2</v>
      </c>
      <c r="L12" s="15">
        <v>12.2</v>
      </c>
      <c r="M12" s="17">
        <v>0.98</v>
      </c>
      <c r="N12" s="15">
        <v>85.0</v>
      </c>
      <c r="O12" s="18">
        <v>0.9</v>
      </c>
      <c r="P12" s="17">
        <v>0.16</v>
      </c>
      <c r="Q12" s="15">
        <v>38.0</v>
      </c>
      <c r="R12" s="18">
        <v>0.33</v>
      </c>
      <c r="S12" s="14">
        <v>0.14</v>
      </c>
      <c r="T12" s="18">
        <v>0.49</v>
      </c>
      <c r="U12" s="18">
        <v>2.21</v>
      </c>
      <c r="V12" s="56">
        <v>-1.72</v>
      </c>
      <c r="W12" s="57">
        <v>-1.72</v>
      </c>
      <c r="X12" s="57">
        <v>-0.94</v>
      </c>
      <c r="Y12" s="20" t="s">
        <v>6887</v>
      </c>
    </row>
    <row r="13">
      <c r="A13" s="9">
        <v>11.0</v>
      </c>
      <c r="B13" s="10" t="s">
        <v>6888</v>
      </c>
      <c r="C13" s="11" t="s">
        <v>6889</v>
      </c>
      <c r="D13" s="12" t="s">
        <v>36</v>
      </c>
      <c r="E13" s="13" t="s">
        <v>6890</v>
      </c>
      <c r="F13" s="12">
        <v>29.0</v>
      </c>
      <c r="G13" s="12">
        <v>1996.0</v>
      </c>
      <c r="H13" s="14">
        <v>2.0</v>
      </c>
      <c r="I13" s="15">
        <v>180.0</v>
      </c>
      <c r="J13" s="15">
        <v>90.0</v>
      </c>
      <c r="K13" s="15">
        <v>5.3</v>
      </c>
      <c r="L13" s="15">
        <v>2.0</v>
      </c>
      <c r="M13" s="17">
        <v>1.0</v>
      </c>
      <c r="N13" s="15">
        <v>90.0</v>
      </c>
      <c r="O13" s="18">
        <v>1.0</v>
      </c>
      <c r="P13" s="22">
        <v>0.0</v>
      </c>
      <c r="Q13" s="36"/>
      <c r="R13" s="19">
        <v>0.0</v>
      </c>
      <c r="S13" s="23">
        <v>0.0</v>
      </c>
      <c r="T13" s="18">
        <v>0.5</v>
      </c>
      <c r="U13" s="18">
        <v>4.0</v>
      </c>
      <c r="V13" s="56">
        <v>-3.5</v>
      </c>
      <c r="W13" s="57">
        <v>-3.5</v>
      </c>
      <c r="X13" s="57">
        <v>-3.17</v>
      </c>
      <c r="Y13" s="20" t="s">
        <v>6891</v>
      </c>
    </row>
    <row r="14">
      <c r="A14" s="9">
        <v>12.0</v>
      </c>
      <c r="B14" s="10" t="s">
        <v>6892</v>
      </c>
      <c r="C14" s="11" t="s">
        <v>6893</v>
      </c>
      <c r="D14" s="12" t="s">
        <v>41</v>
      </c>
      <c r="E14" s="13" t="s">
        <v>6894</v>
      </c>
      <c r="F14" s="12">
        <v>20.0</v>
      </c>
      <c r="G14" s="12">
        <v>2005.0</v>
      </c>
      <c r="H14" s="23">
        <v>0.0</v>
      </c>
      <c r="I14" s="36"/>
      <c r="J14" s="36"/>
      <c r="K14" s="36"/>
      <c r="L14" s="36"/>
      <c r="M14" s="23">
        <v>0.0</v>
      </c>
      <c r="N14" s="36"/>
      <c r="O14" s="21">
        <v>0.0</v>
      </c>
      <c r="P14" s="23">
        <v>0.0</v>
      </c>
      <c r="Q14" s="36"/>
      <c r="R14" s="15">
        <v>1.0</v>
      </c>
      <c r="S14" s="58"/>
      <c r="T14" s="36"/>
      <c r="U14" s="36"/>
      <c r="V14" s="36"/>
      <c r="W14" s="36"/>
      <c r="X14" s="36"/>
      <c r="Y14" s="20" t="s">
        <v>6895</v>
      </c>
    </row>
    <row r="15">
      <c r="A15" s="9">
        <v>13.0</v>
      </c>
      <c r="B15" s="10" t="s">
        <v>6896</v>
      </c>
      <c r="C15" s="11" t="s">
        <v>6897</v>
      </c>
      <c r="D15" s="12" t="s">
        <v>36</v>
      </c>
      <c r="E15" s="13" t="s">
        <v>6898</v>
      </c>
      <c r="F15" s="12">
        <v>28.0</v>
      </c>
      <c r="G15" s="12">
        <v>1996.0</v>
      </c>
      <c r="H15" s="14">
        <v>18.0</v>
      </c>
      <c r="I15" s="16">
        <v>1588.0</v>
      </c>
      <c r="J15" s="15">
        <v>88.0</v>
      </c>
      <c r="K15" s="15">
        <v>46.4</v>
      </c>
      <c r="L15" s="15">
        <v>17.6</v>
      </c>
      <c r="M15" s="17">
        <v>1.02</v>
      </c>
      <c r="N15" s="15">
        <v>88.0</v>
      </c>
      <c r="O15" s="18">
        <v>0.85</v>
      </c>
      <c r="P15" s="22">
        <v>0.0</v>
      </c>
      <c r="Q15" s="36"/>
      <c r="R15" s="19">
        <v>0.0</v>
      </c>
      <c r="S15" s="14">
        <v>1.39</v>
      </c>
      <c r="T15" s="18">
        <v>1.53</v>
      </c>
      <c r="U15" s="18">
        <v>1.08</v>
      </c>
      <c r="V15" s="54">
        <v>0.45</v>
      </c>
      <c r="W15" s="55">
        <f>+0.45</f>
        <v>0.45</v>
      </c>
      <c r="X15" s="55">
        <f>+0.99</f>
        <v>0.99</v>
      </c>
      <c r="Y15" s="20" t="s">
        <v>6899</v>
      </c>
    </row>
    <row r="16">
      <c r="A16" s="9">
        <v>14.0</v>
      </c>
      <c r="B16" s="10" t="s">
        <v>6900</v>
      </c>
      <c r="C16" s="11" t="s">
        <v>6901</v>
      </c>
      <c r="D16" s="12" t="s">
        <v>36</v>
      </c>
      <c r="E16" s="13" t="s">
        <v>6902</v>
      </c>
      <c r="F16" s="12">
        <v>24.0</v>
      </c>
      <c r="G16" s="12">
        <v>2001.0</v>
      </c>
      <c r="H16" s="14">
        <v>17.0</v>
      </c>
      <c r="I16" s="15">
        <v>974.0</v>
      </c>
      <c r="J16" s="15">
        <v>57.0</v>
      </c>
      <c r="K16" s="15">
        <v>28.5</v>
      </c>
      <c r="L16" s="15">
        <v>10.8</v>
      </c>
      <c r="M16" s="17">
        <v>1.11</v>
      </c>
      <c r="N16" s="15">
        <v>77.0</v>
      </c>
      <c r="O16" s="18">
        <v>0.65</v>
      </c>
      <c r="P16" s="17">
        <v>0.46</v>
      </c>
      <c r="Q16" s="15">
        <v>11.0</v>
      </c>
      <c r="R16" s="18">
        <v>0.83</v>
      </c>
      <c r="S16" s="14">
        <v>1.94</v>
      </c>
      <c r="T16" s="18">
        <v>2.13</v>
      </c>
      <c r="U16" s="18">
        <v>0.83</v>
      </c>
      <c r="V16" s="54">
        <v>1.3</v>
      </c>
      <c r="W16" s="55">
        <f>+1.29</f>
        <v>1.29</v>
      </c>
      <c r="X16" s="55">
        <f>+0.26</f>
        <v>0.26</v>
      </c>
      <c r="Y16" s="20" t="s">
        <v>6903</v>
      </c>
    </row>
    <row r="17">
      <c r="A17" s="9">
        <v>15.0</v>
      </c>
      <c r="B17" s="10" t="s">
        <v>6904</v>
      </c>
      <c r="C17" s="11" t="s">
        <v>6905</v>
      </c>
      <c r="D17" s="12" t="s">
        <v>36</v>
      </c>
      <c r="E17" s="13" t="s">
        <v>6906</v>
      </c>
      <c r="F17" s="12">
        <v>27.0</v>
      </c>
      <c r="G17" s="12">
        <v>1998.0</v>
      </c>
      <c r="H17" s="14">
        <v>27.0</v>
      </c>
      <c r="I17" s="16">
        <v>1810.0</v>
      </c>
      <c r="J17" s="15">
        <v>67.0</v>
      </c>
      <c r="K17" s="15">
        <v>52.9</v>
      </c>
      <c r="L17" s="15">
        <v>20.1</v>
      </c>
      <c r="M17" s="17">
        <v>1.0</v>
      </c>
      <c r="N17" s="15">
        <v>83.0</v>
      </c>
      <c r="O17" s="18">
        <v>0.65</v>
      </c>
      <c r="P17" s="17">
        <v>0.35</v>
      </c>
      <c r="Q17" s="15">
        <v>20.0</v>
      </c>
      <c r="R17" s="18">
        <v>0.45</v>
      </c>
      <c r="S17" s="14">
        <v>1.37</v>
      </c>
      <c r="T17" s="18">
        <v>1.44</v>
      </c>
      <c r="U17" s="18">
        <v>1.59</v>
      </c>
      <c r="V17" s="56">
        <v>-0.15</v>
      </c>
      <c r="W17" s="57">
        <v>-0.15</v>
      </c>
      <c r="X17" s="57">
        <v>-0.48</v>
      </c>
      <c r="Y17" s="20" t="s">
        <v>6907</v>
      </c>
    </row>
    <row r="18">
      <c r="A18" s="9">
        <v>16.0</v>
      </c>
      <c r="B18" s="10" t="s">
        <v>6908</v>
      </c>
      <c r="C18" s="11" t="s">
        <v>6909</v>
      </c>
      <c r="D18" s="12" t="s">
        <v>345</v>
      </c>
      <c r="E18" s="13" t="s">
        <v>6910</v>
      </c>
      <c r="F18" s="12">
        <v>30.0</v>
      </c>
      <c r="G18" s="12">
        <v>1995.0</v>
      </c>
      <c r="H18" s="23">
        <v>0.0</v>
      </c>
      <c r="I18" s="36"/>
      <c r="J18" s="36"/>
      <c r="K18" s="36"/>
      <c r="L18" s="36"/>
      <c r="M18" s="23">
        <v>0.0</v>
      </c>
      <c r="N18" s="36"/>
      <c r="O18" s="21">
        <v>0.0</v>
      </c>
      <c r="P18" s="23">
        <v>0.0</v>
      </c>
      <c r="Q18" s="36"/>
      <c r="R18" s="15">
        <v>2.0</v>
      </c>
      <c r="S18" s="58"/>
      <c r="T18" s="36"/>
      <c r="U18" s="36"/>
      <c r="V18" s="36"/>
      <c r="W18" s="36"/>
      <c r="X18" s="36"/>
      <c r="Y18" s="20" t="s">
        <v>6911</v>
      </c>
    </row>
    <row r="19">
      <c r="A19" s="9">
        <v>17.0</v>
      </c>
      <c r="B19" s="10" t="s">
        <v>6912</v>
      </c>
      <c r="C19" s="11" t="s">
        <v>6913</v>
      </c>
      <c r="D19" s="12" t="s">
        <v>36</v>
      </c>
      <c r="E19" s="13" t="s">
        <v>6914</v>
      </c>
      <c r="F19" s="12">
        <v>30.0</v>
      </c>
      <c r="G19" s="12">
        <v>1995.0</v>
      </c>
      <c r="H19" s="14">
        <v>18.0</v>
      </c>
      <c r="I19" s="15">
        <v>695.0</v>
      </c>
      <c r="J19" s="15">
        <v>39.0</v>
      </c>
      <c r="K19" s="15">
        <v>20.3</v>
      </c>
      <c r="L19" s="15">
        <v>7.7</v>
      </c>
      <c r="M19" s="17">
        <v>0.78</v>
      </c>
      <c r="N19" s="15">
        <v>85.0</v>
      </c>
      <c r="O19" s="18">
        <v>0.52</v>
      </c>
      <c r="P19" s="17">
        <v>1.56</v>
      </c>
      <c r="Q19" s="15">
        <v>16.0</v>
      </c>
      <c r="R19" s="18">
        <v>2.21</v>
      </c>
      <c r="S19" s="14">
        <v>2.06</v>
      </c>
      <c r="T19" s="18">
        <v>1.3</v>
      </c>
      <c r="U19" s="18">
        <v>1.17</v>
      </c>
      <c r="V19" s="54">
        <v>0.13</v>
      </c>
      <c r="W19" s="55">
        <f>+0.13</f>
        <v>0.13</v>
      </c>
      <c r="X19" s="57">
        <v>-1.22</v>
      </c>
      <c r="Y19" s="20" t="s">
        <v>6915</v>
      </c>
    </row>
    <row r="20">
      <c r="A20" s="9">
        <v>18.0</v>
      </c>
      <c r="B20" s="10" t="s">
        <v>6916</v>
      </c>
      <c r="C20" s="11" t="s">
        <v>6917</v>
      </c>
      <c r="D20" s="12" t="s">
        <v>31</v>
      </c>
      <c r="E20" s="13" t="s">
        <v>6918</v>
      </c>
      <c r="F20" s="12">
        <v>19.0</v>
      </c>
      <c r="G20" s="12">
        <v>2005.0</v>
      </c>
      <c r="H20" s="23">
        <v>0.0</v>
      </c>
      <c r="I20" s="36"/>
      <c r="J20" s="36"/>
      <c r="K20" s="36"/>
      <c r="L20" s="36"/>
      <c r="M20" s="23">
        <v>0.0</v>
      </c>
      <c r="N20" s="36"/>
      <c r="O20" s="21">
        <v>0.0</v>
      </c>
      <c r="P20" s="23">
        <v>0.0</v>
      </c>
      <c r="Q20" s="36"/>
      <c r="R20" s="15">
        <v>1.0</v>
      </c>
      <c r="S20" s="58"/>
      <c r="T20" s="36"/>
      <c r="U20" s="36"/>
      <c r="V20" s="36"/>
      <c r="W20" s="36"/>
      <c r="X20" s="36"/>
      <c r="Y20" s="20" t="s">
        <v>6919</v>
      </c>
    </row>
    <row r="21">
      <c r="A21" s="9">
        <v>19.0</v>
      </c>
      <c r="B21" s="10" t="s">
        <v>6920</v>
      </c>
      <c r="C21" s="11" t="s">
        <v>6921</v>
      </c>
      <c r="D21" s="12" t="s">
        <v>31</v>
      </c>
      <c r="E21" s="13" t="s">
        <v>6922</v>
      </c>
      <c r="F21" s="12">
        <v>16.0</v>
      </c>
      <c r="G21" s="12">
        <v>2009.0</v>
      </c>
      <c r="H21" s="23">
        <v>0.0</v>
      </c>
      <c r="I21" s="36"/>
      <c r="J21" s="36"/>
      <c r="K21" s="36"/>
      <c r="L21" s="36"/>
      <c r="M21" s="23">
        <v>0.0</v>
      </c>
      <c r="N21" s="36"/>
      <c r="O21" s="21">
        <v>0.0</v>
      </c>
      <c r="P21" s="23">
        <v>0.0</v>
      </c>
      <c r="Q21" s="36"/>
      <c r="R21" s="15">
        <v>2.0</v>
      </c>
      <c r="S21" s="58"/>
      <c r="T21" s="36"/>
      <c r="U21" s="36"/>
      <c r="V21" s="36"/>
      <c r="W21" s="36"/>
      <c r="X21" s="36"/>
      <c r="Y21" s="20" t="s">
        <v>6923</v>
      </c>
    </row>
    <row r="22">
      <c r="A22" s="9">
        <v>20.0</v>
      </c>
      <c r="B22" s="10" t="s">
        <v>6924</v>
      </c>
      <c r="C22" s="11" t="s">
        <v>6925</v>
      </c>
      <c r="D22" s="12" t="s">
        <v>31</v>
      </c>
      <c r="E22" s="13" t="s">
        <v>6926</v>
      </c>
      <c r="F22" s="12">
        <v>22.0</v>
      </c>
      <c r="G22" s="12">
        <v>2002.0</v>
      </c>
      <c r="H22" s="14">
        <v>20.0</v>
      </c>
      <c r="I22" s="15">
        <v>689.0</v>
      </c>
      <c r="J22" s="15">
        <v>34.0</v>
      </c>
      <c r="K22" s="15">
        <v>20.1</v>
      </c>
      <c r="L22" s="15">
        <v>7.7</v>
      </c>
      <c r="M22" s="17">
        <v>0.78</v>
      </c>
      <c r="N22" s="15">
        <v>75.0</v>
      </c>
      <c r="O22" s="19">
        <v>0.0</v>
      </c>
      <c r="P22" s="17">
        <v>1.82</v>
      </c>
      <c r="Q22" s="15">
        <v>17.0</v>
      </c>
      <c r="R22" s="18">
        <v>1.04</v>
      </c>
      <c r="S22" s="14">
        <v>1.15</v>
      </c>
      <c r="T22" s="18">
        <v>1.04</v>
      </c>
      <c r="U22" s="18">
        <v>1.3</v>
      </c>
      <c r="V22" s="56">
        <v>-0.26</v>
      </c>
      <c r="W22" s="57">
        <v>-0.26</v>
      </c>
      <c r="X22" s="57">
        <v>-0.23</v>
      </c>
      <c r="Y22" s="20" t="s">
        <v>6927</v>
      </c>
    </row>
    <row r="23">
      <c r="A23" s="9">
        <v>21.0</v>
      </c>
      <c r="B23" s="10" t="s">
        <v>6928</v>
      </c>
      <c r="C23" s="11" t="s">
        <v>6929</v>
      </c>
      <c r="D23" s="12" t="s">
        <v>36</v>
      </c>
      <c r="E23" s="13" t="s">
        <v>6930</v>
      </c>
      <c r="F23" s="12">
        <v>28.0</v>
      </c>
      <c r="G23" s="12">
        <v>1996.0</v>
      </c>
      <c r="H23" s="14">
        <v>33.0</v>
      </c>
      <c r="I23" s="16">
        <v>2798.0</v>
      </c>
      <c r="J23" s="15">
        <v>85.0</v>
      </c>
      <c r="K23" s="15">
        <v>81.8</v>
      </c>
      <c r="L23" s="15">
        <v>31.1</v>
      </c>
      <c r="M23" s="17">
        <v>1.03</v>
      </c>
      <c r="N23" s="15">
        <v>86.0</v>
      </c>
      <c r="O23" s="18">
        <v>0.87</v>
      </c>
      <c r="P23" s="17">
        <v>0.03</v>
      </c>
      <c r="Q23" s="15">
        <v>38.0</v>
      </c>
      <c r="R23" s="18">
        <v>0.06</v>
      </c>
      <c r="S23" s="14">
        <v>1.39</v>
      </c>
      <c r="T23" s="18">
        <v>0.96</v>
      </c>
      <c r="U23" s="18">
        <v>1.29</v>
      </c>
      <c r="V23" s="56">
        <v>-0.32</v>
      </c>
      <c r="W23" s="57">
        <v>-0.32</v>
      </c>
      <c r="X23" s="57">
        <v>-0.9</v>
      </c>
      <c r="Y23" s="20" t="s">
        <v>6931</v>
      </c>
    </row>
    <row r="24">
      <c r="A24" s="9">
        <v>22.0</v>
      </c>
      <c r="B24" s="10" t="s">
        <v>6932</v>
      </c>
      <c r="C24" s="11" t="s">
        <v>6933</v>
      </c>
      <c r="D24" s="12" t="s">
        <v>41</v>
      </c>
      <c r="E24" s="13" t="s">
        <v>6934</v>
      </c>
      <c r="F24" s="12">
        <v>19.0</v>
      </c>
      <c r="G24" s="12">
        <v>2005.0</v>
      </c>
      <c r="H24" s="23">
        <v>0.0</v>
      </c>
      <c r="I24" s="36"/>
      <c r="J24" s="36"/>
      <c r="K24" s="36"/>
      <c r="L24" s="36"/>
      <c r="M24" s="23">
        <v>0.0</v>
      </c>
      <c r="N24" s="36"/>
      <c r="O24" s="21">
        <v>0.0</v>
      </c>
      <c r="P24" s="23">
        <v>0.0</v>
      </c>
      <c r="Q24" s="36"/>
      <c r="R24" s="15">
        <v>2.0</v>
      </c>
      <c r="S24" s="58"/>
      <c r="T24" s="36"/>
      <c r="U24" s="36"/>
      <c r="V24" s="36"/>
      <c r="W24" s="36"/>
      <c r="X24" s="36"/>
      <c r="Y24" s="20" t="s">
        <v>6935</v>
      </c>
    </row>
    <row r="25">
      <c r="A25" s="9">
        <v>23.0</v>
      </c>
      <c r="B25" s="10" t="s">
        <v>6936</v>
      </c>
      <c r="C25" s="11" t="s">
        <v>6937</v>
      </c>
      <c r="D25" s="12" t="s">
        <v>98</v>
      </c>
      <c r="E25" s="13" t="s">
        <v>6938</v>
      </c>
      <c r="F25" s="12">
        <v>32.0</v>
      </c>
      <c r="G25" s="12">
        <v>1992.0</v>
      </c>
      <c r="H25" s="14">
        <v>26.0</v>
      </c>
      <c r="I25" s="16">
        <v>2340.0</v>
      </c>
      <c r="J25" s="15">
        <v>90.0</v>
      </c>
      <c r="K25" s="15">
        <v>68.4</v>
      </c>
      <c r="L25" s="15">
        <v>26.0</v>
      </c>
      <c r="M25" s="17">
        <v>1.0</v>
      </c>
      <c r="N25" s="15">
        <v>90.0</v>
      </c>
      <c r="O25" s="18">
        <v>1.0</v>
      </c>
      <c r="P25" s="22">
        <v>0.0</v>
      </c>
      <c r="Q25" s="36"/>
      <c r="R25" s="19">
        <v>0.0</v>
      </c>
      <c r="S25" s="14">
        <v>1.81</v>
      </c>
      <c r="T25" s="18">
        <v>1.69</v>
      </c>
      <c r="U25" s="18">
        <v>1.19</v>
      </c>
      <c r="V25" s="54">
        <v>0.5</v>
      </c>
      <c r="W25" s="55">
        <f>+0.5</f>
        <v>0.5</v>
      </c>
      <c r="X25" s="55">
        <f>+0.75</f>
        <v>0.75</v>
      </c>
      <c r="Y25" s="20" t="s">
        <v>6939</v>
      </c>
    </row>
    <row r="26">
      <c r="A26" s="9">
        <v>24.0</v>
      </c>
      <c r="B26" s="10" t="s">
        <v>6940</v>
      </c>
      <c r="C26" s="11" t="s">
        <v>6941</v>
      </c>
      <c r="D26" s="12" t="s">
        <v>36</v>
      </c>
      <c r="E26" s="13" t="s">
        <v>6942</v>
      </c>
      <c r="F26" s="12">
        <v>20.0</v>
      </c>
      <c r="G26" s="12">
        <v>2005.0</v>
      </c>
      <c r="H26" s="14">
        <v>2.0</v>
      </c>
      <c r="I26" s="15">
        <v>135.0</v>
      </c>
      <c r="J26" s="15">
        <v>68.0</v>
      </c>
      <c r="K26" s="15">
        <v>3.9</v>
      </c>
      <c r="L26" s="15">
        <v>1.5</v>
      </c>
      <c r="M26" s="17">
        <v>1.33</v>
      </c>
      <c r="N26" s="15">
        <v>68.0</v>
      </c>
      <c r="O26" s="18">
        <v>0.67</v>
      </c>
      <c r="P26" s="22">
        <v>0.0</v>
      </c>
      <c r="Q26" s="36"/>
      <c r="R26" s="18">
        <v>3.33</v>
      </c>
      <c r="S26" s="14">
        <v>0.5</v>
      </c>
      <c r="T26" s="18">
        <v>0.67</v>
      </c>
      <c r="U26" s="18">
        <v>0.67</v>
      </c>
      <c r="V26" s="19">
        <v>0.0</v>
      </c>
      <c r="W26" s="21">
        <v>0.0</v>
      </c>
      <c r="X26" s="57">
        <v>-1.15</v>
      </c>
      <c r="Y26" s="20" t="s">
        <v>6943</v>
      </c>
    </row>
    <row r="27">
      <c r="A27" s="9">
        <v>25.0</v>
      </c>
      <c r="B27" s="10" t="s">
        <v>6944</v>
      </c>
      <c r="C27" s="11" t="s">
        <v>6945</v>
      </c>
      <c r="D27" s="12" t="s">
        <v>345</v>
      </c>
      <c r="E27" s="13" t="s">
        <v>6946</v>
      </c>
      <c r="F27" s="12">
        <v>27.0</v>
      </c>
      <c r="G27" s="12">
        <v>1997.0</v>
      </c>
      <c r="H27" s="23">
        <v>0.0</v>
      </c>
      <c r="I27" s="36"/>
      <c r="J27" s="36"/>
      <c r="K27" s="36"/>
      <c r="L27" s="36"/>
      <c r="M27" s="23">
        <v>0.0</v>
      </c>
      <c r="N27" s="36"/>
      <c r="O27" s="21">
        <v>0.0</v>
      </c>
      <c r="P27" s="23">
        <v>0.0</v>
      </c>
      <c r="Q27" s="36"/>
      <c r="R27" s="15">
        <v>1.0</v>
      </c>
      <c r="S27" s="58"/>
      <c r="T27" s="36"/>
      <c r="U27" s="36"/>
      <c r="V27" s="36"/>
      <c r="W27" s="36"/>
      <c r="X27" s="36"/>
      <c r="Y27" s="20" t="s">
        <v>6947</v>
      </c>
    </row>
    <row r="28">
      <c r="A28" s="37" t="s">
        <v>3</v>
      </c>
      <c r="B28" s="38" t="s">
        <v>4</v>
      </c>
      <c r="C28" s="39" t="s">
        <v>5</v>
      </c>
      <c r="D28" s="39" t="s">
        <v>6</v>
      </c>
      <c r="E28" s="39" t="s">
        <v>7</v>
      </c>
      <c r="F28" s="39" t="s">
        <v>8</v>
      </c>
      <c r="G28" s="39" t="s">
        <v>9</v>
      </c>
      <c r="H28" s="40" t="s">
        <v>10</v>
      </c>
      <c r="I28" s="39" t="s">
        <v>12</v>
      </c>
      <c r="J28" s="39" t="s">
        <v>6838</v>
      </c>
      <c r="K28" s="39" t="s">
        <v>6839</v>
      </c>
      <c r="L28" s="39" t="s">
        <v>13</v>
      </c>
      <c r="M28" s="40" t="s">
        <v>11</v>
      </c>
      <c r="N28" s="39" t="s">
        <v>6840</v>
      </c>
      <c r="O28" s="39" t="s">
        <v>6841</v>
      </c>
      <c r="P28" s="40" t="s">
        <v>6836</v>
      </c>
      <c r="Q28" s="39" t="s">
        <v>6842</v>
      </c>
      <c r="R28" s="39" t="s">
        <v>6843</v>
      </c>
      <c r="S28" s="40" t="s">
        <v>6844</v>
      </c>
      <c r="T28" s="39" t="s">
        <v>6845</v>
      </c>
      <c r="U28" s="39" t="s">
        <v>6846</v>
      </c>
      <c r="V28" s="59" t="str">
        <f>+/-</f>
        <v>#ERROR!</v>
      </c>
      <c r="W28" s="59" t="str">
        <f>+/-90</f>
        <v>#ERROR!</v>
      </c>
      <c r="X28" s="39" t="s">
        <v>6847</v>
      </c>
      <c r="Y28" s="40" t="s">
        <v>23</v>
      </c>
    </row>
    <row r="29">
      <c r="A29" s="9">
        <v>26.0</v>
      </c>
      <c r="B29" s="10" t="s">
        <v>6948</v>
      </c>
      <c r="C29" s="11" t="s">
        <v>6949</v>
      </c>
      <c r="D29" s="12" t="s">
        <v>107</v>
      </c>
      <c r="E29" s="13" t="s">
        <v>6950</v>
      </c>
      <c r="F29" s="12">
        <v>20.0</v>
      </c>
      <c r="G29" s="12">
        <v>2004.0</v>
      </c>
      <c r="H29" s="14">
        <v>1.0</v>
      </c>
      <c r="I29" s="15">
        <v>10.0</v>
      </c>
      <c r="J29" s="15">
        <v>10.0</v>
      </c>
      <c r="K29" s="15">
        <v>0.3</v>
      </c>
      <c r="L29" s="15">
        <v>0.1</v>
      </c>
      <c r="M29" s="22">
        <v>0.0</v>
      </c>
      <c r="N29" s="36"/>
      <c r="O29" s="19">
        <v>0.0</v>
      </c>
      <c r="P29" s="17">
        <v>10.0</v>
      </c>
      <c r="Q29" s="15">
        <v>10.0</v>
      </c>
      <c r="R29" s="18">
        <v>10.0</v>
      </c>
      <c r="S29" s="23">
        <v>0.0</v>
      </c>
      <c r="T29" s="19">
        <v>0.0</v>
      </c>
      <c r="U29" s="19">
        <v>0.0</v>
      </c>
      <c r="V29" s="19">
        <v>0.0</v>
      </c>
      <c r="W29" s="21">
        <v>0.0</v>
      </c>
      <c r="X29" s="55">
        <f>+0.98</f>
        <v>0.98</v>
      </c>
      <c r="Y29" s="20" t="s">
        <v>6951</v>
      </c>
    </row>
    <row r="30">
      <c r="A30" s="9">
        <v>27.0</v>
      </c>
      <c r="B30" s="10" t="s">
        <v>6952</v>
      </c>
      <c r="C30" s="11" t="s">
        <v>6953</v>
      </c>
      <c r="D30" s="12" t="s">
        <v>107</v>
      </c>
      <c r="E30" s="13" t="s">
        <v>6954</v>
      </c>
      <c r="F30" s="12">
        <v>24.0</v>
      </c>
      <c r="G30" s="12">
        <v>2000.0</v>
      </c>
      <c r="H30" s="14">
        <v>4.0</v>
      </c>
      <c r="I30" s="15">
        <v>73.0</v>
      </c>
      <c r="J30" s="15">
        <v>18.0</v>
      </c>
      <c r="K30" s="15">
        <v>2.1</v>
      </c>
      <c r="L30" s="15">
        <v>0.8</v>
      </c>
      <c r="M30" s="22">
        <v>0.0</v>
      </c>
      <c r="N30" s="36"/>
      <c r="O30" s="19">
        <v>0.0</v>
      </c>
      <c r="P30" s="17">
        <v>5.0</v>
      </c>
      <c r="Q30" s="15">
        <v>18.0</v>
      </c>
      <c r="R30" s="19">
        <v>0.0</v>
      </c>
      <c r="S30" s="14">
        <v>0.5</v>
      </c>
      <c r="T30" s="19">
        <v>0.0</v>
      </c>
      <c r="U30" s="19">
        <v>0.0</v>
      </c>
      <c r="V30" s="19">
        <v>0.0</v>
      </c>
      <c r="W30" s="21">
        <v>0.0</v>
      </c>
      <c r="X30" s="55">
        <f>+0.99</f>
        <v>0.99</v>
      </c>
      <c r="Y30" s="20" t="s">
        <v>6955</v>
      </c>
    </row>
    <row r="31">
      <c r="A31" s="9">
        <v>28.0</v>
      </c>
      <c r="B31" s="10" t="s">
        <v>6956</v>
      </c>
      <c r="C31" s="11" t="s">
        <v>6957</v>
      </c>
      <c r="D31" s="12" t="s">
        <v>36</v>
      </c>
      <c r="E31" s="13" t="s">
        <v>6958</v>
      </c>
      <c r="F31" s="12">
        <v>18.0</v>
      </c>
      <c r="G31" s="12">
        <v>2007.0</v>
      </c>
      <c r="H31" s="23">
        <v>0.0</v>
      </c>
      <c r="I31" s="36"/>
      <c r="J31" s="36"/>
      <c r="K31" s="36"/>
      <c r="L31" s="36"/>
      <c r="M31" s="23">
        <v>0.0</v>
      </c>
      <c r="N31" s="36"/>
      <c r="O31" s="21">
        <v>0.0</v>
      </c>
      <c r="P31" s="23">
        <v>0.0</v>
      </c>
      <c r="Q31" s="36"/>
      <c r="R31" s="15">
        <v>5.0</v>
      </c>
      <c r="S31" s="58"/>
      <c r="T31" s="36"/>
      <c r="U31" s="36"/>
      <c r="V31" s="36"/>
      <c r="W31" s="36"/>
      <c r="X31" s="36"/>
      <c r="Y31" s="20" t="s">
        <v>6959</v>
      </c>
    </row>
    <row r="32">
      <c r="A32" s="9">
        <v>29.0</v>
      </c>
      <c r="B32" s="10" t="s">
        <v>6960</v>
      </c>
      <c r="C32" s="11" t="s">
        <v>6961</v>
      </c>
      <c r="D32" s="12" t="s">
        <v>31</v>
      </c>
      <c r="E32" s="13" t="s">
        <v>6962</v>
      </c>
      <c r="F32" s="12">
        <v>24.0</v>
      </c>
      <c r="G32" s="12">
        <v>2000.0</v>
      </c>
      <c r="H32" s="14">
        <v>35.0</v>
      </c>
      <c r="I32" s="16">
        <v>3119.0</v>
      </c>
      <c r="J32" s="15">
        <v>89.0</v>
      </c>
      <c r="K32" s="15">
        <v>91.2</v>
      </c>
      <c r="L32" s="15">
        <v>34.7</v>
      </c>
      <c r="M32" s="17">
        <v>1.01</v>
      </c>
      <c r="N32" s="15">
        <v>89.0</v>
      </c>
      <c r="O32" s="18">
        <v>0.89</v>
      </c>
      <c r="P32" s="22">
        <v>0.0</v>
      </c>
      <c r="Q32" s="36"/>
      <c r="R32" s="19">
        <v>0.0</v>
      </c>
      <c r="S32" s="14">
        <v>1.29</v>
      </c>
      <c r="T32" s="18">
        <v>1.3</v>
      </c>
      <c r="U32" s="18">
        <v>1.41</v>
      </c>
      <c r="V32" s="56">
        <v>-0.12</v>
      </c>
      <c r="W32" s="57">
        <v>-0.12</v>
      </c>
      <c r="X32" s="55">
        <f>+0.78</f>
        <v>0.78</v>
      </c>
      <c r="Y32" s="20" t="s">
        <v>6963</v>
      </c>
    </row>
    <row r="33">
      <c r="A33" s="9">
        <v>30.0</v>
      </c>
      <c r="B33" s="10" t="s">
        <v>6964</v>
      </c>
      <c r="C33" s="11" t="s">
        <v>6965</v>
      </c>
      <c r="D33" s="12" t="s">
        <v>36</v>
      </c>
      <c r="E33" s="13" t="s">
        <v>6966</v>
      </c>
      <c r="F33" s="12">
        <v>29.0</v>
      </c>
      <c r="G33" s="12">
        <v>1996.0</v>
      </c>
      <c r="H33" s="14">
        <v>33.0</v>
      </c>
      <c r="I33" s="16">
        <v>2875.0</v>
      </c>
      <c r="J33" s="15">
        <v>87.0</v>
      </c>
      <c r="K33" s="15">
        <v>84.1</v>
      </c>
      <c r="L33" s="15">
        <v>31.9</v>
      </c>
      <c r="M33" s="17">
        <v>1.03</v>
      </c>
      <c r="N33" s="15">
        <v>87.0</v>
      </c>
      <c r="O33" s="18">
        <v>0.97</v>
      </c>
      <c r="P33" s="22">
        <v>0.0</v>
      </c>
      <c r="Q33" s="36"/>
      <c r="R33" s="18">
        <v>0.03</v>
      </c>
      <c r="S33" s="14">
        <v>1.36</v>
      </c>
      <c r="T33" s="18">
        <v>1.29</v>
      </c>
      <c r="U33" s="18">
        <v>1.38</v>
      </c>
      <c r="V33" s="56">
        <v>-0.09</v>
      </c>
      <c r="W33" s="57">
        <v>-0.09</v>
      </c>
      <c r="X33" s="55">
        <f>+0.07</f>
        <v>0.07</v>
      </c>
      <c r="Y33" s="20" t="s">
        <v>6967</v>
      </c>
    </row>
    <row r="34">
      <c r="A34" s="9">
        <v>31.0</v>
      </c>
      <c r="B34" s="10" t="s">
        <v>6968</v>
      </c>
      <c r="C34" s="11" t="s">
        <v>6969</v>
      </c>
      <c r="D34" s="12" t="s">
        <v>31</v>
      </c>
      <c r="E34" s="13" t="s">
        <v>6970</v>
      </c>
      <c r="F34" s="12">
        <v>22.0</v>
      </c>
      <c r="G34" s="12">
        <v>2002.0</v>
      </c>
      <c r="H34" s="14">
        <v>38.0</v>
      </c>
      <c r="I34" s="16">
        <v>3331.0</v>
      </c>
      <c r="J34" s="15">
        <v>88.0</v>
      </c>
      <c r="K34" s="15">
        <v>97.4</v>
      </c>
      <c r="L34" s="15">
        <v>37.0</v>
      </c>
      <c r="M34" s="17">
        <v>1.0</v>
      </c>
      <c r="N34" s="15">
        <v>89.0</v>
      </c>
      <c r="O34" s="18">
        <v>0.89</v>
      </c>
      <c r="P34" s="17">
        <v>0.03</v>
      </c>
      <c r="Q34" s="15">
        <v>45.0</v>
      </c>
      <c r="R34" s="19">
        <v>0.0</v>
      </c>
      <c r="S34" s="14">
        <v>1.16</v>
      </c>
      <c r="T34" s="18">
        <v>1.24</v>
      </c>
      <c r="U34" s="18">
        <v>1.35</v>
      </c>
      <c r="V34" s="56">
        <v>-0.11</v>
      </c>
      <c r="W34" s="57">
        <v>-0.11</v>
      </c>
      <c r="X34" s="57">
        <v>-1.12</v>
      </c>
      <c r="Y34" s="20" t="s">
        <v>6971</v>
      </c>
    </row>
    <row r="35">
      <c r="A35" s="9">
        <v>32.0</v>
      </c>
      <c r="B35" s="10" t="s">
        <v>6972</v>
      </c>
      <c r="C35" s="11" t="s">
        <v>6973</v>
      </c>
      <c r="D35" s="12" t="s">
        <v>31</v>
      </c>
      <c r="E35" s="13" t="s">
        <v>6974</v>
      </c>
      <c r="F35" s="12">
        <v>24.0</v>
      </c>
      <c r="G35" s="12">
        <v>2001.0</v>
      </c>
      <c r="H35" s="14">
        <v>35.0</v>
      </c>
      <c r="I35" s="16">
        <v>2762.0</v>
      </c>
      <c r="J35" s="15">
        <v>79.0</v>
      </c>
      <c r="K35" s="15">
        <v>80.8</v>
      </c>
      <c r="L35" s="15">
        <v>30.7</v>
      </c>
      <c r="M35" s="17">
        <v>0.98</v>
      </c>
      <c r="N35" s="15">
        <v>86.0</v>
      </c>
      <c r="O35" s="18">
        <v>0.78</v>
      </c>
      <c r="P35" s="17">
        <v>0.16</v>
      </c>
      <c r="Q35" s="15">
        <v>34.0</v>
      </c>
      <c r="R35" s="19">
        <v>0.0</v>
      </c>
      <c r="S35" s="14">
        <v>0.51</v>
      </c>
      <c r="T35" s="18">
        <v>0.62</v>
      </c>
      <c r="U35" s="18">
        <v>1.73</v>
      </c>
      <c r="V35" s="56">
        <v>-1.11</v>
      </c>
      <c r="W35" s="57">
        <v>-1.11</v>
      </c>
      <c r="X35" s="57">
        <v>-0.15</v>
      </c>
      <c r="Y35" s="20" t="s">
        <v>6975</v>
      </c>
    </row>
    <row r="36">
      <c r="A36" s="9">
        <v>33.0</v>
      </c>
      <c r="B36" s="10" t="s">
        <v>6976</v>
      </c>
      <c r="C36" s="11" t="s">
        <v>6977</v>
      </c>
      <c r="D36" s="12" t="s">
        <v>31</v>
      </c>
      <c r="E36" s="13" t="s">
        <v>6978</v>
      </c>
      <c r="F36" s="12">
        <v>22.0</v>
      </c>
      <c r="G36" s="12">
        <v>2003.0</v>
      </c>
      <c r="H36" s="14">
        <v>8.0</v>
      </c>
      <c r="I36" s="15">
        <v>404.0</v>
      </c>
      <c r="J36" s="15">
        <v>51.0</v>
      </c>
      <c r="K36" s="15">
        <v>11.8</v>
      </c>
      <c r="L36" s="15">
        <v>4.5</v>
      </c>
      <c r="M36" s="17">
        <v>1.11</v>
      </c>
      <c r="N36" s="15">
        <v>74.0</v>
      </c>
      <c r="O36" s="19">
        <v>0.0</v>
      </c>
      <c r="P36" s="17">
        <v>0.67</v>
      </c>
      <c r="Q36" s="15">
        <v>11.0</v>
      </c>
      <c r="R36" s="19">
        <v>0.0</v>
      </c>
      <c r="S36" s="14">
        <v>1.38</v>
      </c>
      <c r="T36" s="18">
        <v>0.89</v>
      </c>
      <c r="U36" s="18">
        <v>1.33</v>
      </c>
      <c r="V36" s="56">
        <v>-0.44</v>
      </c>
      <c r="W36" s="57">
        <v>-0.45</v>
      </c>
      <c r="X36" s="57">
        <v>-0.33</v>
      </c>
      <c r="Y36" s="20" t="s">
        <v>6979</v>
      </c>
    </row>
    <row r="37">
      <c r="A37" s="9">
        <v>34.0</v>
      </c>
      <c r="B37" s="10" t="s">
        <v>6980</v>
      </c>
      <c r="C37" s="11" t="s">
        <v>6981</v>
      </c>
      <c r="D37" s="12" t="s">
        <v>41</v>
      </c>
      <c r="E37" s="13" t="s">
        <v>6982</v>
      </c>
      <c r="F37" s="12">
        <v>17.0</v>
      </c>
      <c r="G37" s="12">
        <v>2007.0</v>
      </c>
      <c r="H37" s="23">
        <v>0.0</v>
      </c>
      <c r="I37" s="36"/>
      <c r="J37" s="36"/>
      <c r="K37" s="36"/>
      <c r="L37" s="36"/>
      <c r="M37" s="23">
        <v>0.0</v>
      </c>
      <c r="N37" s="36"/>
      <c r="O37" s="21">
        <v>0.0</v>
      </c>
      <c r="P37" s="23">
        <v>0.0</v>
      </c>
      <c r="Q37" s="36"/>
      <c r="R37" s="15">
        <v>2.0</v>
      </c>
      <c r="S37" s="58"/>
      <c r="T37" s="36"/>
      <c r="U37" s="36"/>
      <c r="V37" s="36"/>
      <c r="W37" s="36"/>
      <c r="X37" s="36"/>
      <c r="Y37" s="20" t="s">
        <v>6983</v>
      </c>
    </row>
    <row r="38">
      <c r="A38" s="9">
        <v>35.0</v>
      </c>
      <c r="B38" s="10" t="s">
        <v>6984</v>
      </c>
      <c r="C38" s="11" t="s">
        <v>6985</v>
      </c>
      <c r="D38" s="12" t="s">
        <v>31</v>
      </c>
      <c r="E38" s="13" t="s">
        <v>6986</v>
      </c>
      <c r="F38" s="12">
        <v>25.0</v>
      </c>
      <c r="G38" s="12">
        <v>1999.0</v>
      </c>
      <c r="H38" s="14">
        <v>37.0</v>
      </c>
      <c r="I38" s="16">
        <v>2722.0</v>
      </c>
      <c r="J38" s="15">
        <v>74.0</v>
      </c>
      <c r="K38" s="15">
        <v>79.6</v>
      </c>
      <c r="L38" s="15">
        <v>30.2</v>
      </c>
      <c r="M38" s="17">
        <v>1.06</v>
      </c>
      <c r="N38" s="15">
        <v>82.0</v>
      </c>
      <c r="O38" s="18">
        <v>0.43</v>
      </c>
      <c r="P38" s="17">
        <v>0.17</v>
      </c>
      <c r="Q38" s="15">
        <v>17.0</v>
      </c>
      <c r="R38" s="18">
        <v>0.03</v>
      </c>
      <c r="S38" s="14">
        <v>0.59</v>
      </c>
      <c r="T38" s="18">
        <v>0.99</v>
      </c>
      <c r="U38" s="18">
        <v>1.95</v>
      </c>
      <c r="V38" s="56">
        <v>-0.96</v>
      </c>
      <c r="W38" s="57">
        <v>-0.96</v>
      </c>
      <c r="X38" s="55">
        <f>+0.07</f>
        <v>0.07</v>
      </c>
      <c r="Y38" s="20" t="s">
        <v>6987</v>
      </c>
    </row>
    <row r="39">
      <c r="A39" s="9">
        <v>36.0</v>
      </c>
      <c r="B39" s="10" t="s">
        <v>6988</v>
      </c>
      <c r="C39" s="11" t="s">
        <v>6989</v>
      </c>
      <c r="D39" s="12" t="s">
        <v>36</v>
      </c>
      <c r="E39" s="13" t="s">
        <v>6990</v>
      </c>
      <c r="F39" s="12">
        <v>23.0</v>
      </c>
      <c r="G39" s="12">
        <v>2001.0</v>
      </c>
      <c r="H39" s="23">
        <v>0.0</v>
      </c>
      <c r="I39" s="36"/>
      <c r="J39" s="36"/>
      <c r="K39" s="36"/>
      <c r="L39" s="36"/>
      <c r="M39" s="23">
        <v>0.0</v>
      </c>
      <c r="N39" s="36"/>
      <c r="O39" s="21">
        <v>0.0</v>
      </c>
      <c r="P39" s="23">
        <v>0.0</v>
      </c>
      <c r="Q39" s="36"/>
      <c r="R39" s="15">
        <v>8.0</v>
      </c>
      <c r="S39" s="58"/>
      <c r="T39" s="36"/>
      <c r="U39" s="36"/>
      <c r="V39" s="36"/>
      <c r="W39" s="36"/>
      <c r="X39" s="36"/>
      <c r="Y39" s="20" t="s">
        <v>6991</v>
      </c>
    </row>
    <row r="40">
      <c r="A40" s="9">
        <v>37.0</v>
      </c>
      <c r="B40" s="10" t="s">
        <v>6992</v>
      </c>
      <c r="C40" s="11" t="s">
        <v>6993</v>
      </c>
      <c r="D40" s="12" t="s">
        <v>98</v>
      </c>
      <c r="E40" s="13" t="s">
        <v>6994</v>
      </c>
      <c r="F40" s="12">
        <v>32.0</v>
      </c>
      <c r="G40" s="12">
        <v>1993.0</v>
      </c>
      <c r="H40" s="14">
        <v>20.0</v>
      </c>
      <c r="I40" s="16">
        <v>1800.0</v>
      </c>
      <c r="J40" s="15">
        <v>90.0</v>
      </c>
      <c r="K40" s="15">
        <v>52.6</v>
      </c>
      <c r="L40" s="15">
        <v>20.0</v>
      </c>
      <c r="M40" s="17">
        <v>1.0</v>
      </c>
      <c r="N40" s="15">
        <v>90.0</v>
      </c>
      <c r="O40" s="18">
        <v>1.0</v>
      </c>
      <c r="P40" s="22">
        <v>0.0</v>
      </c>
      <c r="Q40" s="36"/>
      <c r="R40" s="18">
        <v>0.9</v>
      </c>
      <c r="S40" s="14">
        <v>0.85</v>
      </c>
      <c r="T40" s="18">
        <v>1.25</v>
      </c>
      <c r="U40" s="18">
        <v>1.85</v>
      </c>
      <c r="V40" s="56">
        <v>-0.6</v>
      </c>
      <c r="W40" s="57">
        <v>-0.6</v>
      </c>
      <c r="X40" s="57">
        <v>-0.21</v>
      </c>
      <c r="Y40" s="20" t="s">
        <v>6995</v>
      </c>
    </row>
    <row r="41">
      <c r="A41" s="9">
        <v>38.0</v>
      </c>
      <c r="B41" s="10" t="s">
        <v>6996</v>
      </c>
      <c r="C41" s="11" t="s">
        <v>6997</v>
      </c>
      <c r="D41" s="12" t="s">
        <v>107</v>
      </c>
      <c r="E41" s="13" t="s">
        <v>6998</v>
      </c>
      <c r="F41" s="12">
        <v>27.0</v>
      </c>
      <c r="G41" s="12">
        <v>1997.0</v>
      </c>
      <c r="H41" s="14">
        <v>23.0</v>
      </c>
      <c r="I41" s="16">
        <v>1124.0</v>
      </c>
      <c r="J41" s="15">
        <v>49.0</v>
      </c>
      <c r="K41" s="15">
        <v>32.9</v>
      </c>
      <c r="L41" s="15">
        <v>12.5</v>
      </c>
      <c r="M41" s="17">
        <v>1.12</v>
      </c>
      <c r="N41" s="15">
        <v>71.0</v>
      </c>
      <c r="O41" s="18">
        <v>0.16</v>
      </c>
      <c r="P41" s="17">
        <v>0.72</v>
      </c>
      <c r="Q41" s="15">
        <v>15.0</v>
      </c>
      <c r="R41" s="18">
        <v>0.08</v>
      </c>
      <c r="S41" s="14">
        <v>0.35</v>
      </c>
      <c r="T41" s="18">
        <v>0.88</v>
      </c>
      <c r="U41" s="18">
        <v>1.68</v>
      </c>
      <c r="V41" s="56">
        <v>-0.8</v>
      </c>
      <c r="W41" s="57">
        <v>-0.8</v>
      </c>
      <c r="X41" s="55">
        <f>+0.41</f>
        <v>0.41</v>
      </c>
      <c r="Y41" s="20" t="s">
        <v>6999</v>
      </c>
    </row>
    <row r="42">
      <c r="A42" s="9">
        <v>39.0</v>
      </c>
      <c r="B42" s="10" t="s">
        <v>7000</v>
      </c>
      <c r="C42" s="11" t="s">
        <v>7001</v>
      </c>
      <c r="D42" s="12" t="s">
        <v>107</v>
      </c>
      <c r="E42" s="13" t="s">
        <v>7002</v>
      </c>
      <c r="F42" s="12">
        <v>28.0</v>
      </c>
      <c r="G42" s="12">
        <v>1997.0</v>
      </c>
      <c r="H42" s="14">
        <v>14.0</v>
      </c>
      <c r="I42" s="16">
        <v>1140.0</v>
      </c>
      <c r="J42" s="15">
        <v>81.0</v>
      </c>
      <c r="K42" s="15">
        <v>33.3</v>
      </c>
      <c r="L42" s="15">
        <v>12.7</v>
      </c>
      <c r="M42" s="17">
        <v>1.1</v>
      </c>
      <c r="N42" s="15">
        <v>81.0</v>
      </c>
      <c r="O42" s="18">
        <v>0.55</v>
      </c>
      <c r="P42" s="22">
        <v>0.0</v>
      </c>
      <c r="Q42" s="36"/>
      <c r="R42" s="19">
        <v>0.0</v>
      </c>
      <c r="S42" s="14">
        <v>0.86</v>
      </c>
      <c r="T42" s="18">
        <v>0.71</v>
      </c>
      <c r="U42" s="18">
        <v>1.57</v>
      </c>
      <c r="V42" s="56">
        <v>-0.87</v>
      </c>
      <c r="W42" s="57">
        <v>-0.87</v>
      </c>
      <c r="X42" s="55">
        <f>+0.32</f>
        <v>0.32</v>
      </c>
      <c r="Y42" s="20" t="s">
        <v>7003</v>
      </c>
    </row>
    <row r="43">
      <c r="A43" s="9">
        <v>40.0</v>
      </c>
      <c r="B43" s="10" t="s">
        <v>7004</v>
      </c>
      <c r="C43" s="11" t="s">
        <v>7005</v>
      </c>
      <c r="D43" s="12" t="s">
        <v>31</v>
      </c>
      <c r="E43" s="13" t="s">
        <v>7006</v>
      </c>
      <c r="F43" s="12">
        <v>18.0</v>
      </c>
      <c r="G43" s="12">
        <v>2007.0</v>
      </c>
      <c r="H43" s="14">
        <v>13.0</v>
      </c>
      <c r="I43" s="15">
        <v>529.0</v>
      </c>
      <c r="J43" s="15">
        <v>41.0</v>
      </c>
      <c r="K43" s="15">
        <v>15.5</v>
      </c>
      <c r="L43" s="15">
        <v>5.9</v>
      </c>
      <c r="M43" s="17">
        <v>1.02</v>
      </c>
      <c r="N43" s="15">
        <v>73.0</v>
      </c>
      <c r="O43" s="18">
        <v>0.17</v>
      </c>
      <c r="P43" s="17">
        <v>1.19</v>
      </c>
      <c r="Q43" s="15">
        <v>13.0</v>
      </c>
      <c r="R43" s="18">
        <v>1.19</v>
      </c>
      <c r="S43" s="14">
        <v>1.23</v>
      </c>
      <c r="T43" s="18">
        <v>0.68</v>
      </c>
      <c r="U43" s="18">
        <v>1.86</v>
      </c>
      <c r="V43" s="56">
        <v>-1.19</v>
      </c>
      <c r="W43" s="57">
        <v>-1.19</v>
      </c>
      <c r="X43" s="57">
        <v>-1.32</v>
      </c>
      <c r="Y43" s="20" t="s">
        <v>7007</v>
      </c>
    </row>
    <row r="44">
      <c r="A44" s="9">
        <v>41.0</v>
      </c>
      <c r="B44" s="10" t="s">
        <v>7008</v>
      </c>
      <c r="C44" s="11" t="s">
        <v>7009</v>
      </c>
      <c r="D44" s="12" t="s">
        <v>41</v>
      </c>
      <c r="E44" s="13" t="s">
        <v>7010</v>
      </c>
      <c r="F44" s="12">
        <v>24.0</v>
      </c>
      <c r="G44" s="12">
        <v>2000.0</v>
      </c>
      <c r="H44" s="14">
        <v>33.0</v>
      </c>
      <c r="I44" s="16">
        <v>1419.0</v>
      </c>
      <c r="J44" s="15">
        <v>43.0</v>
      </c>
      <c r="K44" s="15">
        <v>41.5</v>
      </c>
      <c r="L44" s="15">
        <v>15.8</v>
      </c>
      <c r="M44" s="17">
        <v>0.82</v>
      </c>
      <c r="N44" s="15">
        <v>82.0</v>
      </c>
      <c r="O44" s="18">
        <v>0.44</v>
      </c>
      <c r="P44" s="17">
        <v>1.27</v>
      </c>
      <c r="Q44" s="15">
        <v>18.0</v>
      </c>
      <c r="R44" s="18">
        <v>0.13</v>
      </c>
      <c r="S44" s="14">
        <v>0.61</v>
      </c>
      <c r="T44" s="18">
        <v>1.01</v>
      </c>
      <c r="U44" s="18">
        <v>1.77</v>
      </c>
      <c r="V44" s="56">
        <v>-0.76</v>
      </c>
      <c r="W44" s="57">
        <v>-0.76</v>
      </c>
      <c r="X44" s="55">
        <f>+0.54</f>
        <v>0.54</v>
      </c>
      <c r="Y44" s="20" t="s">
        <v>7011</v>
      </c>
    </row>
    <row r="45">
      <c r="A45" s="9">
        <v>42.0</v>
      </c>
      <c r="B45" s="10" t="s">
        <v>7012</v>
      </c>
      <c r="C45" s="11" t="s">
        <v>7013</v>
      </c>
      <c r="D45" s="12" t="s">
        <v>98</v>
      </c>
      <c r="E45" s="13" t="s">
        <v>7014</v>
      </c>
      <c r="F45" s="12">
        <v>30.0</v>
      </c>
      <c r="G45" s="12">
        <v>1994.0</v>
      </c>
      <c r="H45" s="14">
        <v>1.0</v>
      </c>
      <c r="I45" s="15">
        <v>90.0</v>
      </c>
      <c r="J45" s="15">
        <v>90.0</v>
      </c>
      <c r="K45" s="15">
        <v>2.6</v>
      </c>
      <c r="L45" s="15">
        <v>1.0</v>
      </c>
      <c r="M45" s="17">
        <v>1.0</v>
      </c>
      <c r="N45" s="15">
        <v>90.0</v>
      </c>
      <c r="O45" s="18">
        <v>1.0</v>
      </c>
      <c r="P45" s="22">
        <v>0.0</v>
      </c>
      <c r="Q45" s="36"/>
      <c r="R45" s="18">
        <v>37.0</v>
      </c>
      <c r="S45" s="14">
        <v>3.0</v>
      </c>
      <c r="T45" s="18">
        <v>2.0</v>
      </c>
      <c r="U45" s="18">
        <v>1.0</v>
      </c>
      <c r="V45" s="54">
        <v>1.0</v>
      </c>
      <c r="W45" s="55">
        <f>+1</f>
        <v>1</v>
      </c>
      <c r="X45" s="57">
        <v>-0.16</v>
      </c>
      <c r="Y45" s="20" t="s">
        <v>7015</v>
      </c>
    </row>
    <row r="46">
      <c r="A46" s="9">
        <v>43.0</v>
      </c>
      <c r="B46" s="10" t="s">
        <v>7016</v>
      </c>
      <c r="C46" s="11" t="s">
        <v>7017</v>
      </c>
      <c r="D46" s="12" t="s">
        <v>36</v>
      </c>
      <c r="E46" s="13" t="s">
        <v>7018</v>
      </c>
      <c r="F46" s="12">
        <v>19.0</v>
      </c>
      <c r="G46" s="12">
        <v>2005.0</v>
      </c>
      <c r="H46" s="23">
        <v>0.0</v>
      </c>
      <c r="I46" s="36"/>
      <c r="J46" s="36"/>
      <c r="K46" s="36"/>
      <c r="L46" s="36"/>
      <c r="M46" s="23">
        <v>0.0</v>
      </c>
      <c r="N46" s="36"/>
      <c r="O46" s="21">
        <v>0.0</v>
      </c>
      <c r="P46" s="23">
        <v>0.0</v>
      </c>
      <c r="Q46" s="36"/>
      <c r="R46" s="15">
        <v>2.0</v>
      </c>
      <c r="S46" s="58"/>
      <c r="T46" s="36"/>
      <c r="U46" s="36"/>
      <c r="V46" s="36"/>
      <c r="W46" s="36"/>
      <c r="X46" s="36"/>
      <c r="Y46" s="20" t="s">
        <v>7019</v>
      </c>
    </row>
    <row r="47">
      <c r="A47" s="9">
        <v>44.0</v>
      </c>
      <c r="B47" s="10" t="s">
        <v>7020</v>
      </c>
      <c r="C47" s="11" t="s">
        <v>7021</v>
      </c>
      <c r="D47" s="12" t="s">
        <v>98</v>
      </c>
      <c r="E47" s="13" t="s">
        <v>7022</v>
      </c>
      <c r="F47" s="12">
        <v>26.0</v>
      </c>
      <c r="G47" s="12">
        <v>1999.0</v>
      </c>
      <c r="H47" s="23">
        <v>0.0</v>
      </c>
      <c r="I47" s="36"/>
      <c r="J47" s="36"/>
      <c r="K47" s="36"/>
      <c r="L47" s="36"/>
      <c r="M47" s="23">
        <v>0.0</v>
      </c>
      <c r="N47" s="36"/>
      <c r="O47" s="21">
        <v>0.0</v>
      </c>
      <c r="P47" s="23">
        <v>0.0</v>
      </c>
      <c r="Q47" s="36"/>
      <c r="R47" s="15">
        <v>10.0</v>
      </c>
      <c r="S47" s="58"/>
      <c r="T47" s="36"/>
      <c r="U47" s="36"/>
      <c r="V47" s="36"/>
      <c r="W47" s="36"/>
      <c r="X47" s="36"/>
      <c r="Y47" s="20" t="s">
        <v>7023</v>
      </c>
    </row>
    <row r="48">
      <c r="A48" s="9">
        <v>45.0</v>
      </c>
      <c r="B48" s="10" t="s">
        <v>7024</v>
      </c>
      <c r="C48" s="11" t="s">
        <v>7025</v>
      </c>
      <c r="D48" s="12" t="s">
        <v>41</v>
      </c>
      <c r="E48" s="13" t="s">
        <v>7026</v>
      </c>
      <c r="F48" s="12">
        <v>27.0</v>
      </c>
      <c r="G48" s="12">
        <v>1997.0</v>
      </c>
      <c r="H48" s="14">
        <v>17.0</v>
      </c>
      <c r="I48" s="15">
        <v>494.0</v>
      </c>
      <c r="J48" s="15">
        <v>29.0</v>
      </c>
      <c r="K48" s="15">
        <v>14.4</v>
      </c>
      <c r="L48" s="15">
        <v>5.5</v>
      </c>
      <c r="M48" s="17">
        <v>0.55</v>
      </c>
      <c r="N48" s="15">
        <v>69.0</v>
      </c>
      <c r="O48" s="18">
        <v>0.18</v>
      </c>
      <c r="P48" s="17">
        <v>2.55</v>
      </c>
      <c r="Q48" s="15">
        <v>21.0</v>
      </c>
      <c r="R48" s="18">
        <v>1.45</v>
      </c>
      <c r="S48" s="14">
        <v>1.18</v>
      </c>
      <c r="T48" s="18">
        <v>1.64</v>
      </c>
      <c r="U48" s="18">
        <v>0.73</v>
      </c>
      <c r="V48" s="54">
        <v>0.91</v>
      </c>
      <c r="W48" s="55">
        <f>+0.91</f>
        <v>0.91</v>
      </c>
      <c r="X48" s="55">
        <f>+1.16</f>
        <v>1.16</v>
      </c>
      <c r="Y48" s="20" t="s">
        <v>7027</v>
      </c>
    </row>
    <row r="49">
      <c r="A49" s="9">
        <v>46.0</v>
      </c>
      <c r="B49" s="10" t="s">
        <v>7028</v>
      </c>
      <c r="C49" s="11" t="s">
        <v>7029</v>
      </c>
      <c r="D49" s="12" t="s">
        <v>31</v>
      </c>
      <c r="E49" s="13" t="s">
        <v>7030</v>
      </c>
      <c r="F49" s="12">
        <v>21.0</v>
      </c>
      <c r="G49" s="12">
        <v>2003.0</v>
      </c>
      <c r="H49" s="14">
        <v>29.0</v>
      </c>
      <c r="I49" s="16">
        <v>1929.0</v>
      </c>
      <c r="J49" s="15">
        <v>67.0</v>
      </c>
      <c r="K49" s="15">
        <v>56.4</v>
      </c>
      <c r="L49" s="15">
        <v>21.4</v>
      </c>
      <c r="M49" s="17">
        <v>0.93</v>
      </c>
      <c r="N49" s="15">
        <v>86.0</v>
      </c>
      <c r="O49" s="18">
        <v>0.7</v>
      </c>
      <c r="P49" s="17">
        <v>0.42</v>
      </c>
      <c r="Q49" s="15">
        <v>22.0</v>
      </c>
      <c r="R49" s="18">
        <v>0.09</v>
      </c>
      <c r="S49" s="14">
        <v>1.55</v>
      </c>
      <c r="T49" s="18">
        <v>1.5</v>
      </c>
      <c r="U49" s="18">
        <v>1.12</v>
      </c>
      <c r="V49" s="54">
        <v>0.37</v>
      </c>
      <c r="W49" s="55">
        <f>+0.37</f>
        <v>0.37</v>
      </c>
      <c r="X49" s="55">
        <f>+0.49</f>
        <v>0.49</v>
      </c>
      <c r="Y49" s="20" t="s">
        <v>7031</v>
      </c>
    </row>
    <row r="50">
      <c r="A50" s="9">
        <v>47.0</v>
      </c>
      <c r="B50" s="10" t="s">
        <v>7032</v>
      </c>
      <c r="C50" s="11" t="s">
        <v>7033</v>
      </c>
      <c r="D50" s="12" t="s">
        <v>36</v>
      </c>
      <c r="E50" s="13" t="s">
        <v>7034</v>
      </c>
      <c r="F50" s="12">
        <v>19.0</v>
      </c>
      <c r="G50" s="12">
        <v>2006.0</v>
      </c>
      <c r="H50" s="23">
        <v>0.0</v>
      </c>
      <c r="I50" s="36"/>
      <c r="J50" s="36"/>
      <c r="K50" s="36"/>
      <c r="L50" s="36"/>
      <c r="M50" s="23">
        <v>0.0</v>
      </c>
      <c r="N50" s="36"/>
      <c r="O50" s="21">
        <v>0.0</v>
      </c>
      <c r="P50" s="23">
        <v>0.0</v>
      </c>
      <c r="Q50" s="36"/>
      <c r="R50" s="15">
        <v>22.0</v>
      </c>
      <c r="S50" s="58"/>
      <c r="T50" s="36"/>
      <c r="U50" s="36"/>
      <c r="V50" s="36"/>
      <c r="W50" s="36"/>
      <c r="X50" s="36"/>
      <c r="Y50" s="20" t="s">
        <v>7035</v>
      </c>
    </row>
    <row r="51">
      <c r="A51" s="9">
        <v>48.0</v>
      </c>
      <c r="B51" s="10" t="s">
        <v>7036</v>
      </c>
      <c r="C51" s="11" t="s">
        <v>7037</v>
      </c>
      <c r="D51" s="12" t="s">
        <v>36</v>
      </c>
      <c r="E51" s="13" t="s">
        <v>7038</v>
      </c>
      <c r="F51" s="12">
        <v>24.0</v>
      </c>
      <c r="G51" s="12">
        <v>2001.0</v>
      </c>
      <c r="H51" s="14">
        <v>8.0</v>
      </c>
      <c r="I51" s="15">
        <v>471.0</v>
      </c>
      <c r="J51" s="15">
        <v>59.0</v>
      </c>
      <c r="K51" s="15">
        <v>13.8</v>
      </c>
      <c r="L51" s="15">
        <v>5.2</v>
      </c>
      <c r="M51" s="17">
        <v>1.15</v>
      </c>
      <c r="N51" s="15">
        <v>69.0</v>
      </c>
      <c r="O51" s="18">
        <v>0.58</v>
      </c>
      <c r="P51" s="17">
        <v>0.38</v>
      </c>
      <c r="Q51" s="15">
        <v>29.0</v>
      </c>
      <c r="R51" s="18">
        <v>2.12</v>
      </c>
      <c r="S51" s="14">
        <v>1.63</v>
      </c>
      <c r="T51" s="18">
        <v>1.35</v>
      </c>
      <c r="U51" s="18">
        <v>1.92</v>
      </c>
      <c r="V51" s="56">
        <v>-0.58</v>
      </c>
      <c r="W51" s="57">
        <v>-0.57</v>
      </c>
      <c r="X51" s="57">
        <v>-0.85</v>
      </c>
      <c r="Y51" s="20" t="s">
        <v>7039</v>
      </c>
    </row>
    <row r="52">
      <c r="A52" s="9">
        <v>49.0</v>
      </c>
      <c r="B52" s="10" t="s">
        <v>7040</v>
      </c>
      <c r="C52" s="11" t="s">
        <v>7041</v>
      </c>
      <c r="D52" s="12" t="s">
        <v>31</v>
      </c>
      <c r="E52" s="13" t="s">
        <v>7042</v>
      </c>
      <c r="F52" s="12">
        <v>27.0</v>
      </c>
      <c r="G52" s="12">
        <v>1997.0</v>
      </c>
      <c r="H52" s="14">
        <v>13.0</v>
      </c>
      <c r="I52" s="15">
        <v>459.0</v>
      </c>
      <c r="J52" s="15">
        <v>35.0</v>
      </c>
      <c r="K52" s="15">
        <v>13.4</v>
      </c>
      <c r="L52" s="15">
        <v>5.1</v>
      </c>
      <c r="M52" s="17">
        <v>0.59</v>
      </c>
      <c r="N52" s="15">
        <v>71.0</v>
      </c>
      <c r="O52" s="18">
        <v>0.2</v>
      </c>
      <c r="P52" s="17">
        <v>1.96</v>
      </c>
      <c r="Q52" s="15">
        <v>25.0</v>
      </c>
      <c r="R52" s="18">
        <v>0.59</v>
      </c>
      <c r="S52" s="14">
        <v>1.15</v>
      </c>
      <c r="T52" s="18">
        <v>1.57</v>
      </c>
      <c r="U52" s="18">
        <v>1.76</v>
      </c>
      <c r="V52" s="56">
        <v>-0.2</v>
      </c>
      <c r="W52" s="57">
        <v>-0.2</v>
      </c>
      <c r="X52" s="57">
        <v>-0.44</v>
      </c>
      <c r="Y52" s="20" t="s">
        <v>7043</v>
      </c>
    </row>
    <row r="53">
      <c r="A53" s="9">
        <v>50.0</v>
      </c>
      <c r="B53" s="10" t="s">
        <v>7044</v>
      </c>
      <c r="C53" s="11" t="s">
        <v>7045</v>
      </c>
      <c r="D53" s="12" t="s">
        <v>31</v>
      </c>
      <c r="E53" s="13" t="s">
        <v>7046</v>
      </c>
      <c r="F53" s="12">
        <v>22.0</v>
      </c>
      <c r="G53" s="12">
        <v>2002.0</v>
      </c>
      <c r="H53" s="14">
        <v>14.0</v>
      </c>
      <c r="I53" s="15">
        <v>553.0</v>
      </c>
      <c r="J53" s="15">
        <v>40.0</v>
      </c>
      <c r="K53" s="15">
        <v>16.2</v>
      </c>
      <c r="L53" s="15">
        <v>6.1</v>
      </c>
      <c r="M53" s="17">
        <v>0.98</v>
      </c>
      <c r="N53" s="15">
        <v>64.0</v>
      </c>
      <c r="O53" s="19">
        <v>0.0</v>
      </c>
      <c r="P53" s="17">
        <v>1.31</v>
      </c>
      <c r="Q53" s="15">
        <v>21.0</v>
      </c>
      <c r="R53" s="18">
        <v>1.15</v>
      </c>
      <c r="S53" s="14">
        <v>0.79</v>
      </c>
      <c r="T53" s="18">
        <v>1.31</v>
      </c>
      <c r="U53" s="18">
        <v>1.64</v>
      </c>
      <c r="V53" s="56">
        <v>-0.33</v>
      </c>
      <c r="W53" s="57">
        <v>-0.33</v>
      </c>
      <c r="X53" s="57">
        <v>-0.29</v>
      </c>
      <c r="Y53" s="20" t="s">
        <v>7047</v>
      </c>
    </row>
    <row r="54">
      <c r="A54" s="37" t="s">
        <v>3</v>
      </c>
      <c r="B54" s="38" t="s">
        <v>4</v>
      </c>
      <c r="C54" s="39" t="s">
        <v>5</v>
      </c>
      <c r="D54" s="39" t="s">
        <v>6</v>
      </c>
      <c r="E54" s="39" t="s">
        <v>7</v>
      </c>
      <c r="F54" s="39" t="s">
        <v>8</v>
      </c>
      <c r="G54" s="39" t="s">
        <v>9</v>
      </c>
      <c r="H54" s="40" t="s">
        <v>10</v>
      </c>
      <c r="I54" s="39" t="s">
        <v>12</v>
      </c>
      <c r="J54" s="39" t="s">
        <v>6838</v>
      </c>
      <c r="K54" s="39" t="s">
        <v>6839</v>
      </c>
      <c r="L54" s="39" t="s">
        <v>13</v>
      </c>
      <c r="M54" s="40" t="s">
        <v>11</v>
      </c>
      <c r="N54" s="39" t="s">
        <v>6840</v>
      </c>
      <c r="O54" s="39" t="s">
        <v>6841</v>
      </c>
      <c r="P54" s="40" t="s">
        <v>6836</v>
      </c>
      <c r="Q54" s="39" t="s">
        <v>6842</v>
      </c>
      <c r="R54" s="39" t="s">
        <v>6843</v>
      </c>
      <c r="S54" s="40" t="s">
        <v>6844</v>
      </c>
      <c r="T54" s="39" t="s">
        <v>6845</v>
      </c>
      <c r="U54" s="39" t="s">
        <v>6846</v>
      </c>
      <c r="V54" s="59" t="str">
        <f>+/-</f>
        <v>#ERROR!</v>
      </c>
      <c r="W54" s="59" t="str">
        <f>+/-90</f>
        <v>#ERROR!</v>
      </c>
      <c r="X54" s="39" t="s">
        <v>6847</v>
      </c>
      <c r="Y54" s="40" t="s">
        <v>23</v>
      </c>
    </row>
    <row r="55">
      <c r="A55" s="9">
        <v>51.0</v>
      </c>
      <c r="B55" s="10" t="s">
        <v>7048</v>
      </c>
      <c r="C55" s="11" t="s">
        <v>7049</v>
      </c>
      <c r="D55" s="12" t="s">
        <v>98</v>
      </c>
      <c r="E55" s="13" t="s">
        <v>7050</v>
      </c>
      <c r="F55" s="12">
        <v>25.0</v>
      </c>
      <c r="G55" s="12">
        <v>1999.0</v>
      </c>
      <c r="H55" s="23">
        <v>0.0</v>
      </c>
      <c r="I55" s="36"/>
      <c r="J55" s="36"/>
      <c r="K55" s="36"/>
      <c r="L55" s="36"/>
      <c r="M55" s="23">
        <v>0.0</v>
      </c>
      <c r="N55" s="36"/>
      <c r="O55" s="21">
        <v>0.0</v>
      </c>
      <c r="P55" s="23">
        <v>0.0</v>
      </c>
      <c r="Q55" s="36"/>
      <c r="R55" s="15">
        <v>1.0</v>
      </c>
      <c r="S55" s="58"/>
      <c r="T55" s="36"/>
      <c r="U55" s="36"/>
      <c r="V55" s="36"/>
      <c r="W55" s="36"/>
      <c r="X55" s="36"/>
      <c r="Y55" s="20" t="s">
        <v>7051</v>
      </c>
    </row>
    <row r="56">
      <c r="A56" s="9">
        <v>52.0</v>
      </c>
      <c r="B56" s="10" t="s">
        <v>7052</v>
      </c>
      <c r="C56" s="11" t="s">
        <v>7053</v>
      </c>
      <c r="D56" s="12" t="s">
        <v>31</v>
      </c>
      <c r="E56" s="13" t="s">
        <v>7054</v>
      </c>
      <c r="F56" s="12">
        <v>21.0</v>
      </c>
      <c r="G56" s="12">
        <v>2004.0</v>
      </c>
      <c r="H56" s="14">
        <v>31.0</v>
      </c>
      <c r="I56" s="16">
        <v>1652.0</v>
      </c>
      <c r="J56" s="15">
        <v>53.0</v>
      </c>
      <c r="K56" s="15">
        <v>48.3</v>
      </c>
      <c r="L56" s="15">
        <v>18.4</v>
      </c>
      <c r="M56" s="17">
        <v>1.25</v>
      </c>
      <c r="N56" s="15">
        <v>66.0</v>
      </c>
      <c r="O56" s="18">
        <v>0.16</v>
      </c>
      <c r="P56" s="17">
        <v>0.43</v>
      </c>
      <c r="Q56" s="15">
        <v>16.0</v>
      </c>
      <c r="R56" s="18">
        <v>0.05</v>
      </c>
      <c r="S56" s="14">
        <v>1.39</v>
      </c>
      <c r="T56" s="18">
        <v>1.09</v>
      </c>
      <c r="U56" s="18">
        <v>1.09</v>
      </c>
      <c r="V56" s="19">
        <v>0.0</v>
      </c>
      <c r="W56" s="21">
        <v>0.0</v>
      </c>
      <c r="X56" s="57">
        <v>-0.31</v>
      </c>
      <c r="Y56" s="20" t="s">
        <v>7055</v>
      </c>
    </row>
    <row r="57">
      <c r="A57" s="9">
        <v>53.0</v>
      </c>
      <c r="B57" s="10" t="s">
        <v>7056</v>
      </c>
      <c r="C57" s="11" t="s">
        <v>7057</v>
      </c>
      <c r="D57" s="12" t="s">
        <v>36</v>
      </c>
      <c r="E57" s="13" t="s">
        <v>7058</v>
      </c>
      <c r="F57" s="12">
        <v>25.0</v>
      </c>
      <c r="G57" s="12">
        <v>1999.0</v>
      </c>
      <c r="H57" s="14">
        <v>29.0</v>
      </c>
      <c r="I57" s="16">
        <v>2149.0</v>
      </c>
      <c r="J57" s="15">
        <v>74.0</v>
      </c>
      <c r="K57" s="15">
        <v>62.8</v>
      </c>
      <c r="L57" s="15">
        <v>23.9</v>
      </c>
      <c r="M57" s="17">
        <v>1.0</v>
      </c>
      <c r="N57" s="15">
        <v>82.0</v>
      </c>
      <c r="O57" s="18">
        <v>0.84</v>
      </c>
      <c r="P57" s="17">
        <v>0.21</v>
      </c>
      <c r="Q57" s="15">
        <v>35.0</v>
      </c>
      <c r="R57" s="19">
        <v>0.0</v>
      </c>
      <c r="S57" s="14">
        <v>1.21</v>
      </c>
      <c r="T57" s="18">
        <v>1.21</v>
      </c>
      <c r="U57" s="18">
        <v>1.42</v>
      </c>
      <c r="V57" s="56">
        <v>-0.21</v>
      </c>
      <c r="W57" s="57">
        <v>-0.21</v>
      </c>
      <c r="X57" s="57">
        <v>-0.14</v>
      </c>
      <c r="Y57" s="20" t="s">
        <v>7059</v>
      </c>
    </row>
    <row r="58">
      <c r="A58" s="9">
        <v>54.0</v>
      </c>
      <c r="B58" s="10" t="s">
        <v>7060</v>
      </c>
      <c r="C58" s="11" t="s">
        <v>7061</v>
      </c>
      <c r="D58" s="12" t="s">
        <v>31</v>
      </c>
      <c r="E58" s="13" t="s">
        <v>7062</v>
      </c>
      <c r="F58" s="12">
        <v>31.0</v>
      </c>
      <c r="G58" s="12">
        <v>1993.0</v>
      </c>
      <c r="H58" s="14">
        <v>21.0</v>
      </c>
      <c r="I58" s="15">
        <v>857.0</v>
      </c>
      <c r="J58" s="15">
        <v>41.0</v>
      </c>
      <c r="K58" s="15">
        <v>25.1</v>
      </c>
      <c r="L58" s="15">
        <v>9.5</v>
      </c>
      <c r="M58" s="17">
        <v>0.74</v>
      </c>
      <c r="N58" s="15">
        <v>77.0</v>
      </c>
      <c r="O58" s="19">
        <v>0.0</v>
      </c>
      <c r="P58" s="17">
        <v>1.47</v>
      </c>
      <c r="Q58" s="15">
        <v>23.0</v>
      </c>
      <c r="R58" s="18">
        <v>0.11</v>
      </c>
      <c r="S58" s="14">
        <v>1.76</v>
      </c>
      <c r="T58" s="18">
        <v>1.89</v>
      </c>
      <c r="U58" s="18">
        <v>1.58</v>
      </c>
      <c r="V58" s="54">
        <v>0.32</v>
      </c>
      <c r="W58" s="55">
        <f>+0.32</f>
        <v>0.32</v>
      </c>
      <c r="X58" s="55">
        <f>+0.17</f>
        <v>0.17</v>
      </c>
      <c r="Y58" s="20" t="s">
        <v>7063</v>
      </c>
    </row>
    <row r="59">
      <c r="A59" s="9">
        <v>55.0</v>
      </c>
      <c r="B59" s="10" t="s">
        <v>7064</v>
      </c>
      <c r="C59" s="11" t="s">
        <v>7065</v>
      </c>
      <c r="D59" s="12" t="s">
        <v>107</v>
      </c>
      <c r="E59" s="13" t="s">
        <v>7066</v>
      </c>
      <c r="F59" s="12">
        <v>35.0</v>
      </c>
      <c r="G59" s="12">
        <v>1989.0</v>
      </c>
      <c r="H59" s="14">
        <v>7.0</v>
      </c>
      <c r="I59" s="15">
        <v>47.0</v>
      </c>
      <c r="J59" s="15">
        <v>7.0</v>
      </c>
      <c r="K59" s="15">
        <v>1.4</v>
      </c>
      <c r="L59" s="15">
        <v>0.5</v>
      </c>
      <c r="M59" s="22">
        <v>0.0</v>
      </c>
      <c r="N59" s="36"/>
      <c r="O59" s="19">
        <v>0.0</v>
      </c>
      <c r="P59" s="17">
        <v>14.0</v>
      </c>
      <c r="Q59" s="15">
        <v>7.0</v>
      </c>
      <c r="R59" s="18">
        <v>20.0</v>
      </c>
      <c r="S59" s="14">
        <v>0.75</v>
      </c>
      <c r="T59" s="18">
        <v>4.0</v>
      </c>
      <c r="U59" s="18">
        <v>8.0</v>
      </c>
      <c r="V59" s="56">
        <v>-4.0</v>
      </c>
      <c r="W59" s="57">
        <v>-3.83</v>
      </c>
      <c r="X59" s="57">
        <v>-2.9</v>
      </c>
      <c r="Y59" s="20" t="s">
        <v>7067</v>
      </c>
    </row>
    <row r="60">
      <c r="A60" s="9">
        <v>56.0</v>
      </c>
      <c r="B60" s="10" t="s">
        <v>7068</v>
      </c>
      <c r="C60" s="11" t="s">
        <v>7069</v>
      </c>
      <c r="D60" s="12" t="s">
        <v>107</v>
      </c>
      <c r="E60" s="13" t="s">
        <v>7070</v>
      </c>
      <c r="F60" s="12">
        <v>27.0</v>
      </c>
      <c r="G60" s="12">
        <v>1997.0</v>
      </c>
      <c r="H60" s="14">
        <v>37.0</v>
      </c>
      <c r="I60" s="16">
        <v>1966.0</v>
      </c>
      <c r="J60" s="15">
        <v>53.0</v>
      </c>
      <c r="K60" s="15">
        <v>57.5</v>
      </c>
      <c r="L60" s="15">
        <v>21.8</v>
      </c>
      <c r="M60" s="17">
        <v>0.87</v>
      </c>
      <c r="N60" s="15">
        <v>79.0</v>
      </c>
      <c r="O60" s="18">
        <v>0.32</v>
      </c>
      <c r="P60" s="17">
        <v>0.83</v>
      </c>
      <c r="Q60" s="15">
        <v>26.0</v>
      </c>
      <c r="R60" s="18">
        <v>0.05</v>
      </c>
      <c r="S60" s="14">
        <v>1.24</v>
      </c>
      <c r="T60" s="18">
        <v>1.61</v>
      </c>
      <c r="U60" s="18">
        <v>1.42</v>
      </c>
      <c r="V60" s="54">
        <v>0.18</v>
      </c>
      <c r="W60" s="55">
        <f>+0.18</f>
        <v>0.18</v>
      </c>
      <c r="X60" s="55">
        <f>+0.55</f>
        <v>0.55</v>
      </c>
      <c r="Y60" s="20" t="s">
        <v>7071</v>
      </c>
    </row>
    <row r="61">
      <c r="A61" s="9">
        <v>57.0</v>
      </c>
      <c r="B61" s="10" t="s">
        <v>7072</v>
      </c>
      <c r="C61" s="11" t="s">
        <v>7073</v>
      </c>
      <c r="D61" s="12" t="s">
        <v>41</v>
      </c>
      <c r="E61" s="13" t="s">
        <v>7074</v>
      </c>
      <c r="F61" s="12">
        <v>22.0</v>
      </c>
      <c r="G61" s="12">
        <v>2002.0</v>
      </c>
      <c r="H61" s="14">
        <v>38.0</v>
      </c>
      <c r="I61" s="16">
        <v>1914.0</v>
      </c>
      <c r="J61" s="15">
        <v>50.0</v>
      </c>
      <c r="K61" s="15">
        <v>56.0</v>
      </c>
      <c r="L61" s="15">
        <v>21.3</v>
      </c>
      <c r="M61" s="17">
        <v>0.99</v>
      </c>
      <c r="N61" s="15">
        <v>76.0</v>
      </c>
      <c r="O61" s="18">
        <v>0.14</v>
      </c>
      <c r="P61" s="17">
        <v>0.8</v>
      </c>
      <c r="Q61" s="15">
        <v>19.0</v>
      </c>
      <c r="R61" s="19">
        <v>0.0</v>
      </c>
      <c r="S61" s="14">
        <v>1.29</v>
      </c>
      <c r="T61" s="18">
        <v>1.13</v>
      </c>
      <c r="U61" s="18">
        <v>1.6</v>
      </c>
      <c r="V61" s="56">
        <v>-0.47</v>
      </c>
      <c r="W61" s="57">
        <v>-0.47</v>
      </c>
      <c r="X61" s="57">
        <v>-0.89</v>
      </c>
      <c r="Y61" s="20" t="s">
        <v>7075</v>
      </c>
    </row>
    <row r="62">
      <c r="A62" s="9">
        <v>58.0</v>
      </c>
      <c r="B62" s="10" t="s">
        <v>7076</v>
      </c>
      <c r="C62" s="11" t="s">
        <v>7077</v>
      </c>
      <c r="D62" s="12" t="s">
        <v>36</v>
      </c>
      <c r="E62" s="13" t="s">
        <v>7078</v>
      </c>
      <c r="F62" s="12">
        <v>25.0</v>
      </c>
      <c r="G62" s="12">
        <v>1999.0</v>
      </c>
      <c r="H62" s="14">
        <v>30.0</v>
      </c>
      <c r="I62" s="16">
        <v>2534.0</v>
      </c>
      <c r="J62" s="15">
        <v>84.0</v>
      </c>
      <c r="K62" s="15">
        <v>74.1</v>
      </c>
      <c r="L62" s="15">
        <v>28.2</v>
      </c>
      <c r="M62" s="17">
        <v>0.99</v>
      </c>
      <c r="N62" s="15">
        <v>90.0</v>
      </c>
      <c r="O62" s="18">
        <v>0.99</v>
      </c>
      <c r="P62" s="17">
        <v>0.07</v>
      </c>
      <c r="Q62" s="15">
        <v>7.0</v>
      </c>
      <c r="R62" s="18">
        <v>0.07</v>
      </c>
      <c r="S62" s="14">
        <v>1.27</v>
      </c>
      <c r="T62" s="18">
        <v>1.28</v>
      </c>
      <c r="U62" s="18">
        <v>1.42</v>
      </c>
      <c r="V62" s="56">
        <v>-0.14</v>
      </c>
      <c r="W62" s="57">
        <v>-0.14</v>
      </c>
      <c r="X62" s="57">
        <v>-0.14</v>
      </c>
      <c r="Y62" s="20" t="s">
        <v>7079</v>
      </c>
    </row>
    <row r="63">
      <c r="A63" s="9">
        <v>59.0</v>
      </c>
      <c r="B63" s="10" t="s">
        <v>7080</v>
      </c>
      <c r="C63" s="11" t="s">
        <v>7081</v>
      </c>
      <c r="D63" s="12" t="s">
        <v>31</v>
      </c>
      <c r="E63" s="13" t="s">
        <v>7082</v>
      </c>
      <c r="F63" s="12">
        <v>19.0</v>
      </c>
      <c r="G63" s="12">
        <v>2005.0</v>
      </c>
      <c r="H63" s="23">
        <v>0.0</v>
      </c>
      <c r="I63" s="36"/>
      <c r="J63" s="36"/>
      <c r="K63" s="36"/>
      <c r="L63" s="36"/>
      <c r="M63" s="23">
        <v>0.0</v>
      </c>
      <c r="N63" s="36"/>
      <c r="O63" s="21">
        <v>0.0</v>
      </c>
      <c r="P63" s="23">
        <v>0.0</v>
      </c>
      <c r="Q63" s="36"/>
      <c r="R63" s="15">
        <v>1.0</v>
      </c>
      <c r="S63" s="58"/>
      <c r="T63" s="36"/>
      <c r="U63" s="36"/>
      <c r="V63" s="36"/>
      <c r="W63" s="36"/>
      <c r="X63" s="36"/>
      <c r="Y63" s="20" t="s">
        <v>7083</v>
      </c>
    </row>
    <row r="64">
      <c r="A64" s="9">
        <v>60.0</v>
      </c>
      <c r="B64" s="10" t="s">
        <v>7084</v>
      </c>
      <c r="C64" s="11" t="s">
        <v>7085</v>
      </c>
      <c r="D64" s="12" t="s">
        <v>98</v>
      </c>
      <c r="E64" s="13" t="s">
        <v>7086</v>
      </c>
      <c r="F64" s="12">
        <v>27.0</v>
      </c>
      <c r="G64" s="12">
        <v>1998.0</v>
      </c>
      <c r="H64" s="14">
        <v>6.0</v>
      </c>
      <c r="I64" s="15">
        <v>540.0</v>
      </c>
      <c r="J64" s="15">
        <v>90.0</v>
      </c>
      <c r="K64" s="15">
        <v>15.8</v>
      </c>
      <c r="L64" s="15">
        <v>6.0</v>
      </c>
      <c r="M64" s="17">
        <v>1.0</v>
      </c>
      <c r="N64" s="15">
        <v>90.0</v>
      </c>
      <c r="O64" s="18">
        <v>1.0</v>
      </c>
      <c r="P64" s="22">
        <v>0.0</v>
      </c>
      <c r="Q64" s="36"/>
      <c r="R64" s="18">
        <v>5.33</v>
      </c>
      <c r="S64" s="14">
        <v>1.17</v>
      </c>
      <c r="T64" s="18">
        <v>1.17</v>
      </c>
      <c r="U64" s="18">
        <v>1.83</v>
      </c>
      <c r="V64" s="56">
        <v>-0.67</v>
      </c>
      <c r="W64" s="57">
        <v>-0.67</v>
      </c>
      <c r="X64" s="57">
        <v>-1.39</v>
      </c>
      <c r="Y64" s="20" t="s">
        <v>7087</v>
      </c>
    </row>
    <row r="65">
      <c r="A65" s="9">
        <v>61.0</v>
      </c>
      <c r="B65" s="10" t="s">
        <v>7088</v>
      </c>
      <c r="C65" s="11" t="s">
        <v>7089</v>
      </c>
      <c r="D65" s="12" t="s">
        <v>26</v>
      </c>
      <c r="E65" s="13" t="s">
        <v>7090</v>
      </c>
      <c r="F65" s="12">
        <v>27.0</v>
      </c>
      <c r="G65" s="12">
        <v>1998.0</v>
      </c>
      <c r="H65" s="14">
        <v>26.0</v>
      </c>
      <c r="I65" s="16">
        <v>1248.0</v>
      </c>
      <c r="J65" s="15">
        <v>48.0</v>
      </c>
      <c r="K65" s="15">
        <v>36.5</v>
      </c>
      <c r="L65" s="15">
        <v>13.9</v>
      </c>
      <c r="M65" s="17">
        <v>1.08</v>
      </c>
      <c r="N65" s="15">
        <v>68.0</v>
      </c>
      <c r="O65" s="18">
        <v>0.07</v>
      </c>
      <c r="P65" s="17">
        <v>0.79</v>
      </c>
      <c r="Q65" s="15">
        <v>21.0</v>
      </c>
      <c r="R65" s="18">
        <v>0.14</v>
      </c>
      <c r="S65" s="14">
        <v>0.46</v>
      </c>
      <c r="T65" s="18">
        <v>0.72</v>
      </c>
      <c r="U65" s="18">
        <v>2.16</v>
      </c>
      <c r="V65" s="56">
        <v>-1.44</v>
      </c>
      <c r="W65" s="57">
        <v>-1.44</v>
      </c>
      <c r="X65" s="57">
        <v>-0.57</v>
      </c>
      <c r="Y65" s="20" t="s">
        <v>7091</v>
      </c>
    </row>
    <row r="66">
      <c r="A66" s="9">
        <v>62.0</v>
      </c>
      <c r="B66" s="10" t="s">
        <v>7092</v>
      </c>
      <c r="C66" s="11" t="s">
        <v>7093</v>
      </c>
      <c r="D66" s="12" t="s">
        <v>36</v>
      </c>
      <c r="E66" s="13" t="s">
        <v>7094</v>
      </c>
      <c r="F66" s="12">
        <v>17.0</v>
      </c>
      <c r="G66" s="12">
        <v>2008.0</v>
      </c>
      <c r="H66" s="23">
        <v>0.0</v>
      </c>
      <c r="I66" s="36"/>
      <c r="J66" s="36"/>
      <c r="K66" s="36"/>
      <c r="L66" s="36"/>
      <c r="M66" s="23">
        <v>0.0</v>
      </c>
      <c r="N66" s="36"/>
      <c r="O66" s="21">
        <v>0.0</v>
      </c>
      <c r="P66" s="23">
        <v>0.0</v>
      </c>
      <c r="Q66" s="36"/>
      <c r="R66" s="15">
        <v>4.0</v>
      </c>
      <c r="S66" s="58"/>
      <c r="T66" s="36"/>
      <c r="U66" s="36"/>
      <c r="V66" s="36"/>
      <c r="W66" s="36"/>
      <c r="X66" s="36"/>
      <c r="Y66" s="20" t="s">
        <v>7095</v>
      </c>
    </row>
    <row r="67">
      <c r="A67" s="9">
        <v>63.0</v>
      </c>
      <c r="B67" s="10" t="s">
        <v>7096</v>
      </c>
      <c r="C67" s="11" t="s">
        <v>7097</v>
      </c>
      <c r="D67" s="12" t="s">
        <v>98</v>
      </c>
      <c r="E67" s="13" t="s">
        <v>7098</v>
      </c>
      <c r="F67" s="12">
        <v>32.0</v>
      </c>
      <c r="G67" s="12">
        <v>1993.0</v>
      </c>
      <c r="H67" s="14">
        <v>1.0</v>
      </c>
      <c r="I67" s="15">
        <v>90.0</v>
      </c>
      <c r="J67" s="15">
        <v>90.0</v>
      </c>
      <c r="K67" s="15">
        <v>2.6</v>
      </c>
      <c r="L67" s="15">
        <v>1.0</v>
      </c>
      <c r="M67" s="17">
        <v>1.0</v>
      </c>
      <c r="N67" s="15">
        <v>90.0</v>
      </c>
      <c r="O67" s="18">
        <v>1.0</v>
      </c>
      <c r="P67" s="22">
        <v>0.0</v>
      </c>
      <c r="Q67" s="36"/>
      <c r="R67" s="18">
        <v>35.0</v>
      </c>
      <c r="S67" s="14">
        <v>1.0</v>
      </c>
      <c r="T67" s="19">
        <v>0.0</v>
      </c>
      <c r="U67" s="19">
        <v>0.0</v>
      </c>
      <c r="V67" s="19">
        <v>0.0</v>
      </c>
      <c r="W67" s="21">
        <v>0.0</v>
      </c>
      <c r="X67" s="55">
        <f>+0.27</f>
        <v>0.27</v>
      </c>
      <c r="Y67" s="20" t="s">
        <v>7099</v>
      </c>
    </row>
    <row r="68">
      <c r="A68" s="9">
        <v>64.0</v>
      </c>
      <c r="B68" s="10" t="s">
        <v>7100</v>
      </c>
      <c r="C68" s="11" t="s">
        <v>7101</v>
      </c>
      <c r="D68" s="12" t="s">
        <v>31</v>
      </c>
      <c r="E68" s="13" t="s">
        <v>7102</v>
      </c>
      <c r="F68" s="12">
        <v>28.0</v>
      </c>
      <c r="G68" s="12">
        <v>1997.0</v>
      </c>
      <c r="H68" s="14">
        <v>26.0</v>
      </c>
      <c r="I68" s="16">
        <v>1883.0</v>
      </c>
      <c r="J68" s="15">
        <v>72.0</v>
      </c>
      <c r="K68" s="15">
        <v>55.1</v>
      </c>
      <c r="L68" s="15">
        <v>20.9</v>
      </c>
      <c r="M68" s="17">
        <v>1.1</v>
      </c>
      <c r="N68" s="15">
        <v>79.0</v>
      </c>
      <c r="O68" s="18">
        <v>0.53</v>
      </c>
      <c r="P68" s="17">
        <v>0.14</v>
      </c>
      <c r="Q68" s="15">
        <v>21.0</v>
      </c>
      <c r="R68" s="18">
        <v>0.05</v>
      </c>
      <c r="S68" s="14">
        <v>1.35</v>
      </c>
      <c r="T68" s="18">
        <v>1.34</v>
      </c>
      <c r="U68" s="18">
        <v>1.2</v>
      </c>
      <c r="V68" s="54">
        <v>0.14</v>
      </c>
      <c r="W68" s="55">
        <f>+0.14</f>
        <v>0.14</v>
      </c>
      <c r="X68" s="55">
        <f>+0.85</f>
        <v>0.85</v>
      </c>
      <c r="Y68" s="20" t="s">
        <v>7103</v>
      </c>
    </row>
    <row r="69">
      <c r="A69" s="9">
        <v>65.0</v>
      </c>
      <c r="B69" s="10" t="s">
        <v>7104</v>
      </c>
      <c r="C69" s="11" t="s">
        <v>7105</v>
      </c>
      <c r="D69" s="12" t="s">
        <v>98</v>
      </c>
      <c r="E69" s="13" t="s">
        <v>7106</v>
      </c>
      <c r="F69" s="12">
        <v>32.0</v>
      </c>
      <c r="G69" s="12">
        <v>1993.0</v>
      </c>
      <c r="H69" s="14">
        <v>3.0</v>
      </c>
      <c r="I69" s="15">
        <v>270.0</v>
      </c>
      <c r="J69" s="15">
        <v>90.0</v>
      </c>
      <c r="K69" s="15">
        <v>7.9</v>
      </c>
      <c r="L69" s="15">
        <v>3.0</v>
      </c>
      <c r="M69" s="17">
        <v>1.0</v>
      </c>
      <c r="N69" s="15">
        <v>90.0</v>
      </c>
      <c r="O69" s="18">
        <v>1.0</v>
      </c>
      <c r="P69" s="22">
        <v>0.0</v>
      </c>
      <c r="Q69" s="36"/>
      <c r="R69" s="18">
        <v>2.0</v>
      </c>
      <c r="S69" s="14">
        <v>0.33</v>
      </c>
      <c r="T69" s="18">
        <v>0.33</v>
      </c>
      <c r="U69" s="18">
        <v>2.33</v>
      </c>
      <c r="V69" s="56">
        <v>-2.0</v>
      </c>
      <c r="W69" s="57">
        <v>-2.0</v>
      </c>
      <c r="X69" s="57">
        <v>-1.0</v>
      </c>
      <c r="Y69" s="20" t="s">
        <v>7107</v>
      </c>
    </row>
    <row r="70">
      <c r="A70" s="9">
        <v>66.0</v>
      </c>
      <c r="B70" s="10" t="s">
        <v>7108</v>
      </c>
      <c r="C70" s="11" t="s">
        <v>7109</v>
      </c>
      <c r="D70" s="12" t="s">
        <v>31</v>
      </c>
      <c r="E70" s="13" t="s">
        <v>7110</v>
      </c>
      <c r="F70" s="12">
        <v>17.0</v>
      </c>
      <c r="G70" s="12">
        <v>2007.0</v>
      </c>
      <c r="H70" s="23">
        <v>0.0</v>
      </c>
      <c r="I70" s="36"/>
      <c r="J70" s="36"/>
      <c r="K70" s="36"/>
      <c r="L70" s="36"/>
      <c r="M70" s="23">
        <v>0.0</v>
      </c>
      <c r="N70" s="36"/>
      <c r="O70" s="21">
        <v>0.0</v>
      </c>
      <c r="P70" s="23">
        <v>0.0</v>
      </c>
      <c r="Q70" s="36"/>
      <c r="R70" s="15">
        <v>8.0</v>
      </c>
      <c r="S70" s="58"/>
      <c r="T70" s="36"/>
      <c r="U70" s="36"/>
      <c r="V70" s="36"/>
      <c r="W70" s="36"/>
      <c r="X70" s="36"/>
      <c r="Y70" s="20" t="s">
        <v>7111</v>
      </c>
    </row>
    <row r="71">
      <c r="A71" s="9">
        <v>67.0</v>
      </c>
      <c r="B71" s="10" t="s">
        <v>7112</v>
      </c>
      <c r="C71" s="11" t="s">
        <v>7113</v>
      </c>
      <c r="D71" s="12" t="s">
        <v>31</v>
      </c>
      <c r="E71" s="13" t="s">
        <v>7114</v>
      </c>
      <c r="F71" s="12">
        <v>27.0</v>
      </c>
      <c r="G71" s="12">
        <v>1998.0</v>
      </c>
      <c r="H71" s="14">
        <v>35.0</v>
      </c>
      <c r="I71" s="16">
        <v>2905.0</v>
      </c>
      <c r="J71" s="15">
        <v>83.0</v>
      </c>
      <c r="K71" s="15">
        <v>84.9</v>
      </c>
      <c r="L71" s="15">
        <v>32.3</v>
      </c>
      <c r="M71" s="17">
        <v>1.05</v>
      </c>
      <c r="N71" s="15">
        <v>85.0</v>
      </c>
      <c r="O71" s="18">
        <v>0.77</v>
      </c>
      <c r="P71" s="17">
        <v>0.03</v>
      </c>
      <c r="Q71" s="15">
        <v>17.0</v>
      </c>
      <c r="R71" s="18">
        <v>0.06</v>
      </c>
      <c r="S71" s="14">
        <v>1.46</v>
      </c>
      <c r="T71" s="18">
        <v>1.33</v>
      </c>
      <c r="U71" s="18">
        <v>1.39</v>
      </c>
      <c r="V71" s="56">
        <v>-0.06</v>
      </c>
      <c r="W71" s="57">
        <v>-0.06</v>
      </c>
      <c r="X71" s="55">
        <f>+0.29</f>
        <v>0.29</v>
      </c>
      <c r="Y71" s="20" t="s">
        <v>7115</v>
      </c>
    </row>
    <row r="72">
      <c r="A72" s="9">
        <v>68.0</v>
      </c>
      <c r="B72" s="10" t="s">
        <v>7116</v>
      </c>
      <c r="C72" s="11" t="s">
        <v>7117</v>
      </c>
      <c r="D72" s="12" t="s">
        <v>31</v>
      </c>
      <c r="E72" s="13" t="s">
        <v>7118</v>
      </c>
      <c r="F72" s="12">
        <v>19.0</v>
      </c>
      <c r="G72" s="12">
        <v>2006.0</v>
      </c>
      <c r="H72" s="14">
        <v>23.0</v>
      </c>
      <c r="I72" s="15">
        <v>965.0</v>
      </c>
      <c r="J72" s="15">
        <v>42.0</v>
      </c>
      <c r="K72" s="15">
        <v>28.2</v>
      </c>
      <c r="L72" s="15">
        <v>10.7</v>
      </c>
      <c r="M72" s="17">
        <v>1.03</v>
      </c>
      <c r="N72" s="15">
        <v>66.0</v>
      </c>
      <c r="O72" s="19">
        <v>0.0</v>
      </c>
      <c r="P72" s="17">
        <v>1.12</v>
      </c>
      <c r="Q72" s="15">
        <v>20.0</v>
      </c>
      <c r="R72" s="18">
        <v>0.47</v>
      </c>
      <c r="S72" s="14">
        <v>1.17</v>
      </c>
      <c r="T72" s="18">
        <v>1.31</v>
      </c>
      <c r="U72" s="18">
        <v>1.68</v>
      </c>
      <c r="V72" s="56">
        <v>-0.37</v>
      </c>
      <c r="W72" s="57">
        <v>-0.37</v>
      </c>
      <c r="X72" s="57">
        <v>-0.19</v>
      </c>
      <c r="Y72" s="20" t="s">
        <v>7119</v>
      </c>
    </row>
    <row r="73">
      <c r="A73" s="9">
        <v>69.0</v>
      </c>
      <c r="B73" s="10" t="s">
        <v>7120</v>
      </c>
      <c r="C73" s="11" t="s">
        <v>7121</v>
      </c>
      <c r="D73" s="12" t="s">
        <v>41</v>
      </c>
      <c r="E73" s="13" t="s">
        <v>7122</v>
      </c>
      <c r="F73" s="12">
        <v>27.0</v>
      </c>
      <c r="G73" s="12">
        <v>1998.0</v>
      </c>
      <c r="H73" s="14">
        <v>37.0</v>
      </c>
      <c r="I73" s="16">
        <v>1568.0</v>
      </c>
      <c r="J73" s="15">
        <v>42.0</v>
      </c>
      <c r="K73" s="15">
        <v>45.8</v>
      </c>
      <c r="L73" s="15">
        <v>17.4</v>
      </c>
      <c r="M73" s="17">
        <v>0.98</v>
      </c>
      <c r="N73" s="15">
        <v>71.0</v>
      </c>
      <c r="O73" s="18">
        <v>0.06</v>
      </c>
      <c r="P73" s="17">
        <v>1.15</v>
      </c>
      <c r="Q73" s="15">
        <v>18.0</v>
      </c>
      <c r="R73" s="19">
        <v>0.0</v>
      </c>
      <c r="S73" s="14">
        <v>1.32</v>
      </c>
      <c r="T73" s="18">
        <v>1.44</v>
      </c>
      <c r="U73" s="18">
        <v>1.09</v>
      </c>
      <c r="V73" s="54">
        <v>0.34</v>
      </c>
      <c r="W73" s="55">
        <f>+0.34</f>
        <v>0.34</v>
      </c>
      <c r="X73" s="55">
        <f>+0.78</f>
        <v>0.78</v>
      </c>
      <c r="Y73" s="20" t="s">
        <v>7123</v>
      </c>
    </row>
    <row r="74">
      <c r="A74" s="9">
        <v>70.0</v>
      </c>
      <c r="B74" s="10" t="s">
        <v>7124</v>
      </c>
      <c r="C74" s="11" t="s">
        <v>7125</v>
      </c>
      <c r="D74" s="12" t="s">
        <v>98</v>
      </c>
      <c r="E74" s="13" t="s">
        <v>7126</v>
      </c>
      <c r="F74" s="12">
        <v>33.0</v>
      </c>
      <c r="G74" s="12">
        <v>1992.0</v>
      </c>
      <c r="H74" s="23">
        <v>0.0</v>
      </c>
      <c r="I74" s="36"/>
      <c r="J74" s="36"/>
      <c r="K74" s="36"/>
      <c r="L74" s="36"/>
      <c r="M74" s="23">
        <v>0.0</v>
      </c>
      <c r="N74" s="36"/>
      <c r="O74" s="21">
        <v>0.0</v>
      </c>
      <c r="P74" s="23">
        <v>0.0</v>
      </c>
      <c r="Q74" s="36"/>
      <c r="R74" s="15">
        <v>2.0</v>
      </c>
      <c r="S74" s="58"/>
      <c r="T74" s="36"/>
      <c r="U74" s="36"/>
      <c r="V74" s="36"/>
      <c r="W74" s="36"/>
      <c r="X74" s="36"/>
      <c r="Y74" s="20" t="s">
        <v>7127</v>
      </c>
    </row>
    <row r="75">
      <c r="A75" s="9">
        <v>71.0</v>
      </c>
      <c r="B75" s="10" t="s">
        <v>7128</v>
      </c>
      <c r="C75" s="11" t="s">
        <v>7129</v>
      </c>
      <c r="D75" s="12" t="s">
        <v>36</v>
      </c>
      <c r="E75" s="13" t="s">
        <v>7130</v>
      </c>
      <c r="F75" s="12">
        <v>26.0</v>
      </c>
      <c r="G75" s="12">
        <v>1999.0</v>
      </c>
      <c r="H75" s="14">
        <v>25.0</v>
      </c>
      <c r="I75" s="16">
        <v>1890.0</v>
      </c>
      <c r="J75" s="15">
        <v>76.0</v>
      </c>
      <c r="K75" s="15">
        <v>55.3</v>
      </c>
      <c r="L75" s="15">
        <v>21.0</v>
      </c>
      <c r="M75" s="17">
        <v>1.0</v>
      </c>
      <c r="N75" s="15">
        <v>85.0</v>
      </c>
      <c r="O75" s="18">
        <v>0.76</v>
      </c>
      <c r="P75" s="17">
        <v>0.19</v>
      </c>
      <c r="Q75" s="15">
        <v>25.0</v>
      </c>
      <c r="R75" s="18">
        <v>0.43</v>
      </c>
      <c r="S75" s="14">
        <v>1.28</v>
      </c>
      <c r="T75" s="18">
        <v>1.38</v>
      </c>
      <c r="U75" s="18">
        <v>1.24</v>
      </c>
      <c r="V75" s="54">
        <v>0.14</v>
      </c>
      <c r="W75" s="55">
        <f>+0.14</f>
        <v>0.14</v>
      </c>
      <c r="X75" s="55">
        <f>+0.73</f>
        <v>0.73</v>
      </c>
      <c r="Y75" s="20" t="s">
        <v>7131</v>
      </c>
    </row>
    <row r="76">
      <c r="A76" s="9">
        <v>72.0</v>
      </c>
      <c r="B76" s="10" t="s">
        <v>7132</v>
      </c>
      <c r="C76" s="11" t="s">
        <v>7133</v>
      </c>
      <c r="D76" s="12" t="s">
        <v>31</v>
      </c>
      <c r="E76" s="13" t="s">
        <v>7134</v>
      </c>
      <c r="F76" s="12">
        <v>29.0</v>
      </c>
      <c r="G76" s="12">
        <v>1996.0</v>
      </c>
      <c r="H76" s="23">
        <v>0.0</v>
      </c>
      <c r="I76" s="36"/>
      <c r="J76" s="36"/>
      <c r="K76" s="36"/>
      <c r="L76" s="36"/>
      <c r="M76" s="23">
        <v>0.0</v>
      </c>
      <c r="N76" s="36"/>
      <c r="O76" s="21">
        <v>0.0</v>
      </c>
      <c r="P76" s="23">
        <v>0.0</v>
      </c>
      <c r="Q76" s="36"/>
      <c r="R76" s="15">
        <v>1.0</v>
      </c>
      <c r="S76" s="58"/>
      <c r="T76" s="36"/>
      <c r="U76" s="36"/>
      <c r="V76" s="36"/>
      <c r="W76" s="36"/>
      <c r="X76" s="36"/>
      <c r="Y76" s="20" t="s">
        <v>7135</v>
      </c>
    </row>
    <row r="77">
      <c r="A77" s="9">
        <v>73.0</v>
      </c>
      <c r="B77" s="10" t="s">
        <v>7136</v>
      </c>
      <c r="C77" s="11" t="s">
        <v>7137</v>
      </c>
      <c r="D77" s="12" t="s">
        <v>31</v>
      </c>
      <c r="E77" s="13" t="s">
        <v>7138</v>
      </c>
      <c r="F77" s="12">
        <v>28.0</v>
      </c>
      <c r="G77" s="12">
        <v>1996.0</v>
      </c>
      <c r="H77" s="14">
        <v>11.0</v>
      </c>
      <c r="I77" s="15">
        <v>603.0</v>
      </c>
      <c r="J77" s="15">
        <v>55.0</v>
      </c>
      <c r="K77" s="15">
        <v>17.6</v>
      </c>
      <c r="L77" s="15">
        <v>6.7</v>
      </c>
      <c r="M77" s="17">
        <v>1.04</v>
      </c>
      <c r="N77" s="15">
        <v>68.0</v>
      </c>
      <c r="O77" s="18">
        <v>0.15</v>
      </c>
      <c r="P77" s="17">
        <v>0.6</v>
      </c>
      <c r="Q77" s="15">
        <v>32.0</v>
      </c>
      <c r="R77" s="18">
        <v>0.6</v>
      </c>
      <c r="S77" s="14">
        <v>0.82</v>
      </c>
      <c r="T77" s="18">
        <v>0.9</v>
      </c>
      <c r="U77" s="18">
        <v>2.54</v>
      </c>
      <c r="V77" s="56">
        <v>-1.64</v>
      </c>
      <c r="W77" s="57">
        <v>-1.64</v>
      </c>
      <c r="X77" s="57">
        <v>-1.71</v>
      </c>
      <c r="Y77" s="20" t="s">
        <v>7139</v>
      </c>
    </row>
    <row r="78">
      <c r="A78" s="9">
        <v>74.0</v>
      </c>
      <c r="B78" s="10" t="s">
        <v>7140</v>
      </c>
      <c r="C78" s="11" t="s">
        <v>7141</v>
      </c>
      <c r="D78" s="12" t="s">
        <v>98</v>
      </c>
      <c r="E78" s="13" t="s">
        <v>7142</v>
      </c>
      <c r="F78" s="12">
        <v>34.0</v>
      </c>
      <c r="G78" s="12">
        <v>1991.0</v>
      </c>
      <c r="H78" s="14">
        <v>7.0</v>
      </c>
      <c r="I78" s="15">
        <v>585.0</v>
      </c>
      <c r="J78" s="15">
        <v>84.0</v>
      </c>
      <c r="K78" s="15">
        <v>17.1</v>
      </c>
      <c r="L78" s="15">
        <v>6.5</v>
      </c>
      <c r="M78" s="17">
        <v>0.92</v>
      </c>
      <c r="N78" s="15">
        <v>90.0</v>
      </c>
      <c r="O78" s="18">
        <v>0.92</v>
      </c>
      <c r="P78" s="17">
        <v>0.15</v>
      </c>
      <c r="Q78" s="15">
        <v>45.0</v>
      </c>
      <c r="R78" s="18">
        <v>4.62</v>
      </c>
      <c r="S78" s="14">
        <v>1.71</v>
      </c>
      <c r="T78" s="18">
        <v>1.54</v>
      </c>
      <c r="U78" s="18">
        <v>1.54</v>
      </c>
      <c r="V78" s="19">
        <v>0.0</v>
      </c>
      <c r="W78" s="21">
        <v>0.0</v>
      </c>
      <c r="X78" s="57">
        <v>-0.22</v>
      </c>
      <c r="Y78" s="20" t="s">
        <v>7143</v>
      </c>
    </row>
    <row r="79">
      <c r="A79" s="9">
        <v>75.0</v>
      </c>
      <c r="B79" s="10" t="s">
        <v>7144</v>
      </c>
      <c r="C79" s="11" t="s">
        <v>7145</v>
      </c>
      <c r="D79" s="12" t="s">
        <v>26</v>
      </c>
      <c r="E79" s="13" t="s">
        <v>7146</v>
      </c>
      <c r="F79" s="12">
        <v>22.0</v>
      </c>
      <c r="G79" s="12">
        <v>2003.0</v>
      </c>
      <c r="H79" s="14">
        <v>9.0</v>
      </c>
      <c r="I79" s="15">
        <v>468.0</v>
      </c>
      <c r="J79" s="15">
        <v>52.0</v>
      </c>
      <c r="K79" s="15">
        <v>13.7</v>
      </c>
      <c r="L79" s="15">
        <v>5.2</v>
      </c>
      <c r="M79" s="17">
        <v>0.96</v>
      </c>
      <c r="N79" s="15">
        <v>78.0</v>
      </c>
      <c r="O79" s="18">
        <v>0.38</v>
      </c>
      <c r="P79" s="17">
        <v>0.77</v>
      </c>
      <c r="Q79" s="15">
        <v>20.0</v>
      </c>
      <c r="R79" s="18">
        <v>0.77</v>
      </c>
      <c r="S79" s="14">
        <v>1.67</v>
      </c>
      <c r="T79" s="18">
        <v>1.92</v>
      </c>
      <c r="U79" s="18">
        <v>0.96</v>
      </c>
      <c r="V79" s="54">
        <v>0.96</v>
      </c>
      <c r="W79" s="55">
        <f>+0.96</f>
        <v>0.96</v>
      </c>
      <c r="X79" s="57">
        <v>-0.17</v>
      </c>
      <c r="Y79" s="20" t="s">
        <v>7147</v>
      </c>
    </row>
    <row r="80">
      <c r="A80" s="37" t="s">
        <v>3</v>
      </c>
      <c r="B80" s="38" t="s">
        <v>4</v>
      </c>
      <c r="C80" s="39" t="s">
        <v>5</v>
      </c>
      <c r="D80" s="39" t="s">
        <v>6</v>
      </c>
      <c r="E80" s="39" t="s">
        <v>7</v>
      </c>
      <c r="F80" s="39" t="s">
        <v>8</v>
      </c>
      <c r="G80" s="39" t="s">
        <v>9</v>
      </c>
      <c r="H80" s="40" t="s">
        <v>10</v>
      </c>
      <c r="I80" s="39" t="s">
        <v>12</v>
      </c>
      <c r="J80" s="39" t="s">
        <v>6838</v>
      </c>
      <c r="K80" s="39" t="s">
        <v>6839</v>
      </c>
      <c r="L80" s="39" t="s">
        <v>13</v>
      </c>
      <c r="M80" s="40" t="s">
        <v>11</v>
      </c>
      <c r="N80" s="39" t="s">
        <v>6840</v>
      </c>
      <c r="O80" s="39" t="s">
        <v>6841</v>
      </c>
      <c r="P80" s="40" t="s">
        <v>6836</v>
      </c>
      <c r="Q80" s="39" t="s">
        <v>6842</v>
      </c>
      <c r="R80" s="39" t="s">
        <v>6843</v>
      </c>
      <c r="S80" s="40" t="s">
        <v>6844</v>
      </c>
      <c r="T80" s="39" t="s">
        <v>6845</v>
      </c>
      <c r="U80" s="39" t="s">
        <v>6846</v>
      </c>
      <c r="V80" s="59" t="str">
        <f>+/-</f>
        <v>#ERROR!</v>
      </c>
      <c r="W80" s="59" t="str">
        <f>+/-90</f>
        <v>#ERROR!</v>
      </c>
      <c r="X80" s="39" t="s">
        <v>6847</v>
      </c>
      <c r="Y80" s="40" t="s">
        <v>23</v>
      </c>
    </row>
    <row r="81">
      <c r="A81" s="9">
        <v>76.0</v>
      </c>
      <c r="B81" s="10" t="s">
        <v>7148</v>
      </c>
      <c r="C81" s="11" t="s">
        <v>7149</v>
      </c>
      <c r="D81" s="12" t="s">
        <v>31</v>
      </c>
      <c r="E81" s="13" t="s">
        <v>7150</v>
      </c>
      <c r="F81" s="12">
        <v>22.0</v>
      </c>
      <c r="G81" s="12">
        <v>2003.0</v>
      </c>
      <c r="H81" s="14">
        <v>14.0</v>
      </c>
      <c r="I81" s="15">
        <v>571.0</v>
      </c>
      <c r="J81" s="15">
        <v>41.0</v>
      </c>
      <c r="K81" s="15">
        <v>16.7</v>
      </c>
      <c r="L81" s="15">
        <v>6.3</v>
      </c>
      <c r="M81" s="17">
        <v>0.95</v>
      </c>
      <c r="N81" s="15">
        <v>64.0</v>
      </c>
      <c r="O81" s="19">
        <v>0.0</v>
      </c>
      <c r="P81" s="17">
        <v>1.27</v>
      </c>
      <c r="Q81" s="15">
        <v>23.0</v>
      </c>
      <c r="R81" s="19">
        <v>0.0</v>
      </c>
      <c r="S81" s="14">
        <v>1.29</v>
      </c>
      <c r="T81" s="18">
        <v>1.11</v>
      </c>
      <c r="U81" s="18">
        <v>1.11</v>
      </c>
      <c r="V81" s="19">
        <v>0.0</v>
      </c>
      <c r="W81" s="21">
        <v>0.0</v>
      </c>
      <c r="X81" s="55">
        <f>+0.13</f>
        <v>0.13</v>
      </c>
      <c r="Y81" s="20" t="s">
        <v>7151</v>
      </c>
    </row>
    <row r="82">
      <c r="A82" s="9">
        <v>77.0</v>
      </c>
      <c r="B82" s="10" t="s">
        <v>7152</v>
      </c>
      <c r="C82" s="11" t="s">
        <v>7153</v>
      </c>
      <c r="D82" s="12" t="s">
        <v>264</v>
      </c>
      <c r="E82" s="13" t="s">
        <v>7154</v>
      </c>
      <c r="F82" s="12">
        <v>21.0</v>
      </c>
      <c r="G82" s="12">
        <v>2004.0</v>
      </c>
      <c r="H82" s="14">
        <v>28.0</v>
      </c>
      <c r="I82" s="16">
        <v>1053.0</v>
      </c>
      <c r="J82" s="15">
        <v>38.0</v>
      </c>
      <c r="K82" s="15">
        <v>30.8</v>
      </c>
      <c r="L82" s="15">
        <v>11.7</v>
      </c>
      <c r="M82" s="17">
        <v>0.94</v>
      </c>
      <c r="N82" s="15">
        <v>79.0</v>
      </c>
      <c r="O82" s="18">
        <v>0.34</v>
      </c>
      <c r="P82" s="17">
        <v>1.45</v>
      </c>
      <c r="Q82" s="15">
        <v>11.0</v>
      </c>
      <c r="R82" s="18">
        <v>0.85</v>
      </c>
      <c r="S82" s="14">
        <v>1.61</v>
      </c>
      <c r="T82" s="18">
        <v>1.37</v>
      </c>
      <c r="U82" s="18">
        <v>1.45</v>
      </c>
      <c r="V82" s="56">
        <v>-0.09</v>
      </c>
      <c r="W82" s="57">
        <v>-0.09</v>
      </c>
      <c r="X82" s="57">
        <v>-0.39</v>
      </c>
      <c r="Y82" s="20" t="s">
        <v>7155</v>
      </c>
    </row>
    <row r="83">
      <c r="A83" s="9">
        <v>78.0</v>
      </c>
      <c r="B83" s="10" t="s">
        <v>7156</v>
      </c>
      <c r="C83" s="11" t="s">
        <v>7157</v>
      </c>
      <c r="D83" s="12" t="s">
        <v>264</v>
      </c>
      <c r="E83" s="13" t="s">
        <v>7158</v>
      </c>
      <c r="F83" s="12">
        <v>25.0</v>
      </c>
      <c r="G83" s="12">
        <v>2000.0</v>
      </c>
      <c r="H83" s="14">
        <v>34.0</v>
      </c>
      <c r="I83" s="16">
        <v>2793.0</v>
      </c>
      <c r="J83" s="15">
        <v>82.0</v>
      </c>
      <c r="K83" s="15">
        <v>81.7</v>
      </c>
      <c r="L83" s="15">
        <v>31.0</v>
      </c>
      <c r="M83" s="17">
        <v>1.03</v>
      </c>
      <c r="N83" s="15">
        <v>86.0</v>
      </c>
      <c r="O83" s="18">
        <v>0.58</v>
      </c>
      <c r="P83" s="17">
        <v>0.06</v>
      </c>
      <c r="Q83" s="15">
        <v>27.0</v>
      </c>
      <c r="R83" s="19">
        <v>0.0</v>
      </c>
      <c r="S83" s="14">
        <v>1.24</v>
      </c>
      <c r="T83" s="18">
        <v>1.23</v>
      </c>
      <c r="U83" s="18">
        <v>1.42</v>
      </c>
      <c r="V83" s="56">
        <v>-0.19</v>
      </c>
      <c r="W83" s="57">
        <v>-0.19</v>
      </c>
      <c r="X83" s="57">
        <v>-0.05</v>
      </c>
      <c r="Y83" s="20" t="s">
        <v>7159</v>
      </c>
    </row>
    <row r="84">
      <c r="A84" s="9">
        <v>79.0</v>
      </c>
      <c r="B84" s="10" t="s">
        <v>7160</v>
      </c>
      <c r="C84" s="11" t="s">
        <v>7161</v>
      </c>
      <c r="D84" s="12" t="s">
        <v>36</v>
      </c>
      <c r="E84" s="13" t="s">
        <v>7162</v>
      </c>
      <c r="F84" s="12">
        <v>34.0</v>
      </c>
      <c r="G84" s="12">
        <v>1991.0</v>
      </c>
      <c r="H84" s="23">
        <v>0.0</v>
      </c>
      <c r="I84" s="36"/>
      <c r="J84" s="36"/>
      <c r="K84" s="36"/>
      <c r="L84" s="36"/>
      <c r="M84" s="23">
        <v>0.0</v>
      </c>
      <c r="N84" s="36"/>
      <c r="O84" s="21">
        <v>0.0</v>
      </c>
      <c r="P84" s="23">
        <v>0.0</v>
      </c>
      <c r="Q84" s="36"/>
      <c r="R84" s="15">
        <v>8.0</v>
      </c>
      <c r="S84" s="58"/>
      <c r="T84" s="36"/>
      <c r="U84" s="36"/>
      <c r="V84" s="36"/>
      <c r="W84" s="36"/>
      <c r="X84" s="36"/>
      <c r="Y84" s="20" t="s">
        <v>7163</v>
      </c>
    </row>
    <row r="85">
      <c r="A85" s="9">
        <v>80.0</v>
      </c>
      <c r="B85" s="10" t="s">
        <v>7164</v>
      </c>
      <c r="C85" s="11" t="s">
        <v>7165</v>
      </c>
      <c r="D85" s="12" t="s">
        <v>36</v>
      </c>
      <c r="E85" s="13" t="s">
        <v>7166</v>
      </c>
      <c r="F85" s="12">
        <v>26.0</v>
      </c>
      <c r="G85" s="12">
        <v>1999.0</v>
      </c>
      <c r="H85" s="14">
        <v>12.0</v>
      </c>
      <c r="I85" s="15">
        <v>429.0</v>
      </c>
      <c r="J85" s="15">
        <v>36.0</v>
      </c>
      <c r="K85" s="15">
        <v>12.5</v>
      </c>
      <c r="L85" s="15">
        <v>4.8</v>
      </c>
      <c r="M85" s="17">
        <v>1.04</v>
      </c>
      <c r="N85" s="15">
        <v>78.0</v>
      </c>
      <c r="O85" s="19">
        <v>0.0</v>
      </c>
      <c r="P85" s="17">
        <v>1.46</v>
      </c>
      <c r="Q85" s="15">
        <v>6.0</v>
      </c>
      <c r="R85" s="18">
        <v>3.75</v>
      </c>
      <c r="S85" s="14">
        <v>1.5</v>
      </c>
      <c r="T85" s="18">
        <v>0.83</v>
      </c>
      <c r="U85" s="18">
        <v>1.04</v>
      </c>
      <c r="V85" s="56">
        <v>-0.21</v>
      </c>
      <c r="W85" s="57">
        <v>-0.21</v>
      </c>
      <c r="X85" s="57">
        <v>-0.03</v>
      </c>
      <c r="Y85" s="20" t="s">
        <v>7167</v>
      </c>
    </row>
    <row r="86">
      <c r="A86" s="9">
        <v>81.0</v>
      </c>
      <c r="B86" s="10" t="s">
        <v>7168</v>
      </c>
      <c r="C86" s="11" t="s">
        <v>7169</v>
      </c>
      <c r="D86" s="12" t="s">
        <v>36</v>
      </c>
      <c r="E86" s="13" t="s">
        <v>7170</v>
      </c>
      <c r="F86" s="12">
        <v>27.0</v>
      </c>
      <c r="G86" s="12">
        <v>1997.0</v>
      </c>
      <c r="H86" s="14">
        <v>12.0</v>
      </c>
      <c r="I86" s="15">
        <v>802.0</v>
      </c>
      <c r="J86" s="15">
        <v>67.0</v>
      </c>
      <c r="K86" s="15">
        <v>23.5</v>
      </c>
      <c r="L86" s="15">
        <v>8.9</v>
      </c>
      <c r="M86" s="17">
        <v>1.01</v>
      </c>
      <c r="N86" s="15">
        <v>85.0</v>
      </c>
      <c r="O86" s="18">
        <v>0.79</v>
      </c>
      <c r="P86" s="17">
        <v>0.34</v>
      </c>
      <c r="Q86" s="15">
        <v>13.0</v>
      </c>
      <c r="R86" s="18">
        <v>2.92</v>
      </c>
      <c r="S86" s="14">
        <v>1.08</v>
      </c>
      <c r="T86" s="18">
        <v>1.24</v>
      </c>
      <c r="U86" s="18">
        <v>1.12</v>
      </c>
      <c r="V86" s="54">
        <v>0.11</v>
      </c>
      <c r="W86" s="55">
        <f>+0.11</f>
        <v>0.11</v>
      </c>
      <c r="X86" s="57">
        <v>-0.06</v>
      </c>
      <c r="Y86" s="20" t="s">
        <v>7171</v>
      </c>
    </row>
    <row r="87">
      <c r="A87" s="9">
        <v>82.0</v>
      </c>
      <c r="B87" s="10" t="s">
        <v>7172</v>
      </c>
      <c r="C87" s="11" t="s">
        <v>7173</v>
      </c>
      <c r="D87" s="12" t="s">
        <v>36</v>
      </c>
      <c r="E87" s="13" t="s">
        <v>7174</v>
      </c>
      <c r="F87" s="12">
        <v>25.0</v>
      </c>
      <c r="G87" s="12">
        <v>2000.0</v>
      </c>
      <c r="H87" s="14">
        <v>25.0</v>
      </c>
      <c r="I87" s="16">
        <v>1835.0</v>
      </c>
      <c r="J87" s="15">
        <v>73.0</v>
      </c>
      <c r="K87" s="15">
        <v>53.7</v>
      </c>
      <c r="L87" s="15">
        <v>20.4</v>
      </c>
      <c r="M87" s="17">
        <v>1.03</v>
      </c>
      <c r="N87" s="15">
        <v>84.0</v>
      </c>
      <c r="O87" s="18">
        <v>0.83</v>
      </c>
      <c r="P87" s="17">
        <v>0.2</v>
      </c>
      <c r="Q87" s="15">
        <v>15.0</v>
      </c>
      <c r="R87" s="18">
        <v>0.25</v>
      </c>
      <c r="S87" s="14">
        <v>1.36</v>
      </c>
      <c r="T87" s="18">
        <v>1.23</v>
      </c>
      <c r="U87" s="18">
        <v>1.32</v>
      </c>
      <c r="V87" s="56">
        <v>-0.1</v>
      </c>
      <c r="W87" s="57">
        <v>-0.1</v>
      </c>
      <c r="X87" s="57">
        <v>-0.1</v>
      </c>
      <c r="Y87" s="20" t="s">
        <v>7175</v>
      </c>
    </row>
    <row r="88">
      <c r="A88" s="9">
        <v>83.0</v>
      </c>
      <c r="B88" s="10" t="s">
        <v>7176</v>
      </c>
      <c r="C88" s="11" t="s">
        <v>7177</v>
      </c>
      <c r="D88" s="12" t="s">
        <v>26</v>
      </c>
      <c r="E88" s="13" t="s">
        <v>7178</v>
      </c>
      <c r="F88" s="12">
        <v>28.0</v>
      </c>
      <c r="G88" s="12">
        <v>1996.0</v>
      </c>
      <c r="H88" s="14">
        <v>38.0</v>
      </c>
      <c r="I88" s="16">
        <v>3403.0</v>
      </c>
      <c r="J88" s="15">
        <v>90.0</v>
      </c>
      <c r="K88" s="15">
        <v>99.5</v>
      </c>
      <c r="L88" s="15">
        <v>37.8</v>
      </c>
      <c r="M88" s="17">
        <v>1.01</v>
      </c>
      <c r="N88" s="15">
        <v>90.0</v>
      </c>
      <c r="O88" s="18">
        <v>0.85</v>
      </c>
      <c r="P88" s="22">
        <v>0.0</v>
      </c>
      <c r="Q88" s="36"/>
      <c r="R88" s="19">
        <v>0.0</v>
      </c>
      <c r="S88" s="14">
        <v>1.03</v>
      </c>
      <c r="T88" s="18">
        <v>1.19</v>
      </c>
      <c r="U88" s="18">
        <v>1.67</v>
      </c>
      <c r="V88" s="56">
        <v>-0.48</v>
      </c>
      <c r="W88" s="57">
        <v>-0.48</v>
      </c>
      <c r="X88" s="55">
        <f>+4.82</f>
        <v>4.82</v>
      </c>
      <c r="Y88" s="20" t="s">
        <v>7179</v>
      </c>
    </row>
    <row r="89">
      <c r="A89" s="9">
        <v>84.0</v>
      </c>
      <c r="B89" s="10" t="s">
        <v>7180</v>
      </c>
      <c r="C89" s="11" t="s">
        <v>7181</v>
      </c>
      <c r="D89" s="12" t="s">
        <v>36</v>
      </c>
      <c r="E89" s="13" t="s">
        <v>7182</v>
      </c>
      <c r="F89" s="12">
        <v>22.0</v>
      </c>
      <c r="G89" s="12">
        <v>2003.0</v>
      </c>
      <c r="H89" s="14">
        <v>15.0</v>
      </c>
      <c r="I89" s="15">
        <v>929.0</v>
      </c>
      <c r="J89" s="15">
        <v>62.0</v>
      </c>
      <c r="K89" s="15">
        <v>27.2</v>
      </c>
      <c r="L89" s="15">
        <v>10.3</v>
      </c>
      <c r="M89" s="17">
        <v>1.17</v>
      </c>
      <c r="N89" s="15">
        <v>70.0</v>
      </c>
      <c r="O89" s="18">
        <v>0.29</v>
      </c>
      <c r="P89" s="17">
        <v>0.29</v>
      </c>
      <c r="Q89" s="15">
        <v>29.0</v>
      </c>
      <c r="R89" s="18">
        <v>0.1</v>
      </c>
      <c r="S89" s="14">
        <v>1.47</v>
      </c>
      <c r="T89" s="18">
        <v>1.07</v>
      </c>
      <c r="U89" s="18">
        <v>1.26</v>
      </c>
      <c r="V89" s="56">
        <v>-0.19</v>
      </c>
      <c r="W89" s="57">
        <v>-0.19</v>
      </c>
      <c r="X89" s="57">
        <v>-0.63</v>
      </c>
      <c r="Y89" s="20" t="s">
        <v>7183</v>
      </c>
    </row>
    <row r="90">
      <c r="A90" s="9">
        <v>85.0</v>
      </c>
      <c r="B90" s="10" t="s">
        <v>7184</v>
      </c>
      <c r="C90" s="11" t="s">
        <v>7185</v>
      </c>
      <c r="D90" s="12" t="s">
        <v>36</v>
      </c>
      <c r="E90" s="13" t="s">
        <v>7186</v>
      </c>
      <c r="F90" s="12">
        <v>23.0</v>
      </c>
      <c r="G90" s="12">
        <v>2002.0</v>
      </c>
      <c r="H90" s="14">
        <v>10.0</v>
      </c>
      <c r="I90" s="15">
        <v>680.0</v>
      </c>
      <c r="J90" s="15">
        <v>68.0</v>
      </c>
      <c r="K90" s="15">
        <v>19.9</v>
      </c>
      <c r="L90" s="15">
        <v>7.6</v>
      </c>
      <c r="M90" s="17">
        <v>0.92</v>
      </c>
      <c r="N90" s="15">
        <v>88.0</v>
      </c>
      <c r="O90" s="18">
        <v>0.53</v>
      </c>
      <c r="P90" s="17">
        <v>0.39</v>
      </c>
      <c r="Q90" s="15">
        <v>21.0</v>
      </c>
      <c r="R90" s="19">
        <v>0.0</v>
      </c>
      <c r="S90" s="14">
        <v>1.5</v>
      </c>
      <c r="T90" s="18">
        <v>1.32</v>
      </c>
      <c r="U90" s="18">
        <v>1.18</v>
      </c>
      <c r="V90" s="54">
        <v>0.13</v>
      </c>
      <c r="W90" s="55">
        <f>+0.13</f>
        <v>0.13</v>
      </c>
      <c r="X90" s="55">
        <f>+0.26</f>
        <v>0.26</v>
      </c>
      <c r="Y90" s="20" t="s">
        <v>7187</v>
      </c>
    </row>
    <row r="91">
      <c r="A91" s="9">
        <v>86.0</v>
      </c>
      <c r="B91" s="10" t="s">
        <v>7188</v>
      </c>
      <c r="C91" s="11" t="s">
        <v>7189</v>
      </c>
      <c r="D91" s="12" t="s">
        <v>31</v>
      </c>
      <c r="E91" s="13" t="s">
        <v>7190</v>
      </c>
      <c r="F91" s="12">
        <v>17.0</v>
      </c>
      <c r="G91" s="12">
        <v>2007.0</v>
      </c>
      <c r="H91" s="23">
        <v>0.0</v>
      </c>
      <c r="I91" s="36"/>
      <c r="J91" s="36"/>
      <c r="K91" s="36"/>
      <c r="L91" s="36"/>
      <c r="M91" s="23">
        <v>0.0</v>
      </c>
      <c r="N91" s="36"/>
      <c r="O91" s="21">
        <v>0.0</v>
      </c>
      <c r="P91" s="23">
        <v>0.0</v>
      </c>
      <c r="Q91" s="36"/>
      <c r="R91" s="15">
        <v>1.0</v>
      </c>
      <c r="S91" s="58"/>
      <c r="T91" s="36"/>
      <c r="U91" s="36"/>
      <c r="V91" s="36"/>
      <c r="W91" s="36"/>
      <c r="X91" s="36"/>
      <c r="Y91" s="20" t="s">
        <v>7191</v>
      </c>
    </row>
    <row r="92">
      <c r="A92" s="9">
        <v>87.0</v>
      </c>
      <c r="B92" s="10" t="s">
        <v>7192</v>
      </c>
      <c r="C92" s="11" t="s">
        <v>7193</v>
      </c>
      <c r="D92" s="12" t="s">
        <v>41</v>
      </c>
      <c r="E92" s="13" t="s">
        <v>7194</v>
      </c>
      <c r="F92" s="12">
        <v>23.0</v>
      </c>
      <c r="G92" s="12">
        <v>2002.0</v>
      </c>
      <c r="H92" s="14">
        <v>31.0</v>
      </c>
      <c r="I92" s="16">
        <v>1927.0</v>
      </c>
      <c r="J92" s="15">
        <v>62.0</v>
      </c>
      <c r="K92" s="15">
        <v>56.3</v>
      </c>
      <c r="L92" s="15">
        <v>21.4</v>
      </c>
      <c r="M92" s="17">
        <v>1.03</v>
      </c>
      <c r="N92" s="15">
        <v>78.0</v>
      </c>
      <c r="O92" s="18">
        <v>0.28</v>
      </c>
      <c r="P92" s="17">
        <v>0.42</v>
      </c>
      <c r="Q92" s="15">
        <v>22.0</v>
      </c>
      <c r="R92" s="18">
        <v>0.09</v>
      </c>
      <c r="S92" s="14">
        <v>1.29</v>
      </c>
      <c r="T92" s="18">
        <v>0.93</v>
      </c>
      <c r="U92" s="18">
        <v>1.4</v>
      </c>
      <c r="V92" s="56">
        <v>-0.47</v>
      </c>
      <c r="W92" s="57">
        <v>-0.47</v>
      </c>
      <c r="X92" s="57">
        <v>-0.71</v>
      </c>
      <c r="Y92" s="20" t="s">
        <v>7195</v>
      </c>
    </row>
    <row r="93">
      <c r="A93" s="9">
        <v>88.0</v>
      </c>
      <c r="B93" s="10" t="s">
        <v>7196</v>
      </c>
      <c r="C93" s="11" t="s">
        <v>7197</v>
      </c>
      <c r="D93" s="12" t="s">
        <v>31</v>
      </c>
      <c r="E93" s="13" t="s">
        <v>7198</v>
      </c>
      <c r="F93" s="12">
        <v>18.0</v>
      </c>
      <c r="G93" s="12">
        <v>2007.0</v>
      </c>
      <c r="H93" s="23">
        <v>0.0</v>
      </c>
      <c r="I93" s="36"/>
      <c r="J93" s="36"/>
      <c r="K93" s="36"/>
      <c r="L93" s="36"/>
      <c r="M93" s="23">
        <v>0.0</v>
      </c>
      <c r="N93" s="36"/>
      <c r="O93" s="21">
        <v>0.0</v>
      </c>
      <c r="P93" s="23">
        <v>0.0</v>
      </c>
      <c r="Q93" s="36"/>
      <c r="R93" s="15">
        <v>1.0</v>
      </c>
      <c r="S93" s="58"/>
      <c r="T93" s="36"/>
      <c r="U93" s="36"/>
      <c r="V93" s="36"/>
      <c r="W93" s="36"/>
      <c r="X93" s="36"/>
      <c r="Y93" s="20" t="s">
        <v>7199</v>
      </c>
    </row>
    <row r="94">
      <c r="A94" s="9">
        <v>89.0</v>
      </c>
      <c r="B94" s="10" t="s">
        <v>7200</v>
      </c>
      <c r="C94" s="11" t="s">
        <v>7201</v>
      </c>
      <c r="D94" s="12" t="s">
        <v>41</v>
      </c>
      <c r="E94" s="13" t="s">
        <v>7202</v>
      </c>
      <c r="F94" s="12">
        <v>23.0</v>
      </c>
      <c r="G94" s="12">
        <v>2001.0</v>
      </c>
      <c r="H94" s="14">
        <v>24.0</v>
      </c>
      <c r="I94" s="15">
        <v>860.0</v>
      </c>
      <c r="J94" s="15">
        <v>36.0</v>
      </c>
      <c r="K94" s="15">
        <v>25.1</v>
      </c>
      <c r="L94" s="15">
        <v>9.6</v>
      </c>
      <c r="M94" s="17">
        <v>0.83</v>
      </c>
      <c r="N94" s="15">
        <v>79.0</v>
      </c>
      <c r="O94" s="18">
        <v>0.21</v>
      </c>
      <c r="P94" s="17">
        <v>1.67</v>
      </c>
      <c r="Q94" s="15">
        <v>14.0</v>
      </c>
      <c r="R94" s="18">
        <v>0.52</v>
      </c>
      <c r="S94" s="14">
        <v>0.25</v>
      </c>
      <c r="T94" s="18">
        <v>1.15</v>
      </c>
      <c r="U94" s="18">
        <v>2.81</v>
      </c>
      <c r="V94" s="56">
        <v>-1.67</v>
      </c>
      <c r="W94" s="57">
        <v>-1.67</v>
      </c>
      <c r="X94" s="57">
        <v>-0.94</v>
      </c>
      <c r="Y94" s="20" t="s">
        <v>7203</v>
      </c>
    </row>
    <row r="95">
      <c r="A95" s="9">
        <v>90.0</v>
      </c>
      <c r="B95" s="10" t="s">
        <v>7204</v>
      </c>
      <c r="C95" s="11" t="s">
        <v>7205</v>
      </c>
      <c r="D95" s="12" t="s">
        <v>98</v>
      </c>
      <c r="E95" s="13" t="s">
        <v>7206</v>
      </c>
      <c r="F95" s="12">
        <v>21.0</v>
      </c>
      <c r="G95" s="12">
        <v>2003.0</v>
      </c>
      <c r="H95" s="23">
        <v>0.0</v>
      </c>
      <c r="I95" s="36"/>
      <c r="J95" s="36"/>
      <c r="K95" s="36"/>
      <c r="L95" s="36"/>
      <c r="M95" s="23">
        <v>0.0</v>
      </c>
      <c r="N95" s="36"/>
      <c r="O95" s="21">
        <v>0.0</v>
      </c>
      <c r="P95" s="23">
        <v>0.0</v>
      </c>
      <c r="Q95" s="36"/>
      <c r="R95" s="15">
        <v>1.0</v>
      </c>
      <c r="S95" s="58"/>
      <c r="T95" s="36"/>
      <c r="U95" s="36"/>
      <c r="V95" s="36"/>
      <c r="W95" s="36"/>
      <c r="X95" s="36"/>
      <c r="Y95" s="20" t="s">
        <v>7207</v>
      </c>
    </row>
    <row r="96">
      <c r="A96" s="9">
        <v>91.0</v>
      </c>
      <c r="B96" s="10" t="s">
        <v>7208</v>
      </c>
      <c r="C96" s="11" t="s">
        <v>7209</v>
      </c>
      <c r="D96" s="12" t="s">
        <v>31</v>
      </c>
      <c r="E96" s="13" t="s">
        <v>7210</v>
      </c>
      <c r="F96" s="12">
        <v>28.0</v>
      </c>
      <c r="G96" s="12">
        <v>1997.0</v>
      </c>
      <c r="H96" s="14">
        <v>31.0</v>
      </c>
      <c r="I96" s="16">
        <v>1204.0</v>
      </c>
      <c r="J96" s="15">
        <v>39.0</v>
      </c>
      <c r="K96" s="15">
        <v>35.2</v>
      </c>
      <c r="L96" s="15">
        <v>13.4</v>
      </c>
      <c r="M96" s="17">
        <v>0.97</v>
      </c>
      <c r="N96" s="15">
        <v>67.0</v>
      </c>
      <c r="O96" s="19">
        <v>0.0</v>
      </c>
      <c r="P96" s="17">
        <v>1.34</v>
      </c>
      <c r="Q96" s="15">
        <v>19.0</v>
      </c>
      <c r="R96" s="18">
        <v>0.15</v>
      </c>
      <c r="S96" s="14">
        <v>1.52</v>
      </c>
      <c r="T96" s="18">
        <v>1.57</v>
      </c>
      <c r="U96" s="18">
        <v>1.49</v>
      </c>
      <c r="V96" s="54">
        <v>0.07</v>
      </c>
      <c r="W96" s="55">
        <f>+0.07</f>
        <v>0.07</v>
      </c>
      <c r="X96" s="57">
        <v>-0.05</v>
      </c>
      <c r="Y96" s="20" t="s">
        <v>7211</v>
      </c>
    </row>
    <row r="97">
      <c r="A97" s="9">
        <v>92.0</v>
      </c>
      <c r="B97" s="10" t="s">
        <v>7212</v>
      </c>
      <c r="C97" s="11" t="s">
        <v>7213</v>
      </c>
      <c r="D97" s="12" t="s">
        <v>26</v>
      </c>
      <c r="E97" s="13" t="s">
        <v>7214</v>
      </c>
      <c r="F97" s="12">
        <v>26.0</v>
      </c>
      <c r="G97" s="12">
        <v>1998.0</v>
      </c>
      <c r="H97" s="14">
        <v>28.0</v>
      </c>
      <c r="I97" s="16">
        <v>1030.0</v>
      </c>
      <c r="J97" s="15">
        <v>37.0</v>
      </c>
      <c r="K97" s="15">
        <v>30.1</v>
      </c>
      <c r="L97" s="15">
        <v>11.4</v>
      </c>
      <c r="M97" s="17">
        <v>0.88</v>
      </c>
      <c r="N97" s="15">
        <v>67.0</v>
      </c>
      <c r="O97" s="19">
        <v>0.0</v>
      </c>
      <c r="P97" s="17">
        <v>1.58</v>
      </c>
      <c r="Q97" s="15">
        <v>20.0</v>
      </c>
      <c r="R97" s="18">
        <v>0.35</v>
      </c>
      <c r="S97" s="14">
        <v>0.61</v>
      </c>
      <c r="T97" s="18">
        <v>1.05</v>
      </c>
      <c r="U97" s="18">
        <v>2.54</v>
      </c>
      <c r="V97" s="56">
        <v>-1.49</v>
      </c>
      <c r="W97" s="57">
        <v>-1.49</v>
      </c>
      <c r="X97" s="57">
        <v>-0.73</v>
      </c>
      <c r="Y97" s="20" t="s">
        <v>7215</v>
      </c>
    </row>
    <row r="98">
      <c r="A98" s="9">
        <v>93.0</v>
      </c>
      <c r="B98" s="10" t="s">
        <v>7216</v>
      </c>
      <c r="C98" s="11" t="s">
        <v>7217</v>
      </c>
      <c r="D98" s="12" t="s">
        <v>31</v>
      </c>
      <c r="E98" s="13" t="s">
        <v>7218</v>
      </c>
      <c r="F98" s="12">
        <v>28.0</v>
      </c>
      <c r="G98" s="12">
        <v>1996.0</v>
      </c>
      <c r="H98" s="14">
        <v>36.0</v>
      </c>
      <c r="I98" s="16">
        <v>1755.0</v>
      </c>
      <c r="J98" s="15">
        <v>49.0</v>
      </c>
      <c r="K98" s="15">
        <v>51.3</v>
      </c>
      <c r="L98" s="15">
        <v>19.5</v>
      </c>
      <c r="M98" s="17">
        <v>1.08</v>
      </c>
      <c r="N98" s="15">
        <v>68.0</v>
      </c>
      <c r="O98" s="18">
        <v>0.15</v>
      </c>
      <c r="P98" s="17">
        <v>0.77</v>
      </c>
      <c r="Q98" s="15">
        <v>22.0</v>
      </c>
      <c r="R98" s="18">
        <v>0.05</v>
      </c>
      <c r="S98" s="14">
        <v>1.78</v>
      </c>
      <c r="T98" s="18">
        <v>1.08</v>
      </c>
      <c r="U98" s="18">
        <v>1.23</v>
      </c>
      <c r="V98" s="56">
        <v>-0.15</v>
      </c>
      <c r="W98" s="57">
        <v>-0.15</v>
      </c>
      <c r="X98" s="57">
        <v>-0.69</v>
      </c>
      <c r="Y98" s="20" t="s">
        <v>7219</v>
      </c>
    </row>
    <row r="99">
      <c r="A99" s="9">
        <v>94.0</v>
      </c>
      <c r="B99" s="10" t="s">
        <v>7220</v>
      </c>
      <c r="C99" s="11" t="s">
        <v>7221</v>
      </c>
      <c r="D99" s="12" t="s">
        <v>264</v>
      </c>
      <c r="E99" s="13" t="s">
        <v>7222</v>
      </c>
      <c r="F99" s="12">
        <v>22.0</v>
      </c>
      <c r="G99" s="12">
        <v>2002.0</v>
      </c>
      <c r="H99" s="14">
        <v>35.0</v>
      </c>
      <c r="I99" s="16">
        <v>2366.0</v>
      </c>
      <c r="J99" s="15">
        <v>68.0</v>
      </c>
      <c r="K99" s="15">
        <v>69.2</v>
      </c>
      <c r="L99" s="15">
        <v>26.3</v>
      </c>
      <c r="M99" s="17">
        <v>0.99</v>
      </c>
      <c r="N99" s="15">
        <v>84.0</v>
      </c>
      <c r="O99" s="18">
        <v>0.65</v>
      </c>
      <c r="P99" s="17">
        <v>0.34</v>
      </c>
      <c r="Q99" s="15">
        <v>20.0</v>
      </c>
      <c r="R99" s="19">
        <v>0.0</v>
      </c>
      <c r="S99" s="14">
        <v>0.57</v>
      </c>
      <c r="T99" s="18">
        <v>0.76</v>
      </c>
      <c r="U99" s="18">
        <v>1.67</v>
      </c>
      <c r="V99" s="56">
        <v>-0.91</v>
      </c>
      <c r="W99" s="57">
        <v>-0.91</v>
      </c>
      <c r="X99" s="55">
        <f>+0.54</f>
        <v>0.54</v>
      </c>
      <c r="Y99" s="20" t="s">
        <v>7223</v>
      </c>
    </row>
    <row r="100">
      <c r="A100" s="9">
        <v>95.0</v>
      </c>
      <c r="B100" s="10" t="s">
        <v>7224</v>
      </c>
      <c r="C100" s="11" t="s">
        <v>7225</v>
      </c>
      <c r="D100" s="12" t="s">
        <v>36</v>
      </c>
      <c r="E100" s="13" t="s">
        <v>7226</v>
      </c>
      <c r="F100" s="12">
        <v>26.0</v>
      </c>
      <c r="G100" s="12">
        <v>1998.0</v>
      </c>
      <c r="H100" s="14">
        <v>29.0</v>
      </c>
      <c r="I100" s="16">
        <v>2553.0</v>
      </c>
      <c r="J100" s="15">
        <v>88.0</v>
      </c>
      <c r="K100" s="15">
        <v>74.6</v>
      </c>
      <c r="L100" s="15">
        <v>28.4</v>
      </c>
      <c r="M100" s="17">
        <v>0.99</v>
      </c>
      <c r="N100" s="15">
        <v>90.0</v>
      </c>
      <c r="O100" s="18">
        <v>0.95</v>
      </c>
      <c r="P100" s="17">
        <v>0.04</v>
      </c>
      <c r="Q100" s="15">
        <v>35.0</v>
      </c>
      <c r="R100" s="18">
        <v>0.28</v>
      </c>
      <c r="S100" s="14">
        <v>0.66</v>
      </c>
      <c r="T100" s="18">
        <v>0.81</v>
      </c>
      <c r="U100" s="18">
        <v>1.65</v>
      </c>
      <c r="V100" s="56">
        <v>-0.85</v>
      </c>
      <c r="W100" s="57">
        <v>-0.85</v>
      </c>
      <c r="X100" s="55">
        <f>+0.92</f>
        <v>0.92</v>
      </c>
      <c r="Y100" s="20" t="s">
        <v>7227</v>
      </c>
    </row>
    <row r="101">
      <c r="A101" s="9">
        <v>96.0</v>
      </c>
      <c r="B101" s="10" t="s">
        <v>7228</v>
      </c>
      <c r="C101" s="11" t="s">
        <v>7229</v>
      </c>
      <c r="D101" s="12" t="s">
        <v>31</v>
      </c>
      <c r="E101" s="13" t="s">
        <v>7230</v>
      </c>
      <c r="F101" s="12">
        <v>20.0</v>
      </c>
      <c r="G101" s="12">
        <v>2004.0</v>
      </c>
      <c r="H101" s="14">
        <v>1.0</v>
      </c>
      <c r="I101" s="15">
        <v>45.0</v>
      </c>
      <c r="J101" s="15">
        <v>45.0</v>
      </c>
      <c r="K101" s="15">
        <v>1.3</v>
      </c>
      <c r="L101" s="15">
        <v>0.5</v>
      </c>
      <c r="M101" s="17">
        <v>2.0</v>
      </c>
      <c r="N101" s="15">
        <v>45.0</v>
      </c>
      <c r="O101" s="19">
        <v>0.0</v>
      </c>
      <c r="P101" s="22">
        <v>0.0</v>
      </c>
      <c r="Q101" s="36"/>
      <c r="R101" s="18">
        <v>8.0</v>
      </c>
      <c r="S101" s="14">
        <v>1.0</v>
      </c>
      <c r="T101" s="19">
        <v>0.0</v>
      </c>
      <c r="U101" s="18">
        <v>2.0</v>
      </c>
      <c r="V101" s="56">
        <v>-2.0</v>
      </c>
      <c r="W101" s="57">
        <v>-2.0</v>
      </c>
      <c r="X101" s="57">
        <v>-2.19</v>
      </c>
      <c r="Y101" s="20" t="s">
        <v>7231</v>
      </c>
    </row>
    <row r="102">
      <c r="A102" s="9">
        <v>97.0</v>
      </c>
      <c r="B102" s="10" t="s">
        <v>7232</v>
      </c>
      <c r="C102" s="11" t="s">
        <v>7233</v>
      </c>
      <c r="D102" s="12" t="s">
        <v>31</v>
      </c>
      <c r="E102" s="13" t="s">
        <v>7234</v>
      </c>
      <c r="F102" s="12">
        <v>20.0</v>
      </c>
      <c r="G102" s="12">
        <v>2004.0</v>
      </c>
      <c r="H102" s="14">
        <v>3.0</v>
      </c>
      <c r="I102" s="15">
        <v>39.0</v>
      </c>
      <c r="J102" s="15">
        <v>13.0</v>
      </c>
      <c r="K102" s="15">
        <v>1.1</v>
      </c>
      <c r="L102" s="15">
        <v>0.4</v>
      </c>
      <c r="M102" s="22">
        <v>0.0</v>
      </c>
      <c r="N102" s="36"/>
      <c r="O102" s="19">
        <v>0.0</v>
      </c>
      <c r="P102" s="17">
        <v>7.5</v>
      </c>
      <c r="Q102" s="15">
        <v>13.0</v>
      </c>
      <c r="R102" s="18">
        <v>12.5</v>
      </c>
      <c r="S102" s="14">
        <v>0.33</v>
      </c>
      <c r="T102" s="19">
        <v>0.0</v>
      </c>
      <c r="U102" s="18">
        <v>7.5</v>
      </c>
      <c r="V102" s="56">
        <v>-7.5</v>
      </c>
      <c r="W102" s="57">
        <v>-6.92</v>
      </c>
      <c r="X102" s="57">
        <v>-6.82</v>
      </c>
      <c r="Y102" s="20" t="s">
        <v>7235</v>
      </c>
    </row>
    <row r="103">
      <c r="A103" s="9">
        <v>98.0</v>
      </c>
      <c r="B103" s="10" t="s">
        <v>7236</v>
      </c>
      <c r="C103" s="11" t="s">
        <v>7237</v>
      </c>
      <c r="D103" s="12" t="s">
        <v>36</v>
      </c>
      <c r="E103" s="13" t="s">
        <v>7238</v>
      </c>
      <c r="F103" s="12">
        <v>33.0</v>
      </c>
      <c r="G103" s="12">
        <v>1992.0</v>
      </c>
      <c r="H103" s="14">
        <v>29.0</v>
      </c>
      <c r="I103" s="16">
        <v>2199.0</v>
      </c>
      <c r="J103" s="15">
        <v>76.0</v>
      </c>
      <c r="K103" s="15">
        <v>64.3</v>
      </c>
      <c r="L103" s="15">
        <v>24.4</v>
      </c>
      <c r="M103" s="17">
        <v>1.02</v>
      </c>
      <c r="N103" s="15">
        <v>86.0</v>
      </c>
      <c r="O103" s="18">
        <v>0.86</v>
      </c>
      <c r="P103" s="17">
        <v>0.16</v>
      </c>
      <c r="Q103" s="15">
        <v>13.0</v>
      </c>
      <c r="R103" s="18">
        <v>0.08</v>
      </c>
      <c r="S103" s="14">
        <v>1.21</v>
      </c>
      <c r="T103" s="18">
        <v>1.31</v>
      </c>
      <c r="U103" s="18">
        <v>1.39</v>
      </c>
      <c r="V103" s="56">
        <v>-0.08</v>
      </c>
      <c r="W103" s="57">
        <v>-0.08</v>
      </c>
      <c r="X103" s="57">
        <v>-0.08</v>
      </c>
      <c r="Y103" s="20" t="s">
        <v>7239</v>
      </c>
    </row>
    <row r="104">
      <c r="A104" s="9">
        <v>99.0</v>
      </c>
      <c r="B104" s="10" t="s">
        <v>7240</v>
      </c>
      <c r="C104" s="11" t="s">
        <v>7241</v>
      </c>
      <c r="D104" s="12" t="s">
        <v>31</v>
      </c>
      <c r="E104" s="13" t="s">
        <v>7242</v>
      </c>
      <c r="F104" s="12">
        <v>17.0</v>
      </c>
      <c r="G104" s="12">
        <v>2008.0</v>
      </c>
      <c r="H104" s="14">
        <v>1.0</v>
      </c>
      <c r="I104" s="15">
        <v>17.0</v>
      </c>
      <c r="J104" s="15">
        <v>17.0</v>
      </c>
      <c r="K104" s="15">
        <v>0.5</v>
      </c>
      <c r="L104" s="15">
        <v>0.2</v>
      </c>
      <c r="M104" s="22">
        <v>0.0</v>
      </c>
      <c r="N104" s="36"/>
      <c r="O104" s="19">
        <v>0.0</v>
      </c>
      <c r="P104" s="17">
        <v>5.0</v>
      </c>
      <c r="Q104" s="15">
        <v>17.0</v>
      </c>
      <c r="R104" s="18">
        <v>15.0</v>
      </c>
      <c r="S104" s="23">
        <v>0.0</v>
      </c>
      <c r="T104" s="19">
        <v>0.0</v>
      </c>
      <c r="U104" s="18">
        <v>5.0</v>
      </c>
      <c r="V104" s="56">
        <v>-5.0</v>
      </c>
      <c r="W104" s="57">
        <v>-5.29</v>
      </c>
      <c r="X104" s="57">
        <v>-5.51</v>
      </c>
      <c r="Y104" s="20" t="s">
        <v>7243</v>
      </c>
    </row>
    <row r="105">
      <c r="A105" s="9">
        <v>100.0</v>
      </c>
      <c r="B105" s="10" t="s">
        <v>7244</v>
      </c>
      <c r="C105" s="11" t="s">
        <v>7245</v>
      </c>
      <c r="D105" s="12" t="s">
        <v>36</v>
      </c>
      <c r="E105" s="13" t="s">
        <v>7246</v>
      </c>
      <c r="F105" s="12">
        <v>16.0</v>
      </c>
      <c r="G105" s="12">
        <v>2008.0</v>
      </c>
      <c r="H105" s="14">
        <v>1.0</v>
      </c>
      <c r="I105" s="15">
        <v>1.0</v>
      </c>
      <c r="J105" s="15">
        <v>1.0</v>
      </c>
      <c r="K105" s="21">
        <v>0.0</v>
      </c>
      <c r="L105" s="21">
        <v>0.0</v>
      </c>
      <c r="M105" s="23">
        <v>0.0</v>
      </c>
      <c r="N105" s="36"/>
      <c r="O105" s="21">
        <v>0.0</v>
      </c>
      <c r="P105" s="14">
        <v>1.0</v>
      </c>
      <c r="Q105" s="15">
        <v>1.0</v>
      </c>
      <c r="R105" s="15">
        <v>5.0</v>
      </c>
      <c r="S105" s="14">
        <v>1.0</v>
      </c>
      <c r="T105" s="21">
        <v>0.0</v>
      </c>
      <c r="U105" s="21">
        <v>0.0</v>
      </c>
      <c r="V105" s="21">
        <v>0.0</v>
      </c>
      <c r="W105" s="21">
        <v>0.0</v>
      </c>
      <c r="X105" s="55">
        <f>+0.24</f>
        <v>0.24</v>
      </c>
      <c r="Y105" s="20" t="s">
        <v>7247</v>
      </c>
    </row>
    <row r="106">
      <c r="A106" s="37" t="s">
        <v>3</v>
      </c>
      <c r="B106" s="38" t="s">
        <v>4</v>
      </c>
      <c r="C106" s="39" t="s">
        <v>5</v>
      </c>
      <c r="D106" s="39" t="s">
        <v>6</v>
      </c>
      <c r="E106" s="39" t="s">
        <v>7</v>
      </c>
      <c r="F106" s="39" t="s">
        <v>8</v>
      </c>
      <c r="G106" s="39" t="s">
        <v>9</v>
      </c>
      <c r="H106" s="40" t="s">
        <v>10</v>
      </c>
      <c r="I106" s="39" t="s">
        <v>12</v>
      </c>
      <c r="J106" s="39" t="s">
        <v>6838</v>
      </c>
      <c r="K106" s="39" t="s">
        <v>6839</v>
      </c>
      <c r="L106" s="39" t="s">
        <v>13</v>
      </c>
      <c r="M106" s="40" t="s">
        <v>11</v>
      </c>
      <c r="N106" s="39" t="s">
        <v>6840</v>
      </c>
      <c r="O106" s="39" t="s">
        <v>6841</v>
      </c>
      <c r="P106" s="40" t="s">
        <v>6836</v>
      </c>
      <c r="Q106" s="39" t="s">
        <v>6842</v>
      </c>
      <c r="R106" s="39" t="s">
        <v>6843</v>
      </c>
      <c r="S106" s="40" t="s">
        <v>6844</v>
      </c>
      <c r="T106" s="39" t="s">
        <v>6845</v>
      </c>
      <c r="U106" s="39" t="s">
        <v>6846</v>
      </c>
      <c r="V106" s="59" t="str">
        <f>+/-</f>
        <v>#ERROR!</v>
      </c>
      <c r="W106" s="59" t="str">
        <f>+/-90</f>
        <v>#ERROR!</v>
      </c>
      <c r="X106" s="39" t="s">
        <v>6847</v>
      </c>
      <c r="Y106" s="40" t="s">
        <v>23</v>
      </c>
    </row>
    <row r="107">
      <c r="A107" s="9">
        <v>101.0</v>
      </c>
      <c r="B107" s="10" t="s">
        <v>7248</v>
      </c>
      <c r="C107" s="11" t="s">
        <v>7249</v>
      </c>
      <c r="D107" s="12" t="s">
        <v>345</v>
      </c>
      <c r="E107" s="13" t="s">
        <v>7250</v>
      </c>
      <c r="F107" s="12">
        <v>31.0</v>
      </c>
      <c r="G107" s="12">
        <v>1993.0</v>
      </c>
      <c r="H107" s="14">
        <v>2.0</v>
      </c>
      <c r="I107" s="15">
        <v>9.0</v>
      </c>
      <c r="J107" s="15">
        <v>5.0</v>
      </c>
      <c r="K107" s="15">
        <v>0.3</v>
      </c>
      <c r="L107" s="15">
        <v>0.1</v>
      </c>
      <c r="M107" s="22">
        <v>0.0</v>
      </c>
      <c r="N107" s="36"/>
      <c r="O107" s="19">
        <v>0.0</v>
      </c>
      <c r="P107" s="17">
        <v>20.0</v>
      </c>
      <c r="Q107" s="15">
        <v>5.0</v>
      </c>
      <c r="R107" s="18">
        <v>160.0</v>
      </c>
      <c r="S107" s="14">
        <v>1.5</v>
      </c>
      <c r="T107" s="18">
        <v>10.0</v>
      </c>
      <c r="U107" s="18">
        <v>10.0</v>
      </c>
      <c r="V107" s="19">
        <v>0.0</v>
      </c>
      <c r="W107" s="21">
        <v>0.0</v>
      </c>
      <c r="X107" s="55">
        <f>+0.18</f>
        <v>0.18</v>
      </c>
      <c r="Y107" s="20" t="s">
        <v>7251</v>
      </c>
    </row>
    <row r="108">
      <c r="A108" s="9">
        <v>102.0</v>
      </c>
      <c r="B108" s="10" t="s">
        <v>7252</v>
      </c>
      <c r="C108" s="11" t="s">
        <v>7253</v>
      </c>
      <c r="D108" s="12" t="s">
        <v>31</v>
      </c>
      <c r="E108" s="13" t="s">
        <v>7254</v>
      </c>
      <c r="F108" s="12">
        <v>23.0</v>
      </c>
      <c r="G108" s="12">
        <v>2001.0</v>
      </c>
      <c r="H108" s="14">
        <v>33.0</v>
      </c>
      <c r="I108" s="16">
        <v>2795.0</v>
      </c>
      <c r="J108" s="15">
        <v>85.0</v>
      </c>
      <c r="K108" s="15">
        <v>81.7</v>
      </c>
      <c r="L108" s="15">
        <v>31.1</v>
      </c>
      <c r="M108" s="17">
        <v>1.03</v>
      </c>
      <c r="N108" s="15">
        <v>86.0</v>
      </c>
      <c r="O108" s="18">
        <v>0.84</v>
      </c>
      <c r="P108" s="17">
        <v>0.03</v>
      </c>
      <c r="Q108" s="15">
        <v>45.0</v>
      </c>
      <c r="R108" s="18">
        <v>0.03</v>
      </c>
      <c r="S108" s="14">
        <v>1.33</v>
      </c>
      <c r="T108" s="18">
        <v>1.64</v>
      </c>
      <c r="U108" s="18">
        <v>1.48</v>
      </c>
      <c r="V108" s="54">
        <v>0.16</v>
      </c>
      <c r="W108" s="55">
        <f>+0.16</f>
        <v>0.16</v>
      </c>
      <c r="X108" s="55">
        <f>+0.02</f>
        <v>0.02</v>
      </c>
      <c r="Y108" s="20" t="s">
        <v>7255</v>
      </c>
    </row>
    <row r="109">
      <c r="A109" s="9">
        <v>103.0</v>
      </c>
      <c r="B109" s="10" t="s">
        <v>7256</v>
      </c>
      <c r="C109" s="11" t="s">
        <v>7257</v>
      </c>
      <c r="D109" s="12" t="s">
        <v>31</v>
      </c>
      <c r="E109" s="13" t="s">
        <v>7258</v>
      </c>
      <c r="F109" s="12">
        <v>34.0</v>
      </c>
      <c r="G109" s="12">
        <v>1991.0</v>
      </c>
      <c r="H109" s="14">
        <v>24.0</v>
      </c>
      <c r="I109" s="15">
        <v>775.0</v>
      </c>
      <c r="J109" s="15">
        <v>32.0</v>
      </c>
      <c r="K109" s="15">
        <v>22.7</v>
      </c>
      <c r="L109" s="15">
        <v>8.6</v>
      </c>
      <c r="M109" s="17">
        <v>0.7</v>
      </c>
      <c r="N109" s="15">
        <v>71.0</v>
      </c>
      <c r="O109" s="19">
        <v>0.0</v>
      </c>
      <c r="P109" s="17">
        <v>2.09</v>
      </c>
      <c r="Q109" s="15">
        <v>20.0</v>
      </c>
      <c r="R109" s="18">
        <v>1.4</v>
      </c>
      <c r="S109" s="14">
        <v>1.46</v>
      </c>
      <c r="T109" s="18">
        <v>1.51</v>
      </c>
      <c r="U109" s="18">
        <v>1.16</v>
      </c>
      <c r="V109" s="54">
        <v>0.35</v>
      </c>
      <c r="W109" s="55">
        <f>+0.35</f>
        <v>0.35</v>
      </c>
      <c r="X109" s="55">
        <f>+0.59</f>
        <v>0.59</v>
      </c>
      <c r="Y109" s="20" t="s">
        <v>7259</v>
      </c>
    </row>
    <row r="110">
      <c r="A110" s="9">
        <v>104.0</v>
      </c>
      <c r="B110" s="10" t="s">
        <v>7260</v>
      </c>
      <c r="C110" s="11" t="s">
        <v>7261</v>
      </c>
      <c r="D110" s="12" t="s">
        <v>36</v>
      </c>
      <c r="E110" s="13" t="s">
        <v>7262</v>
      </c>
      <c r="F110" s="12">
        <v>23.0</v>
      </c>
      <c r="G110" s="12">
        <v>2002.0</v>
      </c>
      <c r="H110" s="14">
        <v>26.0</v>
      </c>
      <c r="I110" s="16">
        <v>1699.0</v>
      </c>
      <c r="J110" s="15">
        <v>65.0</v>
      </c>
      <c r="K110" s="15">
        <v>49.7</v>
      </c>
      <c r="L110" s="15">
        <v>18.9</v>
      </c>
      <c r="M110" s="17">
        <v>1.16</v>
      </c>
      <c r="N110" s="15">
        <v>75.0</v>
      </c>
      <c r="O110" s="18">
        <v>0.37</v>
      </c>
      <c r="P110" s="17">
        <v>0.21</v>
      </c>
      <c r="Q110" s="15">
        <v>14.0</v>
      </c>
      <c r="R110" s="18">
        <v>0.11</v>
      </c>
      <c r="S110" s="14">
        <v>2.38</v>
      </c>
      <c r="T110" s="18">
        <v>1.69</v>
      </c>
      <c r="U110" s="18">
        <v>0.42</v>
      </c>
      <c r="V110" s="54">
        <v>1.27</v>
      </c>
      <c r="W110" s="55">
        <f>+1.27</f>
        <v>1.27</v>
      </c>
      <c r="X110" s="55">
        <f>+0.23</f>
        <v>0.23</v>
      </c>
      <c r="Y110" s="20" t="s">
        <v>7263</v>
      </c>
    </row>
    <row r="111">
      <c r="A111" s="9">
        <v>105.0</v>
      </c>
      <c r="B111" s="10" t="s">
        <v>7264</v>
      </c>
      <c r="C111" s="11" t="s">
        <v>7265</v>
      </c>
      <c r="D111" s="12" t="s">
        <v>41</v>
      </c>
      <c r="E111" s="13" t="s">
        <v>7266</v>
      </c>
      <c r="F111" s="12">
        <v>28.0</v>
      </c>
      <c r="G111" s="12">
        <v>1997.0</v>
      </c>
      <c r="H111" s="14">
        <v>35.0</v>
      </c>
      <c r="I111" s="16">
        <v>2721.0</v>
      </c>
      <c r="J111" s="15">
        <v>78.0</v>
      </c>
      <c r="K111" s="15">
        <v>79.6</v>
      </c>
      <c r="L111" s="15">
        <v>30.2</v>
      </c>
      <c r="M111" s="17">
        <v>0.99</v>
      </c>
      <c r="N111" s="15">
        <v>87.0</v>
      </c>
      <c r="O111" s="18">
        <v>0.56</v>
      </c>
      <c r="P111" s="17">
        <v>0.17</v>
      </c>
      <c r="Q111" s="15">
        <v>25.0</v>
      </c>
      <c r="R111" s="19">
        <v>0.0</v>
      </c>
      <c r="S111" s="14">
        <v>1.23</v>
      </c>
      <c r="T111" s="18">
        <v>1.39</v>
      </c>
      <c r="U111" s="18">
        <v>1.13</v>
      </c>
      <c r="V111" s="54">
        <v>0.26</v>
      </c>
      <c r="W111" s="55">
        <f>+0.26</f>
        <v>0.26</v>
      </c>
      <c r="X111" s="55">
        <f>+2.2</f>
        <v>2.2</v>
      </c>
      <c r="Y111" s="20" t="s">
        <v>7267</v>
      </c>
    </row>
    <row r="112">
      <c r="A112" s="9">
        <v>106.0</v>
      </c>
      <c r="B112" s="10" t="s">
        <v>7268</v>
      </c>
      <c r="C112" s="11" t="s">
        <v>7269</v>
      </c>
      <c r="D112" s="12" t="s">
        <v>36</v>
      </c>
      <c r="E112" s="13" t="s">
        <v>7270</v>
      </c>
      <c r="F112" s="12">
        <v>20.0</v>
      </c>
      <c r="G112" s="12">
        <v>2004.0</v>
      </c>
      <c r="H112" s="23">
        <v>0.0</v>
      </c>
      <c r="I112" s="36"/>
      <c r="J112" s="36"/>
      <c r="K112" s="36"/>
      <c r="L112" s="36"/>
      <c r="M112" s="23">
        <v>0.0</v>
      </c>
      <c r="N112" s="36"/>
      <c r="O112" s="21">
        <v>0.0</v>
      </c>
      <c r="P112" s="23">
        <v>0.0</v>
      </c>
      <c r="Q112" s="36"/>
      <c r="R112" s="15">
        <v>11.0</v>
      </c>
      <c r="S112" s="58"/>
      <c r="T112" s="36"/>
      <c r="U112" s="36"/>
      <c r="V112" s="36"/>
      <c r="W112" s="36"/>
      <c r="X112" s="36"/>
      <c r="Y112" s="20" t="s">
        <v>7271</v>
      </c>
    </row>
    <row r="113">
      <c r="A113" s="9">
        <v>107.0</v>
      </c>
      <c r="B113" s="10" t="s">
        <v>7272</v>
      </c>
      <c r="C113" s="11" t="s">
        <v>7273</v>
      </c>
      <c r="D113" s="12" t="s">
        <v>36</v>
      </c>
      <c r="E113" s="13" t="s">
        <v>7274</v>
      </c>
      <c r="F113" s="12">
        <v>19.0</v>
      </c>
      <c r="G113" s="12">
        <v>2006.0</v>
      </c>
      <c r="H113" s="14">
        <v>20.0</v>
      </c>
      <c r="I113" s="16">
        <v>1336.0</v>
      </c>
      <c r="J113" s="15">
        <v>67.0</v>
      </c>
      <c r="K113" s="15">
        <v>39.1</v>
      </c>
      <c r="L113" s="15">
        <v>14.8</v>
      </c>
      <c r="M113" s="17">
        <v>0.95</v>
      </c>
      <c r="N113" s="15">
        <v>87.0</v>
      </c>
      <c r="O113" s="18">
        <v>0.81</v>
      </c>
      <c r="P113" s="17">
        <v>0.41</v>
      </c>
      <c r="Q113" s="15">
        <v>19.0</v>
      </c>
      <c r="R113" s="18">
        <v>0.95</v>
      </c>
      <c r="S113" s="14">
        <v>1.4</v>
      </c>
      <c r="T113" s="18">
        <v>0.88</v>
      </c>
      <c r="U113" s="18">
        <v>1.55</v>
      </c>
      <c r="V113" s="56">
        <v>-0.68</v>
      </c>
      <c r="W113" s="57">
        <v>-0.67</v>
      </c>
      <c r="X113" s="57">
        <v>-0.67</v>
      </c>
      <c r="Y113" s="20" t="s">
        <v>7275</v>
      </c>
    </row>
    <row r="114">
      <c r="A114" s="9">
        <v>108.0</v>
      </c>
      <c r="B114" s="10" t="s">
        <v>7276</v>
      </c>
      <c r="C114" s="11" t="s">
        <v>7277</v>
      </c>
      <c r="D114" s="12" t="s">
        <v>31</v>
      </c>
      <c r="E114" s="13" t="s">
        <v>7278</v>
      </c>
      <c r="F114" s="12">
        <v>19.0</v>
      </c>
      <c r="G114" s="12">
        <v>2006.0</v>
      </c>
      <c r="H114" s="14">
        <v>1.0</v>
      </c>
      <c r="I114" s="15">
        <v>90.0</v>
      </c>
      <c r="J114" s="15">
        <v>90.0</v>
      </c>
      <c r="K114" s="15">
        <v>2.6</v>
      </c>
      <c r="L114" s="15">
        <v>1.0</v>
      </c>
      <c r="M114" s="17">
        <v>1.0</v>
      </c>
      <c r="N114" s="15">
        <v>90.0</v>
      </c>
      <c r="O114" s="18">
        <v>1.0</v>
      </c>
      <c r="P114" s="22">
        <v>0.0</v>
      </c>
      <c r="Q114" s="36"/>
      <c r="R114" s="18">
        <v>12.0</v>
      </c>
      <c r="S114" s="23">
        <v>0.0</v>
      </c>
      <c r="T114" s="18">
        <v>1.0</v>
      </c>
      <c r="U114" s="18">
        <v>2.0</v>
      </c>
      <c r="V114" s="56">
        <v>-1.0</v>
      </c>
      <c r="W114" s="57">
        <v>-1.0</v>
      </c>
      <c r="X114" s="57">
        <v>-0.76</v>
      </c>
      <c r="Y114" s="20" t="s">
        <v>7279</v>
      </c>
    </row>
    <row r="115">
      <c r="A115" s="9">
        <v>109.0</v>
      </c>
      <c r="B115" s="10" t="s">
        <v>7280</v>
      </c>
      <c r="C115" s="11" t="s">
        <v>7281</v>
      </c>
      <c r="D115" s="12" t="s">
        <v>31</v>
      </c>
      <c r="E115" s="13" t="s">
        <v>7282</v>
      </c>
      <c r="F115" s="12">
        <v>18.0</v>
      </c>
      <c r="G115" s="12">
        <v>2007.0</v>
      </c>
      <c r="H115" s="23">
        <v>0.0</v>
      </c>
      <c r="I115" s="36"/>
      <c r="J115" s="36"/>
      <c r="K115" s="36"/>
      <c r="L115" s="36"/>
      <c r="M115" s="23">
        <v>0.0</v>
      </c>
      <c r="N115" s="36"/>
      <c r="O115" s="21">
        <v>0.0</v>
      </c>
      <c r="P115" s="23">
        <v>0.0</v>
      </c>
      <c r="Q115" s="36"/>
      <c r="R115" s="15">
        <v>1.0</v>
      </c>
      <c r="S115" s="58"/>
      <c r="T115" s="36"/>
      <c r="U115" s="36"/>
      <c r="V115" s="36"/>
      <c r="W115" s="36"/>
      <c r="X115" s="36"/>
      <c r="Y115" s="20" t="s">
        <v>7283</v>
      </c>
    </row>
    <row r="116">
      <c r="A116" s="9">
        <v>110.0</v>
      </c>
      <c r="B116" s="10" t="s">
        <v>7284</v>
      </c>
      <c r="C116" s="11" t="s">
        <v>7285</v>
      </c>
      <c r="D116" s="12" t="s">
        <v>31</v>
      </c>
      <c r="E116" s="13" t="s">
        <v>7286</v>
      </c>
      <c r="F116" s="12">
        <v>22.0</v>
      </c>
      <c r="G116" s="12">
        <v>2002.0</v>
      </c>
      <c r="H116" s="14">
        <v>6.0</v>
      </c>
      <c r="I116" s="15">
        <v>102.0</v>
      </c>
      <c r="J116" s="15">
        <v>17.0</v>
      </c>
      <c r="K116" s="15">
        <v>3.0</v>
      </c>
      <c r="L116" s="15">
        <v>1.1</v>
      </c>
      <c r="M116" s="17">
        <v>0.91</v>
      </c>
      <c r="N116" s="15">
        <v>90.0</v>
      </c>
      <c r="O116" s="18">
        <v>0.91</v>
      </c>
      <c r="P116" s="17">
        <v>4.55</v>
      </c>
      <c r="Q116" s="15">
        <v>2.0</v>
      </c>
      <c r="R116" s="18">
        <v>3.64</v>
      </c>
      <c r="S116" s="14">
        <v>0.17</v>
      </c>
      <c r="T116" s="18">
        <v>1.82</v>
      </c>
      <c r="U116" s="18">
        <v>3.64</v>
      </c>
      <c r="V116" s="56">
        <v>-1.82</v>
      </c>
      <c r="W116" s="57">
        <v>-1.76</v>
      </c>
      <c r="X116" s="57">
        <v>-1.9</v>
      </c>
      <c r="Y116" s="20" t="s">
        <v>7287</v>
      </c>
    </row>
    <row r="117">
      <c r="A117" s="9">
        <v>111.0</v>
      </c>
      <c r="B117" s="10" t="s">
        <v>7288</v>
      </c>
      <c r="C117" s="11" t="s">
        <v>7289</v>
      </c>
      <c r="D117" s="12" t="s">
        <v>31</v>
      </c>
      <c r="E117" s="13" t="s">
        <v>7290</v>
      </c>
      <c r="F117" s="12">
        <v>33.0</v>
      </c>
      <c r="G117" s="12">
        <v>1992.0</v>
      </c>
      <c r="H117" s="14">
        <v>34.0</v>
      </c>
      <c r="I117" s="16">
        <v>2571.0</v>
      </c>
      <c r="J117" s="15">
        <v>76.0</v>
      </c>
      <c r="K117" s="15">
        <v>75.2</v>
      </c>
      <c r="L117" s="15">
        <v>28.6</v>
      </c>
      <c r="M117" s="17">
        <v>1.15</v>
      </c>
      <c r="N117" s="15">
        <v>78.0</v>
      </c>
      <c r="O117" s="18">
        <v>0.45</v>
      </c>
      <c r="P117" s="17">
        <v>0.03</v>
      </c>
      <c r="Q117" s="15">
        <v>11.0</v>
      </c>
      <c r="R117" s="19">
        <v>0.0</v>
      </c>
      <c r="S117" s="14">
        <v>1.97</v>
      </c>
      <c r="T117" s="18">
        <v>1.92</v>
      </c>
      <c r="U117" s="18">
        <v>1.08</v>
      </c>
      <c r="V117" s="54">
        <v>0.84</v>
      </c>
      <c r="W117" s="55">
        <f>+0.84</f>
        <v>0.84</v>
      </c>
      <c r="X117" s="55">
        <f>+1.37</f>
        <v>1.37</v>
      </c>
      <c r="Y117" s="20" t="s">
        <v>7291</v>
      </c>
    </row>
    <row r="118">
      <c r="A118" s="60">
        <v>112.0</v>
      </c>
      <c r="B118" s="13" t="s">
        <v>7292</v>
      </c>
      <c r="C118" s="11" t="s">
        <v>7293</v>
      </c>
      <c r="D118" s="61" t="s">
        <v>41</v>
      </c>
      <c r="E118" s="13" t="s">
        <v>7294</v>
      </c>
      <c r="F118" s="61">
        <v>17.0</v>
      </c>
      <c r="G118" s="61">
        <v>2007.0</v>
      </c>
      <c r="H118" s="62">
        <v>0.0</v>
      </c>
      <c r="I118" s="63"/>
      <c r="J118" s="63"/>
      <c r="K118" s="63"/>
      <c r="L118" s="63"/>
      <c r="M118" s="62">
        <v>0.0</v>
      </c>
      <c r="N118" s="63"/>
      <c r="O118" s="64">
        <v>0.0</v>
      </c>
      <c r="P118" s="62">
        <v>0.0</v>
      </c>
      <c r="Q118" s="63"/>
      <c r="R118" s="65">
        <v>2.0</v>
      </c>
      <c r="S118" s="66"/>
      <c r="T118" s="63"/>
      <c r="U118" s="63"/>
      <c r="V118" s="63"/>
      <c r="W118" s="63"/>
      <c r="X118" s="63"/>
      <c r="Y118" s="20" t="s">
        <v>7295</v>
      </c>
    </row>
    <row r="119">
      <c r="A119" s="9">
        <v>113.0</v>
      </c>
      <c r="B119" s="10" t="s">
        <v>7296</v>
      </c>
      <c r="C119" s="11" t="s">
        <v>7297</v>
      </c>
      <c r="D119" s="12" t="s">
        <v>36</v>
      </c>
      <c r="E119" s="13" t="s">
        <v>7298</v>
      </c>
      <c r="F119" s="12">
        <v>27.0</v>
      </c>
      <c r="G119" s="12">
        <v>1997.0</v>
      </c>
      <c r="H119" s="14">
        <v>35.0</v>
      </c>
      <c r="I119" s="16">
        <v>3014.0</v>
      </c>
      <c r="J119" s="15">
        <v>86.0</v>
      </c>
      <c r="K119" s="15">
        <v>88.1</v>
      </c>
      <c r="L119" s="15">
        <v>33.5</v>
      </c>
      <c r="M119" s="17">
        <v>1.01</v>
      </c>
      <c r="N119" s="15">
        <v>87.0</v>
      </c>
      <c r="O119" s="18">
        <v>0.78</v>
      </c>
      <c r="P119" s="17">
        <v>0.03</v>
      </c>
      <c r="Q119" s="15">
        <v>45.0</v>
      </c>
      <c r="R119" s="19">
        <v>0.0</v>
      </c>
      <c r="S119" s="14">
        <v>1.77</v>
      </c>
      <c r="T119" s="18">
        <v>1.52</v>
      </c>
      <c r="U119" s="18">
        <v>1.13</v>
      </c>
      <c r="V119" s="54">
        <v>0.39</v>
      </c>
      <c r="W119" s="55">
        <f>+0.39</f>
        <v>0.39</v>
      </c>
      <c r="X119" s="55">
        <f>+1.72</f>
        <v>1.72</v>
      </c>
      <c r="Y119" s="20" t="s">
        <v>7299</v>
      </c>
    </row>
    <row r="120">
      <c r="A120" s="9">
        <v>114.0</v>
      </c>
      <c r="B120" s="10" t="s">
        <v>7300</v>
      </c>
      <c r="C120" s="11" t="s">
        <v>7301</v>
      </c>
      <c r="D120" s="12" t="s">
        <v>345</v>
      </c>
      <c r="E120" s="13" t="s">
        <v>7302</v>
      </c>
      <c r="F120" s="12">
        <v>29.0</v>
      </c>
      <c r="G120" s="12">
        <v>1995.0</v>
      </c>
      <c r="H120" s="14">
        <v>30.0</v>
      </c>
      <c r="I120" s="16">
        <v>1845.0</v>
      </c>
      <c r="J120" s="15">
        <v>62.0</v>
      </c>
      <c r="K120" s="15">
        <v>53.9</v>
      </c>
      <c r="L120" s="15">
        <v>20.5</v>
      </c>
      <c r="M120" s="17">
        <v>0.98</v>
      </c>
      <c r="N120" s="15">
        <v>86.0</v>
      </c>
      <c r="O120" s="18">
        <v>0.78</v>
      </c>
      <c r="P120" s="17">
        <v>0.49</v>
      </c>
      <c r="Q120" s="15">
        <v>12.0</v>
      </c>
      <c r="R120" s="18">
        <v>0.39</v>
      </c>
      <c r="S120" s="14">
        <v>1.2</v>
      </c>
      <c r="T120" s="18">
        <v>1.22</v>
      </c>
      <c r="U120" s="18">
        <v>1.56</v>
      </c>
      <c r="V120" s="56">
        <v>-0.34</v>
      </c>
      <c r="W120" s="57">
        <v>-0.34</v>
      </c>
      <c r="X120" s="57">
        <v>-0.51</v>
      </c>
      <c r="Y120" s="20" t="s">
        <v>7303</v>
      </c>
    </row>
    <row r="121">
      <c r="A121" s="9">
        <v>115.0</v>
      </c>
      <c r="B121" s="10" t="s">
        <v>7304</v>
      </c>
      <c r="C121" s="11" t="s">
        <v>7305</v>
      </c>
      <c r="D121" s="12" t="s">
        <v>41</v>
      </c>
      <c r="E121" s="13" t="s">
        <v>7306</v>
      </c>
      <c r="F121" s="12">
        <v>26.0</v>
      </c>
      <c r="G121" s="12">
        <v>1998.0</v>
      </c>
      <c r="H121" s="14">
        <v>18.0</v>
      </c>
      <c r="I121" s="16">
        <v>1384.0</v>
      </c>
      <c r="J121" s="15">
        <v>77.0</v>
      </c>
      <c r="K121" s="15">
        <v>40.5</v>
      </c>
      <c r="L121" s="15">
        <v>15.4</v>
      </c>
      <c r="M121" s="17">
        <v>1.1</v>
      </c>
      <c r="N121" s="15">
        <v>78.0</v>
      </c>
      <c r="O121" s="18">
        <v>0.19</v>
      </c>
      <c r="P121" s="17">
        <v>0.06</v>
      </c>
      <c r="Q121" s="15">
        <v>65.0</v>
      </c>
      <c r="R121" s="19">
        <v>0.0</v>
      </c>
      <c r="S121" s="14">
        <v>1.39</v>
      </c>
      <c r="T121" s="18">
        <v>1.36</v>
      </c>
      <c r="U121" s="18">
        <v>1.04</v>
      </c>
      <c r="V121" s="54">
        <v>0.32</v>
      </c>
      <c r="W121" s="55">
        <f>+0.33</f>
        <v>0.33</v>
      </c>
      <c r="X121" s="55">
        <f>+1.39</f>
        <v>1.39</v>
      </c>
      <c r="Y121" s="20" t="s">
        <v>7307</v>
      </c>
    </row>
    <row r="122">
      <c r="A122" s="9">
        <v>116.0</v>
      </c>
      <c r="B122" s="10" t="s">
        <v>7308</v>
      </c>
      <c r="C122" s="11" t="s">
        <v>7309</v>
      </c>
      <c r="D122" s="12" t="s">
        <v>31</v>
      </c>
      <c r="E122" s="13" t="s">
        <v>7310</v>
      </c>
      <c r="F122" s="12">
        <v>18.0</v>
      </c>
      <c r="G122" s="12">
        <v>2007.0</v>
      </c>
      <c r="H122" s="23">
        <v>0.0</v>
      </c>
      <c r="I122" s="36"/>
      <c r="J122" s="36"/>
      <c r="K122" s="36"/>
      <c r="L122" s="36"/>
      <c r="M122" s="23">
        <v>0.0</v>
      </c>
      <c r="N122" s="36"/>
      <c r="O122" s="21">
        <v>0.0</v>
      </c>
      <c r="P122" s="23">
        <v>0.0</v>
      </c>
      <c r="Q122" s="36"/>
      <c r="R122" s="15">
        <v>3.0</v>
      </c>
      <c r="S122" s="58"/>
      <c r="T122" s="36"/>
      <c r="U122" s="36"/>
      <c r="V122" s="36"/>
      <c r="W122" s="36"/>
      <c r="X122" s="36"/>
      <c r="Y122" s="20" t="s">
        <v>7311</v>
      </c>
    </row>
    <row r="123">
      <c r="A123" s="9">
        <v>117.0</v>
      </c>
      <c r="B123" s="10" t="s">
        <v>7312</v>
      </c>
      <c r="C123" s="11" t="s">
        <v>7313</v>
      </c>
      <c r="D123" s="12" t="s">
        <v>36</v>
      </c>
      <c r="E123" s="13" t="s">
        <v>7314</v>
      </c>
      <c r="F123" s="12">
        <v>26.0</v>
      </c>
      <c r="G123" s="12">
        <v>1999.0</v>
      </c>
      <c r="H123" s="14">
        <v>34.0</v>
      </c>
      <c r="I123" s="16">
        <v>2783.0</v>
      </c>
      <c r="J123" s="15">
        <v>82.0</v>
      </c>
      <c r="K123" s="15">
        <v>81.4</v>
      </c>
      <c r="L123" s="15">
        <v>30.9</v>
      </c>
      <c r="M123" s="17">
        <v>1.0</v>
      </c>
      <c r="N123" s="15">
        <v>88.0</v>
      </c>
      <c r="O123" s="18">
        <v>0.94</v>
      </c>
      <c r="P123" s="17">
        <v>0.1</v>
      </c>
      <c r="Q123" s="15">
        <v>18.0</v>
      </c>
      <c r="R123" s="18">
        <v>0.03</v>
      </c>
      <c r="S123" s="14">
        <v>1.41</v>
      </c>
      <c r="T123" s="18">
        <v>1.68</v>
      </c>
      <c r="U123" s="18">
        <v>1.2</v>
      </c>
      <c r="V123" s="54">
        <v>0.49</v>
      </c>
      <c r="W123" s="55">
        <f>+0.49</f>
        <v>0.49</v>
      </c>
      <c r="X123" s="55">
        <f>+1.76</f>
        <v>1.76</v>
      </c>
      <c r="Y123" s="20" t="s">
        <v>7315</v>
      </c>
    </row>
    <row r="124">
      <c r="A124" s="9">
        <v>118.0</v>
      </c>
      <c r="B124" s="10" t="s">
        <v>7316</v>
      </c>
      <c r="C124" s="11" t="s">
        <v>7317</v>
      </c>
      <c r="D124" s="12" t="s">
        <v>31</v>
      </c>
      <c r="E124" s="13" t="s">
        <v>7318</v>
      </c>
      <c r="F124" s="12">
        <v>17.0</v>
      </c>
      <c r="G124" s="12">
        <v>2007.0</v>
      </c>
      <c r="H124" s="23">
        <v>0.0</v>
      </c>
      <c r="I124" s="36"/>
      <c r="J124" s="36"/>
      <c r="K124" s="36"/>
      <c r="L124" s="36"/>
      <c r="M124" s="23">
        <v>0.0</v>
      </c>
      <c r="N124" s="36"/>
      <c r="O124" s="21">
        <v>0.0</v>
      </c>
      <c r="P124" s="23">
        <v>0.0</v>
      </c>
      <c r="Q124" s="36"/>
      <c r="R124" s="15">
        <v>1.0</v>
      </c>
      <c r="S124" s="58"/>
      <c r="T124" s="36"/>
      <c r="U124" s="36"/>
      <c r="V124" s="36"/>
      <c r="W124" s="36"/>
      <c r="X124" s="36"/>
      <c r="Y124" s="20" t="s">
        <v>7319</v>
      </c>
    </row>
    <row r="125">
      <c r="A125" s="9">
        <v>119.0</v>
      </c>
      <c r="B125" s="10" t="s">
        <v>7320</v>
      </c>
      <c r="C125" s="11" t="s">
        <v>7321</v>
      </c>
      <c r="D125" s="12" t="s">
        <v>31</v>
      </c>
      <c r="E125" s="13" t="s">
        <v>7322</v>
      </c>
      <c r="F125" s="12">
        <v>21.0</v>
      </c>
      <c r="G125" s="12">
        <v>2003.0</v>
      </c>
      <c r="H125" s="14">
        <v>33.0</v>
      </c>
      <c r="I125" s="16">
        <v>1786.0</v>
      </c>
      <c r="J125" s="15">
        <v>54.0</v>
      </c>
      <c r="K125" s="15">
        <v>52.2</v>
      </c>
      <c r="L125" s="15">
        <v>19.8</v>
      </c>
      <c r="M125" s="17">
        <v>0.96</v>
      </c>
      <c r="N125" s="15">
        <v>77.0</v>
      </c>
      <c r="O125" s="18">
        <v>0.25</v>
      </c>
      <c r="P125" s="17">
        <v>0.71</v>
      </c>
      <c r="Q125" s="15">
        <v>23.0</v>
      </c>
      <c r="R125" s="18">
        <v>0.05</v>
      </c>
      <c r="S125" s="14">
        <v>2.06</v>
      </c>
      <c r="T125" s="18">
        <v>2.02</v>
      </c>
      <c r="U125" s="18">
        <v>0.96</v>
      </c>
      <c r="V125" s="54">
        <v>1.06</v>
      </c>
      <c r="W125" s="55">
        <f>+1.06</f>
        <v>1.06</v>
      </c>
      <c r="X125" s="57">
        <v>-0.1</v>
      </c>
      <c r="Y125" s="20" t="s">
        <v>7323</v>
      </c>
    </row>
    <row r="126">
      <c r="A126" s="9">
        <v>120.0</v>
      </c>
      <c r="B126" s="10" t="s">
        <v>7324</v>
      </c>
      <c r="C126" s="11" t="s">
        <v>7325</v>
      </c>
      <c r="D126" s="12" t="s">
        <v>41</v>
      </c>
      <c r="E126" s="13" t="s">
        <v>7326</v>
      </c>
      <c r="F126" s="12">
        <v>21.0</v>
      </c>
      <c r="G126" s="12">
        <v>2004.0</v>
      </c>
      <c r="H126" s="23">
        <v>0.0</v>
      </c>
      <c r="I126" s="36"/>
      <c r="J126" s="36"/>
      <c r="K126" s="36"/>
      <c r="L126" s="36"/>
      <c r="M126" s="23">
        <v>0.0</v>
      </c>
      <c r="N126" s="36"/>
      <c r="O126" s="21">
        <v>0.0</v>
      </c>
      <c r="P126" s="23">
        <v>0.0</v>
      </c>
      <c r="Q126" s="36"/>
      <c r="R126" s="15">
        <v>2.0</v>
      </c>
      <c r="S126" s="58"/>
      <c r="T126" s="36"/>
      <c r="U126" s="36"/>
      <c r="V126" s="36"/>
      <c r="W126" s="36"/>
      <c r="X126" s="36"/>
      <c r="Y126" s="20" t="s">
        <v>7327</v>
      </c>
    </row>
    <row r="127">
      <c r="A127" s="9">
        <v>121.0</v>
      </c>
      <c r="B127" s="10" t="s">
        <v>7328</v>
      </c>
      <c r="C127" s="11" t="s">
        <v>7329</v>
      </c>
      <c r="D127" s="12" t="s">
        <v>31</v>
      </c>
      <c r="E127" s="13" t="s">
        <v>7330</v>
      </c>
      <c r="F127" s="12">
        <v>27.0</v>
      </c>
      <c r="G127" s="12">
        <v>1997.0</v>
      </c>
      <c r="H127" s="14">
        <v>26.0</v>
      </c>
      <c r="I127" s="15">
        <v>339.0</v>
      </c>
      <c r="J127" s="15">
        <v>13.0</v>
      </c>
      <c r="K127" s="15">
        <v>9.9</v>
      </c>
      <c r="L127" s="15">
        <v>3.8</v>
      </c>
      <c r="M127" s="17">
        <v>0.26</v>
      </c>
      <c r="N127" s="15">
        <v>60.0</v>
      </c>
      <c r="O127" s="19">
        <v>0.0</v>
      </c>
      <c r="P127" s="17">
        <v>6.58</v>
      </c>
      <c r="Q127" s="15">
        <v>11.0</v>
      </c>
      <c r="R127" s="18">
        <v>2.63</v>
      </c>
      <c r="S127" s="14">
        <v>1.38</v>
      </c>
      <c r="T127" s="18">
        <v>3.95</v>
      </c>
      <c r="U127" s="18">
        <v>2.37</v>
      </c>
      <c r="V127" s="54">
        <v>1.58</v>
      </c>
      <c r="W127" s="55">
        <f>+1.59</f>
        <v>1.59</v>
      </c>
      <c r="X127" s="55">
        <f>+1.48</f>
        <v>1.48</v>
      </c>
      <c r="Y127" s="20" t="s">
        <v>7331</v>
      </c>
    </row>
    <row r="128">
      <c r="A128" s="9">
        <v>122.0</v>
      </c>
      <c r="B128" s="10" t="s">
        <v>7332</v>
      </c>
      <c r="C128" s="11" t="s">
        <v>7333</v>
      </c>
      <c r="D128" s="12" t="s">
        <v>31</v>
      </c>
      <c r="E128" s="13" t="s">
        <v>7334</v>
      </c>
      <c r="F128" s="12">
        <v>21.0</v>
      </c>
      <c r="G128" s="12">
        <v>2003.0</v>
      </c>
      <c r="H128" s="14">
        <v>2.0</v>
      </c>
      <c r="I128" s="15">
        <v>27.0</v>
      </c>
      <c r="J128" s="15">
        <v>14.0</v>
      </c>
      <c r="K128" s="15">
        <v>0.8</v>
      </c>
      <c r="L128" s="15">
        <v>0.3</v>
      </c>
      <c r="M128" s="22">
        <v>0.0</v>
      </c>
      <c r="N128" s="36"/>
      <c r="O128" s="19">
        <v>0.0</v>
      </c>
      <c r="P128" s="17">
        <v>6.67</v>
      </c>
      <c r="Q128" s="15">
        <v>14.0</v>
      </c>
      <c r="R128" s="18">
        <v>16.7</v>
      </c>
      <c r="S128" s="14">
        <v>1.5</v>
      </c>
      <c r="T128" s="19">
        <v>0.0</v>
      </c>
      <c r="U128" s="19">
        <v>0.0</v>
      </c>
      <c r="V128" s="19">
        <v>0.0</v>
      </c>
      <c r="W128" s="21">
        <v>0.0</v>
      </c>
      <c r="X128" s="55">
        <f>+1.09</f>
        <v>1.09</v>
      </c>
      <c r="Y128" s="20" t="s">
        <v>7335</v>
      </c>
    </row>
    <row r="129">
      <c r="A129" s="9">
        <v>123.0</v>
      </c>
      <c r="B129" s="10" t="s">
        <v>7336</v>
      </c>
      <c r="C129" s="11" t="s">
        <v>7337</v>
      </c>
      <c r="D129" s="12" t="s">
        <v>31</v>
      </c>
      <c r="E129" s="13" t="s">
        <v>7338</v>
      </c>
      <c r="F129" s="12">
        <v>30.0</v>
      </c>
      <c r="G129" s="12">
        <v>1995.0</v>
      </c>
      <c r="H129" s="14">
        <v>26.0</v>
      </c>
      <c r="I129" s="15">
        <v>993.0</v>
      </c>
      <c r="J129" s="15">
        <v>38.0</v>
      </c>
      <c r="K129" s="15">
        <v>29.0</v>
      </c>
      <c r="L129" s="15">
        <v>11.0</v>
      </c>
      <c r="M129" s="17">
        <v>0.82</v>
      </c>
      <c r="N129" s="15">
        <v>65.0</v>
      </c>
      <c r="O129" s="19">
        <v>0.0</v>
      </c>
      <c r="P129" s="17">
        <v>1.55</v>
      </c>
      <c r="Q129" s="15">
        <v>24.0</v>
      </c>
      <c r="R129" s="18">
        <v>0.09</v>
      </c>
      <c r="S129" s="14">
        <v>1.77</v>
      </c>
      <c r="T129" s="18">
        <v>1.45</v>
      </c>
      <c r="U129" s="18">
        <v>1.27</v>
      </c>
      <c r="V129" s="54">
        <v>0.18</v>
      </c>
      <c r="W129" s="55">
        <f>+0.18</f>
        <v>0.18</v>
      </c>
      <c r="X129" s="55">
        <f>+0.11</f>
        <v>0.11</v>
      </c>
      <c r="Y129" s="20" t="s">
        <v>7339</v>
      </c>
    </row>
    <row r="130">
      <c r="A130" s="9">
        <v>124.0</v>
      </c>
      <c r="B130" s="10" t="s">
        <v>7340</v>
      </c>
      <c r="C130" s="11" t="s">
        <v>7341</v>
      </c>
      <c r="D130" s="12" t="s">
        <v>31</v>
      </c>
      <c r="E130" s="13" t="s">
        <v>7342</v>
      </c>
      <c r="F130" s="12">
        <v>26.0</v>
      </c>
      <c r="G130" s="12">
        <v>1999.0</v>
      </c>
      <c r="H130" s="14">
        <v>23.0</v>
      </c>
      <c r="I130" s="16">
        <v>1079.0</v>
      </c>
      <c r="J130" s="15">
        <v>47.0</v>
      </c>
      <c r="K130" s="15">
        <v>31.5</v>
      </c>
      <c r="L130" s="15">
        <v>12.0</v>
      </c>
      <c r="M130" s="17">
        <v>0.83</v>
      </c>
      <c r="N130" s="15">
        <v>75.0</v>
      </c>
      <c r="O130" s="18">
        <v>0.17</v>
      </c>
      <c r="P130" s="17">
        <v>1.08</v>
      </c>
      <c r="Q130" s="15">
        <v>26.0</v>
      </c>
      <c r="R130" s="18">
        <v>0.08</v>
      </c>
      <c r="S130" s="14">
        <v>1.17</v>
      </c>
      <c r="T130" s="18">
        <v>1.5</v>
      </c>
      <c r="U130" s="18">
        <v>1.75</v>
      </c>
      <c r="V130" s="56">
        <v>-0.25</v>
      </c>
      <c r="W130" s="57">
        <v>-0.25</v>
      </c>
      <c r="X130" s="57">
        <v>-0.21</v>
      </c>
      <c r="Y130" s="20" t="s">
        <v>7343</v>
      </c>
    </row>
    <row r="131">
      <c r="A131" s="9">
        <v>125.0</v>
      </c>
      <c r="B131" s="10" t="s">
        <v>7344</v>
      </c>
      <c r="C131" s="11" t="s">
        <v>7345</v>
      </c>
      <c r="D131" s="12" t="s">
        <v>36</v>
      </c>
      <c r="E131" s="13" t="s">
        <v>7346</v>
      </c>
      <c r="F131" s="12">
        <v>23.0</v>
      </c>
      <c r="G131" s="12">
        <v>2002.0</v>
      </c>
      <c r="H131" s="14">
        <v>8.0</v>
      </c>
      <c r="I131" s="15">
        <v>323.0</v>
      </c>
      <c r="J131" s="15">
        <v>40.0</v>
      </c>
      <c r="K131" s="15">
        <v>9.4</v>
      </c>
      <c r="L131" s="15">
        <v>3.6</v>
      </c>
      <c r="M131" s="17">
        <v>0.83</v>
      </c>
      <c r="N131" s="15">
        <v>79.0</v>
      </c>
      <c r="O131" s="18">
        <v>0.56</v>
      </c>
      <c r="P131" s="17">
        <v>1.39</v>
      </c>
      <c r="Q131" s="15">
        <v>17.0</v>
      </c>
      <c r="R131" s="18">
        <v>3.06</v>
      </c>
      <c r="S131" s="14">
        <v>0.88</v>
      </c>
      <c r="T131" s="18">
        <v>0.56</v>
      </c>
      <c r="U131" s="18">
        <v>0.56</v>
      </c>
      <c r="V131" s="19">
        <v>0.0</v>
      </c>
      <c r="W131" s="21">
        <v>0.0</v>
      </c>
      <c r="X131" s="55">
        <f>+0.17</f>
        <v>0.17</v>
      </c>
      <c r="Y131" s="20" t="s">
        <v>7347</v>
      </c>
    </row>
    <row r="132">
      <c r="A132" s="37" t="s">
        <v>3</v>
      </c>
      <c r="B132" s="38" t="s">
        <v>4</v>
      </c>
      <c r="C132" s="39" t="s">
        <v>5</v>
      </c>
      <c r="D132" s="39" t="s">
        <v>6</v>
      </c>
      <c r="E132" s="39" t="s">
        <v>7</v>
      </c>
      <c r="F132" s="39" t="s">
        <v>8</v>
      </c>
      <c r="G132" s="39" t="s">
        <v>9</v>
      </c>
      <c r="H132" s="40" t="s">
        <v>10</v>
      </c>
      <c r="I132" s="39" t="s">
        <v>12</v>
      </c>
      <c r="J132" s="39" t="s">
        <v>6838</v>
      </c>
      <c r="K132" s="39" t="s">
        <v>6839</v>
      </c>
      <c r="L132" s="39" t="s">
        <v>13</v>
      </c>
      <c r="M132" s="40" t="s">
        <v>11</v>
      </c>
      <c r="N132" s="39" t="s">
        <v>6840</v>
      </c>
      <c r="O132" s="39" t="s">
        <v>6841</v>
      </c>
      <c r="P132" s="40" t="s">
        <v>6836</v>
      </c>
      <c r="Q132" s="39" t="s">
        <v>6842</v>
      </c>
      <c r="R132" s="39" t="s">
        <v>6843</v>
      </c>
      <c r="S132" s="40" t="s">
        <v>6844</v>
      </c>
      <c r="T132" s="39" t="s">
        <v>6845</v>
      </c>
      <c r="U132" s="39" t="s">
        <v>6846</v>
      </c>
      <c r="V132" s="59" t="str">
        <f>+/-</f>
        <v>#ERROR!</v>
      </c>
      <c r="W132" s="59" t="str">
        <f>+/-90</f>
        <v>#ERROR!</v>
      </c>
      <c r="X132" s="39" t="s">
        <v>6847</v>
      </c>
      <c r="Y132" s="40" t="s">
        <v>23</v>
      </c>
    </row>
    <row r="133">
      <c r="A133" s="9">
        <v>126.0</v>
      </c>
      <c r="B133" s="10" t="s">
        <v>7348</v>
      </c>
      <c r="C133" s="11" t="s">
        <v>7349</v>
      </c>
      <c r="D133" s="12" t="s">
        <v>264</v>
      </c>
      <c r="E133" s="13" t="s">
        <v>7350</v>
      </c>
      <c r="F133" s="12">
        <v>34.0</v>
      </c>
      <c r="G133" s="12">
        <v>1991.0</v>
      </c>
      <c r="H133" s="14">
        <v>10.0</v>
      </c>
      <c r="I133" s="15">
        <v>594.0</v>
      </c>
      <c r="J133" s="15">
        <v>59.0</v>
      </c>
      <c r="K133" s="15">
        <v>17.4</v>
      </c>
      <c r="L133" s="15">
        <v>6.6</v>
      </c>
      <c r="M133" s="17">
        <v>1.06</v>
      </c>
      <c r="N133" s="15">
        <v>72.0</v>
      </c>
      <c r="O133" s="18">
        <v>0.15</v>
      </c>
      <c r="P133" s="17">
        <v>0.45</v>
      </c>
      <c r="Q133" s="15">
        <v>30.0</v>
      </c>
      <c r="R133" s="18">
        <v>3.64</v>
      </c>
      <c r="S133" s="14">
        <v>1.0</v>
      </c>
      <c r="T133" s="18">
        <v>0.91</v>
      </c>
      <c r="U133" s="18">
        <v>1.82</v>
      </c>
      <c r="V133" s="56">
        <v>-0.91</v>
      </c>
      <c r="W133" s="57">
        <v>-0.91</v>
      </c>
      <c r="X133" s="57">
        <v>-0.78</v>
      </c>
      <c r="Y133" s="20" t="s">
        <v>7351</v>
      </c>
    </row>
    <row r="134">
      <c r="A134" s="9">
        <v>127.0</v>
      </c>
      <c r="B134" s="10" t="s">
        <v>7352</v>
      </c>
      <c r="C134" s="11" t="s">
        <v>7353</v>
      </c>
      <c r="D134" s="12" t="s">
        <v>36</v>
      </c>
      <c r="E134" s="13" t="s">
        <v>7354</v>
      </c>
      <c r="F134" s="12">
        <v>36.0</v>
      </c>
      <c r="G134" s="12">
        <v>1988.0</v>
      </c>
      <c r="H134" s="14">
        <v>5.0</v>
      </c>
      <c r="I134" s="15">
        <v>21.0</v>
      </c>
      <c r="J134" s="15">
        <v>4.0</v>
      </c>
      <c r="K134" s="15">
        <v>0.6</v>
      </c>
      <c r="L134" s="15">
        <v>0.2</v>
      </c>
      <c r="M134" s="17">
        <v>5.0</v>
      </c>
      <c r="N134" s="15">
        <v>9.0</v>
      </c>
      <c r="O134" s="19">
        <v>0.0</v>
      </c>
      <c r="P134" s="17">
        <v>20.0</v>
      </c>
      <c r="Q134" s="15">
        <v>3.0</v>
      </c>
      <c r="R134" s="18">
        <v>95.0</v>
      </c>
      <c r="S134" s="14">
        <v>1.8</v>
      </c>
      <c r="T134" s="19">
        <v>0.0</v>
      </c>
      <c r="U134" s="18">
        <v>5.0</v>
      </c>
      <c r="V134" s="56">
        <v>-5.0</v>
      </c>
      <c r="W134" s="57">
        <v>-4.29</v>
      </c>
      <c r="X134" s="57">
        <v>-4.23</v>
      </c>
      <c r="Y134" s="20" t="s">
        <v>7355</v>
      </c>
    </row>
    <row r="135">
      <c r="A135" s="9">
        <v>128.0</v>
      </c>
      <c r="B135" s="10" t="s">
        <v>7356</v>
      </c>
      <c r="C135" s="11" t="s">
        <v>7357</v>
      </c>
      <c r="D135" s="12" t="s">
        <v>36</v>
      </c>
      <c r="E135" s="13" t="s">
        <v>7358</v>
      </c>
      <c r="F135" s="12">
        <v>24.0</v>
      </c>
      <c r="G135" s="12">
        <v>2001.0</v>
      </c>
      <c r="H135" s="14">
        <v>35.0</v>
      </c>
      <c r="I135" s="16">
        <v>2975.0</v>
      </c>
      <c r="J135" s="15">
        <v>85.0</v>
      </c>
      <c r="K135" s="15">
        <v>87.0</v>
      </c>
      <c r="L135" s="15">
        <v>33.1</v>
      </c>
      <c r="M135" s="17">
        <v>0.97</v>
      </c>
      <c r="N135" s="15">
        <v>90.0</v>
      </c>
      <c r="O135" s="18">
        <v>0.97</v>
      </c>
      <c r="P135" s="17">
        <v>0.09</v>
      </c>
      <c r="Q135" s="15">
        <v>32.0</v>
      </c>
      <c r="R135" s="18">
        <v>0.09</v>
      </c>
      <c r="S135" s="14">
        <v>1.31</v>
      </c>
      <c r="T135" s="18">
        <v>1.39</v>
      </c>
      <c r="U135" s="18">
        <v>1.33</v>
      </c>
      <c r="V135" s="54">
        <v>0.06</v>
      </c>
      <c r="W135" s="55">
        <f>+0.06</f>
        <v>0.06</v>
      </c>
      <c r="X135" s="57">
        <v>-0.14</v>
      </c>
      <c r="Y135" s="20" t="s">
        <v>7359</v>
      </c>
    </row>
    <row r="136">
      <c r="A136" s="9">
        <v>129.0</v>
      </c>
      <c r="B136" s="10" t="s">
        <v>7360</v>
      </c>
      <c r="C136" s="11" t="s">
        <v>7361</v>
      </c>
      <c r="D136" s="12" t="s">
        <v>36</v>
      </c>
      <c r="E136" s="13" t="s">
        <v>7362</v>
      </c>
      <c r="F136" s="12">
        <v>22.0</v>
      </c>
      <c r="G136" s="12">
        <v>2003.0</v>
      </c>
      <c r="H136" s="14">
        <v>3.0</v>
      </c>
      <c r="I136" s="15">
        <v>225.0</v>
      </c>
      <c r="J136" s="15">
        <v>75.0</v>
      </c>
      <c r="K136" s="15">
        <v>6.6</v>
      </c>
      <c r="L136" s="15">
        <v>2.5</v>
      </c>
      <c r="M136" s="17">
        <v>0.8</v>
      </c>
      <c r="N136" s="15">
        <v>90.0</v>
      </c>
      <c r="O136" s="18">
        <v>0.8</v>
      </c>
      <c r="P136" s="17">
        <v>0.4</v>
      </c>
      <c r="Q136" s="15">
        <v>45.0</v>
      </c>
      <c r="R136" s="19">
        <v>0.0</v>
      </c>
      <c r="S136" s="14">
        <v>0.33</v>
      </c>
      <c r="T136" s="18">
        <v>1.2</v>
      </c>
      <c r="U136" s="18">
        <v>1.6</v>
      </c>
      <c r="V136" s="56">
        <v>-0.4</v>
      </c>
      <c r="W136" s="57">
        <v>-0.4</v>
      </c>
      <c r="X136" s="57">
        <v>-0.6</v>
      </c>
      <c r="Y136" s="20" t="s">
        <v>7363</v>
      </c>
    </row>
    <row r="137">
      <c r="A137" s="9">
        <v>130.0</v>
      </c>
      <c r="B137" s="10" t="s">
        <v>7364</v>
      </c>
      <c r="C137" s="11" t="s">
        <v>7365</v>
      </c>
      <c r="D137" s="12" t="s">
        <v>264</v>
      </c>
      <c r="E137" s="13" t="s">
        <v>7366</v>
      </c>
      <c r="F137" s="12">
        <v>28.0</v>
      </c>
      <c r="G137" s="12">
        <v>1997.0</v>
      </c>
      <c r="H137" s="14">
        <v>18.0</v>
      </c>
      <c r="I137" s="15">
        <v>874.0</v>
      </c>
      <c r="J137" s="15">
        <v>49.0</v>
      </c>
      <c r="K137" s="15">
        <v>25.6</v>
      </c>
      <c r="L137" s="15">
        <v>9.7</v>
      </c>
      <c r="M137" s="17">
        <v>0.82</v>
      </c>
      <c r="N137" s="15">
        <v>90.0</v>
      </c>
      <c r="O137" s="18">
        <v>0.82</v>
      </c>
      <c r="P137" s="17">
        <v>1.03</v>
      </c>
      <c r="Q137" s="15">
        <v>15.0</v>
      </c>
      <c r="R137" s="18">
        <v>0.1</v>
      </c>
      <c r="S137" s="14">
        <v>1.39</v>
      </c>
      <c r="T137" s="18">
        <v>1.55</v>
      </c>
      <c r="U137" s="18">
        <v>1.86</v>
      </c>
      <c r="V137" s="56">
        <v>-0.31</v>
      </c>
      <c r="W137" s="57">
        <v>-0.31</v>
      </c>
      <c r="X137" s="57">
        <v>-0.56</v>
      </c>
      <c r="Y137" s="20" t="s">
        <v>7367</v>
      </c>
    </row>
    <row r="138">
      <c r="A138" s="9">
        <v>131.0</v>
      </c>
      <c r="B138" s="10" t="s">
        <v>7368</v>
      </c>
      <c r="C138" s="11" t="s">
        <v>7369</v>
      </c>
      <c r="D138" s="12" t="s">
        <v>36</v>
      </c>
      <c r="E138" s="13" t="s">
        <v>7370</v>
      </c>
      <c r="F138" s="12">
        <v>21.0</v>
      </c>
      <c r="G138" s="12">
        <v>2003.0</v>
      </c>
      <c r="H138" s="14">
        <v>5.0</v>
      </c>
      <c r="I138" s="15">
        <v>194.0</v>
      </c>
      <c r="J138" s="15">
        <v>39.0</v>
      </c>
      <c r="K138" s="15">
        <v>5.7</v>
      </c>
      <c r="L138" s="15">
        <v>2.2</v>
      </c>
      <c r="M138" s="17">
        <v>0.91</v>
      </c>
      <c r="N138" s="15">
        <v>88.0</v>
      </c>
      <c r="O138" s="18">
        <v>0.45</v>
      </c>
      <c r="P138" s="17">
        <v>1.36</v>
      </c>
      <c r="Q138" s="15">
        <v>6.0</v>
      </c>
      <c r="R138" s="18">
        <v>7.73</v>
      </c>
      <c r="S138" s="14">
        <v>1.6</v>
      </c>
      <c r="T138" s="18">
        <v>0.45</v>
      </c>
      <c r="U138" s="18">
        <v>1.36</v>
      </c>
      <c r="V138" s="56">
        <v>-0.91</v>
      </c>
      <c r="W138" s="57">
        <v>-0.93</v>
      </c>
      <c r="X138" s="57">
        <v>-1.15</v>
      </c>
      <c r="Y138" s="20" t="s">
        <v>7371</v>
      </c>
    </row>
    <row r="139">
      <c r="A139" s="9">
        <v>132.0</v>
      </c>
      <c r="B139" s="10" t="s">
        <v>7372</v>
      </c>
      <c r="C139" s="11" t="s">
        <v>7373</v>
      </c>
      <c r="D139" s="12" t="s">
        <v>31</v>
      </c>
      <c r="E139" s="13" t="s">
        <v>7374</v>
      </c>
      <c r="F139" s="12">
        <v>18.0</v>
      </c>
      <c r="G139" s="12">
        <v>2007.0</v>
      </c>
      <c r="H139" s="23">
        <v>0.0</v>
      </c>
      <c r="I139" s="36"/>
      <c r="J139" s="36"/>
      <c r="K139" s="36"/>
      <c r="L139" s="36"/>
      <c r="M139" s="23">
        <v>0.0</v>
      </c>
      <c r="N139" s="36"/>
      <c r="O139" s="21">
        <v>0.0</v>
      </c>
      <c r="P139" s="23">
        <v>0.0</v>
      </c>
      <c r="Q139" s="36"/>
      <c r="R139" s="15">
        <v>2.0</v>
      </c>
      <c r="S139" s="58"/>
      <c r="T139" s="36"/>
      <c r="U139" s="36"/>
      <c r="V139" s="36"/>
      <c r="W139" s="36"/>
      <c r="X139" s="36"/>
      <c r="Y139" s="20" t="s">
        <v>7375</v>
      </c>
    </row>
    <row r="140">
      <c r="A140" s="9">
        <v>133.0</v>
      </c>
      <c r="B140" s="10" t="s">
        <v>7376</v>
      </c>
      <c r="C140" s="11" t="s">
        <v>7377</v>
      </c>
      <c r="D140" s="12" t="s">
        <v>36</v>
      </c>
      <c r="E140" s="13" t="s">
        <v>7378</v>
      </c>
      <c r="F140" s="12">
        <v>27.0</v>
      </c>
      <c r="G140" s="12">
        <v>1998.0</v>
      </c>
      <c r="H140" s="14">
        <v>34.0</v>
      </c>
      <c r="I140" s="16">
        <v>2707.0</v>
      </c>
      <c r="J140" s="15">
        <v>80.0</v>
      </c>
      <c r="K140" s="15">
        <v>79.2</v>
      </c>
      <c r="L140" s="15">
        <v>30.1</v>
      </c>
      <c r="M140" s="17">
        <v>1.03</v>
      </c>
      <c r="N140" s="15">
        <v>84.0</v>
      </c>
      <c r="O140" s="18">
        <v>0.86</v>
      </c>
      <c r="P140" s="17">
        <v>0.1</v>
      </c>
      <c r="Q140" s="15">
        <v>34.0</v>
      </c>
      <c r="R140" s="19">
        <v>0.0</v>
      </c>
      <c r="S140" s="14">
        <v>1.44</v>
      </c>
      <c r="T140" s="18">
        <v>1.53</v>
      </c>
      <c r="U140" s="18">
        <v>1.23</v>
      </c>
      <c r="V140" s="54">
        <v>0.3</v>
      </c>
      <c r="W140" s="55">
        <f>+0.3</f>
        <v>0.3</v>
      </c>
      <c r="X140" s="55">
        <f>+0.68</f>
        <v>0.68</v>
      </c>
      <c r="Y140" s="20" t="s">
        <v>7379</v>
      </c>
    </row>
    <row r="141">
      <c r="A141" s="9">
        <v>134.0</v>
      </c>
      <c r="B141" s="10" t="s">
        <v>7380</v>
      </c>
      <c r="C141" s="11" t="s">
        <v>7381</v>
      </c>
      <c r="D141" s="12" t="s">
        <v>36</v>
      </c>
      <c r="E141" s="13" t="s">
        <v>7382</v>
      </c>
      <c r="F141" s="12">
        <v>25.0</v>
      </c>
      <c r="G141" s="12">
        <v>1999.0</v>
      </c>
      <c r="H141" s="14">
        <v>15.0</v>
      </c>
      <c r="I141" s="15">
        <v>938.0</v>
      </c>
      <c r="J141" s="15">
        <v>63.0</v>
      </c>
      <c r="K141" s="15">
        <v>27.4</v>
      </c>
      <c r="L141" s="15">
        <v>10.4</v>
      </c>
      <c r="M141" s="17">
        <v>1.06</v>
      </c>
      <c r="N141" s="15">
        <v>84.0</v>
      </c>
      <c r="O141" s="18">
        <v>0.67</v>
      </c>
      <c r="P141" s="17">
        <v>0.38</v>
      </c>
      <c r="Q141" s="15">
        <v>4.0</v>
      </c>
      <c r="R141" s="18">
        <v>1.54</v>
      </c>
      <c r="S141" s="14">
        <v>1.8</v>
      </c>
      <c r="T141" s="18">
        <v>0.87</v>
      </c>
      <c r="U141" s="18">
        <v>1.06</v>
      </c>
      <c r="V141" s="56">
        <v>-0.19</v>
      </c>
      <c r="W141" s="57">
        <v>-0.19</v>
      </c>
      <c r="X141" s="57">
        <v>-0.12</v>
      </c>
      <c r="Y141" s="20" t="s">
        <v>7383</v>
      </c>
    </row>
    <row r="142">
      <c r="A142" s="9">
        <v>135.0</v>
      </c>
      <c r="B142" s="10" t="s">
        <v>7384</v>
      </c>
      <c r="C142" s="11" t="s">
        <v>7385</v>
      </c>
      <c r="D142" s="12" t="s">
        <v>31</v>
      </c>
      <c r="E142" s="13" t="s">
        <v>7386</v>
      </c>
      <c r="F142" s="12">
        <v>29.0</v>
      </c>
      <c r="G142" s="12">
        <v>1996.0</v>
      </c>
      <c r="H142" s="14">
        <v>18.0</v>
      </c>
      <c r="I142" s="16">
        <v>1514.0</v>
      </c>
      <c r="J142" s="15">
        <v>84.0</v>
      </c>
      <c r="K142" s="15">
        <v>44.3</v>
      </c>
      <c r="L142" s="15">
        <v>16.8</v>
      </c>
      <c r="M142" s="17">
        <v>1.07</v>
      </c>
      <c r="N142" s="15">
        <v>84.0</v>
      </c>
      <c r="O142" s="18">
        <v>0.71</v>
      </c>
      <c r="P142" s="22">
        <v>0.0</v>
      </c>
      <c r="Q142" s="36"/>
      <c r="R142" s="19">
        <v>0.0</v>
      </c>
      <c r="S142" s="14">
        <v>0.67</v>
      </c>
      <c r="T142" s="18">
        <v>1.07</v>
      </c>
      <c r="U142" s="18">
        <v>1.73</v>
      </c>
      <c r="V142" s="56">
        <v>-0.65</v>
      </c>
      <c r="W142" s="57">
        <v>-0.65</v>
      </c>
      <c r="X142" s="55">
        <f>+0.57</f>
        <v>0.57</v>
      </c>
      <c r="Y142" s="20" t="s">
        <v>7387</v>
      </c>
    </row>
    <row r="143">
      <c r="A143" s="9">
        <v>136.0</v>
      </c>
      <c r="B143" s="10" t="s">
        <v>7388</v>
      </c>
      <c r="C143" s="11" t="s">
        <v>7389</v>
      </c>
      <c r="D143" s="12" t="s">
        <v>36</v>
      </c>
      <c r="E143" s="13" t="s">
        <v>7390</v>
      </c>
      <c r="F143" s="12">
        <v>20.0</v>
      </c>
      <c r="G143" s="12">
        <v>2005.0</v>
      </c>
      <c r="H143" s="14">
        <v>9.0</v>
      </c>
      <c r="I143" s="15">
        <v>517.0</v>
      </c>
      <c r="J143" s="15">
        <v>57.0</v>
      </c>
      <c r="K143" s="15">
        <v>15.1</v>
      </c>
      <c r="L143" s="15">
        <v>5.7</v>
      </c>
      <c r="M143" s="17">
        <v>1.05</v>
      </c>
      <c r="N143" s="15">
        <v>71.0</v>
      </c>
      <c r="O143" s="18">
        <v>0.53</v>
      </c>
      <c r="P143" s="17">
        <v>0.53</v>
      </c>
      <c r="Q143" s="15">
        <v>30.0</v>
      </c>
      <c r="R143" s="18">
        <v>2.46</v>
      </c>
      <c r="S143" s="14">
        <v>1.33</v>
      </c>
      <c r="T143" s="18">
        <v>2.46</v>
      </c>
      <c r="U143" s="18">
        <v>1.23</v>
      </c>
      <c r="V143" s="54">
        <v>1.23</v>
      </c>
      <c r="W143" s="55">
        <f>+1.22</f>
        <v>1.22</v>
      </c>
      <c r="X143" s="55">
        <f>+1.53</f>
        <v>1.53</v>
      </c>
      <c r="Y143" s="20" t="s">
        <v>7391</v>
      </c>
    </row>
    <row r="144">
      <c r="A144" s="9">
        <v>137.0</v>
      </c>
      <c r="B144" s="10" t="s">
        <v>7392</v>
      </c>
      <c r="C144" s="11" t="s">
        <v>7393</v>
      </c>
      <c r="D144" s="12" t="s">
        <v>26</v>
      </c>
      <c r="E144" s="13" t="s">
        <v>7394</v>
      </c>
      <c r="F144" s="12">
        <v>26.0</v>
      </c>
      <c r="G144" s="12">
        <v>1999.0</v>
      </c>
      <c r="H144" s="14">
        <v>33.0</v>
      </c>
      <c r="I144" s="16">
        <v>2494.0</v>
      </c>
      <c r="J144" s="15">
        <v>76.0</v>
      </c>
      <c r="K144" s="15">
        <v>72.9</v>
      </c>
      <c r="L144" s="15">
        <v>27.7</v>
      </c>
      <c r="M144" s="17">
        <v>1.05</v>
      </c>
      <c r="N144" s="15">
        <v>83.0</v>
      </c>
      <c r="O144" s="18">
        <v>0.58</v>
      </c>
      <c r="P144" s="17">
        <v>0.14</v>
      </c>
      <c r="Q144" s="15">
        <v>24.0</v>
      </c>
      <c r="R144" s="18">
        <v>0.04</v>
      </c>
      <c r="S144" s="14">
        <v>1.88</v>
      </c>
      <c r="T144" s="18">
        <v>1.73</v>
      </c>
      <c r="U144" s="18">
        <v>1.26</v>
      </c>
      <c r="V144" s="54">
        <v>0.47</v>
      </c>
      <c r="W144" s="55">
        <f>+0.47</f>
        <v>0.47</v>
      </c>
      <c r="X144" s="57">
        <v>-0.11</v>
      </c>
      <c r="Y144" s="20" t="s">
        <v>7395</v>
      </c>
    </row>
    <row r="145">
      <c r="A145" s="9">
        <v>138.0</v>
      </c>
      <c r="B145" s="10" t="s">
        <v>7396</v>
      </c>
      <c r="C145" s="11" t="s">
        <v>7397</v>
      </c>
      <c r="D145" s="12" t="s">
        <v>31</v>
      </c>
      <c r="E145" s="13" t="s">
        <v>7398</v>
      </c>
      <c r="F145" s="12">
        <v>17.0</v>
      </c>
      <c r="G145" s="12">
        <v>2008.0</v>
      </c>
      <c r="H145" s="23">
        <v>0.0</v>
      </c>
      <c r="I145" s="36"/>
      <c r="J145" s="36"/>
      <c r="K145" s="36"/>
      <c r="L145" s="36"/>
      <c r="M145" s="23">
        <v>0.0</v>
      </c>
      <c r="N145" s="36"/>
      <c r="O145" s="21">
        <v>0.0</v>
      </c>
      <c r="P145" s="23">
        <v>0.0</v>
      </c>
      <c r="Q145" s="36"/>
      <c r="R145" s="15">
        <v>6.0</v>
      </c>
      <c r="S145" s="58"/>
      <c r="T145" s="36"/>
      <c r="U145" s="36"/>
      <c r="V145" s="36"/>
      <c r="W145" s="36"/>
      <c r="X145" s="36"/>
      <c r="Y145" s="20" t="s">
        <v>7399</v>
      </c>
    </row>
    <row r="146">
      <c r="A146" s="9">
        <v>139.0</v>
      </c>
      <c r="B146" s="10" t="s">
        <v>7400</v>
      </c>
      <c r="C146" s="11" t="s">
        <v>7401</v>
      </c>
      <c r="D146" s="12" t="s">
        <v>345</v>
      </c>
      <c r="E146" s="13" t="s">
        <v>7402</v>
      </c>
      <c r="F146" s="12">
        <v>26.0</v>
      </c>
      <c r="G146" s="12">
        <v>1999.0</v>
      </c>
      <c r="H146" s="14">
        <v>34.0</v>
      </c>
      <c r="I146" s="16">
        <v>2614.0</v>
      </c>
      <c r="J146" s="15">
        <v>77.0</v>
      </c>
      <c r="K146" s="15">
        <v>76.4</v>
      </c>
      <c r="L146" s="15">
        <v>29.0</v>
      </c>
      <c r="M146" s="17">
        <v>1.0</v>
      </c>
      <c r="N146" s="15">
        <v>86.0</v>
      </c>
      <c r="O146" s="18">
        <v>0.76</v>
      </c>
      <c r="P146" s="17">
        <v>0.17</v>
      </c>
      <c r="Q146" s="15">
        <v>27.0</v>
      </c>
      <c r="R146" s="18">
        <v>0.03</v>
      </c>
      <c r="S146" s="14">
        <v>1.88</v>
      </c>
      <c r="T146" s="18">
        <v>2.0</v>
      </c>
      <c r="U146" s="18">
        <v>1.38</v>
      </c>
      <c r="V146" s="54">
        <v>0.62</v>
      </c>
      <c r="W146" s="55">
        <f>+0.62</f>
        <v>0.62</v>
      </c>
      <c r="X146" s="55">
        <f>+0.51</f>
        <v>0.51</v>
      </c>
      <c r="Y146" s="20" t="s">
        <v>7403</v>
      </c>
    </row>
    <row r="147">
      <c r="A147" s="9">
        <v>140.0</v>
      </c>
      <c r="B147" s="10" t="s">
        <v>7404</v>
      </c>
      <c r="C147" s="11" t="s">
        <v>7405</v>
      </c>
      <c r="D147" s="12" t="s">
        <v>31</v>
      </c>
      <c r="E147" s="13" t="s">
        <v>7406</v>
      </c>
      <c r="F147" s="12">
        <v>25.0</v>
      </c>
      <c r="G147" s="12">
        <v>2000.0</v>
      </c>
      <c r="H147" s="14">
        <v>33.0</v>
      </c>
      <c r="I147" s="16">
        <v>2054.0</v>
      </c>
      <c r="J147" s="15">
        <v>62.0</v>
      </c>
      <c r="K147" s="15">
        <v>60.1</v>
      </c>
      <c r="L147" s="15">
        <v>22.8</v>
      </c>
      <c r="M147" s="17">
        <v>1.05</v>
      </c>
      <c r="N147" s="15">
        <v>78.0</v>
      </c>
      <c r="O147" s="18">
        <v>0.39</v>
      </c>
      <c r="P147" s="17">
        <v>0.39</v>
      </c>
      <c r="Q147" s="15">
        <v>21.0</v>
      </c>
      <c r="R147" s="18">
        <v>0.09</v>
      </c>
      <c r="S147" s="14">
        <v>1.42</v>
      </c>
      <c r="T147" s="18">
        <v>1.62</v>
      </c>
      <c r="U147" s="18">
        <v>1.4</v>
      </c>
      <c r="V147" s="54">
        <v>0.22</v>
      </c>
      <c r="W147" s="55">
        <f>+0.22</f>
        <v>0.22</v>
      </c>
      <c r="X147" s="55">
        <f>+0.35</f>
        <v>0.35</v>
      </c>
      <c r="Y147" s="20" t="s">
        <v>7407</v>
      </c>
    </row>
    <row r="148">
      <c r="A148" s="9">
        <v>141.0</v>
      </c>
      <c r="B148" s="10" t="s">
        <v>7408</v>
      </c>
      <c r="C148" s="11" t="s">
        <v>7409</v>
      </c>
      <c r="D148" s="12" t="s">
        <v>36</v>
      </c>
      <c r="E148" s="13" t="s">
        <v>7410</v>
      </c>
      <c r="F148" s="12">
        <v>26.0</v>
      </c>
      <c r="G148" s="12">
        <v>1998.0</v>
      </c>
      <c r="H148" s="14">
        <v>24.0</v>
      </c>
      <c r="I148" s="16">
        <v>1494.0</v>
      </c>
      <c r="J148" s="15">
        <v>62.0</v>
      </c>
      <c r="K148" s="15">
        <v>43.7</v>
      </c>
      <c r="L148" s="15">
        <v>16.6</v>
      </c>
      <c r="M148" s="17">
        <v>1.02</v>
      </c>
      <c r="N148" s="15">
        <v>85.0</v>
      </c>
      <c r="O148" s="18">
        <v>0.84</v>
      </c>
      <c r="P148" s="17">
        <v>0.42</v>
      </c>
      <c r="Q148" s="15">
        <v>8.0</v>
      </c>
      <c r="R148" s="18">
        <v>0.6</v>
      </c>
      <c r="S148" s="14">
        <v>1.38</v>
      </c>
      <c r="T148" s="18">
        <v>1.2</v>
      </c>
      <c r="U148" s="18">
        <v>1.57</v>
      </c>
      <c r="V148" s="56">
        <v>-0.36</v>
      </c>
      <c r="W148" s="57">
        <v>-0.36</v>
      </c>
      <c r="X148" s="57">
        <v>-0.22</v>
      </c>
      <c r="Y148" s="20" t="s">
        <v>7411</v>
      </c>
    </row>
    <row r="149">
      <c r="A149" s="9">
        <v>142.0</v>
      </c>
      <c r="B149" s="10" t="s">
        <v>7412</v>
      </c>
      <c r="C149" s="11" t="s">
        <v>7413</v>
      </c>
      <c r="D149" s="12" t="s">
        <v>98</v>
      </c>
      <c r="E149" s="13" t="s">
        <v>7414</v>
      </c>
      <c r="F149" s="12">
        <v>34.0</v>
      </c>
      <c r="G149" s="12">
        <v>1990.0</v>
      </c>
      <c r="H149" s="14">
        <v>22.0</v>
      </c>
      <c r="I149" s="16">
        <v>1980.0</v>
      </c>
      <c r="J149" s="15">
        <v>90.0</v>
      </c>
      <c r="K149" s="15">
        <v>57.9</v>
      </c>
      <c r="L149" s="15">
        <v>22.0</v>
      </c>
      <c r="M149" s="17">
        <v>1.0</v>
      </c>
      <c r="N149" s="15">
        <v>90.0</v>
      </c>
      <c r="O149" s="18">
        <v>1.0</v>
      </c>
      <c r="P149" s="22">
        <v>0.0</v>
      </c>
      <c r="Q149" s="36"/>
      <c r="R149" s="18">
        <v>0.68</v>
      </c>
      <c r="S149" s="14">
        <v>1.32</v>
      </c>
      <c r="T149" s="18">
        <v>1.18</v>
      </c>
      <c r="U149" s="18">
        <v>1.23</v>
      </c>
      <c r="V149" s="56">
        <v>-0.05</v>
      </c>
      <c r="W149" s="57">
        <v>-0.05</v>
      </c>
      <c r="X149" s="55">
        <f>+0.33</f>
        <v>0.33</v>
      </c>
      <c r="Y149" s="20" t="s">
        <v>7415</v>
      </c>
    </row>
    <row r="150">
      <c r="A150" s="9">
        <v>143.0</v>
      </c>
      <c r="B150" s="10" t="s">
        <v>7416</v>
      </c>
      <c r="C150" s="11" t="s">
        <v>7417</v>
      </c>
      <c r="D150" s="12" t="s">
        <v>31</v>
      </c>
      <c r="E150" s="13" t="s">
        <v>7418</v>
      </c>
      <c r="F150" s="12">
        <v>26.0</v>
      </c>
      <c r="G150" s="12">
        <v>1998.0</v>
      </c>
      <c r="H150" s="14">
        <v>2.0</v>
      </c>
      <c r="I150" s="15">
        <v>3.0</v>
      </c>
      <c r="J150" s="15">
        <v>2.0</v>
      </c>
      <c r="K150" s="15">
        <v>0.1</v>
      </c>
      <c r="L150" s="21">
        <v>0.0</v>
      </c>
      <c r="M150" s="23">
        <v>0.0</v>
      </c>
      <c r="N150" s="36"/>
      <c r="O150" s="21">
        <v>0.0</v>
      </c>
      <c r="P150" s="14">
        <v>2.0</v>
      </c>
      <c r="Q150" s="15">
        <v>2.0</v>
      </c>
      <c r="R150" s="15">
        <v>3.0</v>
      </c>
      <c r="S150" s="14">
        <v>2.0</v>
      </c>
      <c r="T150" s="21">
        <v>0.0</v>
      </c>
      <c r="U150" s="21">
        <v>0.0</v>
      </c>
      <c r="V150" s="21">
        <v>0.0</v>
      </c>
      <c r="W150" s="21">
        <v>0.0</v>
      </c>
      <c r="X150" s="57">
        <v>-0.08</v>
      </c>
      <c r="Y150" s="20" t="s">
        <v>7419</v>
      </c>
    </row>
    <row r="151">
      <c r="A151" s="9">
        <v>144.0</v>
      </c>
      <c r="B151" s="10" t="s">
        <v>7420</v>
      </c>
      <c r="C151" s="11" t="s">
        <v>7421</v>
      </c>
      <c r="D151" s="12" t="s">
        <v>36</v>
      </c>
      <c r="E151" s="13" t="s">
        <v>7422</v>
      </c>
      <c r="F151" s="12">
        <v>32.0</v>
      </c>
      <c r="G151" s="12">
        <v>1993.0</v>
      </c>
      <c r="H151" s="14">
        <v>3.0</v>
      </c>
      <c r="I151" s="15">
        <v>137.0</v>
      </c>
      <c r="J151" s="15">
        <v>46.0</v>
      </c>
      <c r="K151" s="15">
        <v>4.0</v>
      </c>
      <c r="L151" s="15">
        <v>1.5</v>
      </c>
      <c r="M151" s="17">
        <v>1.33</v>
      </c>
      <c r="N151" s="15">
        <v>53.0</v>
      </c>
      <c r="O151" s="19">
        <v>0.0</v>
      </c>
      <c r="P151" s="17">
        <v>0.67</v>
      </c>
      <c r="Q151" s="15">
        <v>32.0</v>
      </c>
      <c r="R151" s="18">
        <v>7.33</v>
      </c>
      <c r="S151" s="14">
        <v>0.33</v>
      </c>
      <c r="T151" s="18">
        <v>0.67</v>
      </c>
      <c r="U151" s="18">
        <v>2.0</v>
      </c>
      <c r="V151" s="56">
        <v>-1.33</v>
      </c>
      <c r="W151" s="57">
        <v>-1.31</v>
      </c>
      <c r="X151" s="57">
        <v>-1.12</v>
      </c>
      <c r="Y151" s="20" t="s">
        <v>7423</v>
      </c>
    </row>
    <row r="152">
      <c r="A152" s="9">
        <v>145.0</v>
      </c>
      <c r="B152" s="10" t="s">
        <v>7424</v>
      </c>
      <c r="C152" s="11" t="s">
        <v>7425</v>
      </c>
      <c r="D152" s="12" t="s">
        <v>345</v>
      </c>
      <c r="E152" s="13" t="s">
        <v>7426</v>
      </c>
      <c r="F152" s="12">
        <v>24.0</v>
      </c>
      <c r="G152" s="12">
        <v>2000.0</v>
      </c>
      <c r="H152" s="14">
        <v>30.0</v>
      </c>
      <c r="I152" s="16">
        <v>1415.0</v>
      </c>
      <c r="J152" s="15">
        <v>47.0</v>
      </c>
      <c r="K152" s="15">
        <v>41.4</v>
      </c>
      <c r="L152" s="15">
        <v>15.7</v>
      </c>
      <c r="M152" s="17">
        <v>1.08</v>
      </c>
      <c r="N152" s="15">
        <v>70.0</v>
      </c>
      <c r="O152" s="18">
        <v>0.32</v>
      </c>
      <c r="P152" s="17">
        <v>0.83</v>
      </c>
      <c r="Q152" s="15">
        <v>18.0</v>
      </c>
      <c r="R152" s="18">
        <v>0.38</v>
      </c>
      <c r="S152" s="14">
        <v>1.4</v>
      </c>
      <c r="T152" s="18">
        <v>1.34</v>
      </c>
      <c r="U152" s="18">
        <v>1.46</v>
      </c>
      <c r="V152" s="56">
        <v>-0.13</v>
      </c>
      <c r="W152" s="57">
        <v>-0.13</v>
      </c>
      <c r="X152" s="57">
        <v>-0.49</v>
      </c>
      <c r="Y152" s="20" t="s">
        <v>7427</v>
      </c>
    </row>
    <row r="153">
      <c r="A153" s="9">
        <v>146.0</v>
      </c>
      <c r="B153" s="10" t="s">
        <v>7428</v>
      </c>
      <c r="C153" s="11" t="s">
        <v>7429</v>
      </c>
      <c r="D153" s="12" t="s">
        <v>41</v>
      </c>
      <c r="E153" s="13" t="s">
        <v>7430</v>
      </c>
      <c r="F153" s="12">
        <v>22.0</v>
      </c>
      <c r="G153" s="12">
        <v>2003.0</v>
      </c>
      <c r="H153" s="14">
        <v>28.0</v>
      </c>
      <c r="I153" s="16">
        <v>1107.0</v>
      </c>
      <c r="J153" s="15">
        <v>40.0</v>
      </c>
      <c r="K153" s="15">
        <v>32.4</v>
      </c>
      <c r="L153" s="15">
        <v>12.3</v>
      </c>
      <c r="M153" s="17">
        <v>0.98</v>
      </c>
      <c r="N153" s="15">
        <v>67.0</v>
      </c>
      <c r="O153" s="18">
        <v>0.24</v>
      </c>
      <c r="P153" s="17">
        <v>1.3</v>
      </c>
      <c r="Q153" s="15">
        <v>19.0</v>
      </c>
      <c r="R153" s="18">
        <v>0.08</v>
      </c>
      <c r="S153" s="14">
        <v>1.32</v>
      </c>
      <c r="T153" s="18">
        <v>1.54</v>
      </c>
      <c r="U153" s="18">
        <v>1.46</v>
      </c>
      <c r="V153" s="54">
        <v>0.08</v>
      </c>
      <c r="W153" s="55">
        <f>+0.08</f>
        <v>0.08</v>
      </c>
      <c r="X153" s="57">
        <v>-0.11</v>
      </c>
      <c r="Y153" s="20" t="s">
        <v>7431</v>
      </c>
    </row>
    <row r="154">
      <c r="A154" s="9">
        <v>147.0</v>
      </c>
      <c r="B154" s="10" t="s">
        <v>7432</v>
      </c>
      <c r="C154" s="11" t="s">
        <v>7433</v>
      </c>
      <c r="D154" s="12" t="s">
        <v>36</v>
      </c>
      <c r="E154" s="13" t="s">
        <v>7434</v>
      </c>
      <c r="F154" s="12">
        <v>23.0</v>
      </c>
      <c r="G154" s="12">
        <v>2001.0</v>
      </c>
      <c r="H154" s="14">
        <v>32.0</v>
      </c>
      <c r="I154" s="16">
        <v>2763.0</v>
      </c>
      <c r="J154" s="15">
        <v>86.0</v>
      </c>
      <c r="K154" s="15">
        <v>80.8</v>
      </c>
      <c r="L154" s="15">
        <v>30.7</v>
      </c>
      <c r="M154" s="17">
        <v>0.98</v>
      </c>
      <c r="N154" s="15">
        <v>90.0</v>
      </c>
      <c r="O154" s="18">
        <v>0.98</v>
      </c>
      <c r="P154" s="17">
        <v>0.07</v>
      </c>
      <c r="Q154" s="15">
        <v>32.0</v>
      </c>
      <c r="R154" s="18">
        <v>0.16</v>
      </c>
      <c r="S154" s="14">
        <v>1.34</v>
      </c>
      <c r="T154" s="18">
        <v>1.4</v>
      </c>
      <c r="U154" s="18">
        <v>1.34</v>
      </c>
      <c r="V154" s="54">
        <v>0.07</v>
      </c>
      <c r="W154" s="55">
        <f>+0.07</f>
        <v>0.07</v>
      </c>
      <c r="X154" s="57">
        <v>-0.07</v>
      </c>
      <c r="Y154" s="20" t="s">
        <v>7435</v>
      </c>
    </row>
    <row r="155">
      <c r="A155" s="9">
        <v>148.0</v>
      </c>
      <c r="B155" s="10" t="s">
        <v>7436</v>
      </c>
      <c r="C155" s="11" t="s">
        <v>7437</v>
      </c>
      <c r="D155" s="12" t="s">
        <v>98</v>
      </c>
      <c r="E155" s="13" t="s">
        <v>7438</v>
      </c>
      <c r="F155" s="12">
        <v>25.0</v>
      </c>
      <c r="G155" s="12">
        <v>2000.0</v>
      </c>
      <c r="H155" s="23">
        <v>0.0</v>
      </c>
      <c r="I155" s="36"/>
      <c r="J155" s="36"/>
      <c r="K155" s="36"/>
      <c r="L155" s="36"/>
      <c r="M155" s="23">
        <v>0.0</v>
      </c>
      <c r="N155" s="36"/>
      <c r="O155" s="21">
        <v>0.0</v>
      </c>
      <c r="P155" s="23">
        <v>0.0</v>
      </c>
      <c r="Q155" s="36"/>
      <c r="R155" s="15">
        <v>19.0</v>
      </c>
      <c r="S155" s="58"/>
      <c r="T155" s="36"/>
      <c r="U155" s="36"/>
      <c r="V155" s="36"/>
      <c r="W155" s="36"/>
      <c r="X155" s="36"/>
      <c r="Y155" s="20" t="s">
        <v>7439</v>
      </c>
    </row>
    <row r="156">
      <c r="A156" s="9">
        <v>149.0</v>
      </c>
      <c r="B156" s="10" t="s">
        <v>7440</v>
      </c>
      <c r="C156" s="11" t="s">
        <v>7441</v>
      </c>
      <c r="D156" s="12" t="s">
        <v>31</v>
      </c>
      <c r="E156" s="13" t="s">
        <v>7442</v>
      </c>
      <c r="F156" s="12">
        <v>18.0</v>
      </c>
      <c r="G156" s="12">
        <v>2007.0</v>
      </c>
      <c r="H156" s="14">
        <v>1.0</v>
      </c>
      <c r="I156" s="15">
        <v>44.0</v>
      </c>
      <c r="J156" s="15">
        <v>44.0</v>
      </c>
      <c r="K156" s="15">
        <v>1.3</v>
      </c>
      <c r="L156" s="15">
        <v>0.5</v>
      </c>
      <c r="M156" s="17">
        <v>2.0</v>
      </c>
      <c r="N156" s="15">
        <v>44.0</v>
      </c>
      <c r="O156" s="19">
        <v>0.0</v>
      </c>
      <c r="P156" s="22">
        <v>0.0</v>
      </c>
      <c r="Q156" s="36"/>
      <c r="R156" s="18">
        <v>6.0</v>
      </c>
      <c r="S156" s="23">
        <v>0.0</v>
      </c>
      <c r="T156" s="19">
        <v>0.0</v>
      </c>
      <c r="U156" s="18">
        <v>4.0</v>
      </c>
      <c r="V156" s="56">
        <v>-4.0</v>
      </c>
      <c r="W156" s="57">
        <v>-4.09</v>
      </c>
      <c r="X156" s="57">
        <v>-4.3</v>
      </c>
      <c r="Y156" s="20" t="s">
        <v>7443</v>
      </c>
    </row>
    <row r="157">
      <c r="A157" s="9">
        <v>150.0</v>
      </c>
      <c r="B157" s="10" t="s">
        <v>7444</v>
      </c>
      <c r="C157" s="11" t="s">
        <v>7445</v>
      </c>
      <c r="D157" s="12" t="s">
        <v>26</v>
      </c>
      <c r="E157" s="13" t="s">
        <v>7446</v>
      </c>
      <c r="F157" s="12">
        <v>21.0</v>
      </c>
      <c r="G157" s="12">
        <v>2003.0</v>
      </c>
      <c r="H157" s="14">
        <v>21.0</v>
      </c>
      <c r="I157" s="15">
        <v>796.0</v>
      </c>
      <c r="J157" s="15">
        <v>38.0</v>
      </c>
      <c r="K157" s="15">
        <v>23.3</v>
      </c>
      <c r="L157" s="15">
        <v>8.8</v>
      </c>
      <c r="M157" s="17">
        <v>0.8</v>
      </c>
      <c r="N157" s="15">
        <v>84.0</v>
      </c>
      <c r="O157" s="18">
        <v>0.34</v>
      </c>
      <c r="P157" s="17">
        <v>1.59</v>
      </c>
      <c r="Q157" s="15">
        <v>15.0</v>
      </c>
      <c r="R157" s="18">
        <v>1.7</v>
      </c>
      <c r="S157" s="14">
        <v>1.29</v>
      </c>
      <c r="T157" s="18">
        <v>0.8</v>
      </c>
      <c r="U157" s="18">
        <v>1.7</v>
      </c>
      <c r="V157" s="56">
        <v>-0.91</v>
      </c>
      <c r="W157" s="57">
        <v>-0.9</v>
      </c>
      <c r="X157" s="57">
        <v>-0.84</v>
      </c>
      <c r="Y157" s="20" t="s">
        <v>7447</v>
      </c>
    </row>
    <row r="158">
      <c r="A158" s="37" t="s">
        <v>3</v>
      </c>
      <c r="B158" s="38" t="s">
        <v>4</v>
      </c>
      <c r="C158" s="39" t="s">
        <v>5</v>
      </c>
      <c r="D158" s="39" t="s">
        <v>6</v>
      </c>
      <c r="E158" s="39" t="s">
        <v>7</v>
      </c>
      <c r="F158" s="39" t="s">
        <v>8</v>
      </c>
      <c r="G158" s="39" t="s">
        <v>9</v>
      </c>
      <c r="H158" s="40" t="s">
        <v>10</v>
      </c>
      <c r="I158" s="39" t="s">
        <v>12</v>
      </c>
      <c r="J158" s="39" t="s">
        <v>6838</v>
      </c>
      <c r="K158" s="39" t="s">
        <v>6839</v>
      </c>
      <c r="L158" s="39" t="s">
        <v>13</v>
      </c>
      <c r="M158" s="40" t="s">
        <v>11</v>
      </c>
      <c r="N158" s="39" t="s">
        <v>6840</v>
      </c>
      <c r="O158" s="39" t="s">
        <v>6841</v>
      </c>
      <c r="P158" s="40" t="s">
        <v>6836</v>
      </c>
      <c r="Q158" s="39" t="s">
        <v>6842</v>
      </c>
      <c r="R158" s="39" t="s">
        <v>6843</v>
      </c>
      <c r="S158" s="40" t="s">
        <v>6844</v>
      </c>
      <c r="T158" s="39" t="s">
        <v>6845</v>
      </c>
      <c r="U158" s="39" t="s">
        <v>6846</v>
      </c>
      <c r="V158" s="59" t="str">
        <f>+/-</f>
        <v>#ERROR!</v>
      </c>
      <c r="W158" s="59" t="str">
        <f>+/-90</f>
        <v>#ERROR!</v>
      </c>
      <c r="X158" s="39" t="s">
        <v>6847</v>
      </c>
      <c r="Y158" s="40" t="s">
        <v>23</v>
      </c>
    </row>
    <row r="159">
      <c r="A159" s="9">
        <v>151.0</v>
      </c>
      <c r="B159" s="10" t="s">
        <v>7448</v>
      </c>
      <c r="C159" s="11" t="s">
        <v>7449</v>
      </c>
      <c r="D159" s="12" t="s">
        <v>31</v>
      </c>
      <c r="E159" s="13" t="s">
        <v>7450</v>
      </c>
      <c r="F159" s="12">
        <v>26.0</v>
      </c>
      <c r="G159" s="12">
        <v>1998.0</v>
      </c>
      <c r="H159" s="14">
        <v>31.0</v>
      </c>
      <c r="I159" s="16">
        <v>2626.0</v>
      </c>
      <c r="J159" s="15">
        <v>85.0</v>
      </c>
      <c r="K159" s="15">
        <v>76.8</v>
      </c>
      <c r="L159" s="15">
        <v>29.2</v>
      </c>
      <c r="M159" s="17">
        <v>1.03</v>
      </c>
      <c r="N159" s="15">
        <v>86.0</v>
      </c>
      <c r="O159" s="18">
        <v>0.62</v>
      </c>
      <c r="P159" s="17">
        <v>0.03</v>
      </c>
      <c r="Q159" s="15">
        <v>45.0</v>
      </c>
      <c r="R159" s="19">
        <v>0.0</v>
      </c>
      <c r="S159" s="14">
        <v>1.23</v>
      </c>
      <c r="T159" s="18">
        <v>1.3</v>
      </c>
      <c r="U159" s="18">
        <v>1.34</v>
      </c>
      <c r="V159" s="56">
        <v>-0.03</v>
      </c>
      <c r="W159" s="57">
        <v>-0.03</v>
      </c>
      <c r="X159" s="55">
        <f>+0.19</f>
        <v>0.19</v>
      </c>
      <c r="Y159" s="20" t="s">
        <v>7451</v>
      </c>
    </row>
    <row r="160">
      <c r="A160" s="9">
        <v>152.0</v>
      </c>
      <c r="B160" s="10" t="s">
        <v>7452</v>
      </c>
      <c r="C160" s="11" t="s">
        <v>7453</v>
      </c>
      <c r="D160" s="12" t="s">
        <v>36</v>
      </c>
      <c r="E160" s="13" t="s">
        <v>7454</v>
      </c>
      <c r="F160" s="12">
        <v>24.0</v>
      </c>
      <c r="G160" s="12">
        <v>2001.0</v>
      </c>
      <c r="H160" s="14">
        <v>18.0</v>
      </c>
      <c r="I160" s="16">
        <v>1277.0</v>
      </c>
      <c r="J160" s="15">
        <v>71.0</v>
      </c>
      <c r="K160" s="15">
        <v>37.3</v>
      </c>
      <c r="L160" s="15">
        <v>14.2</v>
      </c>
      <c r="M160" s="17">
        <v>1.06</v>
      </c>
      <c r="N160" s="15">
        <v>84.0</v>
      </c>
      <c r="O160" s="18">
        <v>0.92</v>
      </c>
      <c r="P160" s="17">
        <v>0.21</v>
      </c>
      <c r="Q160" s="15">
        <v>6.0</v>
      </c>
      <c r="R160" s="18">
        <v>1.34</v>
      </c>
      <c r="S160" s="14">
        <v>1.28</v>
      </c>
      <c r="T160" s="18">
        <v>1.48</v>
      </c>
      <c r="U160" s="18">
        <v>1.9</v>
      </c>
      <c r="V160" s="56">
        <v>-0.42</v>
      </c>
      <c r="W160" s="57">
        <v>-0.42</v>
      </c>
      <c r="X160" s="57">
        <v>-0.84</v>
      </c>
      <c r="Y160" s="20" t="s">
        <v>7455</v>
      </c>
    </row>
    <row r="161">
      <c r="A161" s="9">
        <v>153.0</v>
      </c>
      <c r="B161" s="10" t="s">
        <v>7456</v>
      </c>
      <c r="C161" s="11" t="s">
        <v>7457</v>
      </c>
      <c r="D161" s="12" t="s">
        <v>31</v>
      </c>
      <c r="E161" s="13" t="s">
        <v>7458</v>
      </c>
      <c r="F161" s="12">
        <v>23.0</v>
      </c>
      <c r="G161" s="12">
        <v>2002.0</v>
      </c>
      <c r="H161" s="14">
        <v>32.0</v>
      </c>
      <c r="I161" s="16">
        <v>2341.0</v>
      </c>
      <c r="J161" s="15">
        <v>73.0</v>
      </c>
      <c r="K161" s="15">
        <v>68.5</v>
      </c>
      <c r="L161" s="15">
        <v>26.0</v>
      </c>
      <c r="M161" s="17">
        <v>1.04</v>
      </c>
      <c r="N161" s="15">
        <v>82.0</v>
      </c>
      <c r="O161" s="18">
        <v>0.65</v>
      </c>
      <c r="P161" s="17">
        <v>0.19</v>
      </c>
      <c r="Q161" s="15">
        <v>25.0</v>
      </c>
      <c r="R161" s="19">
        <v>0.0</v>
      </c>
      <c r="S161" s="14">
        <v>2.03</v>
      </c>
      <c r="T161" s="18">
        <v>2.0</v>
      </c>
      <c r="U161" s="18">
        <v>1.27</v>
      </c>
      <c r="V161" s="54">
        <v>0.73</v>
      </c>
      <c r="W161" s="55">
        <f t="shared" ref="W161:X161" si="1">+0.73</f>
        <v>0.73</v>
      </c>
      <c r="X161" s="55">
        <f t="shared" si="1"/>
        <v>0.73</v>
      </c>
      <c r="Y161" s="20" t="s">
        <v>7459</v>
      </c>
    </row>
    <row r="162">
      <c r="A162" s="9">
        <v>154.0</v>
      </c>
      <c r="B162" s="10" t="s">
        <v>7460</v>
      </c>
      <c r="C162" s="11" t="s">
        <v>7461</v>
      </c>
      <c r="D162" s="12" t="s">
        <v>31</v>
      </c>
      <c r="E162" s="13" t="s">
        <v>7462</v>
      </c>
      <c r="F162" s="12">
        <v>21.0</v>
      </c>
      <c r="G162" s="12">
        <v>2004.0</v>
      </c>
      <c r="H162" s="14">
        <v>20.0</v>
      </c>
      <c r="I162" s="16">
        <v>1405.0</v>
      </c>
      <c r="J162" s="15">
        <v>70.0</v>
      </c>
      <c r="K162" s="15">
        <v>41.1</v>
      </c>
      <c r="L162" s="15">
        <v>15.6</v>
      </c>
      <c r="M162" s="17">
        <v>0.96</v>
      </c>
      <c r="N162" s="15">
        <v>85.0</v>
      </c>
      <c r="O162" s="18">
        <v>0.51</v>
      </c>
      <c r="P162" s="17">
        <v>0.32</v>
      </c>
      <c r="Q162" s="15">
        <v>27.0</v>
      </c>
      <c r="R162" s="18">
        <v>0.06</v>
      </c>
      <c r="S162" s="14">
        <v>1.4</v>
      </c>
      <c r="T162" s="18">
        <v>1.09</v>
      </c>
      <c r="U162" s="18">
        <v>1.22</v>
      </c>
      <c r="V162" s="56">
        <v>-0.13</v>
      </c>
      <c r="W162" s="57">
        <v>-0.13</v>
      </c>
      <c r="X162" s="55">
        <f>+0.05</f>
        <v>0.05</v>
      </c>
      <c r="Y162" s="20" t="s">
        <v>7463</v>
      </c>
    </row>
    <row r="163">
      <c r="A163" s="9">
        <v>155.0</v>
      </c>
      <c r="B163" s="10" t="s">
        <v>7464</v>
      </c>
      <c r="C163" s="11" t="s">
        <v>7465</v>
      </c>
      <c r="D163" s="12" t="s">
        <v>36</v>
      </c>
      <c r="E163" s="13" t="s">
        <v>7466</v>
      </c>
      <c r="F163" s="12">
        <v>28.0</v>
      </c>
      <c r="G163" s="12">
        <v>1997.0</v>
      </c>
      <c r="H163" s="14">
        <v>26.0</v>
      </c>
      <c r="I163" s="16">
        <v>2141.0</v>
      </c>
      <c r="J163" s="15">
        <v>82.0</v>
      </c>
      <c r="K163" s="15">
        <v>62.6</v>
      </c>
      <c r="L163" s="15">
        <v>23.8</v>
      </c>
      <c r="M163" s="17">
        <v>1.01</v>
      </c>
      <c r="N163" s="15">
        <v>88.0</v>
      </c>
      <c r="O163" s="18">
        <v>0.92</v>
      </c>
      <c r="P163" s="17">
        <v>0.08</v>
      </c>
      <c r="Q163" s="15">
        <v>18.0</v>
      </c>
      <c r="R163" s="18">
        <v>0.17</v>
      </c>
      <c r="S163" s="14">
        <v>2.12</v>
      </c>
      <c r="T163" s="18">
        <v>2.27</v>
      </c>
      <c r="U163" s="18">
        <v>0.92</v>
      </c>
      <c r="V163" s="54">
        <v>1.34</v>
      </c>
      <c r="W163" s="55">
        <f>+1.35</f>
        <v>1.35</v>
      </c>
      <c r="X163" s="55">
        <f>+0.64</f>
        <v>0.64</v>
      </c>
      <c r="Y163" s="20" t="s">
        <v>7467</v>
      </c>
    </row>
    <row r="164">
      <c r="A164" s="9">
        <v>156.0</v>
      </c>
      <c r="B164" s="10" t="s">
        <v>7468</v>
      </c>
      <c r="C164" s="11" t="s">
        <v>7469</v>
      </c>
      <c r="D164" s="12" t="s">
        <v>31</v>
      </c>
      <c r="E164" s="13" t="s">
        <v>7470</v>
      </c>
      <c r="F164" s="12">
        <v>19.0</v>
      </c>
      <c r="G164" s="12">
        <v>2006.0</v>
      </c>
      <c r="H164" s="14">
        <v>14.0</v>
      </c>
      <c r="I164" s="15">
        <v>358.0</v>
      </c>
      <c r="J164" s="15">
        <v>26.0</v>
      </c>
      <c r="K164" s="15">
        <v>10.5</v>
      </c>
      <c r="L164" s="15">
        <v>4.0</v>
      </c>
      <c r="M164" s="17">
        <v>1.0</v>
      </c>
      <c r="N164" s="15">
        <v>67.0</v>
      </c>
      <c r="O164" s="18">
        <v>0.25</v>
      </c>
      <c r="P164" s="17">
        <v>2.5</v>
      </c>
      <c r="Q164" s="15">
        <v>9.0</v>
      </c>
      <c r="R164" s="18">
        <v>5.5</v>
      </c>
      <c r="S164" s="14">
        <v>1.14</v>
      </c>
      <c r="T164" s="18">
        <v>1.0</v>
      </c>
      <c r="U164" s="18">
        <v>0.5</v>
      </c>
      <c r="V164" s="54">
        <v>0.5</v>
      </c>
      <c r="W164" s="55">
        <f>+0.5</f>
        <v>0.5</v>
      </c>
      <c r="X164" s="55">
        <f>+0.65</f>
        <v>0.65</v>
      </c>
      <c r="Y164" s="20" t="s">
        <v>7471</v>
      </c>
    </row>
    <row r="165">
      <c r="A165" s="9">
        <v>157.0</v>
      </c>
      <c r="B165" s="10" t="s">
        <v>7472</v>
      </c>
      <c r="C165" s="11" t="s">
        <v>7473</v>
      </c>
      <c r="D165" s="12" t="s">
        <v>36</v>
      </c>
      <c r="E165" s="13" t="s">
        <v>7474</v>
      </c>
      <c r="F165" s="12">
        <v>32.0</v>
      </c>
      <c r="G165" s="12">
        <v>1993.0</v>
      </c>
      <c r="H165" s="14">
        <v>31.0</v>
      </c>
      <c r="I165" s="16">
        <v>1852.0</v>
      </c>
      <c r="J165" s="15">
        <v>60.0</v>
      </c>
      <c r="K165" s="15">
        <v>54.2</v>
      </c>
      <c r="L165" s="15">
        <v>20.6</v>
      </c>
      <c r="M165" s="17">
        <v>1.02</v>
      </c>
      <c r="N165" s="15">
        <v>80.0</v>
      </c>
      <c r="O165" s="18">
        <v>0.49</v>
      </c>
      <c r="P165" s="17">
        <v>0.49</v>
      </c>
      <c r="Q165" s="15">
        <v>16.0</v>
      </c>
      <c r="R165" s="18">
        <v>0.34</v>
      </c>
      <c r="S165" s="14">
        <v>1.77</v>
      </c>
      <c r="T165" s="18">
        <v>1.41</v>
      </c>
      <c r="U165" s="18">
        <v>1.12</v>
      </c>
      <c r="V165" s="54">
        <v>0.29</v>
      </c>
      <c r="W165" s="55">
        <f>+0.29</f>
        <v>0.29</v>
      </c>
      <c r="X165" s="55">
        <f>+0.23</f>
        <v>0.23</v>
      </c>
      <c r="Y165" s="20" t="s">
        <v>7475</v>
      </c>
    </row>
    <row r="166">
      <c r="A166" s="9">
        <v>158.0</v>
      </c>
      <c r="B166" s="10" t="s">
        <v>7476</v>
      </c>
      <c r="C166" s="11" t="s">
        <v>7477</v>
      </c>
      <c r="D166" s="12" t="s">
        <v>36</v>
      </c>
      <c r="E166" s="13" t="s">
        <v>7478</v>
      </c>
      <c r="F166" s="12">
        <v>28.0</v>
      </c>
      <c r="G166" s="12">
        <v>1997.0</v>
      </c>
      <c r="H166" s="14">
        <v>13.0</v>
      </c>
      <c r="I166" s="15">
        <v>816.0</v>
      </c>
      <c r="J166" s="15">
        <v>63.0</v>
      </c>
      <c r="K166" s="15">
        <v>23.9</v>
      </c>
      <c r="L166" s="15">
        <v>9.1</v>
      </c>
      <c r="M166" s="17">
        <v>0.88</v>
      </c>
      <c r="N166" s="15">
        <v>89.0</v>
      </c>
      <c r="O166" s="18">
        <v>0.66</v>
      </c>
      <c r="P166" s="17">
        <v>0.55</v>
      </c>
      <c r="Q166" s="15">
        <v>21.0</v>
      </c>
      <c r="R166" s="18">
        <v>1.32</v>
      </c>
      <c r="S166" s="14">
        <v>1.31</v>
      </c>
      <c r="T166" s="18">
        <v>1.21</v>
      </c>
      <c r="U166" s="18">
        <v>1.43</v>
      </c>
      <c r="V166" s="56">
        <v>-0.22</v>
      </c>
      <c r="W166" s="57">
        <v>-0.22</v>
      </c>
      <c r="X166" s="57">
        <v>-0.15</v>
      </c>
      <c r="Y166" s="20" t="s">
        <v>7479</v>
      </c>
    </row>
    <row r="167">
      <c r="A167" s="9">
        <v>159.0</v>
      </c>
      <c r="B167" s="10" t="s">
        <v>7480</v>
      </c>
      <c r="C167" s="11" t="s">
        <v>7481</v>
      </c>
      <c r="D167" s="12" t="s">
        <v>345</v>
      </c>
      <c r="E167" s="13" t="s">
        <v>7482</v>
      </c>
      <c r="F167" s="12">
        <v>20.0</v>
      </c>
      <c r="G167" s="12">
        <v>2004.0</v>
      </c>
      <c r="H167" s="14">
        <v>32.0</v>
      </c>
      <c r="I167" s="16">
        <v>2707.0</v>
      </c>
      <c r="J167" s="15">
        <v>85.0</v>
      </c>
      <c r="K167" s="15">
        <v>79.2</v>
      </c>
      <c r="L167" s="15">
        <v>30.1</v>
      </c>
      <c r="M167" s="17">
        <v>1.0</v>
      </c>
      <c r="N167" s="15">
        <v>88.0</v>
      </c>
      <c r="O167" s="18">
        <v>0.8</v>
      </c>
      <c r="P167" s="17">
        <v>0.07</v>
      </c>
      <c r="Q167" s="15">
        <v>33.0</v>
      </c>
      <c r="R167" s="19">
        <v>0.0</v>
      </c>
      <c r="S167" s="14">
        <v>1.09</v>
      </c>
      <c r="T167" s="18">
        <v>1.26</v>
      </c>
      <c r="U167" s="18">
        <v>1.56</v>
      </c>
      <c r="V167" s="56">
        <v>-0.3</v>
      </c>
      <c r="W167" s="57">
        <v>-0.3</v>
      </c>
      <c r="X167" s="55">
        <f>+0.96</f>
        <v>0.96</v>
      </c>
      <c r="Y167" s="20" t="s">
        <v>7483</v>
      </c>
    </row>
    <row r="168">
      <c r="A168" s="9">
        <v>160.0</v>
      </c>
      <c r="B168" s="10" t="s">
        <v>7484</v>
      </c>
      <c r="C168" s="11" t="s">
        <v>7485</v>
      </c>
      <c r="D168" s="12" t="s">
        <v>36</v>
      </c>
      <c r="E168" s="13" t="s">
        <v>7486</v>
      </c>
      <c r="F168" s="12">
        <v>27.0</v>
      </c>
      <c r="G168" s="12">
        <v>1998.0</v>
      </c>
      <c r="H168" s="14">
        <v>14.0</v>
      </c>
      <c r="I168" s="16">
        <v>1254.0</v>
      </c>
      <c r="J168" s="15">
        <v>90.0</v>
      </c>
      <c r="K168" s="15">
        <v>36.7</v>
      </c>
      <c r="L168" s="15">
        <v>13.9</v>
      </c>
      <c r="M168" s="17">
        <v>1.01</v>
      </c>
      <c r="N168" s="15">
        <v>90.0</v>
      </c>
      <c r="O168" s="18">
        <v>0.94</v>
      </c>
      <c r="P168" s="22">
        <v>0.0</v>
      </c>
      <c r="Q168" s="36"/>
      <c r="R168" s="19">
        <v>0.0</v>
      </c>
      <c r="S168" s="14">
        <v>1.36</v>
      </c>
      <c r="T168" s="18">
        <v>1.22</v>
      </c>
      <c r="U168" s="18">
        <v>1.22</v>
      </c>
      <c r="V168" s="19">
        <v>0.0</v>
      </c>
      <c r="W168" s="21">
        <v>0.0</v>
      </c>
      <c r="X168" s="55">
        <f>+0.79</f>
        <v>0.79</v>
      </c>
      <c r="Y168" s="20" t="s">
        <v>7487</v>
      </c>
    </row>
    <row r="169">
      <c r="A169" s="9">
        <v>161.0</v>
      </c>
      <c r="B169" s="10" t="s">
        <v>7488</v>
      </c>
      <c r="C169" s="11" t="s">
        <v>7489</v>
      </c>
      <c r="D169" s="12" t="s">
        <v>345</v>
      </c>
      <c r="E169" s="13" t="s">
        <v>7490</v>
      </c>
      <c r="F169" s="12">
        <v>33.0</v>
      </c>
      <c r="G169" s="12">
        <v>1992.0</v>
      </c>
      <c r="H169" s="14">
        <v>11.0</v>
      </c>
      <c r="I169" s="15">
        <v>787.0</v>
      </c>
      <c r="J169" s="15">
        <v>72.0</v>
      </c>
      <c r="K169" s="15">
        <v>23.0</v>
      </c>
      <c r="L169" s="15">
        <v>8.7</v>
      </c>
      <c r="M169" s="17">
        <v>1.26</v>
      </c>
      <c r="N169" s="15">
        <v>72.0</v>
      </c>
      <c r="O169" s="18">
        <v>0.34</v>
      </c>
      <c r="P169" s="22">
        <v>0.0</v>
      </c>
      <c r="Q169" s="36"/>
      <c r="R169" s="18">
        <v>1.72</v>
      </c>
      <c r="S169" s="14">
        <v>0.45</v>
      </c>
      <c r="T169" s="18">
        <v>0.23</v>
      </c>
      <c r="U169" s="18">
        <v>1.72</v>
      </c>
      <c r="V169" s="56">
        <v>-1.49</v>
      </c>
      <c r="W169" s="57">
        <v>-1.49</v>
      </c>
      <c r="X169" s="57">
        <v>-0.53</v>
      </c>
      <c r="Y169" s="20" t="s">
        <v>7491</v>
      </c>
    </row>
    <row r="170">
      <c r="A170" s="9">
        <v>162.0</v>
      </c>
      <c r="B170" s="10" t="s">
        <v>7492</v>
      </c>
      <c r="C170" s="11" t="s">
        <v>7493</v>
      </c>
      <c r="D170" s="12" t="s">
        <v>26</v>
      </c>
      <c r="E170" s="13" t="s">
        <v>7494</v>
      </c>
      <c r="F170" s="12">
        <v>23.0</v>
      </c>
      <c r="G170" s="12">
        <v>2002.0</v>
      </c>
      <c r="H170" s="14">
        <v>30.0</v>
      </c>
      <c r="I170" s="16">
        <v>1784.0</v>
      </c>
      <c r="J170" s="15">
        <v>59.0</v>
      </c>
      <c r="K170" s="15">
        <v>52.2</v>
      </c>
      <c r="L170" s="15">
        <v>19.8</v>
      </c>
      <c r="M170" s="17">
        <v>0.96</v>
      </c>
      <c r="N170" s="15">
        <v>80.0</v>
      </c>
      <c r="O170" s="18">
        <v>0.25</v>
      </c>
      <c r="P170" s="17">
        <v>0.56</v>
      </c>
      <c r="Q170" s="15">
        <v>25.0</v>
      </c>
      <c r="R170" s="18">
        <v>0.05</v>
      </c>
      <c r="S170" s="14">
        <v>1.87</v>
      </c>
      <c r="T170" s="18">
        <v>2.17</v>
      </c>
      <c r="U170" s="18">
        <v>0.91</v>
      </c>
      <c r="V170" s="54">
        <v>1.26</v>
      </c>
      <c r="W170" s="55">
        <f>+1.26</f>
        <v>1.26</v>
      </c>
      <c r="X170" s="55">
        <f>+0.33</f>
        <v>0.33</v>
      </c>
      <c r="Y170" s="20" t="s">
        <v>7495</v>
      </c>
    </row>
    <row r="171">
      <c r="A171" s="9">
        <v>163.0</v>
      </c>
      <c r="B171" s="10" t="s">
        <v>7496</v>
      </c>
      <c r="C171" s="11" t="s">
        <v>7497</v>
      </c>
      <c r="D171" s="12" t="s">
        <v>31</v>
      </c>
      <c r="E171" s="13" t="s">
        <v>7498</v>
      </c>
      <c r="F171" s="12">
        <v>27.0</v>
      </c>
      <c r="G171" s="12">
        <v>1998.0</v>
      </c>
      <c r="H171" s="14">
        <v>27.0</v>
      </c>
      <c r="I171" s="16">
        <v>1175.0</v>
      </c>
      <c r="J171" s="15">
        <v>44.0</v>
      </c>
      <c r="K171" s="15">
        <v>34.4</v>
      </c>
      <c r="L171" s="15">
        <v>13.1</v>
      </c>
      <c r="M171" s="17">
        <v>1.3</v>
      </c>
      <c r="N171" s="15">
        <v>60.0</v>
      </c>
      <c r="O171" s="18">
        <v>0.08</v>
      </c>
      <c r="P171" s="17">
        <v>0.76</v>
      </c>
      <c r="Q171" s="15">
        <v>15.0</v>
      </c>
      <c r="R171" s="18">
        <v>0.31</v>
      </c>
      <c r="S171" s="14">
        <v>1.26</v>
      </c>
      <c r="T171" s="18">
        <v>1.15</v>
      </c>
      <c r="U171" s="18">
        <v>1.45</v>
      </c>
      <c r="V171" s="56">
        <v>-0.31</v>
      </c>
      <c r="W171" s="57">
        <v>-0.31</v>
      </c>
      <c r="X171" s="57">
        <v>-0.35</v>
      </c>
      <c r="Y171" s="20" t="s">
        <v>7499</v>
      </c>
    </row>
    <row r="172">
      <c r="A172" s="9">
        <v>164.0</v>
      </c>
      <c r="B172" s="10" t="s">
        <v>7500</v>
      </c>
      <c r="C172" s="11" t="s">
        <v>7501</v>
      </c>
      <c r="D172" s="12" t="s">
        <v>98</v>
      </c>
      <c r="E172" s="13" t="s">
        <v>7502</v>
      </c>
      <c r="F172" s="12">
        <v>26.0</v>
      </c>
      <c r="G172" s="12">
        <v>1999.0</v>
      </c>
      <c r="H172" s="14">
        <v>34.0</v>
      </c>
      <c r="I172" s="16">
        <v>3060.0</v>
      </c>
      <c r="J172" s="15">
        <v>90.0</v>
      </c>
      <c r="K172" s="15">
        <v>89.5</v>
      </c>
      <c r="L172" s="15">
        <v>34.0</v>
      </c>
      <c r="M172" s="17">
        <v>1.0</v>
      </c>
      <c r="N172" s="15">
        <v>90.0</v>
      </c>
      <c r="O172" s="18">
        <v>1.0</v>
      </c>
      <c r="P172" s="22">
        <v>0.0</v>
      </c>
      <c r="Q172" s="36"/>
      <c r="R172" s="19">
        <v>0.0</v>
      </c>
      <c r="S172" s="14">
        <v>2.21</v>
      </c>
      <c r="T172" s="18">
        <v>2.09</v>
      </c>
      <c r="U172" s="18">
        <v>0.85</v>
      </c>
      <c r="V172" s="54">
        <v>1.24</v>
      </c>
      <c r="W172" s="55">
        <f t="shared" ref="W172:X172" si="2">+1.24</f>
        <v>1.24</v>
      </c>
      <c r="X172" s="55">
        <f t="shared" si="2"/>
        <v>1.24</v>
      </c>
      <c r="Y172" s="20" t="s">
        <v>7503</v>
      </c>
    </row>
    <row r="173">
      <c r="A173" s="9">
        <v>165.0</v>
      </c>
      <c r="B173" s="10" t="s">
        <v>7504</v>
      </c>
      <c r="C173" s="11" t="s">
        <v>7505</v>
      </c>
      <c r="D173" s="12" t="s">
        <v>41</v>
      </c>
      <c r="E173" s="13" t="s">
        <v>7506</v>
      </c>
      <c r="F173" s="12">
        <v>18.0</v>
      </c>
      <c r="G173" s="12">
        <v>2006.0</v>
      </c>
      <c r="H173" s="14">
        <v>4.0</v>
      </c>
      <c r="I173" s="15">
        <v>41.0</v>
      </c>
      <c r="J173" s="15">
        <v>10.0</v>
      </c>
      <c r="K173" s="15">
        <v>1.2</v>
      </c>
      <c r="L173" s="15">
        <v>0.5</v>
      </c>
      <c r="M173" s="22">
        <v>0.0</v>
      </c>
      <c r="N173" s="36"/>
      <c r="O173" s="19">
        <v>0.0</v>
      </c>
      <c r="P173" s="17">
        <v>8.0</v>
      </c>
      <c r="Q173" s="15">
        <v>10.0</v>
      </c>
      <c r="R173" s="18">
        <v>38.0</v>
      </c>
      <c r="S173" s="14">
        <v>1.5</v>
      </c>
      <c r="T173" s="18">
        <v>4.0</v>
      </c>
      <c r="U173" s="19">
        <v>0.0</v>
      </c>
      <c r="V173" s="54">
        <v>4.0</v>
      </c>
      <c r="W173" s="55">
        <f>+4.39</f>
        <v>4.39</v>
      </c>
      <c r="X173" s="55">
        <f>+4.36</f>
        <v>4.36</v>
      </c>
      <c r="Y173" s="20" t="s">
        <v>7507</v>
      </c>
    </row>
    <row r="174">
      <c r="A174" s="9">
        <v>166.0</v>
      </c>
      <c r="B174" s="10" t="s">
        <v>7508</v>
      </c>
      <c r="C174" s="11" t="s">
        <v>7509</v>
      </c>
      <c r="D174" s="12" t="s">
        <v>31</v>
      </c>
      <c r="E174" s="13" t="s">
        <v>7510</v>
      </c>
      <c r="F174" s="12">
        <v>20.0</v>
      </c>
      <c r="G174" s="12">
        <v>2004.0</v>
      </c>
      <c r="H174" s="14">
        <v>26.0</v>
      </c>
      <c r="I174" s="16">
        <v>1449.0</v>
      </c>
      <c r="J174" s="15">
        <v>56.0</v>
      </c>
      <c r="K174" s="15">
        <v>42.4</v>
      </c>
      <c r="L174" s="15">
        <v>16.1</v>
      </c>
      <c r="M174" s="17">
        <v>0.93</v>
      </c>
      <c r="N174" s="15">
        <v>84.0</v>
      </c>
      <c r="O174" s="18">
        <v>0.62</v>
      </c>
      <c r="P174" s="17">
        <v>0.68</v>
      </c>
      <c r="Q174" s="15">
        <v>17.0</v>
      </c>
      <c r="R174" s="18">
        <v>0.12</v>
      </c>
      <c r="S174" s="14">
        <v>1.73</v>
      </c>
      <c r="T174" s="18">
        <v>1.37</v>
      </c>
      <c r="U174" s="18">
        <v>1.24</v>
      </c>
      <c r="V174" s="54">
        <v>0.12</v>
      </c>
      <c r="W174" s="55">
        <f>+0.12</f>
        <v>0.12</v>
      </c>
      <c r="X174" s="57">
        <v>-0.65</v>
      </c>
      <c r="Y174" s="20" t="s">
        <v>7511</v>
      </c>
    </row>
    <row r="175">
      <c r="A175" s="9">
        <v>167.0</v>
      </c>
      <c r="B175" s="10" t="s">
        <v>7512</v>
      </c>
      <c r="C175" s="11" t="s">
        <v>7513</v>
      </c>
      <c r="D175" s="12" t="s">
        <v>31</v>
      </c>
      <c r="E175" s="13" t="s">
        <v>7514</v>
      </c>
      <c r="F175" s="12">
        <v>15.0</v>
      </c>
      <c r="G175" s="12">
        <v>2009.0</v>
      </c>
      <c r="H175" s="14">
        <v>6.0</v>
      </c>
      <c r="I175" s="15">
        <v>157.0</v>
      </c>
      <c r="J175" s="15">
        <v>26.0</v>
      </c>
      <c r="K175" s="15">
        <v>4.6</v>
      </c>
      <c r="L175" s="15">
        <v>1.7</v>
      </c>
      <c r="M175" s="17">
        <v>0.59</v>
      </c>
      <c r="N175" s="15">
        <v>61.0</v>
      </c>
      <c r="O175" s="19">
        <v>0.0</v>
      </c>
      <c r="P175" s="17">
        <v>2.94</v>
      </c>
      <c r="Q175" s="15">
        <v>19.0</v>
      </c>
      <c r="R175" s="18">
        <v>6.47</v>
      </c>
      <c r="S175" s="14">
        <v>2.0</v>
      </c>
      <c r="T175" s="18">
        <v>2.94</v>
      </c>
      <c r="U175" s="18">
        <v>0.59</v>
      </c>
      <c r="V175" s="54">
        <v>2.35</v>
      </c>
      <c r="W175" s="55">
        <f>+2.29</f>
        <v>2.29</v>
      </c>
      <c r="X175" s="55">
        <f>+1.19</f>
        <v>1.19</v>
      </c>
      <c r="Y175" s="20" t="s">
        <v>7515</v>
      </c>
    </row>
    <row r="176">
      <c r="A176" s="9">
        <v>168.0</v>
      </c>
      <c r="B176" s="10" t="s">
        <v>7516</v>
      </c>
      <c r="C176" s="11" t="s">
        <v>7517</v>
      </c>
      <c r="D176" s="12" t="s">
        <v>36</v>
      </c>
      <c r="E176" s="13" t="s">
        <v>7518</v>
      </c>
      <c r="F176" s="12">
        <v>23.0</v>
      </c>
      <c r="G176" s="12">
        <v>2002.0</v>
      </c>
      <c r="H176" s="14">
        <v>10.0</v>
      </c>
      <c r="I176" s="15">
        <v>517.0</v>
      </c>
      <c r="J176" s="15">
        <v>52.0</v>
      </c>
      <c r="K176" s="15">
        <v>15.1</v>
      </c>
      <c r="L176" s="15">
        <v>5.7</v>
      </c>
      <c r="M176" s="17">
        <v>0.88</v>
      </c>
      <c r="N176" s="15">
        <v>90.0</v>
      </c>
      <c r="O176" s="18">
        <v>0.7</v>
      </c>
      <c r="P176" s="17">
        <v>0.88</v>
      </c>
      <c r="Q176" s="15">
        <v>14.0</v>
      </c>
      <c r="R176" s="18">
        <v>1.93</v>
      </c>
      <c r="S176" s="14">
        <v>1.2</v>
      </c>
      <c r="T176" s="18">
        <v>1.05</v>
      </c>
      <c r="U176" s="18">
        <v>2.28</v>
      </c>
      <c r="V176" s="56">
        <v>-1.23</v>
      </c>
      <c r="W176" s="57">
        <v>-1.22</v>
      </c>
      <c r="X176" s="57">
        <v>-1.16</v>
      </c>
      <c r="Y176" s="20" t="s">
        <v>7519</v>
      </c>
    </row>
    <row r="177">
      <c r="A177" s="9">
        <v>169.0</v>
      </c>
      <c r="B177" s="10" t="s">
        <v>7520</v>
      </c>
      <c r="C177" s="11" t="s">
        <v>7521</v>
      </c>
      <c r="D177" s="12" t="s">
        <v>31</v>
      </c>
      <c r="E177" s="13" t="s">
        <v>7522</v>
      </c>
      <c r="F177" s="12">
        <v>16.0</v>
      </c>
      <c r="G177" s="12">
        <v>2009.0</v>
      </c>
      <c r="H177" s="14">
        <v>2.0</v>
      </c>
      <c r="I177" s="15">
        <v>9.0</v>
      </c>
      <c r="J177" s="15">
        <v>5.0</v>
      </c>
      <c r="K177" s="15">
        <v>0.3</v>
      </c>
      <c r="L177" s="15">
        <v>0.1</v>
      </c>
      <c r="M177" s="22">
        <v>0.0</v>
      </c>
      <c r="N177" s="36"/>
      <c r="O177" s="19">
        <v>0.0</v>
      </c>
      <c r="P177" s="17">
        <v>20.0</v>
      </c>
      <c r="Q177" s="15">
        <v>5.0</v>
      </c>
      <c r="R177" s="18">
        <v>40.0</v>
      </c>
      <c r="S177" s="23">
        <v>0.0</v>
      </c>
      <c r="T177" s="18">
        <v>10.0</v>
      </c>
      <c r="U177" s="18">
        <v>10.0</v>
      </c>
      <c r="V177" s="19">
        <v>0.0</v>
      </c>
      <c r="W177" s="21">
        <v>0.0</v>
      </c>
      <c r="X177" s="55">
        <f>+0.26</f>
        <v>0.26</v>
      </c>
      <c r="Y177" s="20" t="s">
        <v>7523</v>
      </c>
    </row>
    <row r="178">
      <c r="A178" s="9">
        <v>170.0</v>
      </c>
      <c r="B178" s="10" t="s">
        <v>7524</v>
      </c>
      <c r="C178" s="11" t="s">
        <v>7525</v>
      </c>
      <c r="D178" s="12" t="s">
        <v>98</v>
      </c>
      <c r="E178" s="13" t="s">
        <v>7526</v>
      </c>
      <c r="F178" s="12">
        <v>36.0</v>
      </c>
      <c r="G178" s="12">
        <v>1989.0</v>
      </c>
      <c r="H178" s="14">
        <v>35.0</v>
      </c>
      <c r="I178" s="16">
        <v>3150.0</v>
      </c>
      <c r="J178" s="15">
        <v>90.0</v>
      </c>
      <c r="K178" s="15">
        <v>92.1</v>
      </c>
      <c r="L178" s="15">
        <v>35.0</v>
      </c>
      <c r="M178" s="17">
        <v>1.0</v>
      </c>
      <c r="N178" s="15">
        <v>90.0</v>
      </c>
      <c r="O178" s="18">
        <v>1.0</v>
      </c>
      <c r="P178" s="22">
        <v>0.0</v>
      </c>
      <c r="Q178" s="36"/>
      <c r="R178" s="18">
        <v>0.09</v>
      </c>
      <c r="S178" s="14">
        <v>0.57</v>
      </c>
      <c r="T178" s="18">
        <v>1.0</v>
      </c>
      <c r="U178" s="18">
        <v>2.03</v>
      </c>
      <c r="V178" s="56">
        <v>-1.03</v>
      </c>
      <c r="W178" s="57">
        <v>-1.03</v>
      </c>
      <c r="X178" s="57">
        <v>-0.7</v>
      </c>
      <c r="Y178" s="20" t="s">
        <v>7527</v>
      </c>
    </row>
    <row r="179">
      <c r="A179" s="9">
        <v>171.0</v>
      </c>
      <c r="B179" s="10" t="s">
        <v>7528</v>
      </c>
      <c r="C179" s="11" t="s">
        <v>7529</v>
      </c>
      <c r="D179" s="12" t="s">
        <v>36</v>
      </c>
      <c r="E179" s="13" t="s">
        <v>7530</v>
      </c>
      <c r="F179" s="12">
        <v>33.0</v>
      </c>
      <c r="G179" s="12">
        <v>1991.0</v>
      </c>
      <c r="H179" s="14">
        <v>33.0</v>
      </c>
      <c r="I179" s="16">
        <v>2838.0</v>
      </c>
      <c r="J179" s="15">
        <v>86.0</v>
      </c>
      <c r="K179" s="15">
        <v>83.0</v>
      </c>
      <c r="L179" s="15">
        <v>31.5</v>
      </c>
      <c r="M179" s="17">
        <v>0.98</v>
      </c>
      <c r="N179" s="15">
        <v>90.0</v>
      </c>
      <c r="O179" s="18">
        <v>0.98</v>
      </c>
      <c r="P179" s="17">
        <v>0.06</v>
      </c>
      <c r="Q179" s="15">
        <v>24.0</v>
      </c>
      <c r="R179" s="18">
        <v>0.03</v>
      </c>
      <c r="S179" s="14">
        <v>1.36</v>
      </c>
      <c r="T179" s="18">
        <v>1.4</v>
      </c>
      <c r="U179" s="18">
        <v>1.27</v>
      </c>
      <c r="V179" s="54">
        <v>0.13</v>
      </c>
      <c r="W179" s="55">
        <f>+0.13</f>
        <v>0.13</v>
      </c>
      <c r="X179" s="57">
        <v>-0.18</v>
      </c>
      <c r="Y179" s="20" t="s">
        <v>7531</v>
      </c>
    </row>
    <row r="180">
      <c r="A180" s="9">
        <v>172.0</v>
      </c>
      <c r="B180" s="10" t="s">
        <v>7532</v>
      </c>
      <c r="C180" s="11" t="s">
        <v>7533</v>
      </c>
      <c r="D180" s="12" t="s">
        <v>31</v>
      </c>
      <c r="E180" s="13" t="s">
        <v>7534</v>
      </c>
      <c r="F180" s="12">
        <v>20.0</v>
      </c>
      <c r="G180" s="12">
        <v>2004.0</v>
      </c>
      <c r="H180" s="14">
        <v>1.0</v>
      </c>
      <c r="I180" s="15">
        <v>9.0</v>
      </c>
      <c r="J180" s="15">
        <v>9.0</v>
      </c>
      <c r="K180" s="15">
        <v>0.3</v>
      </c>
      <c r="L180" s="15">
        <v>0.1</v>
      </c>
      <c r="M180" s="22">
        <v>0.0</v>
      </c>
      <c r="N180" s="36"/>
      <c r="O180" s="19">
        <v>0.0</v>
      </c>
      <c r="P180" s="17">
        <v>10.0</v>
      </c>
      <c r="Q180" s="15">
        <v>9.0</v>
      </c>
      <c r="R180" s="18">
        <v>50.0</v>
      </c>
      <c r="S180" s="23">
        <v>0.0</v>
      </c>
      <c r="T180" s="19">
        <v>0.0</v>
      </c>
      <c r="U180" s="18">
        <v>10.0</v>
      </c>
      <c r="V180" s="56">
        <v>-10.0</v>
      </c>
      <c r="W180" s="57">
        <v>-10.0</v>
      </c>
      <c r="X180" s="57">
        <v>-9.53</v>
      </c>
      <c r="Y180" s="20" t="s">
        <v>7535</v>
      </c>
    </row>
    <row r="181">
      <c r="A181" s="9">
        <v>173.0</v>
      </c>
      <c r="B181" s="10" t="s">
        <v>7536</v>
      </c>
      <c r="C181" s="11" t="s">
        <v>7537</v>
      </c>
      <c r="D181" s="12" t="s">
        <v>41</v>
      </c>
      <c r="E181" s="13" t="s">
        <v>7538</v>
      </c>
      <c r="F181" s="12">
        <v>16.0</v>
      </c>
      <c r="G181" s="12">
        <v>2009.0</v>
      </c>
      <c r="H181" s="23">
        <v>0.0</v>
      </c>
      <c r="I181" s="36"/>
      <c r="J181" s="36"/>
      <c r="K181" s="36"/>
      <c r="L181" s="36"/>
      <c r="M181" s="23">
        <v>0.0</v>
      </c>
      <c r="N181" s="36"/>
      <c r="O181" s="21">
        <v>0.0</v>
      </c>
      <c r="P181" s="23">
        <v>0.0</v>
      </c>
      <c r="Q181" s="36"/>
      <c r="R181" s="15">
        <v>1.0</v>
      </c>
      <c r="S181" s="58"/>
      <c r="T181" s="36"/>
      <c r="U181" s="36"/>
      <c r="V181" s="36"/>
      <c r="W181" s="36"/>
      <c r="X181" s="36"/>
      <c r="Y181" s="20" t="s">
        <v>7539</v>
      </c>
    </row>
    <row r="182">
      <c r="A182" s="9">
        <v>174.0</v>
      </c>
      <c r="B182" s="10" t="s">
        <v>7540</v>
      </c>
      <c r="C182" s="11" t="s">
        <v>7541</v>
      </c>
      <c r="D182" s="12" t="s">
        <v>98</v>
      </c>
      <c r="E182" s="13" t="s">
        <v>7542</v>
      </c>
      <c r="F182" s="12">
        <v>31.0</v>
      </c>
      <c r="G182" s="12">
        <v>1993.0</v>
      </c>
      <c r="H182" s="23">
        <v>0.0</v>
      </c>
      <c r="I182" s="36"/>
      <c r="J182" s="36"/>
      <c r="K182" s="36"/>
      <c r="L182" s="36"/>
      <c r="M182" s="23">
        <v>0.0</v>
      </c>
      <c r="N182" s="36"/>
      <c r="O182" s="21">
        <v>0.0</v>
      </c>
      <c r="P182" s="23">
        <v>0.0</v>
      </c>
      <c r="Q182" s="36"/>
      <c r="R182" s="15">
        <v>2.0</v>
      </c>
      <c r="S182" s="58"/>
      <c r="T182" s="36"/>
      <c r="U182" s="36"/>
      <c r="V182" s="36"/>
      <c r="W182" s="36"/>
      <c r="X182" s="36"/>
      <c r="Y182" s="20" t="s">
        <v>7543</v>
      </c>
    </row>
    <row r="183">
      <c r="A183" s="9">
        <v>175.0</v>
      </c>
      <c r="B183" s="10" t="s">
        <v>7544</v>
      </c>
      <c r="C183" s="11" t="s">
        <v>7545</v>
      </c>
      <c r="D183" s="12" t="s">
        <v>41</v>
      </c>
      <c r="E183" s="13" t="s">
        <v>7546</v>
      </c>
      <c r="F183" s="12">
        <v>27.0</v>
      </c>
      <c r="G183" s="12">
        <v>1998.0</v>
      </c>
      <c r="H183" s="14">
        <v>1.0</v>
      </c>
      <c r="I183" s="15">
        <v>3.0</v>
      </c>
      <c r="J183" s="15">
        <v>3.0</v>
      </c>
      <c r="K183" s="15">
        <v>0.1</v>
      </c>
      <c r="L183" s="21">
        <v>0.0</v>
      </c>
      <c r="M183" s="23">
        <v>0.0</v>
      </c>
      <c r="N183" s="36"/>
      <c r="O183" s="21">
        <v>0.0</v>
      </c>
      <c r="P183" s="14">
        <v>1.0</v>
      </c>
      <c r="Q183" s="15">
        <v>3.0</v>
      </c>
      <c r="R183" s="15">
        <v>1.0</v>
      </c>
      <c r="S183" s="14">
        <v>1.0</v>
      </c>
      <c r="T183" s="21">
        <v>0.0</v>
      </c>
      <c r="U183" s="21">
        <v>0.0</v>
      </c>
      <c r="V183" s="21">
        <v>0.0</v>
      </c>
      <c r="W183" s="21">
        <v>0.0</v>
      </c>
      <c r="X183" s="55">
        <f>+0.26</f>
        <v>0.26</v>
      </c>
      <c r="Y183" s="20" t="s">
        <v>7547</v>
      </c>
    </row>
    <row r="184">
      <c r="A184" s="37" t="s">
        <v>3</v>
      </c>
      <c r="B184" s="38" t="s">
        <v>4</v>
      </c>
      <c r="C184" s="39" t="s">
        <v>5</v>
      </c>
      <c r="D184" s="39" t="s">
        <v>6</v>
      </c>
      <c r="E184" s="39" t="s">
        <v>7</v>
      </c>
      <c r="F184" s="39" t="s">
        <v>8</v>
      </c>
      <c r="G184" s="39" t="s">
        <v>9</v>
      </c>
      <c r="H184" s="40" t="s">
        <v>10</v>
      </c>
      <c r="I184" s="39" t="s">
        <v>12</v>
      </c>
      <c r="J184" s="39" t="s">
        <v>6838</v>
      </c>
      <c r="K184" s="39" t="s">
        <v>6839</v>
      </c>
      <c r="L184" s="39" t="s">
        <v>13</v>
      </c>
      <c r="M184" s="40" t="s">
        <v>11</v>
      </c>
      <c r="N184" s="39" t="s">
        <v>6840</v>
      </c>
      <c r="O184" s="39" t="s">
        <v>6841</v>
      </c>
      <c r="P184" s="40" t="s">
        <v>6836</v>
      </c>
      <c r="Q184" s="39" t="s">
        <v>6842</v>
      </c>
      <c r="R184" s="39" t="s">
        <v>6843</v>
      </c>
      <c r="S184" s="40" t="s">
        <v>6844</v>
      </c>
      <c r="T184" s="39" t="s">
        <v>6845</v>
      </c>
      <c r="U184" s="39" t="s">
        <v>6846</v>
      </c>
      <c r="V184" s="59" t="str">
        <f>+/-</f>
        <v>#ERROR!</v>
      </c>
      <c r="W184" s="59" t="str">
        <f>+/-90</f>
        <v>#ERROR!</v>
      </c>
      <c r="X184" s="39" t="s">
        <v>6847</v>
      </c>
      <c r="Y184" s="40" t="s">
        <v>23</v>
      </c>
    </row>
    <row r="185">
      <c r="A185" s="9">
        <v>176.0</v>
      </c>
      <c r="B185" s="10" t="s">
        <v>7548</v>
      </c>
      <c r="C185" s="11" t="s">
        <v>7549</v>
      </c>
      <c r="D185" s="12" t="s">
        <v>31</v>
      </c>
      <c r="E185" s="13" t="s">
        <v>7550</v>
      </c>
      <c r="F185" s="12">
        <v>19.0</v>
      </c>
      <c r="G185" s="12">
        <v>2006.0</v>
      </c>
      <c r="H185" s="14">
        <v>3.0</v>
      </c>
      <c r="I185" s="15">
        <v>14.0</v>
      </c>
      <c r="J185" s="15">
        <v>5.0</v>
      </c>
      <c r="K185" s="15">
        <v>0.4</v>
      </c>
      <c r="L185" s="15">
        <v>0.2</v>
      </c>
      <c r="M185" s="22">
        <v>0.0</v>
      </c>
      <c r="N185" s="36"/>
      <c r="O185" s="19">
        <v>0.0</v>
      </c>
      <c r="P185" s="17">
        <v>15.0</v>
      </c>
      <c r="Q185" s="15">
        <v>5.0</v>
      </c>
      <c r="R185" s="18">
        <v>40.0</v>
      </c>
      <c r="S185" s="14">
        <v>0.67</v>
      </c>
      <c r="T185" s="18">
        <v>5.0</v>
      </c>
      <c r="U185" s="19">
        <v>0.0</v>
      </c>
      <c r="V185" s="54">
        <v>5.0</v>
      </c>
      <c r="W185" s="55">
        <f>+6.43</f>
        <v>6.43</v>
      </c>
      <c r="X185" s="55">
        <f>+7.54</f>
        <v>7.54</v>
      </c>
      <c r="Y185" s="20" t="s">
        <v>7551</v>
      </c>
    </row>
    <row r="186">
      <c r="A186" s="9">
        <v>177.0</v>
      </c>
      <c r="B186" s="10" t="s">
        <v>7552</v>
      </c>
      <c r="C186" s="11" t="s">
        <v>7553</v>
      </c>
      <c r="D186" s="12" t="s">
        <v>31</v>
      </c>
      <c r="E186" s="13" t="s">
        <v>7554</v>
      </c>
      <c r="F186" s="12">
        <v>19.0</v>
      </c>
      <c r="G186" s="12">
        <v>2006.0</v>
      </c>
      <c r="H186" s="14">
        <v>3.0</v>
      </c>
      <c r="I186" s="15">
        <v>49.0</v>
      </c>
      <c r="J186" s="15">
        <v>16.0</v>
      </c>
      <c r="K186" s="15">
        <v>1.4</v>
      </c>
      <c r="L186" s="15">
        <v>0.5</v>
      </c>
      <c r="M186" s="22">
        <v>0.0</v>
      </c>
      <c r="N186" s="36"/>
      <c r="O186" s="19">
        <v>0.0</v>
      </c>
      <c r="P186" s="17">
        <v>6.0</v>
      </c>
      <c r="Q186" s="15">
        <v>16.0</v>
      </c>
      <c r="R186" s="19">
        <v>0.0</v>
      </c>
      <c r="S186" s="14">
        <v>1.0</v>
      </c>
      <c r="T186" s="18">
        <v>2.0</v>
      </c>
      <c r="U186" s="18">
        <v>4.0</v>
      </c>
      <c r="V186" s="56">
        <v>-2.0</v>
      </c>
      <c r="W186" s="57">
        <v>-1.84</v>
      </c>
      <c r="X186" s="57">
        <v>-2.05</v>
      </c>
      <c r="Y186" s="20" t="s">
        <v>7555</v>
      </c>
    </row>
    <row r="187">
      <c r="A187" s="9">
        <v>178.0</v>
      </c>
      <c r="B187" s="10" t="s">
        <v>7556</v>
      </c>
      <c r="C187" s="11" t="s">
        <v>7557</v>
      </c>
      <c r="D187" s="12" t="s">
        <v>26</v>
      </c>
      <c r="E187" s="13" t="s">
        <v>7558</v>
      </c>
      <c r="F187" s="12">
        <v>26.0</v>
      </c>
      <c r="G187" s="12">
        <v>1998.0</v>
      </c>
      <c r="H187" s="14">
        <v>23.0</v>
      </c>
      <c r="I187" s="16">
        <v>1067.0</v>
      </c>
      <c r="J187" s="15">
        <v>46.0</v>
      </c>
      <c r="K187" s="15">
        <v>31.2</v>
      </c>
      <c r="L187" s="15">
        <v>11.9</v>
      </c>
      <c r="M187" s="17">
        <v>0.92</v>
      </c>
      <c r="N187" s="15">
        <v>79.0</v>
      </c>
      <c r="O187" s="18">
        <v>0.17</v>
      </c>
      <c r="P187" s="17">
        <v>1.01</v>
      </c>
      <c r="Q187" s="15">
        <v>16.0</v>
      </c>
      <c r="R187" s="18">
        <v>1.01</v>
      </c>
      <c r="S187" s="14">
        <v>0.48</v>
      </c>
      <c r="T187" s="18">
        <v>1.18</v>
      </c>
      <c r="U187" s="18">
        <v>1.51</v>
      </c>
      <c r="V187" s="56">
        <v>-0.34</v>
      </c>
      <c r="W187" s="57">
        <v>-0.34</v>
      </c>
      <c r="X187" s="55">
        <f>+0.92</f>
        <v>0.92</v>
      </c>
      <c r="Y187" s="20" t="s">
        <v>7559</v>
      </c>
    </row>
    <row r="188">
      <c r="A188" s="9">
        <v>179.0</v>
      </c>
      <c r="B188" s="10" t="s">
        <v>7560</v>
      </c>
      <c r="C188" s="11" t="s">
        <v>7561</v>
      </c>
      <c r="D188" s="12" t="s">
        <v>36</v>
      </c>
      <c r="E188" s="13" t="s">
        <v>7562</v>
      </c>
      <c r="F188" s="12">
        <v>26.0</v>
      </c>
      <c r="G188" s="12">
        <v>1998.0</v>
      </c>
      <c r="H188" s="14">
        <v>19.0</v>
      </c>
      <c r="I188" s="16">
        <v>1539.0</v>
      </c>
      <c r="J188" s="15">
        <v>81.0</v>
      </c>
      <c r="K188" s="15">
        <v>45.0</v>
      </c>
      <c r="L188" s="15">
        <v>17.1</v>
      </c>
      <c r="M188" s="17">
        <v>0.99</v>
      </c>
      <c r="N188" s="15">
        <v>89.0</v>
      </c>
      <c r="O188" s="18">
        <v>0.88</v>
      </c>
      <c r="P188" s="17">
        <v>0.12</v>
      </c>
      <c r="Q188" s="15">
        <v>9.0</v>
      </c>
      <c r="R188" s="18">
        <v>0.82</v>
      </c>
      <c r="S188" s="14">
        <v>0.53</v>
      </c>
      <c r="T188" s="18">
        <v>0.76</v>
      </c>
      <c r="U188" s="18">
        <v>1.99</v>
      </c>
      <c r="V188" s="56">
        <v>-1.23</v>
      </c>
      <c r="W188" s="57">
        <v>-1.23</v>
      </c>
      <c r="X188" s="57">
        <v>-0.46</v>
      </c>
      <c r="Y188" s="20" t="s">
        <v>7563</v>
      </c>
    </row>
    <row r="189">
      <c r="A189" s="9">
        <v>180.0</v>
      </c>
      <c r="B189" s="10" t="s">
        <v>7564</v>
      </c>
      <c r="C189" s="11" t="s">
        <v>7565</v>
      </c>
      <c r="D189" s="12" t="s">
        <v>41</v>
      </c>
      <c r="E189" s="13" t="s">
        <v>7566</v>
      </c>
      <c r="F189" s="12">
        <v>23.0</v>
      </c>
      <c r="G189" s="12">
        <v>2002.0</v>
      </c>
      <c r="H189" s="14">
        <v>28.0</v>
      </c>
      <c r="I189" s="16">
        <v>1803.0</v>
      </c>
      <c r="J189" s="15">
        <v>64.0</v>
      </c>
      <c r="K189" s="15">
        <v>52.7</v>
      </c>
      <c r="L189" s="15">
        <v>20.0</v>
      </c>
      <c r="M189" s="17">
        <v>1.05</v>
      </c>
      <c r="N189" s="15">
        <v>77.0</v>
      </c>
      <c r="O189" s="18">
        <v>0.3</v>
      </c>
      <c r="P189" s="17">
        <v>0.35</v>
      </c>
      <c r="Q189" s="15">
        <v>26.0</v>
      </c>
      <c r="R189" s="18">
        <v>0.05</v>
      </c>
      <c r="S189" s="14">
        <v>1.68</v>
      </c>
      <c r="T189" s="18">
        <v>1.75</v>
      </c>
      <c r="U189" s="18">
        <v>1.25</v>
      </c>
      <c r="V189" s="54">
        <v>0.5</v>
      </c>
      <c r="W189" s="55">
        <f t="shared" ref="W189:X189" si="3">+0.5</f>
        <v>0.5</v>
      </c>
      <c r="X189" s="55">
        <f t="shared" si="3"/>
        <v>0.5</v>
      </c>
      <c r="Y189" s="20" t="s">
        <v>7567</v>
      </c>
    </row>
    <row r="190">
      <c r="A190" s="9">
        <v>181.0</v>
      </c>
      <c r="B190" s="10" t="s">
        <v>7568</v>
      </c>
      <c r="C190" s="11" t="s">
        <v>7569</v>
      </c>
      <c r="D190" s="12" t="s">
        <v>107</v>
      </c>
      <c r="E190" s="13" t="s">
        <v>7570</v>
      </c>
      <c r="F190" s="12">
        <v>23.0</v>
      </c>
      <c r="G190" s="12">
        <v>2002.0</v>
      </c>
      <c r="H190" s="14">
        <v>32.0</v>
      </c>
      <c r="I190" s="16">
        <v>1319.0</v>
      </c>
      <c r="J190" s="15">
        <v>41.0</v>
      </c>
      <c r="K190" s="15">
        <v>38.6</v>
      </c>
      <c r="L190" s="15">
        <v>14.7</v>
      </c>
      <c r="M190" s="17">
        <v>0.95</v>
      </c>
      <c r="N190" s="15">
        <v>70.0</v>
      </c>
      <c r="O190" s="18">
        <v>0.14</v>
      </c>
      <c r="P190" s="17">
        <v>1.22</v>
      </c>
      <c r="Q190" s="15">
        <v>19.0</v>
      </c>
      <c r="R190" s="18">
        <v>0.14</v>
      </c>
      <c r="S190" s="14">
        <v>1.13</v>
      </c>
      <c r="T190" s="18">
        <v>1.36</v>
      </c>
      <c r="U190" s="18">
        <v>1.9</v>
      </c>
      <c r="V190" s="56">
        <v>-0.54</v>
      </c>
      <c r="W190" s="57">
        <v>-0.55</v>
      </c>
      <c r="X190" s="57">
        <v>-0.8</v>
      </c>
      <c r="Y190" s="20" t="s">
        <v>7571</v>
      </c>
    </row>
    <row r="191">
      <c r="A191" s="9">
        <v>182.0</v>
      </c>
      <c r="B191" s="10" t="s">
        <v>7572</v>
      </c>
      <c r="C191" s="11" t="s">
        <v>7573</v>
      </c>
      <c r="D191" s="12" t="s">
        <v>98</v>
      </c>
      <c r="E191" s="13" t="s">
        <v>7574</v>
      </c>
      <c r="F191" s="12">
        <v>22.0</v>
      </c>
      <c r="G191" s="12">
        <v>2003.0</v>
      </c>
      <c r="H191" s="14">
        <v>3.0</v>
      </c>
      <c r="I191" s="15">
        <v>270.0</v>
      </c>
      <c r="J191" s="15">
        <v>90.0</v>
      </c>
      <c r="K191" s="15">
        <v>7.9</v>
      </c>
      <c r="L191" s="15">
        <v>3.0</v>
      </c>
      <c r="M191" s="17">
        <v>1.0</v>
      </c>
      <c r="N191" s="15">
        <v>90.0</v>
      </c>
      <c r="O191" s="18">
        <v>1.0</v>
      </c>
      <c r="P191" s="22">
        <v>0.0</v>
      </c>
      <c r="Q191" s="36"/>
      <c r="R191" s="18">
        <v>3.67</v>
      </c>
      <c r="S191" s="14">
        <v>2.0</v>
      </c>
      <c r="T191" s="18">
        <v>1.0</v>
      </c>
      <c r="U191" s="18">
        <v>0.67</v>
      </c>
      <c r="V191" s="54">
        <v>0.33</v>
      </c>
      <c r="W191" s="55">
        <f>+0.33</f>
        <v>0.33</v>
      </c>
      <c r="X191" s="55">
        <f>+0.53</f>
        <v>0.53</v>
      </c>
      <c r="Y191" s="20" t="s">
        <v>7575</v>
      </c>
    </row>
    <row r="192">
      <c r="A192" s="9">
        <v>183.0</v>
      </c>
      <c r="B192" s="10" t="s">
        <v>7576</v>
      </c>
      <c r="C192" s="11" t="s">
        <v>7577</v>
      </c>
      <c r="D192" s="12" t="s">
        <v>107</v>
      </c>
      <c r="E192" s="13" t="s">
        <v>7578</v>
      </c>
      <c r="F192" s="12">
        <v>22.0</v>
      </c>
      <c r="G192" s="12">
        <v>2003.0</v>
      </c>
      <c r="H192" s="14">
        <v>1.0</v>
      </c>
      <c r="I192" s="15">
        <v>1.0</v>
      </c>
      <c r="J192" s="15">
        <v>1.0</v>
      </c>
      <c r="K192" s="21">
        <v>0.0</v>
      </c>
      <c r="L192" s="21">
        <v>0.0</v>
      </c>
      <c r="M192" s="23">
        <v>0.0</v>
      </c>
      <c r="N192" s="36"/>
      <c r="O192" s="21">
        <v>0.0</v>
      </c>
      <c r="P192" s="14">
        <v>1.0</v>
      </c>
      <c r="Q192" s="15">
        <v>1.0</v>
      </c>
      <c r="R192" s="15">
        <v>2.0</v>
      </c>
      <c r="S192" s="14">
        <v>3.0</v>
      </c>
      <c r="T192" s="15">
        <v>1.0</v>
      </c>
      <c r="U192" s="21">
        <v>0.0</v>
      </c>
      <c r="V192" s="55">
        <f>+1</f>
        <v>1</v>
      </c>
      <c r="W192" s="55">
        <f>+90</f>
        <v>90</v>
      </c>
      <c r="X192" s="55">
        <f>+89.76</f>
        <v>89.76</v>
      </c>
      <c r="Y192" s="20" t="s">
        <v>7579</v>
      </c>
    </row>
    <row r="193">
      <c r="A193" s="9">
        <v>184.0</v>
      </c>
      <c r="B193" s="10" t="s">
        <v>7580</v>
      </c>
      <c r="C193" s="11" t="s">
        <v>7581</v>
      </c>
      <c r="D193" s="12" t="s">
        <v>31</v>
      </c>
      <c r="E193" s="13" t="s">
        <v>7582</v>
      </c>
      <c r="F193" s="12">
        <v>22.0</v>
      </c>
      <c r="G193" s="12">
        <v>2003.0</v>
      </c>
      <c r="H193" s="14">
        <v>4.0</v>
      </c>
      <c r="I193" s="15">
        <v>112.0</v>
      </c>
      <c r="J193" s="15">
        <v>28.0</v>
      </c>
      <c r="K193" s="15">
        <v>3.3</v>
      </c>
      <c r="L193" s="15">
        <v>1.2</v>
      </c>
      <c r="M193" s="17">
        <v>0.83</v>
      </c>
      <c r="N193" s="15">
        <v>45.0</v>
      </c>
      <c r="O193" s="19">
        <v>0.0</v>
      </c>
      <c r="P193" s="17">
        <v>2.5</v>
      </c>
      <c r="Q193" s="15">
        <v>22.0</v>
      </c>
      <c r="R193" s="18">
        <v>3.33</v>
      </c>
      <c r="S193" s="14">
        <v>1.25</v>
      </c>
      <c r="T193" s="18">
        <v>1.67</v>
      </c>
      <c r="U193" s="18">
        <v>1.67</v>
      </c>
      <c r="V193" s="19">
        <v>0.0</v>
      </c>
      <c r="W193" s="21">
        <v>0.0</v>
      </c>
      <c r="X193" s="57">
        <v>-0.19</v>
      </c>
      <c r="Y193" s="20" t="s">
        <v>7583</v>
      </c>
    </row>
    <row r="194">
      <c r="A194" s="9">
        <v>185.0</v>
      </c>
      <c r="B194" s="10" t="s">
        <v>7584</v>
      </c>
      <c r="C194" s="11" t="s">
        <v>7585</v>
      </c>
      <c r="D194" s="12" t="s">
        <v>36</v>
      </c>
      <c r="E194" s="13" t="s">
        <v>7586</v>
      </c>
      <c r="F194" s="12">
        <v>17.0</v>
      </c>
      <c r="G194" s="12">
        <v>2008.0</v>
      </c>
      <c r="H194" s="23">
        <v>0.0</v>
      </c>
      <c r="I194" s="36"/>
      <c r="J194" s="36"/>
      <c r="K194" s="36"/>
      <c r="L194" s="36"/>
      <c r="M194" s="23">
        <v>0.0</v>
      </c>
      <c r="N194" s="36"/>
      <c r="O194" s="21">
        <v>0.0</v>
      </c>
      <c r="P194" s="23">
        <v>0.0</v>
      </c>
      <c r="Q194" s="36"/>
      <c r="R194" s="15">
        <v>1.0</v>
      </c>
      <c r="S194" s="58"/>
      <c r="T194" s="36"/>
      <c r="U194" s="36"/>
      <c r="V194" s="36"/>
      <c r="W194" s="36"/>
      <c r="X194" s="36"/>
      <c r="Y194" s="20" t="s">
        <v>7587</v>
      </c>
    </row>
    <row r="195">
      <c r="A195" s="9">
        <v>186.0</v>
      </c>
      <c r="B195" s="10" t="s">
        <v>7588</v>
      </c>
      <c r="C195" s="11" t="s">
        <v>7589</v>
      </c>
      <c r="D195" s="12" t="s">
        <v>31</v>
      </c>
      <c r="E195" s="13" t="s">
        <v>7590</v>
      </c>
      <c r="F195" s="12">
        <v>19.0</v>
      </c>
      <c r="G195" s="12">
        <v>2006.0</v>
      </c>
      <c r="H195" s="23">
        <v>0.0</v>
      </c>
      <c r="I195" s="36"/>
      <c r="J195" s="36"/>
      <c r="K195" s="36"/>
      <c r="L195" s="36"/>
      <c r="M195" s="23">
        <v>0.0</v>
      </c>
      <c r="N195" s="36"/>
      <c r="O195" s="21">
        <v>0.0</v>
      </c>
      <c r="P195" s="23">
        <v>0.0</v>
      </c>
      <c r="Q195" s="36"/>
      <c r="R195" s="15">
        <v>3.0</v>
      </c>
      <c r="S195" s="58"/>
      <c r="T195" s="36"/>
      <c r="U195" s="36"/>
      <c r="V195" s="36"/>
      <c r="W195" s="36"/>
      <c r="X195" s="36"/>
      <c r="Y195" s="20" t="s">
        <v>7591</v>
      </c>
    </row>
    <row r="196">
      <c r="A196" s="9">
        <v>187.0</v>
      </c>
      <c r="B196" s="10" t="s">
        <v>7592</v>
      </c>
      <c r="C196" s="11" t="s">
        <v>7593</v>
      </c>
      <c r="D196" s="12" t="s">
        <v>36</v>
      </c>
      <c r="E196" s="13" t="s">
        <v>7594</v>
      </c>
      <c r="F196" s="12">
        <v>32.0</v>
      </c>
      <c r="G196" s="12">
        <v>1993.0</v>
      </c>
      <c r="H196" s="14">
        <v>8.0</v>
      </c>
      <c r="I196" s="15">
        <v>175.0</v>
      </c>
      <c r="J196" s="15">
        <v>22.0</v>
      </c>
      <c r="K196" s="15">
        <v>5.1</v>
      </c>
      <c r="L196" s="15">
        <v>1.9</v>
      </c>
      <c r="M196" s="17">
        <v>0.53</v>
      </c>
      <c r="N196" s="15">
        <v>68.0</v>
      </c>
      <c r="O196" s="19">
        <v>0.0</v>
      </c>
      <c r="P196" s="17">
        <v>3.68</v>
      </c>
      <c r="Q196" s="15">
        <v>15.0</v>
      </c>
      <c r="R196" s="18">
        <v>6.32</v>
      </c>
      <c r="S196" s="14">
        <v>2.0</v>
      </c>
      <c r="T196" s="18">
        <v>3.16</v>
      </c>
      <c r="U196" s="18">
        <v>2.63</v>
      </c>
      <c r="V196" s="54">
        <v>0.53</v>
      </c>
      <c r="W196" s="55">
        <f>+0.51</f>
        <v>0.51</v>
      </c>
      <c r="X196" s="55">
        <f>+0.26</f>
        <v>0.26</v>
      </c>
      <c r="Y196" s="20" t="s">
        <v>7595</v>
      </c>
    </row>
    <row r="197">
      <c r="A197" s="9">
        <v>188.0</v>
      </c>
      <c r="B197" s="10" t="s">
        <v>7596</v>
      </c>
      <c r="C197" s="11" t="s">
        <v>7597</v>
      </c>
      <c r="D197" s="12" t="s">
        <v>31</v>
      </c>
      <c r="E197" s="13" t="s">
        <v>7598</v>
      </c>
      <c r="F197" s="12">
        <v>20.0</v>
      </c>
      <c r="G197" s="12">
        <v>2005.0</v>
      </c>
      <c r="H197" s="14">
        <v>4.0</v>
      </c>
      <c r="I197" s="15">
        <v>44.0</v>
      </c>
      <c r="J197" s="15">
        <v>11.0</v>
      </c>
      <c r="K197" s="15">
        <v>1.3</v>
      </c>
      <c r="L197" s="15">
        <v>0.5</v>
      </c>
      <c r="M197" s="22">
        <v>0.0</v>
      </c>
      <c r="N197" s="36"/>
      <c r="O197" s="19">
        <v>0.0</v>
      </c>
      <c r="P197" s="17">
        <v>8.0</v>
      </c>
      <c r="Q197" s="15">
        <v>11.0</v>
      </c>
      <c r="R197" s="18">
        <v>22.0</v>
      </c>
      <c r="S197" s="14">
        <v>0.5</v>
      </c>
      <c r="T197" s="19">
        <v>0.0</v>
      </c>
      <c r="U197" s="19">
        <v>0.0</v>
      </c>
      <c r="V197" s="19">
        <v>0.0</v>
      </c>
      <c r="W197" s="21">
        <v>0.0</v>
      </c>
      <c r="X197" s="55">
        <f>+0.27</f>
        <v>0.27</v>
      </c>
      <c r="Y197" s="20" t="s">
        <v>7599</v>
      </c>
    </row>
    <row r="198">
      <c r="A198" s="9">
        <v>189.0</v>
      </c>
      <c r="B198" s="10" t="s">
        <v>7600</v>
      </c>
      <c r="C198" s="11" t="s">
        <v>7601</v>
      </c>
      <c r="D198" s="12" t="s">
        <v>31</v>
      </c>
      <c r="E198" s="13" t="s">
        <v>7602</v>
      </c>
      <c r="F198" s="12">
        <v>20.0</v>
      </c>
      <c r="G198" s="12">
        <v>2005.0</v>
      </c>
      <c r="H198" s="14">
        <v>3.0</v>
      </c>
      <c r="I198" s="15">
        <v>30.0</v>
      </c>
      <c r="J198" s="15">
        <v>10.0</v>
      </c>
      <c r="K198" s="15">
        <v>0.9</v>
      </c>
      <c r="L198" s="15">
        <v>0.3</v>
      </c>
      <c r="M198" s="22">
        <v>0.0</v>
      </c>
      <c r="N198" s="36"/>
      <c r="O198" s="19">
        <v>0.0</v>
      </c>
      <c r="P198" s="17">
        <v>10.0</v>
      </c>
      <c r="Q198" s="15">
        <v>10.0</v>
      </c>
      <c r="R198" s="18">
        <v>23.3</v>
      </c>
      <c r="S198" s="14">
        <v>1.0</v>
      </c>
      <c r="T198" s="19">
        <v>0.0</v>
      </c>
      <c r="U198" s="18">
        <v>3.33</v>
      </c>
      <c r="V198" s="56">
        <v>-3.33</v>
      </c>
      <c r="W198" s="57">
        <v>-3.0</v>
      </c>
      <c r="X198" s="57">
        <v>-3.19</v>
      </c>
      <c r="Y198" s="20" t="s">
        <v>7603</v>
      </c>
    </row>
    <row r="199">
      <c r="A199" s="9">
        <v>190.0</v>
      </c>
      <c r="B199" s="10" t="s">
        <v>7604</v>
      </c>
      <c r="C199" s="11" t="s">
        <v>7605</v>
      </c>
      <c r="D199" s="12" t="s">
        <v>36</v>
      </c>
      <c r="E199" s="13" t="s">
        <v>7606</v>
      </c>
      <c r="F199" s="12">
        <v>23.0</v>
      </c>
      <c r="G199" s="12">
        <v>2002.0</v>
      </c>
      <c r="H199" s="14">
        <v>34.0</v>
      </c>
      <c r="I199" s="16">
        <v>2932.0</v>
      </c>
      <c r="J199" s="15">
        <v>86.0</v>
      </c>
      <c r="K199" s="15">
        <v>85.7</v>
      </c>
      <c r="L199" s="15">
        <v>32.6</v>
      </c>
      <c r="M199" s="17">
        <v>1.04</v>
      </c>
      <c r="N199" s="15">
        <v>86.0</v>
      </c>
      <c r="O199" s="18">
        <v>0.86</v>
      </c>
      <c r="P199" s="22">
        <v>0.0</v>
      </c>
      <c r="Q199" s="36"/>
      <c r="R199" s="19">
        <v>0.0</v>
      </c>
      <c r="S199" s="14">
        <v>0.56</v>
      </c>
      <c r="T199" s="18">
        <v>1.04</v>
      </c>
      <c r="U199" s="18">
        <v>2.15</v>
      </c>
      <c r="V199" s="56">
        <v>-1.1</v>
      </c>
      <c r="W199" s="57">
        <v>-1.11</v>
      </c>
      <c r="X199" s="57">
        <v>-0.92</v>
      </c>
      <c r="Y199" s="20" t="s">
        <v>7607</v>
      </c>
    </row>
    <row r="200">
      <c r="A200" s="9">
        <v>191.0</v>
      </c>
      <c r="B200" s="10" t="s">
        <v>7608</v>
      </c>
      <c r="C200" s="11" t="s">
        <v>7609</v>
      </c>
      <c r="D200" s="12" t="s">
        <v>41</v>
      </c>
      <c r="E200" s="13" t="s">
        <v>7610</v>
      </c>
      <c r="F200" s="12">
        <v>25.0</v>
      </c>
      <c r="G200" s="12">
        <v>1999.0</v>
      </c>
      <c r="H200" s="14">
        <v>36.0</v>
      </c>
      <c r="I200" s="16">
        <v>2742.0</v>
      </c>
      <c r="J200" s="15">
        <v>76.0</v>
      </c>
      <c r="K200" s="15">
        <v>80.2</v>
      </c>
      <c r="L200" s="15">
        <v>30.5</v>
      </c>
      <c r="M200" s="17">
        <v>1.05</v>
      </c>
      <c r="N200" s="15">
        <v>81.0</v>
      </c>
      <c r="O200" s="18">
        <v>0.3</v>
      </c>
      <c r="P200" s="17">
        <v>0.13</v>
      </c>
      <c r="Q200" s="15">
        <v>36.0</v>
      </c>
      <c r="R200" s="19">
        <v>0.0</v>
      </c>
      <c r="S200" s="14">
        <v>1.47</v>
      </c>
      <c r="T200" s="18">
        <v>1.41</v>
      </c>
      <c r="U200" s="18">
        <v>1.31</v>
      </c>
      <c r="V200" s="54">
        <v>0.1</v>
      </c>
      <c r="W200" s="55">
        <f>+0.1</f>
        <v>0.1</v>
      </c>
      <c r="X200" s="57">
        <v>-0.03</v>
      </c>
      <c r="Y200" s="20" t="s">
        <v>7611</v>
      </c>
    </row>
    <row r="201">
      <c r="A201" s="9">
        <v>192.0</v>
      </c>
      <c r="B201" s="10" t="s">
        <v>7612</v>
      </c>
      <c r="C201" s="11" t="s">
        <v>7613</v>
      </c>
      <c r="D201" s="12" t="s">
        <v>31</v>
      </c>
      <c r="E201" s="13" t="s">
        <v>7614</v>
      </c>
      <c r="F201" s="12">
        <v>27.0</v>
      </c>
      <c r="G201" s="12">
        <v>1998.0</v>
      </c>
      <c r="H201" s="14">
        <v>1.0</v>
      </c>
      <c r="I201" s="15">
        <v>83.0</v>
      </c>
      <c r="J201" s="15">
        <v>83.0</v>
      </c>
      <c r="K201" s="15">
        <v>2.4</v>
      </c>
      <c r="L201" s="15">
        <v>0.9</v>
      </c>
      <c r="M201" s="17">
        <v>1.11</v>
      </c>
      <c r="N201" s="15">
        <v>83.0</v>
      </c>
      <c r="O201" s="19">
        <v>0.0</v>
      </c>
      <c r="P201" s="22">
        <v>0.0</v>
      </c>
      <c r="Q201" s="36"/>
      <c r="R201" s="19">
        <v>0.0</v>
      </c>
      <c r="S201" s="14">
        <v>1.0</v>
      </c>
      <c r="T201" s="19">
        <v>0.0</v>
      </c>
      <c r="U201" s="19">
        <v>0.0</v>
      </c>
      <c r="V201" s="19">
        <v>0.0</v>
      </c>
      <c r="W201" s="21">
        <v>0.0</v>
      </c>
      <c r="X201" s="55">
        <f>+0.27</f>
        <v>0.27</v>
      </c>
      <c r="Y201" s="20" t="s">
        <v>7615</v>
      </c>
    </row>
    <row r="202">
      <c r="A202" s="9">
        <v>193.0</v>
      </c>
      <c r="B202" s="10" t="s">
        <v>7616</v>
      </c>
      <c r="C202" s="11" t="s">
        <v>7617</v>
      </c>
      <c r="D202" s="12" t="s">
        <v>26</v>
      </c>
      <c r="E202" s="13" t="s">
        <v>7618</v>
      </c>
      <c r="F202" s="12">
        <v>27.0</v>
      </c>
      <c r="G202" s="12">
        <v>1998.0</v>
      </c>
      <c r="H202" s="14">
        <v>32.0</v>
      </c>
      <c r="I202" s="16">
        <v>1812.0</v>
      </c>
      <c r="J202" s="15">
        <v>57.0</v>
      </c>
      <c r="K202" s="15">
        <v>53.0</v>
      </c>
      <c r="L202" s="15">
        <v>20.1</v>
      </c>
      <c r="M202" s="17">
        <v>1.04</v>
      </c>
      <c r="N202" s="15">
        <v>74.0</v>
      </c>
      <c r="O202" s="18">
        <v>0.25</v>
      </c>
      <c r="P202" s="17">
        <v>0.55</v>
      </c>
      <c r="Q202" s="15">
        <v>24.0</v>
      </c>
      <c r="R202" s="18">
        <v>0.2</v>
      </c>
      <c r="S202" s="14">
        <v>2.09</v>
      </c>
      <c r="T202" s="18">
        <v>1.84</v>
      </c>
      <c r="U202" s="18">
        <v>0.7</v>
      </c>
      <c r="V202" s="54">
        <v>1.14</v>
      </c>
      <c r="W202" s="55">
        <f>+1.14</f>
        <v>1.14</v>
      </c>
      <c r="X202" s="57">
        <v>-0.03</v>
      </c>
      <c r="Y202" s="20" t="s">
        <v>7619</v>
      </c>
    </row>
    <row r="203">
      <c r="A203" s="9">
        <v>194.0</v>
      </c>
      <c r="B203" s="10" t="s">
        <v>7620</v>
      </c>
      <c r="C203" s="11" t="s">
        <v>7621</v>
      </c>
      <c r="D203" s="12" t="s">
        <v>98</v>
      </c>
      <c r="E203" s="13" t="s">
        <v>7622</v>
      </c>
      <c r="F203" s="12">
        <v>40.0</v>
      </c>
      <c r="G203" s="12">
        <v>1985.0</v>
      </c>
      <c r="H203" s="23">
        <v>0.0</v>
      </c>
      <c r="I203" s="36"/>
      <c r="J203" s="36"/>
      <c r="K203" s="36"/>
      <c r="L203" s="36"/>
      <c r="M203" s="23">
        <v>0.0</v>
      </c>
      <c r="N203" s="36"/>
      <c r="O203" s="21">
        <v>0.0</v>
      </c>
      <c r="P203" s="23">
        <v>0.0</v>
      </c>
      <c r="Q203" s="36"/>
      <c r="R203" s="15">
        <v>1.0</v>
      </c>
      <c r="S203" s="58"/>
      <c r="T203" s="36"/>
      <c r="U203" s="36"/>
      <c r="V203" s="36"/>
      <c r="W203" s="36"/>
      <c r="X203" s="36"/>
      <c r="Y203" s="20" t="s">
        <v>7623</v>
      </c>
    </row>
    <row r="204">
      <c r="A204" s="9">
        <v>195.0</v>
      </c>
      <c r="B204" s="10" t="s">
        <v>7624</v>
      </c>
      <c r="C204" s="11" t="s">
        <v>7625</v>
      </c>
      <c r="D204" s="12" t="s">
        <v>31</v>
      </c>
      <c r="E204" s="13" t="s">
        <v>7626</v>
      </c>
      <c r="F204" s="12">
        <v>27.0</v>
      </c>
      <c r="G204" s="12">
        <v>1998.0</v>
      </c>
      <c r="H204" s="23">
        <v>0.0</v>
      </c>
      <c r="I204" s="36"/>
      <c r="J204" s="36"/>
      <c r="K204" s="36"/>
      <c r="L204" s="36"/>
      <c r="M204" s="23">
        <v>0.0</v>
      </c>
      <c r="N204" s="36"/>
      <c r="O204" s="21">
        <v>0.0</v>
      </c>
      <c r="P204" s="23">
        <v>0.0</v>
      </c>
      <c r="Q204" s="36"/>
      <c r="R204" s="15">
        <v>1.0</v>
      </c>
      <c r="S204" s="58"/>
      <c r="T204" s="36"/>
      <c r="U204" s="36"/>
      <c r="V204" s="36"/>
      <c r="W204" s="36"/>
      <c r="X204" s="36"/>
      <c r="Y204" s="20" t="s">
        <v>7627</v>
      </c>
    </row>
    <row r="205">
      <c r="A205" s="9">
        <v>196.0</v>
      </c>
      <c r="B205" s="10" t="s">
        <v>7628</v>
      </c>
      <c r="C205" s="11" t="s">
        <v>7629</v>
      </c>
      <c r="D205" s="12" t="s">
        <v>31</v>
      </c>
      <c r="E205" s="13" t="s">
        <v>7630</v>
      </c>
      <c r="F205" s="12">
        <v>30.0</v>
      </c>
      <c r="G205" s="12">
        <v>1994.0</v>
      </c>
      <c r="H205" s="14">
        <v>35.0</v>
      </c>
      <c r="I205" s="16">
        <v>3063.0</v>
      </c>
      <c r="J205" s="15">
        <v>88.0</v>
      </c>
      <c r="K205" s="15">
        <v>89.6</v>
      </c>
      <c r="L205" s="15">
        <v>34.0</v>
      </c>
      <c r="M205" s="17">
        <v>1.03</v>
      </c>
      <c r="N205" s="15">
        <v>88.0</v>
      </c>
      <c r="O205" s="18">
        <v>0.85</v>
      </c>
      <c r="P205" s="22">
        <v>0.0</v>
      </c>
      <c r="Q205" s="36"/>
      <c r="R205" s="19">
        <v>0.0</v>
      </c>
      <c r="S205" s="14">
        <v>1.89</v>
      </c>
      <c r="T205" s="18">
        <v>1.94</v>
      </c>
      <c r="U205" s="18">
        <v>1.35</v>
      </c>
      <c r="V205" s="54">
        <v>0.59</v>
      </c>
      <c r="W205" s="55">
        <f>+0.59</f>
        <v>0.59</v>
      </c>
      <c r="X205" s="55">
        <f>+0.84</f>
        <v>0.84</v>
      </c>
      <c r="Y205" s="20" t="s">
        <v>7631</v>
      </c>
    </row>
    <row r="206">
      <c r="A206" s="9">
        <v>197.0</v>
      </c>
      <c r="B206" s="10" t="s">
        <v>7632</v>
      </c>
      <c r="C206" s="11" t="s">
        <v>7633</v>
      </c>
      <c r="D206" s="12" t="s">
        <v>31</v>
      </c>
      <c r="E206" s="13" t="s">
        <v>7634</v>
      </c>
      <c r="F206" s="12">
        <v>21.0</v>
      </c>
      <c r="G206" s="12">
        <v>2004.0</v>
      </c>
      <c r="H206" s="14">
        <v>36.0</v>
      </c>
      <c r="I206" s="16">
        <v>3016.0</v>
      </c>
      <c r="J206" s="15">
        <v>84.0</v>
      </c>
      <c r="K206" s="15">
        <v>88.2</v>
      </c>
      <c r="L206" s="15">
        <v>33.5</v>
      </c>
      <c r="M206" s="17">
        <v>1.04</v>
      </c>
      <c r="N206" s="15">
        <v>85.0</v>
      </c>
      <c r="O206" s="18">
        <v>0.69</v>
      </c>
      <c r="P206" s="17">
        <v>0.03</v>
      </c>
      <c r="Q206" s="15">
        <v>26.0</v>
      </c>
      <c r="R206" s="19">
        <v>0.0</v>
      </c>
      <c r="S206" s="14">
        <v>1.08</v>
      </c>
      <c r="T206" s="18">
        <v>1.19</v>
      </c>
      <c r="U206" s="18">
        <v>1.49</v>
      </c>
      <c r="V206" s="56">
        <v>-0.3</v>
      </c>
      <c r="W206" s="57">
        <v>-0.3</v>
      </c>
      <c r="X206" s="55">
        <f>+1.71</f>
        <v>1.71</v>
      </c>
      <c r="Y206" s="20" t="s">
        <v>7635</v>
      </c>
    </row>
    <row r="207">
      <c r="A207" s="9">
        <v>198.0</v>
      </c>
      <c r="B207" s="10" t="s">
        <v>7636</v>
      </c>
      <c r="C207" s="11" t="s">
        <v>7637</v>
      </c>
      <c r="D207" s="12" t="s">
        <v>31</v>
      </c>
      <c r="E207" s="13" t="s">
        <v>7638</v>
      </c>
      <c r="F207" s="12">
        <v>24.0</v>
      </c>
      <c r="G207" s="12">
        <v>2001.0</v>
      </c>
      <c r="H207" s="14">
        <v>36.0</v>
      </c>
      <c r="I207" s="16">
        <v>3115.0</v>
      </c>
      <c r="J207" s="15">
        <v>87.0</v>
      </c>
      <c r="K207" s="15">
        <v>91.1</v>
      </c>
      <c r="L207" s="15">
        <v>34.6</v>
      </c>
      <c r="M207" s="17">
        <v>1.01</v>
      </c>
      <c r="N207" s="15">
        <v>88.0</v>
      </c>
      <c r="O207" s="18">
        <v>0.81</v>
      </c>
      <c r="P207" s="17">
        <v>0.03</v>
      </c>
      <c r="Q207" s="15">
        <v>37.0</v>
      </c>
      <c r="R207" s="19">
        <v>0.0</v>
      </c>
      <c r="S207" s="14">
        <v>1.36</v>
      </c>
      <c r="T207" s="18">
        <v>1.53</v>
      </c>
      <c r="U207" s="18">
        <v>1.33</v>
      </c>
      <c r="V207" s="54">
        <v>0.2</v>
      </c>
      <c r="W207" s="55">
        <f>+0.2</f>
        <v>0.2</v>
      </c>
      <c r="X207" s="55">
        <f>+0.5</f>
        <v>0.5</v>
      </c>
      <c r="Y207" s="20" t="s">
        <v>7639</v>
      </c>
    </row>
    <row r="208">
      <c r="A208" s="9">
        <v>199.0</v>
      </c>
      <c r="B208" s="10" t="s">
        <v>7640</v>
      </c>
      <c r="C208" s="11" t="s">
        <v>7641</v>
      </c>
      <c r="D208" s="12" t="s">
        <v>41</v>
      </c>
      <c r="E208" s="13" t="s">
        <v>7642</v>
      </c>
      <c r="F208" s="12">
        <v>26.0</v>
      </c>
      <c r="G208" s="12">
        <v>1998.0</v>
      </c>
      <c r="H208" s="14">
        <v>29.0</v>
      </c>
      <c r="I208" s="16">
        <v>1768.0</v>
      </c>
      <c r="J208" s="15">
        <v>61.0</v>
      </c>
      <c r="K208" s="15">
        <v>51.7</v>
      </c>
      <c r="L208" s="15">
        <v>19.6</v>
      </c>
      <c r="M208" s="17">
        <v>1.07</v>
      </c>
      <c r="N208" s="15">
        <v>79.0</v>
      </c>
      <c r="O208" s="18">
        <v>0.31</v>
      </c>
      <c r="P208" s="17">
        <v>0.41</v>
      </c>
      <c r="Q208" s="15">
        <v>13.0</v>
      </c>
      <c r="R208" s="18">
        <v>0.15</v>
      </c>
      <c r="S208" s="14">
        <v>0.66</v>
      </c>
      <c r="T208" s="18">
        <v>1.17</v>
      </c>
      <c r="U208" s="18">
        <v>1.79</v>
      </c>
      <c r="V208" s="56">
        <v>-0.61</v>
      </c>
      <c r="W208" s="57">
        <v>-0.61</v>
      </c>
      <c r="X208" s="55">
        <f>+0.75</f>
        <v>0.75</v>
      </c>
      <c r="Y208" s="20" t="s">
        <v>7643</v>
      </c>
    </row>
    <row r="209">
      <c r="A209" s="9">
        <v>200.0</v>
      </c>
      <c r="B209" s="10" t="s">
        <v>7644</v>
      </c>
      <c r="C209" s="11" t="s">
        <v>7645</v>
      </c>
      <c r="D209" s="12" t="s">
        <v>31</v>
      </c>
      <c r="E209" s="13" t="s">
        <v>7646</v>
      </c>
      <c r="F209" s="12">
        <v>18.0</v>
      </c>
      <c r="G209" s="12">
        <v>2007.0</v>
      </c>
      <c r="H209" s="14">
        <v>3.0</v>
      </c>
      <c r="I209" s="15">
        <v>108.0</v>
      </c>
      <c r="J209" s="15">
        <v>36.0</v>
      </c>
      <c r="K209" s="15">
        <v>3.2</v>
      </c>
      <c r="L209" s="15">
        <v>1.2</v>
      </c>
      <c r="M209" s="22">
        <v>0.0</v>
      </c>
      <c r="N209" s="36"/>
      <c r="O209" s="19">
        <v>0.0</v>
      </c>
      <c r="P209" s="17">
        <v>2.5</v>
      </c>
      <c r="Q209" s="15">
        <v>36.0</v>
      </c>
      <c r="R209" s="18">
        <v>4.17</v>
      </c>
      <c r="S209" s="14">
        <v>1.33</v>
      </c>
      <c r="T209" s="19">
        <v>0.0</v>
      </c>
      <c r="U209" s="19">
        <v>0.0</v>
      </c>
      <c r="V209" s="19">
        <v>0.0</v>
      </c>
      <c r="W209" s="21">
        <v>0.0</v>
      </c>
      <c r="X209" s="57">
        <v>-0.52</v>
      </c>
      <c r="Y209" s="20" t="s">
        <v>7647</v>
      </c>
    </row>
    <row r="210">
      <c r="A210" s="37" t="s">
        <v>3</v>
      </c>
      <c r="B210" s="38" t="s">
        <v>4</v>
      </c>
      <c r="C210" s="39" t="s">
        <v>5</v>
      </c>
      <c r="D210" s="39" t="s">
        <v>6</v>
      </c>
      <c r="E210" s="39" t="s">
        <v>7</v>
      </c>
      <c r="F210" s="39" t="s">
        <v>8</v>
      </c>
      <c r="G210" s="39" t="s">
        <v>9</v>
      </c>
      <c r="H210" s="40" t="s">
        <v>10</v>
      </c>
      <c r="I210" s="39" t="s">
        <v>12</v>
      </c>
      <c r="J210" s="39" t="s">
        <v>6838</v>
      </c>
      <c r="K210" s="39" t="s">
        <v>6839</v>
      </c>
      <c r="L210" s="39" t="s">
        <v>13</v>
      </c>
      <c r="M210" s="40" t="s">
        <v>11</v>
      </c>
      <c r="N210" s="39" t="s">
        <v>6840</v>
      </c>
      <c r="O210" s="39" t="s">
        <v>6841</v>
      </c>
      <c r="P210" s="40" t="s">
        <v>6836</v>
      </c>
      <c r="Q210" s="39" t="s">
        <v>6842</v>
      </c>
      <c r="R210" s="39" t="s">
        <v>6843</v>
      </c>
      <c r="S210" s="40" t="s">
        <v>6844</v>
      </c>
      <c r="T210" s="39" t="s">
        <v>6845</v>
      </c>
      <c r="U210" s="39" t="s">
        <v>6846</v>
      </c>
      <c r="V210" s="59" t="str">
        <f>+/-</f>
        <v>#ERROR!</v>
      </c>
      <c r="W210" s="59" t="str">
        <f>+/-90</f>
        <v>#ERROR!</v>
      </c>
      <c r="X210" s="39" t="s">
        <v>6847</v>
      </c>
      <c r="Y210" s="40" t="s">
        <v>23</v>
      </c>
    </row>
    <row r="211">
      <c r="A211" s="9">
        <v>201.0</v>
      </c>
      <c r="B211" s="10" t="s">
        <v>7648</v>
      </c>
      <c r="C211" s="11" t="s">
        <v>7649</v>
      </c>
      <c r="D211" s="12" t="s">
        <v>31</v>
      </c>
      <c r="E211" s="13" t="s">
        <v>7650</v>
      </c>
      <c r="F211" s="12">
        <v>18.0</v>
      </c>
      <c r="G211" s="12">
        <v>2007.0</v>
      </c>
      <c r="H211" s="14">
        <v>2.0</v>
      </c>
      <c r="I211" s="15">
        <v>18.0</v>
      </c>
      <c r="J211" s="15">
        <v>9.0</v>
      </c>
      <c r="K211" s="15">
        <v>0.5</v>
      </c>
      <c r="L211" s="15">
        <v>0.2</v>
      </c>
      <c r="M211" s="22">
        <v>0.0</v>
      </c>
      <c r="N211" s="36"/>
      <c r="O211" s="19">
        <v>0.0</v>
      </c>
      <c r="P211" s="17">
        <v>10.0</v>
      </c>
      <c r="Q211" s="15">
        <v>9.0</v>
      </c>
      <c r="R211" s="18">
        <v>60.0</v>
      </c>
      <c r="S211" s="14">
        <v>3.0</v>
      </c>
      <c r="T211" s="19">
        <v>0.0</v>
      </c>
      <c r="U211" s="19">
        <v>0.0</v>
      </c>
      <c r="V211" s="19">
        <v>0.0</v>
      </c>
      <c r="W211" s="21">
        <v>0.0</v>
      </c>
      <c r="X211" s="57">
        <v>-0.5</v>
      </c>
      <c r="Y211" s="20" t="s">
        <v>7651</v>
      </c>
    </row>
    <row r="212">
      <c r="A212" s="9">
        <v>202.0</v>
      </c>
      <c r="B212" s="10" t="s">
        <v>7652</v>
      </c>
      <c r="C212" s="11" t="s">
        <v>7653</v>
      </c>
      <c r="D212" s="12" t="s">
        <v>31</v>
      </c>
      <c r="E212" s="13" t="s">
        <v>7654</v>
      </c>
      <c r="F212" s="12">
        <v>25.0</v>
      </c>
      <c r="G212" s="12">
        <v>2000.0</v>
      </c>
      <c r="H212" s="14">
        <v>33.0</v>
      </c>
      <c r="I212" s="16">
        <v>2086.0</v>
      </c>
      <c r="J212" s="15">
        <v>63.0</v>
      </c>
      <c r="K212" s="15">
        <v>61.0</v>
      </c>
      <c r="L212" s="15">
        <v>23.2</v>
      </c>
      <c r="M212" s="17">
        <v>0.99</v>
      </c>
      <c r="N212" s="15">
        <v>83.0</v>
      </c>
      <c r="O212" s="18">
        <v>0.56</v>
      </c>
      <c r="P212" s="17">
        <v>0.43</v>
      </c>
      <c r="Q212" s="15">
        <v>17.0</v>
      </c>
      <c r="R212" s="18">
        <v>0.13</v>
      </c>
      <c r="S212" s="14">
        <v>2.0</v>
      </c>
      <c r="T212" s="18">
        <v>2.28</v>
      </c>
      <c r="U212" s="18">
        <v>0.82</v>
      </c>
      <c r="V212" s="54">
        <v>1.47</v>
      </c>
      <c r="W212" s="55">
        <f>+1.47</f>
        <v>1.47</v>
      </c>
      <c r="X212" s="55">
        <f>+0.93</f>
        <v>0.93</v>
      </c>
      <c r="Y212" s="20" t="s">
        <v>7655</v>
      </c>
    </row>
    <row r="213">
      <c r="A213" s="9">
        <v>203.0</v>
      </c>
      <c r="B213" s="10" t="s">
        <v>7656</v>
      </c>
      <c r="C213" s="11" t="s">
        <v>7657</v>
      </c>
      <c r="D213" s="12" t="s">
        <v>36</v>
      </c>
      <c r="E213" s="13" t="s">
        <v>7658</v>
      </c>
      <c r="F213" s="12">
        <v>24.0</v>
      </c>
      <c r="G213" s="12">
        <v>2000.0</v>
      </c>
      <c r="H213" s="14">
        <v>25.0</v>
      </c>
      <c r="I213" s="16">
        <v>1722.0</v>
      </c>
      <c r="J213" s="15">
        <v>69.0</v>
      </c>
      <c r="K213" s="15">
        <v>50.4</v>
      </c>
      <c r="L213" s="15">
        <v>19.1</v>
      </c>
      <c r="M213" s="17">
        <v>1.05</v>
      </c>
      <c r="N213" s="15">
        <v>80.0</v>
      </c>
      <c r="O213" s="18">
        <v>0.52</v>
      </c>
      <c r="P213" s="17">
        <v>0.26</v>
      </c>
      <c r="Q213" s="15">
        <v>26.0</v>
      </c>
      <c r="R213" s="18">
        <v>0.31</v>
      </c>
      <c r="S213" s="14">
        <v>1.52</v>
      </c>
      <c r="T213" s="18">
        <v>1.41</v>
      </c>
      <c r="U213" s="18">
        <v>1.26</v>
      </c>
      <c r="V213" s="54">
        <v>0.16</v>
      </c>
      <c r="W213" s="55">
        <f>+0.16</f>
        <v>0.16</v>
      </c>
      <c r="X213" s="21">
        <v>0.0</v>
      </c>
      <c r="Y213" s="20" t="s">
        <v>7659</v>
      </c>
    </row>
    <row r="214">
      <c r="A214" s="9">
        <v>204.0</v>
      </c>
      <c r="B214" s="10" t="s">
        <v>7660</v>
      </c>
      <c r="C214" s="11" t="s">
        <v>7661</v>
      </c>
      <c r="D214" s="12" t="s">
        <v>98</v>
      </c>
      <c r="E214" s="13" t="s">
        <v>7662</v>
      </c>
      <c r="F214" s="12">
        <v>37.0</v>
      </c>
      <c r="G214" s="12">
        <v>1988.0</v>
      </c>
      <c r="H214" s="23">
        <v>0.0</v>
      </c>
      <c r="I214" s="36"/>
      <c r="J214" s="36"/>
      <c r="K214" s="36"/>
      <c r="L214" s="36"/>
      <c r="M214" s="23">
        <v>0.0</v>
      </c>
      <c r="N214" s="36"/>
      <c r="O214" s="21">
        <v>0.0</v>
      </c>
      <c r="P214" s="23">
        <v>0.0</v>
      </c>
      <c r="Q214" s="36"/>
      <c r="R214" s="15">
        <v>4.0</v>
      </c>
      <c r="S214" s="58"/>
      <c r="T214" s="36"/>
      <c r="U214" s="36"/>
      <c r="V214" s="36"/>
      <c r="W214" s="36"/>
      <c r="X214" s="36"/>
      <c r="Y214" s="20" t="s">
        <v>7663</v>
      </c>
    </row>
    <row r="215">
      <c r="A215" s="9">
        <v>205.0</v>
      </c>
      <c r="B215" s="10" t="s">
        <v>7664</v>
      </c>
      <c r="C215" s="11" t="s">
        <v>7665</v>
      </c>
      <c r="D215" s="12" t="s">
        <v>107</v>
      </c>
      <c r="E215" s="13" t="s">
        <v>7666</v>
      </c>
      <c r="F215" s="12">
        <v>24.0</v>
      </c>
      <c r="G215" s="12">
        <v>2000.0</v>
      </c>
      <c r="H215" s="14">
        <v>26.0</v>
      </c>
      <c r="I215" s="16">
        <v>1371.0</v>
      </c>
      <c r="J215" s="15">
        <v>53.0</v>
      </c>
      <c r="K215" s="15">
        <v>40.1</v>
      </c>
      <c r="L215" s="15">
        <v>15.2</v>
      </c>
      <c r="M215" s="17">
        <v>0.99</v>
      </c>
      <c r="N215" s="15">
        <v>75.0</v>
      </c>
      <c r="O215" s="18">
        <v>0.2</v>
      </c>
      <c r="P215" s="17">
        <v>0.72</v>
      </c>
      <c r="Q215" s="15">
        <v>22.0</v>
      </c>
      <c r="R215" s="18">
        <v>0.13</v>
      </c>
      <c r="S215" s="14">
        <v>0.58</v>
      </c>
      <c r="T215" s="18">
        <v>0.72</v>
      </c>
      <c r="U215" s="18">
        <v>1.97</v>
      </c>
      <c r="V215" s="56">
        <v>-1.25</v>
      </c>
      <c r="W215" s="57">
        <v>-1.25</v>
      </c>
      <c r="X215" s="57">
        <v>-0.46</v>
      </c>
      <c r="Y215" s="20" t="s">
        <v>7667</v>
      </c>
    </row>
    <row r="216">
      <c r="A216" s="9">
        <v>206.0</v>
      </c>
      <c r="B216" s="10" t="s">
        <v>7668</v>
      </c>
      <c r="C216" s="11" t="s">
        <v>7669</v>
      </c>
      <c r="D216" s="12" t="s">
        <v>36</v>
      </c>
      <c r="E216" s="13" t="s">
        <v>7670</v>
      </c>
      <c r="F216" s="12">
        <v>20.0</v>
      </c>
      <c r="G216" s="12">
        <v>2005.0</v>
      </c>
      <c r="H216" s="14">
        <v>1.0</v>
      </c>
      <c r="I216" s="15">
        <v>3.0</v>
      </c>
      <c r="J216" s="15">
        <v>3.0</v>
      </c>
      <c r="K216" s="15">
        <v>0.1</v>
      </c>
      <c r="L216" s="21">
        <v>0.0</v>
      </c>
      <c r="M216" s="23">
        <v>0.0</v>
      </c>
      <c r="N216" s="36"/>
      <c r="O216" s="21">
        <v>0.0</v>
      </c>
      <c r="P216" s="14">
        <v>1.0</v>
      </c>
      <c r="Q216" s="15">
        <v>3.0</v>
      </c>
      <c r="R216" s="15">
        <v>10.0</v>
      </c>
      <c r="S216" s="14">
        <v>3.0</v>
      </c>
      <c r="T216" s="21">
        <v>0.0</v>
      </c>
      <c r="U216" s="21">
        <v>0.0</v>
      </c>
      <c r="V216" s="21">
        <v>0.0</v>
      </c>
      <c r="W216" s="21">
        <v>0.0</v>
      </c>
      <c r="X216" s="57">
        <v>-0.5</v>
      </c>
      <c r="Y216" s="20" t="s">
        <v>7671</v>
      </c>
    </row>
    <row r="217">
      <c r="A217" s="9">
        <v>207.0</v>
      </c>
      <c r="B217" s="10" t="s">
        <v>7672</v>
      </c>
      <c r="C217" s="11" t="s">
        <v>7673</v>
      </c>
      <c r="D217" s="12" t="s">
        <v>345</v>
      </c>
      <c r="E217" s="13" t="s">
        <v>7674</v>
      </c>
      <c r="F217" s="12">
        <v>24.0</v>
      </c>
      <c r="G217" s="12">
        <v>2000.0</v>
      </c>
      <c r="H217" s="14">
        <v>21.0</v>
      </c>
      <c r="I217" s="16">
        <v>1040.0</v>
      </c>
      <c r="J217" s="15">
        <v>50.0</v>
      </c>
      <c r="K217" s="15">
        <v>30.4</v>
      </c>
      <c r="L217" s="15">
        <v>11.6</v>
      </c>
      <c r="M217" s="17">
        <v>1.03</v>
      </c>
      <c r="N217" s="15">
        <v>75.0</v>
      </c>
      <c r="O217" s="18">
        <v>0.34</v>
      </c>
      <c r="P217" s="17">
        <v>0.78</v>
      </c>
      <c r="Q217" s="15">
        <v>16.0</v>
      </c>
      <c r="R217" s="18">
        <v>0.17</v>
      </c>
      <c r="S217" s="14">
        <v>1.48</v>
      </c>
      <c r="T217" s="18">
        <v>1.72</v>
      </c>
      <c r="U217" s="18">
        <v>1.12</v>
      </c>
      <c r="V217" s="54">
        <v>0.6</v>
      </c>
      <c r="W217" s="55">
        <f>+0.61</f>
        <v>0.61</v>
      </c>
      <c r="X217" s="55">
        <f>+0.49</f>
        <v>0.49</v>
      </c>
      <c r="Y217" s="20" t="s">
        <v>7675</v>
      </c>
    </row>
    <row r="218">
      <c r="A218" s="9">
        <v>208.0</v>
      </c>
      <c r="B218" s="10" t="s">
        <v>7676</v>
      </c>
      <c r="C218" s="11" t="s">
        <v>7677</v>
      </c>
      <c r="D218" s="12" t="s">
        <v>36</v>
      </c>
      <c r="E218" s="13" t="s">
        <v>7678</v>
      </c>
      <c r="F218" s="12">
        <v>21.0</v>
      </c>
      <c r="G218" s="12">
        <v>2003.0</v>
      </c>
      <c r="H218" s="23">
        <v>0.0</v>
      </c>
      <c r="I218" s="36"/>
      <c r="J218" s="36"/>
      <c r="K218" s="36"/>
      <c r="L218" s="36"/>
      <c r="M218" s="23">
        <v>0.0</v>
      </c>
      <c r="N218" s="36"/>
      <c r="O218" s="21">
        <v>0.0</v>
      </c>
      <c r="P218" s="23">
        <v>0.0</v>
      </c>
      <c r="Q218" s="36"/>
      <c r="R218" s="15">
        <v>5.0</v>
      </c>
      <c r="S218" s="58"/>
      <c r="T218" s="36"/>
      <c r="U218" s="36"/>
      <c r="V218" s="36"/>
      <c r="W218" s="36"/>
      <c r="X218" s="36"/>
      <c r="Y218" s="20" t="s">
        <v>7679</v>
      </c>
    </row>
    <row r="219">
      <c r="A219" s="9">
        <v>209.0</v>
      </c>
      <c r="B219" s="10" t="s">
        <v>7680</v>
      </c>
      <c r="C219" s="11" t="s">
        <v>7681</v>
      </c>
      <c r="D219" s="12" t="s">
        <v>41</v>
      </c>
      <c r="E219" s="13" t="s">
        <v>7682</v>
      </c>
      <c r="F219" s="12">
        <v>32.0</v>
      </c>
      <c r="G219" s="12">
        <v>1993.0</v>
      </c>
      <c r="H219" s="14">
        <v>8.0</v>
      </c>
      <c r="I219" s="15">
        <v>409.0</v>
      </c>
      <c r="J219" s="15">
        <v>51.0</v>
      </c>
      <c r="K219" s="15">
        <v>12.0</v>
      </c>
      <c r="L219" s="15">
        <v>4.5</v>
      </c>
      <c r="M219" s="17">
        <v>1.11</v>
      </c>
      <c r="N219" s="15">
        <v>69.0</v>
      </c>
      <c r="O219" s="18">
        <v>0.22</v>
      </c>
      <c r="P219" s="17">
        <v>0.67</v>
      </c>
      <c r="Q219" s="15">
        <v>21.0</v>
      </c>
      <c r="R219" s="18">
        <v>0.44</v>
      </c>
      <c r="S219" s="14">
        <v>0.63</v>
      </c>
      <c r="T219" s="18">
        <v>0.44</v>
      </c>
      <c r="U219" s="18">
        <v>2.44</v>
      </c>
      <c r="V219" s="56">
        <v>-2.0</v>
      </c>
      <c r="W219" s="57">
        <v>-1.98</v>
      </c>
      <c r="X219" s="57">
        <v>-1.68</v>
      </c>
      <c r="Y219" s="20" t="s">
        <v>7683</v>
      </c>
    </row>
    <row r="220">
      <c r="A220" s="9">
        <v>210.0</v>
      </c>
      <c r="B220" s="10" t="s">
        <v>7684</v>
      </c>
      <c r="C220" s="11" t="s">
        <v>7685</v>
      </c>
      <c r="D220" s="12" t="s">
        <v>41</v>
      </c>
      <c r="E220" s="13" t="s">
        <v>7686</v>
      </c>
      <c r="F220" s="12">
        <v>18.0</v>
      </c>
      <c r="G220" s="12">
        <v>2007.0</v>
      </c>
      <c r="H220" s="14">
        <v>1.0</v>
      </c>
      <c r="I220" s="15">
        <v>1.0</v>
      </c>
      <c r="J220" s="15">
        <v>1.0</v>
      </c>
      <c r="K220" s="21">
        <v>0.0</v>
      </c>
      <c r="L220" s="21">
        <v>0.0</v>
      </c>
      <c r="M220" s="23">
        <v>0.0</v>
      </c>
      <c r="N220" s="36"/>
      <c r="O220" s="21">
        <v>0.0</v>
      </c>
      <c r="P220" s="14">
        <v>1.0</v>
      </c>
      <c r="Q220" s="15">
        <v>1.0</v>
      </c>
      <c r="R220" s="15">
        <v>12.0</v>
      </c>
      <c r="S220" s="14">
        <v>3.0</v>
      </c>
      <c r="T220" s="21">
        <v>0.0</v>
      </c>
      <c r="U220" s="21">
        <v>0.0</v>
      </c>
      <c r="V220" s="21">
        <v>0.0</v>
      </c>
      <c r="W220" s="21">
        <v>0.0</v>
      </c>
      <c r="X220" s="57">
        <v>-0.08</v>
      </c>
      <c r="Y220" s="20" t="s">
        <v>7687</v>
      </c>
    </row>
    <row r="221">
      <c r="A221" s="9">
        <v>211.0</v>
      </c>
      <c r="B221" s="10" t="s">
        <v>7688</v>
      </c>
      <c r="C221" s="11" t="s">
        <v>7689</v>
      </c>
      <c r="D221" s="12" t="s">
        <v>26</v>
      </c>
      <c r="E221" s="13" t="s">
        <v>7690</v>
      </c>
      <c r="F221" s="12">
        <v>26.0</v>
      </c>
      <c r="G221" s="12">
        <v>1999.0</v>
      </c>
      <c r="H221" s="14">
        <v>36.0</v>
      </c>
      <c r="I221" s="16">
        <v>2737.0</v>
      </c>
      <c r="J221" s="15">
        <v>76.0</v>
      </c>
      <c r="K221" s="15">
        <v>80.0</v>
      </c>
      <c r="L221" s="15">
        <v>30.4</v>
      </c>
      <c r="M221" s="17">
        <v>1.05</v>
      </c>
      <c r="N221" s="15">
        <v>82.0</v>
      </c>
      <c r="O221" s="18">
        <v>0.53</v>
      </c>
      <c r="P221" s="17">
        <v>0.13</v>
      </c>
      <c r="Q221" s="15">
        <v>28.0</v>
      </c>
      <c r="R221" s="19">
        <v>0.0</v>
      </c>
      <c r="S221" s="14">
        <v>1.5</v>
      </c>
      <c r="T221" s="18">
        <v>1.58</v>
      </c>
      <c r="U221" s="18">
        <v>1.28</v>
      </c>
      <c r="V221" s="54">
        <v>0.3</v>
      </c>
      <c r="W221" s="55">
        <f>+0.3</f>
        <v>0.3</v>
      </c>
      <c r="X221" s="55">
        <f>+0.16</f>
        <v>0.16</v>
      </c>
      <c r="Y221" s="20" t="s">
        <v>7691</v>
      </c>
    </row>
    <row r="222">
      <c r="A222" s="9">
        <v>212.0</v>
      </c>
      <c r="B222" s="10" t="s">
        <v>7692</v>
      </c>
      <c r="C222" s="11" t="s">
        <v>7693</v>
      </c>
      <c r="D222" s="12" t="s">
        <v>31</v>
      </c>
      <c r="E222" s="13" t="s">
        <v>7694</v>
      </c>
      <c r="F222" s="12">
        <v>25.0</v>
      </c>
      <c r="G222" s="12">
        <v>2000.0</v>
      </c>
      <c r="H222" s="14">
        <v>16.0</v>
      </c>
      <c r="I222" s="16">
        <v>1184.0</v>
      </c>
      <c r="J222" s="15">
        <v>74.0</v>
      </c>
      <c r="K222" s="15">
        <v>34.6</v>
      </c>
      <c r="L222" s="15">
        <v>13.2</v>
      </c>
      <c r="M222" s="17">
        <v>1.06</v>
      </c>
      <c r="N222" s="15">
        <v>81.0</v>
      </c>
      <c r="O222" s="18">
        <v>0.38</v>
      </c>
      <c r="P222" s="17">
        <v>0.15</v>
      </c>
      <c r="Q222" s="15">
        <v>28.0</v>
      </c>
      <c r="R222" s="19">
        <v>0.0</v>
      </c>
      <c r="S222" s="14">
        <v>0.81</v>
      </c>
      <c r="T222" s="18">
        <v>0.98</v>
      </c>
      <c r="U222" s="18">
        <v>1.74</v>
      </c>
      <c r="V222" s="56">
        <v>-0.76</v>
      </c>
      <c r="W222" s="57">
        <v>-0.76</v>
      </c>
      <c r="X222" s="57">
        <v>-0.8</v>
      </c>
      <c r="Y222" s="20" t="s">
        <v>7695</v>
      </c>
    </row>
    <row r="223">
      <c r="A223" s="9">
        <v>213.0</v>
      </c>
      <c r="B223" s="10" t="s">
        <v>7696</v>
      </c>
      <c r="C223" s="11" t="s">
        <v>7697</v>
      </c>
      <c r="D223" s="12" t="s">
        <v>31</v>
      </c>
      <c r="E223" s="13" t="s">
        <v>7698</v>
      </c>
      <c r="F223" s="12">
        <v>35.0</v>
      </c>
      <c r="G223" s="12">
        <v>1989.0</v>
      </c>
      <c r="H223" s="14">
        <v>25.0</v>
      </c>
      <c r="I223" s="16">
        <v>2093.0</v>
      </c>
      <c r="J223" s="15">
        <v>84.0</v>
      </c>
      <c r="K223" s="15">
        <v>61.2</v>
      </c>
      <c r="L223" s="15">
        <v>23.3</v>
      </c>
      <c r="M223" s="17">
        <v>1.07</v>
      </c>
      <c r="N223" s="15">
        <v>84.0</v>
      </c>
      <c r="O223" s="18">
        <v>0.69</v>
      </c>
      <c r="P223" s="22">
        <v>0.0</v>
      </c>
      <c r="Q223" s="36"/>
      <c r="R223" s="19">
        <v>0.0</v>
      </c>
      <c r="S223" s="14">
        <v>1.32</v>
      </c>
      <c r="T223" s="18">
        <v>1.12</v>
      </c>
      <c r="U223" s="18">
        <v>1.12</v>
      </c>
      <c r="V223" s="19">
        <v>0.0</v>
      </c>
      <c r="W223" s="21">
        <v>0.0</v>
      </c>
      <c r="X223" s="55">
        <f>+0.2</f>
        <v>0.2</v>
      </c>
      <c r="Y223" s="20" t="s">
        <v>7699</v>
      </c>
    </row>
    <row r="224">
      <c r="A224" s="9">
        <v>214.0</v>
      </c>
      <c r="B224" s="10" t="s">
        <v>7700</v>
      </c>
      <c r="C224" s="11" t="s">
        <v>7701</v>
      </c>
      <c r="D224" s="12" t="s">
        <v>31</v>
      </c>
      <c r="E224" s="13" t="s">
        <v>7702</v>
      </c>
      <c r="F224" s="12">
        <v>19.0</v>
      </c>
      <c r="G224" s="12">
        <v>2005.0</v>
      </c>
      <c r="H224" s="14">
        <v>8.0</v>
      </c>
      <c r="I224" s="15">
        <v>113.0</v>
      </c>
      <c r="J224" s="15">
        <v>14.0</v>
      </c>
      <c r="K224" s="15">
        <v>3.3</v>
      </c>
      <c r="L224" s="15">
        <v>1.3</v>
      </c>
      <c r="M224" s="22">
        <v>0.0</v>
      </c>
      <c r="N224" s="36"/>
      <c r="O224" s="19">
        <v>0.0</v>
      </c>
      <c r="P224" s="17">
        <v>6.15</v>
      </c>
      <c r="Q224" s="15">
        <v>14.0</v>
      </c>
      <c r="R224" s="18">
        <v>8.46</v>
      </c>
      <c r="S224" s="14">
        <v>1.63</v>
      </c>
      <c r="T224" s="18">
        <v>3.85</v>
      </c>
      <c r="U224" s="18">
        <v>0.77</v>
      </c>
      <c r="V224" s="54">
        <v>3.08</v>
      </c>
      <c r="W224" s="55">
        <f t="shared" ref="W224:X224" si="4">+3.19</f>
        <v>3.19</v>
      </c>
      <c r="X224" s="55">
        <f t="shared" si="4"/>
        <v>3.19</v>
      </c>
      <c r="Y224" s="20" t="s">
        <v>7703</v>
      </c>
    </row>
    <row r="225">
      <c r="A225" s="9">
        <v>215.0</v>
      </c>
      <c r="B225" s="10" t="s">
        <v>7704</v>
      </c>
      <c r="C225" s="11" t="s">
        <v>7705</v>
      </c>
      <c r="D225" s="12" t="s">
        <v>36</v>
      </c>
      <c r="E225" s="13" t="s">
        <v>7706</v>
      </c>
      <c r="F225" s="12">
        <v>22.0</v>
      </c>
      <c r="G225" s="12">
        <v>2003.0</v>
      </c>
      <c r="H225" s="14">
        <v>6.0</v>
      </c>
      <c r="I225" s="15">
        <v>86.0</v>
      </c>
      <c r="J225" s="15">
        <v>14.0</v>
      </c>
      <c r="K225" s="15">
        <v>2.5</v>
      </c>
      <c r="L225" s="15">
        <v>1.0</v>
      </c>
      <c r="M225" s="17">
        <v>1.0</v>
      </c>
      <c r="N225" s="15">
        <v>45.0</v>
      </c>
      <c r="O225" s="19">
        <v>0.0</v>
      </c>
      <c r="P225" s="17">
        <v>5.0</v>
      </c>
      <c r="Q225" s="15">
        <v>8.0</v>
      </c>
      <c r="R225" s="18">
        <v>9.0</v>
      </c>
      <c r="S225" s="14">
        <v>1.33</v>
      </c>
      <c r="T225" s="18">
        <v>2.0</v>
      </c>
      <c r="U225" s="18">
        <v>3.0</v>
      </c>
      <c r="V225" s="56">
        <v>-1.0</v>
      </c>
      <c r="W225" s="57">
        <v>-1.05</v>
      </c>
      <c r="X225" s="57">
        <v>-1.26</v>
      </c>
      <c r="Y225" s="20" t="s">
        <v>7707</v>
      </c>
    </row>
    <row r="226">
      <c r="A226" s="9">
        <v>216.0</v>
      </c>
      <c r="B226" s="10" t="s">
        <v>7708</v>
      </c>
      <c r="C226" s="11" t="s">
        <v>7709</v>
      </c>
      <c r="D226" s="12" t="s">
        <v>31</v>
      </c>
      <c r="E226" s="13" t="s">
        <v>7710</v>
      </c>
      <c r="F226" s="12">
        <v>21.0</v>
      </c>
      <c r="G226" s="12">
        <v>2004.0</v>
      </c>
      <c r="H226" s="14">
        <v>24.0</v>
      </c>
      <c r="I226" s="16">
        <v>1268.0</v>
      </c>
      <c r="J226" s="15">
        <v>53.0</v>
      </c>
      <c r="K226" s="15">
        <v>37.1</v>
      </c>
      <c r="L226" s="15">
        <v>14.1</v>
      </c>
      <c r="M226" s="17">
        <v>0.99</v>
      </c>
      <c r="N226" s="15">
        <v>68.0</v>
      </c>
      <c r="O226" s="18">
        <v>0.28</v>
      </c>
      <c r="P226" s="17">
        <v>0.71</v>
      </c>
      <c r="Q226" s="15">
        <v>31.0</v>
      </c>
      <c r="R226" s="18">
        <v>0.64</v>
      </c>
      <c r="S226" s="14">
        <v>1.46</v>
      </c>
      <c r="T226" s="18">
        <v>1.42</v>
      </c>
      <c r="U226" s="18">
        <v>1.42</v>
      </c>
      <c r="V226" s="19">
        <v>0.0</v>
      </c>
      <c r="W226" s="21">
        <v>0.0</v>
      </c>
      <c r="X226" s="57">
        <v>-0.25</v>
      </c>
      <c r="Y226" s="20" t="s">
        <v>7711</v>
      </c>
    </row>
    <row r="227">
      <c r="A227" s="9">
        <v>217.0</v>
      </c>
      <c r="B227" s="10" t="s">
        <v>7712</v>
      </c>
      <c r="C227" s="11" t="s">
        <v>7713</v>
      </c>
      <c r="D227" s="12" t="s">
        <v>264</v>
      </c>
      <c r="E227" s="13" t="s">
        <v>7714</v>
      </c>
      <c r="F227" s="12">
        <v>24.0</v>
      </c>
      <c r="G227" s="12">
        <v>2001.0</v>
      </c>
      <c r="H227" s="14">
        <v>38.0</v>
      </c>
      <c r="I227" s="16">
        <v>3413.0</v>
      </c>
      <c r="J227" s="15">
        <v>90.0</v>
      </c>
      <c r="K227" s="15">
        <v>99.8</v>
      </c>
      <c r="L227" s="15">
        <v>37.9</v>
      </c>
      <c r="M227" s="17">
        <v>1.0</v>
      </c>
      <c r="N227" s="15">
        <v>90.0</v>
      </c>
      <c r="O227" s="18">
        <v>0.98</v>
      </c>
      <c r="P227" s="22">
        <v>0.0</v>
      </c>
      <c r="Q227" s="36"/>
      <c r="R227" s="19">
        <v>0.0</v>
      </c>
      <c r="S227" s="14">
        <v>1.29</v>
      </c>
      <c r="T227" s="18">
        <v>1.24</v>
      </c>
      <c r="U227" s="18">
        <v>1.32</v>
      </c>
      <c r="V227" s="56">
        <v>-0.08</v>
      </c>
      <c r="W227" s="57">
        <v>-0.08</v>
      </c>
      <c r="X227" s="57">
        <v>-0.08</v>
      </c>
      <c r="Y227" s="20" t="s">
        <v>7715</v>
      </c>
    </row>
    <row r="228">
      <c r="A228" s="9">
        <v>218.0</v>
      </c>
      <c r="B228" s="10" t="s">
        <v>7716</v>
      </c>
      <c r="C228" s="11" t="s">
        <v>7717</v>
      </c>
      <c r="D228" s="12" t="s">
        <v>345</v>
      </c>
      <c r="E228" s="13" t="s">
        <v>7718</v>
      </c>
      <c r="F228" s="12">
        <v>25.0</v>
      </c>
      <c r="G228" s="12">
        <v>2000.0</v>
      </c>
      <c r="H228" s="14">
        <v>28.0</v>
      </c>
      <c r="I228" s="16">
        <v>1693.0</v>
      </c>
      <c r="J228" s="15">
        <v>60.0</v>
      </c>
      <c r="K228" s="15">
        <v>49.5</v>
      </c>
      <c r="L228" s="15">
        <v>18.8</v>
      </c>
      <c r="M228" s="17">
        <v>0.9</v>
      </c>
      <c r="N228" s="15">
        <v>87.0</v>
      </c>
      <c r="O228" s="18">
        <v>0.74</v>
      </c>
      <c r="P228" s="17">
        <v>0.59</v>
      </c>
      <c r="Q228" s="15">
        <v>20.0</v>
      </c>
      <c r="R228" s="18">
        <v>0.37</v>
      </c>
      <c r="S228" s="14">
        <v>1.36</v>
      </c>
      <c r="T228" s="18">
        <v>0.85</v>
      </c>
      <c r="U228" s="18">
        <v>1.22</v>
      </c>
      <c r="V228" s="56">
        <v>-0.37</v>
      </c>
      <c r="W228" s="57">
        <v>-0.37</v>
      </c>
      <c r="X228" s="57">
        <v>-0.42</v>
      </c>
      <c r="Y228" s="20" t="s">
        <v>7719</v>
      </c>
    </row>
    <row r="229">
      <c r="A229" s="9">
        <v>219.0</v>
      </c>
      <c r="B229" s="10" t="s">
        <v>7720</v>
      </c>
      <c r="C229" s="11" t="s">
        <v>7721</v>
      </c>
      <c r="D229" s="12" t="s">
        <v>41</v>
      </c>
      <c r="E229" s="13" t="s">
        <v>7722</v>
      </c>
      <c r="F229" s="12">
        <v>19.0</v>
      </c>
      <c r="G229" s="12">
        <v>2006.0</v>
      </c>
      <c r="H229" s="14">
        <v>4.0</v>
      </c>
      <c r="I229" s="15">
        <v>145.0</v>
      </c>
      <c r="J229" s="15">
        <v>36.0</v>
      </c>
      <c r="K229" s="15">
        <v>4.2</v>
      </c>
      <c r="L229" s="15">
        <v>1.6</v>
      </c>
      <c r="M229" s="22">
        <v>0.0</v>
      </c>
      <c r="N229" s="36"/>
      <c r="O229" s="19">
        <v>0.0</v>
      </c>
      <c r="P229" s="17">
        <v>2.5</v>
      </c>
      <c r="Q229" s="15">
        <v>36.0</v>
      </c>
      <c r="R229" s="18">
        <v>2.5</v>
      </c>
      <c r="S229" s="14">
        <v>1.0</v>
      </c>
      <c r="T229" s="18">
        <v>3.13</v>
      </c>
      <c r="U229" s="18">
        <v>1.25</v>
      </c>
      <c r="V229" s="54">
        <v>1.88</v>
      </c>
      <c r="W229" s="55">
        <f>+1.86</f>
        <v>1.86</v>
      </c>
      <c r="X229" s="55">
        <f>+1.78</f>
        <v>1.78</v>
      </c>
      <c r="Y229" s="20" t="s">
        <v>7723</v>
      </c>
    </row>
    <row r="230">
      <c r="A230" s="9">
        <v>220.0</v>
      </c>
      <c r="B230" s="10" t="s">
        <v>7724</v>
      </c>
      <c r="C230" s="11" t="s">
        <v>7725</v>
      </c>
      <c r="D230" s="12" t="s">
        <v>31</v>
      </c>
      <c r="E230" s="13" t="s">
        <v>7726</v>
      </c>
      <c r="F230" s="12">
        <v>19.0</v>
      </c>
      <c r="G230" s="12">
        <v>2006.0</v>
      </c>
      <c r="H230" s="14">
        <v>11.0</v>
      </c>
      <c r="I230" s="15">
        <v>218.0</v>
      </c>
      <c r="J230" s="15">
        <v>20.0</v>
      </c>
      <c r="K230" s="15">
        <v>6.4</v>
      </c>
      <c r="L230" s="15">
        <v>2.4</v>
      </c>
      <c r="M230" s="17">
        <v>0.42</v>
      </c>
      <c r="N230" s="15">
        <v>61.0</v>
      </c>
      <c r="O230" s="19">
        <v>0.0</v>
      </c>
      <c r="P230" s="17">
        <v>4.17</v>
      </c>
      <c r="Q230" s="15">
        <v>16.0</v>
      </c>
      <c r="R230" s="18">
        <v>0.83</v>
      </c>
      <c r="S230" s="14">
        <v>0.73</v>
      </c>
      <c r="T230" s="18">
        <v>2.08</v>
      </c>
      <c r="U230" s="18">
        <v>2.92</v>
      </c>
      <c r="V230" s="56">
        <v>-0.83</v>
      </c>
      <c r="W230" s="57">
        <v>-0.83</v>
      </c>
      <c r="X230" s="57">
        <v>-0.8</v>
      </c>
      <c r="Y230" s="20" t="s">
        <v>7727</v>
      </c>
    </row>
    <row r="231">
      <c r="A231" s="9">
        <v>221.0</v>
      </c>
      <c r="B231" s="10" t="s">
        <v>7728</v>
      </c>
      <c r="C231" s="11" t="s">
        <v>7729</v>
      </c>
      <c r="D231" s="12" t="s">
        <v>31</v>
      </c>
      <c r="E231" s="13" t="s">
        <v>7730</v>
      </c>
      <c r="F231" s="12">
        <v>25.0</v>
      </c>
      <c r="G231" s="12">
        <v>2000.0</v>
      </c>
      <c r="H231" s="14">
        <v>37.0</v>
      </c>
      <c r="I231" s="16">
        <v>3097.0</v>
      </c>
      <c r="J231" s="15">
        <v>84.0</v>
      </c>
      <c r="K231" s="15">
        <v>90.6</v>
      </c>
      <c r="L231" s="15">
        <v>34.4</v>
      </c>
      <c r="M231" s="17">
        <v>1.02</v>
      </c>
      <c r="N231" s="15">
        <v>87.0</v>
      </c>
      <c r="O231" s="18">
        <v>0.58</v>
      </c>
      <c r="P231" s="17">
        <v>0.06</v>
      </c>
      <c r="Q231" s="15">
        <v>33.0</v>
      </c>
      <c r="R231" s="19">
        <v>0.0</v>
      </c>
      <c r="S231" s="14">
        <v>1.16</v>
      </c>
      <c r="T231" s="18">
        <v>1.22</v>
      </c>
      <c r="U231" s="18">
        <v>1.31</v>
      </c>
      <c r="V231" s="56">
        <v>-0.09</v>
      </c>
      <c r="W231" s="57">
        <v>-0.09</v>
      </c>
      <c r="X231" s="57">
        <v>-0.09</v>
      </c>
      <c r="Y231" s="20" t="s">
        <v>7731</v>
      </c>
    </row>
    <row r="232">
      <c r="A232" s="9">
        <v>222.0</v>
      </c>
      <c r="B232" s="10" t="s">
        <v>7732</v>
      </c>
      <c r="C232" s="11" t="s">
        <v>7733</v>
      </c>
      <c r="D232" s="12" t="s">
        <v>31</v>
      </c>
      <c r="E232" s="13" t="s">
        <v>7734</v>
      </c>
      <c r="F232" s="12">
        <v>20.0</v>
      </c>
      <c r="G232" s="12">
        <v>2004.0</v>
      </c>
      <c r="H232" s="14">
        <v>16.0</v>
      </c>
      <c r="I232" s="15">
        <v>495.0</v>
      </c>
      <c r="J232" s="15">
        <v>31.0</v>
      </c>
      <c r="K232" s="15">
        <v>14.5</v>
      </c>
      <c r="L232" s="15">
        <v>5.5</v>
      </c>
      <c r="M232" s="17">
        <v>0.91</v>
      </c>
      <c r="N232" s="15">
        <v>57.0</v>
      </c>
      <c r="O232" s="18">
        <v>0.18</v>
      </c>
      <c r="P232" s="17">
        <v>2.0</v>
      </c>
      <c r="Q232" s="15">
        <v>19.0</v>
      </c>
      <c r="R232" s="18">
        <v>1.09</v>
      </c>
      <c r="S232" s="14">
        <v>2.06</v>
      </c>
      <c r="T232" s="18">
        <v>1.27</v>
      </c>
      <c r="U232" s="18">
        <v>1.27</v>
      </c>
      <c r="V232" s="19">
        <v>0.0</v>
      </c>
      <c r="W232" s="21">
        <v>0.0</v>
      </c>
      <c r="X232" s="57">
        <v>-0.18</v>
      </c>
      <c r="Y232" s="20" t="s">
        <v>7735</v>
      </c>
    </row>
    <row r="233">
      <c r="A233" s="9">
        <v>223.0</v>
      </c>
      <c r="B233" s="10" t="s">
        <v>7736</v>
      </c>
      <c r="C233" s="11" t="s">
        <v>7737</v>
      </c>
      <c r="D233" s="12" t="s">
        <v>41</v>
      </c>
      <c r="E233" s="13" t="s">
        <v>7738</v>
      </c>
      <c r="F233" s="12">
        <v>21.0</v>
      </c>
      <c r="G233" s="12">
        <v>2003.0</v>
      </c>
      <c r="H233" s="14">
        <v>23.0</v>
      </c>
      <c r="I233" s="15">
        <v>537.0</v>
      </c>
      <c r="J233" s="15">
        <v>23.0</v>
      </c>
      <c r="K233" s="15">
        <v>15.7</v>
      </c>
      <c r="L233" s="15">
        <v>6.0</v>
      </c>
      <c r="M233" s="17">
        <v>0.67</v>
      </c>
      <c r="N233" s="15">
        <v>59.0</v>
      </c>
      <c r="O233" s="19">
        <v>0.0</v>
      </c>
      <c r="P233" s="17">
        <v>3.17</v>
      </c>
      <c r="Q233" s="15">
        <v>16.0</v>
      </c>
      <c r="R233" s="18">
        <v>1.33</v>
      </c>
      <c r="S233" s="14">
        <v>1.22</v>
      </c>
      <c r="T233" s="18">
        <v>1.83</v>
      </c>
      <c r="U233" s="18">
        <v>2.33</v>
      </c>
      <c r="V233" s="56">
        <v>-0.5</v>
      </c>
      <c r="W233" s="57">
        <v>-0.5</v>
      </c>
      <c r="X233" s="57">
        <v>-0.38</v>
      </c>
      <c r="Y233" s="20" t="s">
        <v>7739</v>
      </c>
    </row>
    <row r="234">
      <c r="A234" s="9">
        <v>224.0</v>
      </c>
      <c r="B234" s="10" t="s">
        <v>7740</v>
      </c>
      <c r="C234" s="11" t="s">
        <v>7741</v>
      </c>
      <c r="D234" s="12" t="s">
        <v>36</v>
      </c>
      <c r="E234" s="13" t="s">
        <v>7742</v>
      </c>
      <c r="F234" s="12">
        <v>17.0</v>
      </c>
      <c r="G234" s="12">
        <v>2007.0</v>
      </c>
      <c r="H234" s="23">
        <v>0.0</v>
      </c>
      <c r="I234" s="36"/>
      <c r="J234" s="36"/>
      <c r="K234" s="36"/>
      <c r="L234" s="36"/>
      <c r="M234" s="23">
        <v>0.0</v>
      </c>
      <c r="N234" s="36"/>
      <c r="O234" s="21">
        <v>0.0</v>
      </c>
      <c r="P234" s="23">
        <v>0.0</v>
      </c>
      <c r="Q234" s="36"/>
      <c r="R234" s="15">
        <v>4.0</v>
      </c>
      <c r="S234" s="58"/>
      <c r="T234" s="36"/>
      <c r="U234" s="36"/>
      <c r="V234" s="36"/>
      <c r="W234" s="36"/>
      <c r="X234" s="36"/>
      <c r="Y234" s="20" t="s">
        <v>7743</v>
      </c>
    </row>
    <row r="235">
      <c r="A235" s="9">
        <v>225.0</v>
      </c>
      <c r="B235" s="10" t="s">
        <v>7744</v>
      </c>
      <c r="C235" s="11" t="s">
        <v>7745</v>
      </c>
      <c r="D235" s="12" t="s">
        <v>26</v>
      </c>
      <c r="E235" s="13" t="s">
        <v>7746</v>
      </c>
      <c r="F235" s="12">
        <v>24.0</v>
      </c>
      <c r="G235" s="12">
        <v>2000.0</v>
      </c>
      <c r="H235" s="14">
        <v>12.0</v>
      </c>
      <c r="I235" s="15">
        <v>461.0</v>
      </c>
      <c r="J235" s="15">
        <v>38.0</v>
      </c>
      <c r="K235" s="15">
        <v>13.5</v>
      </c>
      <c r="L235" s="15">
        <v>5.1</v>
      </c>
      <c r="M235" s="17">
        <v>1.37</v>
      </c>
      <c r="N235" s="15">
        <v>57.0</v>
      </c>
      <c r="O235" s="19">
        <v>0.0</v>
      </c>
      <c r="P235" s="17">
        <v>0.98</v>
      </c>
      <c r="Q235" s="15">
        <v>13.0</v>
      </c>
      <c r="R235" s="18">
        <v>0.39</v>
      </c>
      <c r="S235" s="14">
        <v>0.92</v>
      </c>
      <c r="T235" s="18">
        <v>0.78</v>
      </c>
      <c r="U235" s="18">
        <v>1.57</v>
      </c>
      <c r="V235" s="56">
        <v>-0.78</v>
      </c>
      <c r="W235" s="57">
        <v>-0.78</v>
      </c>
      <c r="X235" s="55">
        <f>+0.34</f>
        <v>0.34</v>
      </c>
      <c r="Y235" s="20" t="s">
        <v>7747</v>
      </c>
    </row>
    <row r="236">
      <c r="A236" s="37" t="s">
        <v>3</v>
      </c>
      <c r="B236" s="38" t="s">
        <v>4</v>
      </c>
      <c r="C236" s="39" t="s">
        <v>5</v>
      </c>
      <c r="D236" s="39" t="s">
        <v>6</v>
      </c>
      <c r="E236" s="39" t="s">
        <v>7</v>
      </c>
      <c r="F236" s="39" t="s">
        <v>8</v>
      </c>
      <c r="G236" s="39" t="s">
        <v>9</v>
      </c>
      <c r="H236" s="40" t="s">
        <v>10</v>
      </c>
      <c r="I236" s="39" t="s">
        <v>12</v>
      </c>
      <c r="J236" s="39" t="s">
        <v>6838</v>
      </c>
      <c r="K236" s="39" t="s">
        <v>6839</v>
      </c>
      <c r="L236" s="39" t="s">
        <v>13</v>
      </c>
      <c r="M236" s="40" t="s">
        <v>11</v>
      </c>
      <c r="N236" s="39" t="s">
        <v>6840</v>
      </c>
      <c r="O236" s="39" t="s">
        <v>6841</v>
      </c>
      <c r="P236" s="40" t="s">
        <v>6836</v>
      </c>
      <c r="Q236" s="39" t="s">
        <v>6842</v>
      </c>
      <c r="R236" s="39" t="s">
        <v>6843</v>
      </c>
      <c r="S236" s="40" t="s">
        <v>6844</v>
      </c>
      <c r="T236" s="39" t="s">
        <v>6845</v>
      </c>
      <c r="U236" s="39" t="s">
        <v>6846</v>
      </c>
      <c r="V236" s="59" t="str">
        <f>+/-</f>
        <v>#ERROR!</v>
      </c>
      <c r="W236" s="59" t="str">
        <f>+/-90</f>
        <v>#ERROR!</v>
      </c>
      <c r="X236" s="39" t="s">
        <v>6847</v>
      </c>
      <c r="Y236" s="40" t="s">
        <v>23</v>
      </c>
    </row>
    <row r="237">
      <c r="A237" s="9">
        <v>226.0</v>
      </c>
      <c r="B237" s="10" t="s">
        <v>7748</v>
      </c>
      <c r="C237" s="11" t="s">
        <v>7749</v>
      </c>
      <c r="D237" s="12" t="s">
        <v>31</v>
      </c>
      <c r="E237" s="13" t="s">
        <v>7750</v>
      </c>
      <c r="F237" s="12">
        <v>24.0</v>
      </c>
      <c r="G237" s="12">
        <v>2001.0</v>
      </c>
      <c r="H237" s="14">
        <v>35.0</v>
      </c>
      <c r="I237" s="16">
        <v>2829.0</v>
      </c>
      <c r="J237" s="15">
        <v>81.0</v>
      </c>
      <c r="K237" s="15">
        <v>82.7</v>
      </c>
      <c r="L237" s="15">
        <v>31.4</v>
      </c>
      <c r="M237" s="17">
        <v>1.02</v>
      </c>
      <c r="N237" s="15">
        <v>86.0</v>
      </c>
      <c r="O237" s="18">
        <v>0.73</v>
      </c>
      <c r="P237" s="17">
        <v>0.1</v>
      </c>
      <c r="Q237" s="15">
        <v>24.0</v>
      </c>
      <c r="R237" s="18">
        <v>0.03</v>
      </c>
      <c r="S237" s="14">
        <v>0.51</v>
      </c>
      <c r="T237" s="18">
        <v>0.67</v>
      </c>
      <c r="U237" s="18">
        <v>1.78</v>
      </c>
      <c r="V237" s="56">
        <v>-1.11</v>
      </c>
      <c r="W237" s="57">
        <v>-1.11</v>
      </c>
      <c r="X237" s="57">
        <v>-0.2</v>
      </c>
      <c r="Y237" s="20" t="s">
        <v>7751</v>
      </c>
    </row>
    <row r="238">
      <c r="A238" s="9">
        <v>227.0</v>
      </c>
      <c r="B238" s="10" t="s">
        <v>7752</v>
      </c>
      <c r="C238" s="11" t="s">
        <v>7753</v>
      </c>
      <c r="D238" s="12" t="s">
        <v>26</v>
      </c>
      <c r="E238" s="13" t="s">
        <v>7754</v>
      </c>
      <c r="F238" s="12">
        <v>22.0</v>
      </c>
      <c r="G238" s="12">
        <v>2003.0</v>
      </c>
      <c r="H238" s="14">
        <v>22.0</v>
      </c>
      <c r="I238" s="15">
        <v>960.0</v>
      </c>
      <c r="J238" s="15">
        <v>44.0</v>
      </c>
      <c r="K238" s="15">
        <v>28.1</v>
      </c>
      <c r="L238" s="15">
        <v>10.7</v>
      </c>
      <c r="M238" s="17">
        <v>0.84</v>
      </c>
      <c r="N238" s="15">
        <v>72.0</v>
      </c>
      <c r="O238" s="18">
        <v>0.09</v>
      </c>
      <c r="P238" s="17">
        <v>1.21</v>
      </c>
      <c r="Q238" s="15">
        <v>24.0</v>
      </c>
      <c r="R238" s="18">
        <v>0.37</v>
      </c>
      <c r="S238" s="14">
        <v>0.59</v>
      </c>
      <c r="T238" s="18">
        <v>1.12</v>
      </c>
      <c r="U238" s="18">
        <v>1.68</v>
      </c>
      <c r="V238" s="56">
        <v>-0.56</v>
      </c>
      <c r="W238" s="57">
        <v>-0.56</v>
      </c>
      <c r="X238" s="55">
        <f>+0.72</f>
        <v>0.72</v>
      </c>
      <c r="Y238" s="20" t="s">
        <v>7755</v>
      </c>
    </row>
    <row r="239">
      <c r="A239" s="9">
        <v>228.0</v>
      </c>
      <c r="B239" s="10" t="s">
        <v>7756</v>
      </c>
      <c r="C239" s="11" t="s">
        <v>7757</v>
      </c>
      <c r="D239" s="12" t="s">
        <v>36</v>
      </c>
      <c r="E239" s="13" t="s">
        <v>7758</v>
      </c>
      <c r="F239" s="12">
        <v>26.0</v>
      </c>
      <c r="G239" s="12">
        <v>1999.0</v>
      </c>
      <c r="H239" s="14">
        <v>19.0</v>
      </c>
      <c r="I239" s="16">
        <v>1424.0</v>
      </c>
      <c r="J239" s="15">
        <v>75.0</v>
      </c>
      <c r="K239" s="15">
        <v>41.6</v>
      </c>
      <c r="L239" s="15">
        <v>15.8</v>
      </c>
      <c r="M239" s="17">
        <v>1.08</v>
      </c>
      <c r="N239" s="15">
        <v>82.0</v>
      </c>
      <c r="O239" s="18">
        <v>0.76</v>
      </c>
      <c r="P239" s="17">
        <v>0.13</v>
      </c>
      <c r="Q239" s="15">
        <v>13.0</v>
      </c>
      <c r="R239" s="18">
        <v>0.44</v>
      </c>
      <c r="S239" s="14">
        <v>0.32</v>
      </c>
      <c r="T239" s="18">
        <v>0.44</v>
      </c>
      <c r="U239" s="18">
        <v>2.09</v>
      </c>
      <c r="V239" s="56">
        <v>-1.65</v>
      </c>
      <c r="W239" s="57">
        <v>-1.64</v>
      </c>
      <c r="X239" s="57">
        <v>-0.97</v>
      </c>
      <c r="Y239" s="20" t="s">
        <v>7759</v>
      </c>
    </row>
    <row r="240">
      <c r="A240" s="9">
        <v>229.0</v>
      </c>
      <c r="B240" s="10" t="s">
        <v>7760</v>
      </c>
      <c r="C240" s="11" t="s">
        <v>7761</v>
      </c>
      <c r="D240" s="12" t="s">
        <v>26</v>
      </c>
      <c r="E240" s="13" t="s">
        <v>7762</v>
      </c>
      <c r="F240" s="12">
        <v>22.0</v>
      </c>
      <c r="G240" s="12">
        <v>2003.0</v>
      </c>
      <c r="H240" s="14">
        <v>32.0</v>
      </c>
      <c r="I240" s="16">
        <v>2120.0</v>
      </c>
      <c r="J240" s="15">
        <v>66.0</v>
      </c>
      <c r="K240" s="15">
        <v>62.0</v>
      </c>
      <c r="L240" s="15">
        <v>23.6</v>
      </c>
      <c r="M240" s="17">
        <v>1.1</v>
      </c>
      <c r="N240" s="15">
        <v>75.0</v>
      </c>
      <c r="O240" s="18">
        <v>0.08</v>
      </c>
      <c r="P240" s="17">
        <v>0.25</v>
      </c>
      <c r="Q240" s="15">
        <v>28.0</v>
      </c>
      <c r="R240" s="19">
        <v>0.0</v>
      </c>
      <c r="S240" s="14">
        <v>1.41</v>
      </c>
      <c r="T240" s="18">
        <v>1.1</v>
      </c>
      <c r="U240" s="18">
        <v>1.23</v>
      </c>
      <c r="V240" s="56">
        <v>-0.13</v>
      </c>
      <c r="W240" s="57">
        <v>-0.13</v>
      </c>
      <c r="X240" s="57">
        <v>-0.75</v>
      </c>
      <c r="Y240" s="20" t="s">
        <v>7763</v>
      </c>
    </row>
    <row r="241">
      <c r="A241" s="9">
        <v>230.0</v>
      </c>
      <c r="B241" s="10" t="s">
        <v>7764</v>
      </c>
      <c r="C241" s="11" t="s">
        <v>7765</v>
      </c>
      <c r="D241" s="12" t="s">
        <v>36</v>
      </c>
      <c r="E241" s="13" t="s">
        <v>7766</v>
      </c>
      <c r="F241" s="12">
        <v>28.0</v>
      </c>
      <c r="G241" s="12">
        <v>1997.0</v>
      </c>
      <c r="H241" s="14">
        <v>21.0</v>
      </c>
      <c r="I241" s="15">
        <v>607.0</v>
      </c>
      <c r="J241" s="15">
        <v>29.0</v>
      </c>
      <c r="K241" s="15">
        <v>17.7</v>
      </c>
      <c r="L241" s="15">
        <v>6.7</v>
      </c>
      <c r="M241" s="17">
        <v>1.04</v>
      </c>
      <c r="N241" s="15">
        <v>63.0</v>
      </c>
      <c r="O241" s="18">
        <v>0.3</v>
      </c>
      <c r="P241" s="17">
        <v>2.09</v>
      </c>
      <c r="Q241" s="15">
        <v>12.0</v>
      </c>
      <c r="R241" s="18">
        <v>1.64</v>
      </c>
      <c r="S241" s="14">
        <v>1.62</v>
      </c>
      <c r="T241" s="18">
        <v>2.54</v>
      </c>
      <c r="U241" s="18">
        <v>2.09</v>
      </c>
      <c r="V241" s="54">
        <v>0.45</v>
      </c>
      <c r="W241" s="55">
        <f>+0.44</f>
        <v>0.44</v>
      </c>
      <c r="X241" s="55">
        <f>+0.22</f>
        <v>0.22</v>
      </c>
      <c r="Y241" s="20" t="s">
        <v>7767</v>
      </c>
    </row>
    <row r="242">
      <c r="A242" s="9">
        <v>231.0</v>
      </c>
      <c r="B242" s="10" t="s">
        <v>7768</v>
      </c>
      <c r="C242" s="11" t="s">
        <v>7769</v>
      </c>
      <c r="D242" s="12" t="s">
        <v>41</v>
      </c>
      <c r="E242" s="13" t="s">
        <v>7770</v>
      </c>
      <c r="F242" s="12">
        <v>20.0</v>
      </c>
      <c r="G242" s="12">
        <v>2005.0</v>
      </c>
      <c r="H242" s="23">
        <v>0.0</v>
      </c>
      <c r="I242" s="36"/>
      <c r="J242" s="36"/>
      <c r="K242" s="36"/>
      <c r="L242" s="36"/>
      <c r="M242" s="23">
        <v>0.0</v>
      </c>
      <c r="N242" s="36"/>
      <c r="O242" s="21">
        <v>0.0</v>
      </c>
      <c r="P242" s="23">
        <v>0.0</v>
      </c>
      <c r="Q242" s="36"/>
      <c r="R242" s="15">
        <v>4.0</v>
      </c>
      <c r="S242" s="58"/>
      <c r="T242" s="36"/>
      <c r="U242" s="36"/>
      <c r="V242" s="36"/>
      <c r="W242" s="36"/>
      <c r="X242" s="36"/>
      <c r="Y242" s="20" t="s">
        <v>7771</v>
      </c>
    </row>
    <row r="243">
      <c r="A243" s="9">
        <v>232.0</v>
      </c>
      <c r="B243" s="10" t="s">
        <v>7772</v>
      </c>
      <c r="C243" s="11" t="s">
        <v>7773</v>
      </c>
      <c r="D243" s="12" t="s">
        <v>31</v>
      </c>
      <c r="E243" s="13" t="s">
        <v>7774</v>
      </c>
      <c r="F243" s="12">
        <v>23.0</v>
      </c>
      <c r="G243" s="12">
        <v>2002.0</v>
      </c>
      <c r="H243" s="14">
        <v>25.0</v>
      </c>
      <c r="I243" s="16">
        <v>1569.0</v>
      </c>
      <c r="J243" s="15">
        <v>63.0</v>
      </c>
      <c r="K243" s="15">
        <v>45.9</v>
      </c>
      <c r="L243" s="15">
        <v>17.4</v>
      </c>
      <c r="M243" s="17">
        <v>0.98</v>
      </c>
      <c r="N243" s="15">
        <v>81.0</v>
      </c>
      <c r="O243" s="18">
        <v>0.57</v>
      </c>
      <c r="P243" s="17">
        <v>0.46</v>
      </c>
      <c r="Q243" s="15">
        <v>25.0</v>
      </c>
      <c r="R243" s="18">
        <v>0.46</v>
      </c>
      <c r="S243" s="14">
        <v>2.12</v>
      </c>
      <c r="T243" s="18">
        <v>2.24</v>
      </c>
      <c r="U243" s="18">
        <v>0.98</v>
      </c>
      <c r="V243" s="54">
        <v>1.26</v>
      </c>
      <c r="W243" s="55">
        <f>+1.26</f>
        <v>1.26</v>
      </c>
      <c r="X243" s="55">
        <f>+0.29</f>
        <v>0.29</v>
      </c>
      <c r="Y243" s="20" t="s">
        <v>7775</v>
      </c>
    </row>
    <row r="244">
      <c r="A244" s="9">
        <v>233.0</v>
      </c>
      <c r="B244" s="10" t="s">
        <v>7776</v>
      </c>
      <c r="C244" s="11" t="s">
        <v>7777</v>
      </c>
      <c r="D244" s="12" t="s">
        <v>41</v>
      </c>
      <c r="E244" s="13" t="s">
        <v>7778</v>
      </c>
      <c r="F244" s="12">
        <v>24.0</v>
      </c>
      <c r="G244" s="12">
        <v>2001.0</v>
      </c>
      <c r="H244" s="14">
        <v>26.0</v>
      </c>
      <c r="I244" s="16">
        <v>1795.0</v>
      </c>
      <c r="J244" s="15">
        <v>69.0</v>
      </c>
      <c r="K244" s="15">
        <v>52.5</v>
      </c>
      <c r="L244" s="15">
        <v>19.9</v>
      </c>
      <c r="M244" s="17">
        <v>1.21</v>
      </c>
      <c r="N244" s="15">
        <v>74.0</v>
      </c>
      <c r="O244" s="18">
        <v>0.2</v>
      </c>
      <c r="P244" s="17">
        <v>0.1</v>
      </c>
      <c r="Q244" s="15">
        <v>13.0</v>
      </c>
      <c r="R244" s="18">
        <v>0.2</v>
      </c>
      <c r="S244" s="14">
        <v>1.31</v>
      </c>
      <c r="T244" s="18">
        <v>1.21</v>
      </c>
      <c r="U244" s="18">
        <v>1.41</v>
      </c>
      <c r="V244" s="56">
        <v>-0.2</v>
      </c>
      <c r="W244" s="57">
        <v>-0.2</v>
      </c>
      <c r="X244" s="57">
        <v>-0.31</v>
      </c>
      <c r="Y244" s="20" t="s">
        <v>7779</v>
      </c>
    </row>
    <row r="245">
      <c r="A245" s="9">
        <v>234.0</v>
      </c>
      <c r="B245" s="10" t="s">
        <v>7780</v>
      </c>
      <c r="C245" s="11" t="s">
        <v>7781</v>
      </c>
      <c r="D245" s="12" t="s">
        <v>98</v>
      </c>
      <c r="E245" s="13" t="s">
        <v>7782</v>
      </c>
      <c r="F245" s="12">
        <v>17.0</v>
      </c>
      <c r="G245" s="12">
        <v>2007.0</v>
      </c>
      <c r="H245" s="23">
        <v>0.0</v>
      </c>
      <c r="I245" s="36"/>
      <c r="J245" s="36"/>
      <c r="K245" s="36"/>
      <c r="L245" s="36"/>
      <c r="M245" s="23">
        <v>0.0</v>
      </c>
      <c r="N245" s="36"/>
      <c r="O245" s="21">
        <v>0.0</v>
      </c>
      <c r="P245" s="23">
        <v>0.0</v>
      </c>
      <c r="Q245" s="36"/>
      <c r="R245" s="15">
        <v>2.0</v>
      </c>
      <c r="S245" s="58"/>
      <c r="T245" s="36"/>
      <c r="U245" s="36"/>
      <c r="V245" s="36"/>
      <c r="W245" s="36"/>
      <c r="X245" s="36"/>
      <c r="Y245" s="20" t="s">
        <v>7783</v>
      </c>
    </row>
    <row r="246">
      <c r="A246" s="9">
        <v>235.0</v>
      </c>
      <c r="B246" s="10" t="s">
        <v>7784</v>
      </c>
      <c r="C246" s="11" t="s">
        <v>7785</v>
      </c>
      <c r="D246" s="12" t="s">
        <v>41</v>
      </c>
      <c r="E246" s="13" t="s">
        <v>7786</v>
      </c>
      <c r="F246" s="12">
        <v>17.0</v>
      </c>
      <c r="G246" s="12">
        <v>2007.0</v>
      </c>
      <c r="H246" s="23">
        <v>0.0</v>
      </c>
      <c r="I246" s="36"/>
      <c r="J246" s="36"/>
      <c r="K246" s="36"/>
      <c r="L246" s="36"/>
      <c r="M246" s="23">
        <v>0.0</v>
      </c>
      <c r="N246" s="36"/>
      <c r="O246" s="21">
        <v>0.0</v>
      </c>
      <c r="P246" s="23">
        <v>0.0</v>
      </c>
      <c r="Q246" s="36"/>
      <c r="R246" s="15">
        <v>1.0</v>
      </c>
      <c r="S246" s="58"/>
      <c r="T246" s="36"/>
      <c r="U246" s="36"/>
      <c r="V246" s="36"/>
      <c r="W246" s="36"/>
      <c r="X246" s="36"/>
      <c r="Y246" s="20" t="s">
        <v>7787</v>
      </c>
    </row>
    <row r="247">
      <c r="A247" s="9">
        <v>236.0</v>
      </c>
      <c r="B247" s="10" t="s">
        <v>7788</v>
      </c>
      <c r="C247" s="11" t="s">
        <v>7789</v>
      </c>
      <c r="D247" s="12" t="s">
        <v>31</v>
      </c>
      <c r="E247" s="13" t="s">
        <v>7790</v>
      </c>
      <c r="F247" s="12">
        <v>23.0</v>
      </c>
      <c r="G247" s="12">
        <v>2002.0</v>
      </c>
      <c r="H247" s="14">
        <v>36.0</v>
      </c>
      <c r="I247" s="16">
        <v>2992.0</v>
      </c>
      <c r="J247" s="15">
        <v>83.0</v>
      </c>
      <c r="K247" s="15">
        <v>87.5</v>
      </c>
      <c r="L247" s="15">
        <v>33.2</v>
      </c>
      <c r="M247" s="17">
        <v>1.02</v>
      </c>
      <c r="N247" s="15">
        <v>86.0</v>
      </c>
      <c r="O247" s="18">
        <v>0.84</v>
      </c>
      <c r="P247" s="17">
        <v>0.06</v>
      </c>
      <c r="Q247" s="15">
        <v>29.0</v>
      </c>
      <c r="R247" s="19">
        <v>0.0</v>
      </c>
      <c r="S247" s="14">
        <v>1.58</v>
      </c>
      <c r="T247" s="18">
        <v>1.51</v>
      </c>
      <c r="U247" s="18">
        <v>1.27</v>
      </c>
      <c r="V247" s="54">
        <v>0.24</v>
      </c>
      <c r="W247" s="55">
        <f>+0.24</f>
        <v>0.24</v>
      </c>
      <c r="X247" s="57">
        <v>-0.18</v>
      </c>
      <c r="Y247" s="20" t="s">
        <v>7791</v>
      </c>
    </row>
    <row r="248">
      <c r="A248" s="9">
        <v>237.0</v>
      </c>
      <c r="B248" s="10" t="s">
        <v>7792</v>
      </c>
      <c r="C248" s="11" t="s">
        <v>7793</v>
      </c>
      <c r="D248" s="12" t="s">
        <v>264</v>
      </c>
      <c r="E248" s="13" t="s">
        <v>7794</v>
      </c>
      <c r="F248" s="12">
        <v>19.0</v>
      </c>
      <c r="G248" s="12">
        <v>2006.0</v>
      </c>
      <c r="H248" s="14">
        <v>24.0</v>
      </c>
      <c r="I248" s="16">
        <v>1478.0</v>
      </c>
      <c r="J248" s="15">
        <v>62.0</v>
      </c>
      <c r="K248" s="15">
        <v>43.2</v>
      </c>
      <c r="L248" s="15">
        <v>16.4</v>
      </c>
      <c r="M248" s="17">
        <v>1.1</v>
      </c>
      <c r="N248" s="15">
        <v>78.0</v>
      </c>
      <c r="O248" s="18">
        <v>0.55</v>
      </c>
      <c r="P248" s="17">
        <v>0.37</v>
      </c>
      <c r="Q248" s="15">
        <v>11.0</v>
      </c>
      <c r="R248" s="18">
        <v>0.67</v>
      </c>
      <c r="S248" s="14">
        <v>0.83</v>
      </c>
      <c r="T248" s="18">
        <v>1.1</v>
      </c>
      <c r="U248" s="18">
        <v>1.71</v>
      </c>
      <c r="V248" s="56">
        <v>-0.61</v>
      </c>
      <c r="W248" s="57">
        <v>-0.61</v>
      </c>
      <c r="X248" s="57">
        <v>-0.66</v>
      </c>
      <c r="Y248" s="20" t="s">
        <v>7795</v>
      </c>
    </row>
    <row r="249">
      <c r="A249" s="9">
        <v>238.0</v>
      </c>
      <c r="B249" s="10" t="s">
        <v>7796</v>
      </c>
      <c r="C249" s="11" t="s">
        <v>7797</v>
      </c>
      <c r="D249" s="12" t="s">
        <v>31</v>
      </c>
      <c r="E249" s="13" t="s">
        <v>7798</v>
      </c>
      <c r="F249" s="12">
        <v>19.0</v>
      </c>
      <c r="G249" s="12">
        <v>2006.0</v>
      </c>
      <c r="H249" s="23">
        <v>0.0</v>
      </c>
      <c r="I249" s="36"/>
      <c r="J249" s="36"/>
      <c r="K249" s="36"/>
      <c r="L249" s="36"/>
      <c r="M249" s="23">
        <v>0.0</v>
      </c>
      <c r="N249" s="36"/>
      <c r="O249" s="21">
        <v>0.0</v>
      </c>
      <c r="P249" s="23">
        <v>0.0</v>
      </c>
      <c r="Q249" s="36"/>
      <c r="R249" s="15">
        <v>1.0</v>
      </c>
      <c r="S249" s="58"/>
      <c r="T249" s="36"/>
      <c r="U249" s="36"/>
      <c r="V249" s="36"/>
      <c r="W249" s="36"/>
      <c r="X249" s="36"/>
      <c r="Y249" s="20" t="s">
        <v>7799</v>
      </c>
    </row>
    <row r="250">
      <c r="A250" s="9">
        <v>239.0</v>
      </c>
      <c r="B250" s="10" t="s">
        <v>7800</v>
      </c>
      <c r="C250" s="11" t="s">
        <v>7801</v>
      </c>
      <c r="D250" s="12" t="s">
        <v>41</v>
      </c>
      <c r="E250" s="13" t="s">
        <v>7802</v>
      </c>
      <c r="F250" s="12">
        <v>16.0</v>
      </c>
      <c r="G250" s="12">
        <v>2008.0</v>
      </c>
      <c r="H250" s="23">
        <v>0.0</v>
      </c>
      <c r="I250" s="36"/>
      <c r="J250" s="36"/>
      <c r="K250" s="36"/>
      <c r="L250" s="36"/>
      <c r="M250" s="23">
        <v>0.0</v>
      </c>
      <c r="N250" s="36"/>
      <c r="O250" s="21">
        <v>0.0</v>
      </c>
      <c r="P250" s="23">
        <v>0.0</v>
      </c>
      <c r="Q250" s="36"/>
      <c r="R250" s="15">
        <v>1.0</v>
      </c>
      <c r="S250" s="58"/>
      <c r="T250" s="36"/>
      <c r="U250" s="36"/>
      <c r="V250" s="36"/>
      <c r="W250" s="36"/>
      <c r="X250" s="36"/>
      <c r="Y250" s="20" t="s">
        <v>7803</v>
      </c>
    </row>
    <row r="251">
      <c r="A251" s="9">
        <v>240.0</v>
      </c>
      <c r="B251" s="10" t="s">
        <v>7804</v>
      </c>
      <c r="C251" s="11" t="s">
        <v>7805</v>
      </c>
      <c r="D251" s="12" t="s">
        <v>31</v>
      </c>
      <c r="E251" s="13" t="s">
        <v>7806</v>
      </c>
      <c r="F251" s="12">
        <v>29.0</v>
      </c>
      <c r="G251" s="12">
        <v>1995.0</v>
      </c>
      <c r="H251" s="14">
        <v>20.0</v>
      </c>
      <c r="I251" s="16">
        <v>1627.0</v>
      </c>
      <c r="J251" s="15">
        <v>81.0</v>
      </c>
      <c r="K251" s="15">
        <v>47.6</v>
      </c>
      <c r="L251" s="15">
        <v>18.1</v>
      </c>
      <c r="M251" s="17">
        <v>0.99</v>
      </c>
      <c r="N251" s="15">
        <v>88.0</v>
      </c>
      <c r="O251" s="18">
        <v>0.61</v>
      </c>
      <c r="P251" s="17">
        <v>0.11</v>
      </c>
      <c r="Q251" s="15">
        <v>20.0</v>
      </c>
      <c r="R251" s="19">
        <v>0.0</v>
      </c>
      <c r="S251" s="14">
        <v>1.55</v>
      </c>
      <c r="T251" s="18">
        <v>1.27</v>
      </c>
      <c r="U251" s="18">
        <v>1.27</v>
      </c>
      <c r="V251" s="19">
        <v>0.0</v>
      </c>
      <c r="W251" s="21">
        <v>0.0</v>
      </c>
      <c r="X251" s="55">
        <f>+0.15</f>
        <v>0.15</v>
      </c>
      <c r="Y251" s="20" t="s">
        <v>7807</v>
      </c>
    </row>
    <row r="252">
      <c r="A252" s="9">
        <v>241.0</v>
      </c>
      <c r="B252" s="10" t="s">
        <v>7808</v>
      </c>
      <c r="C252" s="11" t="s">
        <v>7809</v>
      </c>
      <c r="D252" s="12" t="s">
        <v>31</v>
      </c>
      <c r="E252" s="13" t="s">
        <v>7810</v>
      </c>
      <c r="F252" s="12">
        <v>34.0</v>
      </c>
      <c r="G252" s="12">
        <v>1991.0</v>
      </c>
      <c r="H252" s="14">
        <v>19.0</v>
      </c>
      <c r="I252" s="16">
        <v>1636.0</v>
      </c>
      <c r="J252" s="15">
        <v>86.0</v>
      </c>
      <c r="K252" s="15">
        <v>47.8</v>
      </c>
      <c r="L252" s="15">
        <v>18.2</v>
      </c>
      <c r="M252" s="17">
        <v>0.99</v>
      </c>
      <c r="N252" s="15">
        <v>90.0</v>
      </c>
      <c r="O252" s="18">
        <v>0.88</v>
      </c>
      <c r="P252" s="17">
        <v>0.05</v>
      </c>
      <c r="Q252" s="15">
        <v>20.0</v>
      </c>
      <c r="R252" s="19">
        <v>0.0</v>
      </c>
      <c r="S252" s="14">
        <v>1.47</v>
      </c>
      <c r="T252" s="18">
        <v>1.21</v>
      </c>
      <c r="U252" s="18">
        <v>0.93</v>
      </c>
      <c r="V252" s="54">
        <v>0.27</v>
      </c>
      <c r="W252" s="55">
        <f>+0.28</f>
        <v>0.28</v>
      </c>
      <c r="X252" s="55">
        <f>+0.22</f>
        <v>0.22</v>
      </c>
      <c r="Y252" s="20" t="s">
        <v>7811</v>
      </c>
    </row>
    <row r="253">
      <c r="A253" s="9">
        <v>242.0</v>
      </c>
      <c r="B253" s="10" t="s">
        <v>7812</v>
      </c>
      <c r="C253" s="11" t="s">
        <v>7813</v>
      </c>
      <c r="D253" s="12" t="s">
        <v>31</v>
      </c>
      <c r="E253" s="13" t="s">
        <v>7814</v>
      </c>
      <c r="F253" s="12">
        <v>21.0</v>
      </c>
      <c r="G253" s="12">
        <v>2004.0</v>
      </c>
      <c r="H253" s="14">
        <v>18.0</v>
      </c>
      <c r="I253" s="15">
        <v>719.0</v>
      </c>
      <c r="J253" s="15">
        <v>40.0</v>
      </c>
      <c r="K253" s="15">
        <v>21.0</v>
      </c>
      <c r="L253" s="15">
        <v>8.0</v>
      </c>
      <c r="M253" s="17">
        <v>1.0</v>
      </c>
      <c r="N253" s="15">
        <v>69.0</v>
      </c>
      <c r="O253" s="19">
        <v>0.0</v>
      </c>
      <c r="P253" s="17">
        <v>1.25</v>
      </c>
      <c r="Q253" s="15">
        <v>17.0</v>
      </c>
      <c r="R253" s="18">
        <v>0.13</v>
      </c>
      <c r="S253" s="14">
        <v>1.28</v>
      </c>
      <c r="T253" s="18">
        <v>1.75</v>
      </c>
      <c r="U253" s="18">
        <v>1.38</v>
      </c>
      <c r="V253" s="54">
        <v>0.38</v>
      </c>
      <c r="W253" s="55">
        <f>+0.38</f>
        <v>0.38</v>
      </c>
      <c r="X253" s="55">
        <f>+0.28</f>
        <v>0.28</v>
      </c>
      <c r="Y253" s="20" t="s">
        <v>7815</v>
      </c>
    </row>
    <row r="254">
      <c r="A254" s="9">
        <v>243.0</v>
      </c>
      <c r="B254" s="10" t="s">
        <v>7816</v>
      </c>
      <c r="C254" s="11" t="s">
        <v>7817</v>
      </c>
      <c r="D254" s="12" t="s">
        <v>31</v>
      </c>
      <c r="E254" s="13" t="s">
        <v>7818</v>
      </c>
      <c r="F254" s="12">
        <v>25.0</v>
      </c>
      <c r="G254" s="12">
        <v>2000.0</v>
      </c>
      <c r="H254" s="14">
        <v>23.0</v>
      </c>
      <c r="I254" s="16">
        <v>1323.0</v>
      </c>
      <c r="J254" s="15">
        <v>58.0</v>
      </c>
      <c r="K254" s="15">
        <v>38.7</v>
      </c>
      <c r="L254" s="15">
        <v>14.7</v>
      </c>
      <c r="M254" s="17">
        <v>1.02</v>
      </c>
      <c r="N254" s="15">
        <v>79.0</v>
      </c>
      <c r="O254" s="18">
        <v>0.41</v>
      </c>
      <c r="P254" s="17">
        <v>0.54</v>
      </c>
      <c r="Q254" s="15">
        <v>17.0</v>
      </c>
      <c r="R254" s="18">
        <v>0.68</v>
      </c>
      <c r="S254" s="14">
        <v>1.52</v>
      </c>
      <c r="T254" s="18">
        <v>1.16</v>
      </c>
      <c r="U254" s="18">
        <v>1.5</v>
      </c>
      <c r="V254" s="56">
        <v>-0.34</v>
      </c>
      <c r="W254" s="57">
        <v>-0.34</v>
      </c>
      <c r="X254" s="57">
        <v>-0.25</v>
      </c>
      <c r="Y254" s="20" t="s">
        <v>7819</v>
      </c>
    </row>
    <row r="255">
      <c r="A255" s="9">
        <v>244.0</v>
      </c>
      <c r="B255" s="10" t="s">
        <v>7820</v>
      </c>
      <c r="C255" s="11" t="s">
        <v>7821</v>
      </c>
      <c r="D255" s="12" t="s">
        <v>345</v>
      </c>
      <c r="E255" s="13" t="s">
        <v>7822</v>
      </c>
      <c r="F255" s="12">
        <v>26.0</v>
      </c>
      <c r="G255" s="12">
        <v>1999.0</v>
      </c>
      <c r="H255" s="14">
        <v>32.0</v>
      </c>
      <c r="I255" s="16">
        <v>2631.0</v>
      </c>
      <c r="J255" s="15">
        <v>82.0</v>
      </c>
      <c r="K255" s="15">
        <v>76.9</v>
      </c>
      <c r="L255" s="15">
        <v>29.2</v>
      </c>
      <c r="M255" s="17">
        <v>1.06</v>
      </c>
      <c r="N255" s="15">
        <v>84.0</v>
      </c>
      <c r="O255" s="18">
        <v>0.72</v>
      </c>
      <c r="P255" s="17">
        <v>0.03</v>
      </c>
      <c r="Q255" s="15">
        <v>22.0</v>
      </c>
      <c r="R255" s="19">
        <v>0.0</v>
      </c>
      <c r="S255" s="14">
        <v>1.19</v>
      </c>
      <c r="T255" s="18">
        <v>1.37</v>
      </c>
      <c r="U255" s="18">
        <v>1.54</v>
      </c>
      <c r="V255" s="56">
        <v>-0.17</v>
      </c>
      <c r="W255" s="57">
        <v>-0.17</v>
      </c>
      <c r="X255" s="55">
        <f>+0.06</f>
        <v>0.06</v>
      </c>
      <c r="Y255" s="20" t="s">
        <v>7823</v>
      </c>
    </row>
    <row r="256">
      <c r="A256" s="9">
        <v>245.0</v>
      </c>
      <c r="B256" s="10" t="s">
        <v>7824</v>
      </c>
      <c r="C256" s="11" t="s">
        <v>7825</v>
      </c>
      <c r="D256" s="12" t="s">
        <v>36</v>
      </c>
      <c r="E256" s="13" t="s">
        <v>7826</v>
      </c>
      <c r="F256" s="12">
        <v>25.0</v>
      </c>
      <c r="G256" s="12">
        <v>2000.0</v>
      </c>
      <c r="H256" s="14">
        <v>20.0</v>
      </c>
      <c r="I256" s="16">
        <v>1800.0</v>
      </c>
      <c r="J256" s="15">
        <v>90.0</v>
      </c>
      <c r="K256" s="15">
        <v>52.6</v>
      </c>
      <c r="L256" s="15">
        <v>20.0</v>
      </c>
      <c r="M256" s="17">
        <v>1.0</v>
      </c>
      <c r="N256" s="15">
        <v>90.0</v>
      </c>
      <c r="O256" s="18">
        <v>1.0</v>
      </c>
      <c r="P256" s="22">
        <v>0.0</v>
      </c>
      <c r="Q256" s="36"/>
      <c r="R256" s="19">
        <v>0.0</v>
      </c>
      <c r="S256" s="14">
        <v>1.35</v>
      </c>
      <c r="T256" s="18">
        <v>1.1</v>
      </c>
      <c r="U256" s="18">
        <v>1.15</v>
      </c>
      <c r="V256" s="56">
        <v>-0.05</v>
      </c>
      <c r="W256" s="57">
        <v>-0.05</v>
      </c>
      <c r="X256" s="55">
        <f>+0.45</f>
        <v>0.45</v>
      </c>
      <c r="Y256" s="20" t="s">
        <v>7827</v>
      </c>
    </row>
    <row r="257">
      <c r="A257" s="9">
        <v>246.0</v>
      </c>
      <c r="B257" s="10" t="s">
        <v>7828</v>
      </c>
      <c r="C257" s="11" t="s">
        <v>7829</v>
      </c>
      <c r="D257" s="12" t="s">
        <v>36</v>
      </c>
      <c r="E257" s="13" t="s">
        <v>7830</v>
      </c>
      <c r="F257" s="12">
        <v>25.0</v>
      </c>
      <c r="G257" s="12">
        <v>2000.0</v>
      </c>
      <c r="H257" s="14">
        <v>15.0</v>
      </c>
      <c r="I257" s="16">
        <v>1350.0</v>
      </c>
      <c r="J257" s="15">
        <v>90.0</v>
      </c>
      <c r="K257" s="15">
        <v>39.5</v>
      </c>
      <c r="L257" s="15">
        <v>15.0</v>
      </c>
      <c r="M257" s="17">
        <v>1.0</v>
      </c>
      <c r="N257" s="15">
        <v>90.0</v>
      </c>
      <c r="O257" s="18">
        <v>1.0</v>
      </c>
      <c r="P257" s="22">
        <v>0.0</v>
      </c>
      <c r="Q257" s="36"/>
      <c r="R257" s="19">
        <v>0.0</v>
      </c>
      <c r="S257" s="14">
        <v>2.33</v>
      </c>
      <c r="T257" s="18">
        <v>2.07</v>
      </c>
      <c r="U257" s="18">
        <v>0.8</v>
      </c>
      <c r="V257" s="54">
        <v>1.27</v>
      </c>
      <c r="W257" s="55">
        <f>+1.27</f>
        <v>1.27</v>
      </c>
      <c r="X257" s="55">
        <f>+0.27</f>
        <v>0.27</v>
      </c>
      <c r="Y257" s="20" t="s">
        <v>7831</v>
      </c>
    </row>
    <row r="258">
      <c r="A258" s="9">
        <v>247.0</v>
      </c>
      <c r="B258" s="10" t="s">
        <v>7832</v>
      </c>
      <c r="C258" s="11" t="s">
        <v>7833</v>
      </c>
      <c r="D258" s="12" t="s">
        <v>31</v>
      </c>
      <c r="E258" s="13" t="s">
        <v>7834</v>
      </c>
      <c r="F258" s="12">
        <v>24.0</v>
      </c>
      <c r="G258" s="12">
        <v>2001.0</v>
      </c>
      <c r="H258" s="14">
        <v>8.0</v>
      </c>
      <c r="I258" s="15">
        <v>330.0</v>
      </c>
      <c r="J258" s="15">
        <v>41.0</v>
      </c>
      <c r="K258" s="15">
        <v>9.6</v>
      </c>
      <c r="L258" s="15">
        <v>3.7</v>
      </c>
      <c r="M258" s="17">
        <v>0.81</v>
      </c>
      <c r="N258" s="15">
        <v>71.0</v>
      </c>
      <c r="O258" s="18">
        <v>0.27</v>
      </c>
      <c r="P258" s="17">
        <v>1.35</v>
      </c>
      <c r="Q258" s="15">
        <v>23.0</v>
      </c>
      <c r="R258" s="19">
        <v>0.0</v>
      </c>
      <c r="S258" s="14">
        <v>1.38</v>
      </c>
      <c r="T258" s="18">
        <v>2.16</v>
      </c>
      <c r="U258" s="18">
        <v>1.35</v>
      </c>
      <c r="V258" s="54">
        <v>0.81</v>
      </c>
      <c r="W258" s="55">
        <f>+0.82</f>
        <v>0.82</v>
      </c>
      <c r="X258" s="55">
        <f>+1.2</f>
        <v>1.2</v>
      </c>
      <c r="Y258" s="20" t="s">
        <v>7835</v>
      </c>
    </row>
    <row r="259">
      <c r="A259" s="9">
        <v>248.0</v>
      </c>
      <c r="B259" s="10" t="s">
        <v>7836</v>
      </c>
      <c r="C259" s="11" t="s">
        <v>7837</v>
      </c>
      <c r="D259" s="12" t="s">
        <v>31</v>
      </c>
      <c r="E259" s="13" t="s">
        <v>7838</v>
      </c>
      <c r="F259" s="12">
        <v>24.0</v>
      </c>
      <c r="G259" s="12">
        <v>2001.0</v>
      </c>
      <c r="H259" s="14">
        <v>13.0</v>
      </c>
      <c r="I259" s="15">
        <v>588.0</v>
      </c>
      <c r="J259" s="15">
        <v>45.0</v>
      </c>
      <c r="K259" s="15">
        <v>17.2</v>
      </c>
      <c r="L259" s="15">
        <v>6.5</v>
      </c>
      <c r="M259" s="17">
        <v>0.92</v>
      </c>
      <c r="N259" s="15">
        <v>67.0</v>
      </c>
      <c r="O259" s="19">
        <v>0.0</v>
      </c>
      <c r="P259" s="17">
        <v>1.08</v>
      </c>
      <c r="Q259" s="15">
        <v>27.0</v>
      </c>
      <c r="R259" s="18">
        <v>0.77</v>
      </c>
      <c r="S259" s="14">
        <v>1.77</v>
      </c>
      <c r="T259" s="18">
        <v>1.38</v>
      </c>
      <c r="U259" s="18">
        <v>1.54</v>
      </c>
      <c r="V259" s="56">
        <v>-0.15</v>
      </c>
      <c r="W259" s="57">
        <v>-0.15</v>
      </c>
      <c r="X259" s="57">
        <v>-0.41</v>
      </c>
      <c r="Y259" s="20" t="s">
        <v>7839</v>
      </c>
    </row>
    <row r="260">
      <c r="A260" s="9">
        <v>249.0</v>
      </c>
      <c r="B260" s="10" t="s">
        <v>7840</v>
      </c>
      <c r="C260" s="11" t="s">
        <v>7841</v>
      </c>
      <c r="D260" s="12" t="s">
        <v>41</v>
      </c>
      <c r="E260" s="13" t="s">
        <v>7842</v>
      </c>
      <c r="F260" s="12">
        <v>19.0</v>
      </c>
      <c r="G260" s="12">
        <v>2006.0</v>
      </c>
      <c r="H260" s="14">
        <v>5.0</v>
      </c>
      <c r="I260" s="15">
        <v>125.0</v>
      </c>
      <c r="J260" s="15">
        <v>25.0</v>
      </c>
      <c r="K260" s="15">
        <v>3.7</v>
      </c>
      <c r="L260" s="15">
        <v>1.4</v>
      </c>
      <c r="M260" s="17">
        <v>0.71</v>
      </c>
      <c r="N260" s="15">
        <v>45.0</v>
      </c>
      <c r="O260" s="19">
        <v>0.0</v>
      </c>
      <c r="P260" s="17">
        <v>2.86</v>
      </c>
      <c r="Q260" s="15">
        <v>20.0</v>
      </c>
      <c r="R260" s="18">
        <v>2.14</v>
      </c>
      <c r="S260" s="14">
        <v>0.4</v>
      </c>
      <c r="T260" s="18">
        <v>1.43</v>
      </c>
      <c r="U260" s="18">
        <v>1.43</v>
      </c>
      <c r="V260" s="19">
        <v>0.0</v>
      </c>
      <c r="W260" s="21">
        <v>0.0</v>
      </c>
      <c r="X260" s="55">
        <f>+0.52</f>
        <v>0.52</v>
      </c>
      <c r="Y260" s="20" t="s">
        <v>7843</v>
      </c>
    </row>
    <row r="261">
      <c r="A261" s="9">
        <v>250.0</v>
      </c>
      <c r="B261" s="10" t="s">
        <v>7844</v>
      </c>
      <c r="C261" s="11" t="s">
        <v>7845</v>
      </c>
      <c r="D261" s="12" t="s">
        <v>31</v>
      </c>
      <c r="E261" s="13" t="s">
        <v>7846</v>
      </c>
      <c r="F261" s="12">
        <v>27.0</v>
      </c>
      <c r="G261" s="12">
        <v>1997.0</v>
      </c>
      <c r="H261" s="14">
        <v>29.0</v>
      </c>
      <c r="I261" s="16">
        <v>2453.0</v>
      </c>
      <c r="J261" s="15">
        <v>85.0</v>
      </c>
      <c r="K261" s="15">
        <v>71.7</v>
      </c>
      <c r="L261" s="15">
        <v>27.3</v>
      </c>
      <c r="M261" s="17">
        <v>0.99</v>
      </c>
      <c r="N261" s="15">
        <v>88.0</v>
      </c>
      <c r="O261" s="18">
        <v>0.7</v>
      </c>
      <c r="P261" s="17">
        <v>0.07</v>
      </c>
      <c r="Q261" s="15">
        <v>37.0</v>
      </c>
      <c r="R261" s="18">
        <v>0.04</v>
      </c>
      <c r="S261" s="14">
        <v>1.45</v>
      </c>
      <c r="T261" s="18">
        <v>1.58</v>
      </c>
      <c r="U261" s="18">
        <v>1.32</v>
      </c>
      <c r="V261" s="54">
        <v>0.26</v>
      </c>
      <c r="W261" s="55">
        <f>+0.26</f>
        <v>0.26</v>
      </c>
      <c r="X261" s="55">
        <f>+1.09</f>
        <v>1.09</v>
      </c>
      <c r="Y261" s="20" t="s">
        <v>7847</v>
      </c>
    </row>
    <row r="262">
      <c r="A262" s="37" t="s">
        <v>3</v>
      </c>
      <c r="B262" s="38" t="s">
        <v>4</v>
      </c>
      <c r="C262" s="39" t="s">
        <v>5</v>
      </c>
      <c r="D262" s="39" t="s">
        <v>6</v>
      </c>
      <c r="E262" s="39" t="s">
        <v>7</v>
      </c>
      <c r="F262" s="39" t="s">
        <v>8</v>
      </c>
      <c r="G262" s="39" t="s">
        <v>9</v>
      </c>
      <c r="H262" s="40" t="s">
        <v>10</v>
      </c>
      <c r="I262" s="39" t="s">
        <v>12</v>
      </c>
      <c r="J262" s="39" t="s">
        <v>6838</v>
      </c>
      <c r="K262" s="39" t="s">
        <v>6839</v>
      </c>
      <c r="L262" s="39" t="s">
        <v>13</v>
      </c>
      <c r="M262" s="40" t="s">
        <v>11</v>
      </c>
      <c r="N262" s="39" t="s">
        <v>6840</v>
      </c>
      <c r="O262" s="39" t="s">
        <v>6841</v>
      </c>
      <c r="P262" s="40" t="s">
        <v>6836</v>
      </c>
      <c r="Q262" s="39" t="s">
        <v>6842</v>
      </c>
      <c r="R262" s="39" t="s">
        <v>6843</v>
      </c>
      <c r="S262" s="40" t="s">
        <v>6844</v>
      </c>
      <c r="T262" s="39" t="s">
        <v>6845</v>
      </c>
      <c r="U262" s="39" t="s">
        <v>6846</v>
      </c>
      <c r="V262" s="59" t="str">
        <f>+/-</f>
        <v>#ERROR!</v>
      </c>
      <c r="W262" s="59" t="str">
        <f>+/-90</f>
        <v>#ERROR!</v>
      </c>
      <c r="X262" s="39" t="s">
        <v>6847</v>
      </c>
      <c r="Y262" s="40" t="s">
        <v>23</v>
      </c>
    </row>
    <row r="263">
      <c r="A263" s="9">
        <v>251.0</v>
      </c>
      <c r="B263" s="10" t="s">
        <v>7848</v>
      </c>
      <c r="C263" s="11" t="s">
        <v>7849</v>
      </c>
      <c r="D263" s="12" t="s">
        <v>41</v>
      </c>
      <c r="E263" s="13" t="s">
        <v>7850</v>
      </c>
      <c r="F263" s="12">
        <v>19.0</v>
      </c>
      <c r="G263" s="12">
        <v>2006.0</v>
      </c>
      <c r="H263" s="14">
        <v>2.0</v>
      </c>
      <c r="I263" s="15">
        <v>15.0</v>
      </c>
      <c r="J263" s="15">
        <v>8.0</v>
      </c>
      <c r="K263" s="15">
        <v>0.4</v>
      </c>
      <c r="L263" s="15">
        <v>0.2</v>
      </c>
      <c r="M263" s="22">
        <v>0.0</v>
      </c>
      <c r="N263" s="36"/>
      <c r="O263" s="19">
        <v>0.0</v>
      </c>
      <c r="P263" s="17">
        <v>10.0</v>
      </c>
      <c r="Q263" s="15">
        <v>8.0</v>
      </c>
      <c r="R263" s="18">
        <v>5.0</v>
      </c>
      <c r="S263" s="14">
        <v>1.5</v>
      </c>
      <c r="T263" s="18">
        <v>5.0</v>
      </c>
      <c r="U263" s="18">
        <v>5.0</v>
      </c>
      <c r="V263" s="19">
        <v>0.0</v>
      </c>
      <c r="W263" s="21">
        <v>0.0</v>
      </c>
      <c r="X263" s="55">
        <f>+0.16</f>
        <v>0.16</v>
      </c>
      <c r="Y263" s="20" t="s">
        <v>7851</v>
      </c>
    </row>
    <row r="264">
      <c r="A264" s="9">
        <v>252.0</v>
      </c>
      <c r="B264" s="10" t="s">
        <v>7852</v>
      </c>
      <c r="C264" s="11" t="s">
        <v>7853</v>
      </c>
      <c r="D264" s="12" t="s">
        <v>41</v>
      </c>
      <c r="E264" s="13" t="s">
        <v>7854</v>
      </c>
      <c r="F264" s="12">
        <v>19.0</v>
      </c>
      <c r="G264" s="12">
        <v>2006.0</v>
      </c>
      <c r="H264" s="14">
        <v>8.0</v>
      </c>
      <c r="I264" s="15">
        <v>257.0</v>
      </c>
      <c r="J264" s="15">
        <v>32.0</v>
      </c>
      <c r="K264" s="15">
        <v>7.5</v>
      </c>
      <c r="L264" s="15">
        <v>2.9</v>
      </c>
      <c r="M264" s="17">
        <v>0.34</v>
      </c>
      <c r="N264" s="15">
        <v>75.0</v>
      </c>
      <c r="O264" s="19">
        <v>0.0</v>
      </c>
      <c r="P264" s="17">
        <v>2.41</v>
      </c>
      <c r="Q264" s="15">
        <v>26.0</v>
      </c>
      <c r="R264" s="18">
        <v>5.86</v>
      </c>
      <c r="S264" s="14">
        <v>1.63</v>
      </c>
      <c r="T264" s="18">
        <v>2.07</v>
      </c>
      <c r="U264" s="18">
        <v>0.69</v>
      </c>
      <c r="V264" s="54">
        <v>1.38</v>
      </c>
      <c r="W264" s="55">
        <f>+1.4</f>
        <v>1.4</v>
      </c>
      <c r="X264" s="55">
        <f>+1.34</f>
        <v>1.34</v>
      </c>
      <c r="Y264" s="20" t="s">
        <v>7855</v>
      </c>
    </row>
    <row r="265">
      <c r="A265" s="9">
        <v>253.0</v>
      </c>
      <c r="B265" s="10" t="s">
        <v>7856</v>
      </c>
      <c r="C265" s="11" t="s">
        <v>7857</v>
      </c>
      <c r="D265" s="12" t="s">
        <v>31</v>
      </c>
      <c r="E265" s="13" t="s">
        <v>7858</v>
      </c>
      <c r="F265" s="12">
        <v>34.0</v>
      </c>
      <c r="G265" s="12">
        <v>1990.0</v>
      </c>
      <c r="H265" s="23">
        <v>0.0</v>
      </c>
      <c r="I265" s="36"/>
      <c r="J265" s="36"/>
      <c r="K265" s="36"/>
      <c r="L265" s="36"/>
      <c r="M265" s="23">
        <v>0.0</v>
      </c>
      <c r="N265" s="36"/>
      <c r="O265" s="21">
        <v>0.0</v>
      </c>
      <c r="P265" s="23">
        <v>0.0</v>
      </c>
      <c r="Q265" s="36"/>
      <c r="R265" s="15">
        <v>2.0</v>
      </c>
      <c r="S265" s="58"/>
      <c r="T265" s="36"/>
      <c r="U265" s="36"/>
      <c r="V265" s="36"/>
      <c r="W265" s="36"/>
      <c r="X265" s="36"/>
      <c r="Y265" s="20" t="s">
        <v>7859</v>
      </c>
    </row>
    <row r="266">
      <c r="A266" s="9">
        <v>254.0</v>
      </c>
      <c r="B266" s="10" t="s">
        <v>7860</v>
      </c>
      <c r="C266" s="11" t="s">
        <v>7861</v>
      </c>
      <c r="D266" s="12" t="s">
        <v>98</v>
      </c>
      <c r="E266" s="13" t="s">
        <v>7862</v>
      </c>
      <c r="F266" s="12">
        <v>29.0</v>
      </c>
      <c r="G266" s="12">
        <v>1996.0</v>
      </c>
      <c r="H266" s="14">
        <v>1.0</v>
      </c>
      <c r="I266" s="15">
        <v>45.0</v>
      </c>
      <c r="J266" s="15">
        <v>45.0</v>
      </c>
      <c r="K266" s="15">
        <v>1.3</v>
      </c>
      <c r="L266" s="15">
        <v>0.5</v>
      </c>
      <c r="M266" s="22">
        <v>0.0</v>
      </c>
      <c r="N266" s="36"/>
      <c r="O266" s="19">
        <v>0.0</v>
      </c>
      <c r="P266" s="17">
        <v>2.0</v>
      </c>
      <c r="Q266" s="15">
        <v>45.0</v>
      </c>
      <c r="R266" s="18">
        <v>26.0</v>
      </c>
      <c r="S266" s="14">
        <v>1.0</v>
      </c>
      <c r="T266" s="19">
        <v>0.0</v>
      </c>
      <c r="U266" s="19">
        <v>0.0</v>
      </c>
      <c r="V266" s="19">
        <v>0.0</v>
      </c>
      <c r="W266" s="21">
        <v>0.0</v>
      </c>
      <c r="X266" s="55">
        <f>+0.08</f>
        <v>0.08</v>
      </c>
      <c r="Y266" s="20" t="s">
        <v>7863</v>
      </c>
    </row>
    <row r="267">
      <c r="A267" s="9">
        <v>255.0</v>
      </c>
      <c r="B267" s="10" t="s">
        <v>7864</v>
      </c>
      <c r="C267" s="11" t="s">
        <v>7865</v>
      </c>
      <c r="D267" s="12" t="s">
        <v>345</v>
      </c>
      <c r="E267" s="13" t="s">
        <v>7866</v>
      </c>
      <c r="F267" s="12">
        <v>22.0</v>
      </c>
      <c r="G267" s="12">
        <v>2003.0</v>
      </c>
      <c r="H267" s="14">
        <v>34.0</v>
      </c>
      <c r="I267" s="16">
        <v>2261.0</v>
      </c>
      <c r="J267" s="15">
        <v>67.0</v>
      </c>
      <c r="K267" s="15">
        <v>66.1</v>
      </c>
      <c r="L267" s="15">
        <v>25.1</v>
      </c>
      <c r="M267" s="17">
        <v>1.04</v>
      </c>
      <c r="N267" s="15">
        <v>80.0</v>
      </c>
      <c r="O267" s="18">
        <v>0.4</v>
      </c>
      <c r="P267" s="17">
        <v>0.32</v>
      </c>
      <c r="Q267" s="15">
        <v>24.0</v>
      </c>
      <c r="R267" s="18">
        <v>0.04</v>
      </c>
      <c r="S267" s="14">
        <v>1.32</v>
      </c>
      <c r="T267" s="18">
        <v>1.67</v>
      </c>
      <c r="U267" s="18">
        <v>1.39</v>
      </c>
      <c r="V267" s="54">
        <v>0.28</v>
      </c>
      <c r="W267" s="55">
        <f>+0.28</f>
        <v>0.28</v>
      </c>
      <c r="X267" s="55">
        <f>+0.36</f>
        <v>0.36</v>
      </c>
      <c r="Y267" s="20" t="s">
        <v>7867</v>
      </c>
    </row>
    <row r="268">
      <c r="A268" s="9">
        <v>256.0</v>
      </c>
      <c r="B268" s="10" t="s">
        <v>7868</v>
      </c>
      <c r="C268" s="11" t="s">
        <v>7869</v>
      </c>
      <c r="D268" s="12" t="s">
        <v>36</v>
      </c>
      <c r="E268" s="13" t="s">
        <v>7870</v>
      </c>
      <c r="F268" s="12">
        <v>23.0</v>
      </c>
      <c r="G268" s="12">
        <v>2002.0</v>
      </c>
      <c r="H268" s="14">
        <v>18.0</v>
      </c>
      <c r="I268" s="16">
        <v>1372.0</v>
      </c>
      <c r="J268" s="15">
        <v>76.0</v>
      </c>
      <c r="K268" s="15">
        <v>40.1</v>
      </c>
      <c r="L268" s="15">
        <v>15.2</v>
      </c>
      <c r="M268" s="17">
        <v>1.05</v>
      </c>
      <c r="N268" s="15">
        <v>83.0</v>
      </c>
      <c r="O268" s="18">
        <v>0.79</v>
      </c>
      <c r="P268" s="17">
        <v>0.13</v>
      </c>
      <c r="Q268" s="15">
        <v>24.0</v>
      </c>
      <c r="R268" s="18">
        <v>0.13</v>
      </c>
      <c r="S268" s="14">
        <v>2.17</v>
      </c>
      <c r="T268" s="18">
        <v>2.43</v>
      </c>
      <c r="U268" s="18">
        <v>0.86</v>
      </c>
      <c r="V268" s="54">
        <v>1.58</v>
      </c>
      <c r="W268" s="55">
        <f>+1.57</f>
        <v>1.57</v>
      </c>
      <c r="X268" s="55">
        <f>+0.78</f>
        <v>0.78</v>
      </c>
      <c r="Y268" s="20" t="s">
        <v>7871</v>
      </c>
    </row>
    <row r="269">
      <c r="A269" s="9">
        <v>257.0</v>
      </c>
      <c r="B269" s="10" t="s">
        <v>7872</v>
      </c>
      <c r="C269" s="11" t="s">
        <v>7873</v>
      </c>
      <c r="D269" s="12" t="s">
        <v>41</v>
      </c>
      <c r="E269" s="13" t="s">
        <v>7874</v>
      </c>
      <c r="F269" s="12">
        <v>27.0</v>
      </c>
      <c r="G269" s="12">
        <v>1998.0</v>
      </c>
      <c r="H269" s="14">
        <v>36.0</v>
      </c>
      <c r="I269" s="16">
        <v>2224.0</v>
      </c>
      <c r="J269" s="15">
        <v>62.0</v>
      </c>
      <c r="K269" s="15">
        <v>65.0</v>
      </c>
      <c r="L269" s="15">
        <v>24.7</v>
      </c>
      <c r="M269" s="17">
        <v>1.05</v>
      </c>
      <c r="N269" s="15">
        <v>76.0</v>
      </c>
      <c r="O269" s="18">
        <v>0.4</v>
      </c>
      <c r="P269" s="17">
        <v>0.4</v>
      </c>
      <c r="Q269" s="15">
        <v>26.0</v>
      </c>
      <c r="R269" s="19">
        <v>0.0</v>
      </c>
      <c r="S269" s="14">
        <v>2.25</v>
      </c>
      <c r="T269" s="18">
        <v>2.06</v>
      </c>
      <c r="U269" s="18">
        <v>0.57</v>
      </c>
      <c r="V269" s="54">
        <v>1.5</v>
      </c>
      <c r="W269" s="55">
        <f>+1.5</f>
        <v>1.5</v>
      </c>
      <c r="X269" s="55">
        <f>+0.97</f>
        <v>0.97</v>
      </c>
      <c r="Y269" s="20" t="s">
        <v>7875</v>
      </c>
    </row>
    <row r="270">
      <c r="A270" s="9">
        <v>258.0</v>
      </c>
      <c r="B270" s="10" t="s">
        <v>7876</v>
      </c>
      <c r="C270" s="11" t="s">
        <v>7877</v>
      </c>
      <c r="D270" s="12" t="s">
        <v>41</v>
      </c>
      <c r="E270" s="13" t="s">
        <v>7878</v>
      </c>
      <c r="F270" s="12">
        <v>25.0</v>
      </c>
      <c r="G270" s="12">
        <v>2000.0</v>
      </c>
      <c r="H270" s="14">
        <v>35.0</v>
      </c>
      <c r="I270" s="16">
        <v>2953.0</v>
      </c>
      <c r="J270" s="15">
        <v>84.0</v>
      </c>
      <c r="K270" s="15">
        <v>86.3</v>
      </c>
      <c r="L270" s="15">
        <v>32.8</v>
      </c>
      <c r="M270" s="17">
        <v>1.04</v>
      </c>
      <c r="N270" s="15">
        <v>86.0</v>
      </c>
      <c r="O270" s="18">
        <v>0.79</v>
      </c>
      <c r="P270" s="17">
        <v>0.03</v>
      </c>
      <c r="Q270" s="15">
        <v>18.0</v>
      </c>
      <c r="R270" s="18">
        <v>0.03</v>
      </c>
      <c r="S270" s="14">
        <v>2.06</v>
      </c>
      <c r="T270" s="18">
        <v>2.1</v>
      </c>
      <c r="U270" s="18">
        <v>0.98</v>
      </c>
      <c r="V270" s="54">
        <v>1.13</v>
      </c>
      <c r="W270" s="55">
        <f>+1.13</f>
        <v>1.13</v>
      </c>
      <c r="X270" s="55">
        <f>+0.16</f>
        <v>0.16</v>
      </c>
      <c r="Y270" s="20" t="s">
        <v>7879</v>
      </c>
    </row>
    <row r="271">
      <c r="A271" s="9">
        <v>259.0</v>
      </c>
      <c r="B271" s="10" t="s">
        <v>7880</v>
      </c>
      <c r="C271" s="11" t="s">
        <v>7881</v>
      </c>
      <c r="D271" s="12" t="s">
        <v>36</v>
      </c>
      <c r="E271" s="13" t="s">
        <v>7882</v>
      </c>
      <c r="F271" s="12">
        <v>20.0</v>
      </c>
      <c r="G271" s="12">
        <v>2004.0</v>
      </c>
      <c r="H271" s="14">
        <v>30.0</v>
      </c>
      <c r="I271" s="16">
        <v>2181.0</v>
      </c>
      <c r="J271" s="15">
        <v>73.0</v>
      </c>
      <c r="K271" s="15">
        <v>63.8</v>
      </c>
      <c r="L271" s="15">
        <v>24.2</v>
      </c>
      <c r="M271" s="17">
        <v>0.99</v>
      </c>
      <c r="N271" s="15">
        <v>86.0</v>
      </c>
      <c r="O271" s="18">
        <v>0.79</v>
      </c>
      <c r="P271" s="17">
        <v>0.25</v>
      </c>
      <c r="Q271" s="15">
        <v>19.0</v>
      </c>
      <c r="R271" s="18">
        <v>0.17</v>
      </c>
      <c r="S271" s="14">
        <v>1.3</v>
      </c>
      <c r="T271" s="18">
        <v>1.4</v>
      </c>
      <c r="U271" s="18">
        <v>1.61</v>
      </c>
      <c r="V271" s="56">
        <v>-0.21</v>
      </c>
      <c r="W271" s="57">
        <v>-0.21</v>
      </c>
      <c r="X271" s="57">
        <v>-0.42</v>
      </c>
      <c r="Y271" s="20" t="s">
        <v>7883</v>
      </c>
    </row>
    <row r="272">
      <c r="A272" s="9">
        <v>260.0</v>
      </c>
      <c r="B272" s="10" t="s">
        <v>7884</v>
      </c>
      <c r="C272" s="11" t="s">
        <v>7885</v>
      </c>
      <c r="D272" s="12" t="s">
        <v>41</v>
      </c>
      <c r="E272" s="13" t="s">
        <v>7886</v>
      </c>
      <c r="F272" s="12">
        <v>28.0</v>
      </c>
      <c r="G272" s="12">
        <v>1996.0</v>
      </c>
      <c r="H272" s="14">
        <v>11.0</v>
      </c>
      <c r="I272" s="15">
        <v>269.0</v>
      </c>
      <c r="J272" s="15">
        <v>24.0</v>
      </c>
      <c r="K272" s="15">
        <v>7.9</v>
      </c>
      <c r="L272" s="15">
        <v>3.0</v>
      </c>
      <c r="M272" s="17">
        <v>0.33</v>
      </c>
      <c r="N272" s="15">
        <v>65.0</v>
      </c>
      <c r="O272" s="19">
        <v>0.0</v>
      </c>
      <c r="P272" s="17">
        <v>3.33</v>
      </c>
      <c r="Q272" s="15">
        <v>20.0</v>
      </c>
      <c r="R272" s="18">
        <v>3.0</v>
      </c>
      <c r="S272" s="14">
        <v>1.09</v>
      </c>
      <c r="T272" s="18">
        <v>0.33</v>
      </c>
      <c r="U272" s="18">
        <v>1.67</v>
      </c>
      <c r="V272" s="56">
        <v>-1.33</v>
      </c>
      <c r="W272" s="57">
        <v>-1.34</v>
      </c>
      <c r="X272" s="57">
        <v>-1.25</v>
      </c>
      <c r="Y272" s="20" t="s">
        <v>7887</v>
      </c>
    </row>
    <row r="273">
      <c r="A273" s="9">
        <v>261.0</v>
      </c>
      <c r="B273" s="10" t="s">
        <v>7888</v>
      </c>
      <c r="C273" s="11" t="s">
        <v>7889</v>
      </c>
      <c r="D273" s="12" t="s">
        <v>36</v>
      </c>
      <c r="E273" s="13" t="s">
        <v>7890</v>
      </c>
      <c r="F273" s="12">
        <v>23.0</v>
      </c>
      <c r="G273" s="12">
        <v>2001.0</v>
      </c>
      <c r="H273" s="14">
        <v>21.0</v>
      </c>
      <c r="I273" s="16">
        <v>1825.0</v>
      </c>
      <c r="J273" s="15">
        <v>87.0</v>
      </c>
      <c r="K273" s="15">
        <v>53.4</v>
      </c>
      <c r="L273" s="15">
        <v>20.3</v>
      </c>
      <c r="M273" s="17">
        <v>1.03</v>
      </c>
      <c r="N273" s="15">
        <v>87.0</v>
      </c>
      <c r="O273" s="18">
        <v>0.79</v>
      </c>
      <c r="P273" s="22">
        <v>0.0</v>
      </c>
      <c r="Q273" s="36"/>
      <c r="R273" s="18">
        <v>0.44</v>
      </c>
      <c r="S273" s="14">
        <v>0.52</v>
      </c>
      <c r="T273" s="18">
        <v>0.89</v>
      </c>
      <c r="U273" s="18">
        <v>1.97</v>
      </c>
      <c r="V273" s="56">
        <v>-1.08</v>
      </c>
      <c r="W273" s="57">
        <v>-1.08</v>
      </c>
      <c r="X273" s="57">
        <v>-0.24</v>
      </c>
      <c r="Y273" s="20" t="s">
        <v>7891</v>
      </c>
    </row>
    <row r="274">
      <c r="A274" s="9">
        <v>262.0</v>
      </c>
      <c r="B274" s="10" t="s">
        <v>7892</v>
      </c>
      <c r="C274" s="11" t="s">
        <v>7893</v>
      </c>
      <c r="D274" s="12" t="s">
        <v>36</v>
      </c>
      <c r="E274" s="13" t="s">
        <v>7894</v>
      </c>
      <c r="F274" s="12">
        <v>19.0</v>
      </c>
      <c r="G274" s="12">
        <v>2006.0</v>
      </c>
      <c r="H274" s="14">
        <v>22.0</v>
      </c>
      <c r="I274" s="16">
        <v>1148.0</v>
      </c>
      <c r="J274" s="15">
        <v>52.0</v>
      </c>
      <c r="K274" s="15">
        <v>33.6</v>
      </c>
      <c r="L274" s="15">
        <v>12.8</v>
      </c>
      <c r="M274" s="17">
        <v>0.94</v>
      </c>
      <c r="N274" s="15">
        <v>77.0</v>
      </c>
      <c r="O274" s="18">
        <v>0.55</v>
      </c>
      <c r="P274" s="17">
        <v>0.78</v>
      </c>
      <c r="Q274" s="15">
        <v>23.0</v>
      </c>
      <c r="R274" s="18">
        <v>1.02</v>
      </c>
      <c r="S274" s="14">
        <v>1.32</v>
      </c>
      <c r="T274" s="18">
        <v>1.02</v>
      </c>
      <c r="U274" s="18">
        <v>2.11</v>
      </c>
      <c r="V274" s="56">
        <v>-1.09</v>
      </c>
      <c r="W274" s="57">
        <v>-1.1</v>
      </c>
      <c r="X274" s="57">
        <v>-1.89</v>
      </c>
      <c r="Y274" s="20" t="s">
        <v>7895</v>
      </c>
    </row>
    <row r="275">
      <c r="A275" s="9">
        <v>263.0</v>
      </c>
      <c r="B275" s="10" t="s">
        <v>7896</v>
      </c>
      <c r="C275" s="11" t="s">
        <v>7897</v>
      </c>
      <c r="D275" s="12" t="s">
        <v>107</v>
      </c>
      <c r="E275" s="13" t="s">
        <v>7898</v>
      </c>
      <c r="F275" s="12">
        <v>26.0</v>
      </c>
      <c r="G275" s="12">
        <v>1999.0</v>
      </c>
      <c r="H275" s="14">
        <v>12.0</v>
      </c>
      <c r="I275" s="15">
        <v>581.0</v>
      </c>
      <c r="J275" s="15">
        <v>48.0</v>
      </c>
      <c r="K275" s="15">
        <v>17.0</v>
      </c>
      <c r="L275" s="15">
        <v>6.5</v>
      </c>
      <c r="M275" s="17">
        <v>1.08</v>
      </c>
      <c r="N275" s="15">
        <v>62.0</v>
      </c>
      <c r="O275" s="18">
        <v>0.15</v>
      </c>
      <c r="P275" s="17">
        <v>0.77</v>
      </c>
      <c r="Q275" s="15">
        <v>29.0</v>
      </c>
      <c r="R275" s="18">
        <v>0.31</v>
      </c>
      <c r="S275" s="14">
        <v>2.5</v>
      </c>
      <c r="T275" s="18">
        <v>1.54</v>
      </c>
      <c r="U275" s="18">
        <v>0.62</v>
      </c>
      <c r="V275" s="54">
        <v>0.92</v>
      </c>
      <c r="W275" s="55">
        <f>+0.93</f>
        <v>0.93</v>
      </c>
      <c r="X275" s="57">
        <v>-0.28</v>
      </c>
      <c r="Y275" s="20" t="s">
        <v>7899</v>
      </c>
    </row>
    <row r="276">
      <c r="A276" s="9">
        <v>264.0</v>
      </c>
      <c r="B276" s="10" t="s">
        <v>7900</v>
      </c>
      <c r="C276" s="11" t="s">
        <v>7901</v>
      </c>
      <c r="D276" s="12" t="s">
        <v>98</v>
      </c>
      <c r="E276" s="13" t="s">
        <v>7902</v>
      </c>
      <c r="F276" s="12">
        <v>39.0</v>
      </c>
      <c r="G276" s="12">
        <v>1986.0</v>
      </c>
      <c r="H276" s="23">
        <v>0.0</v>
      </c>
      <c r="I276" s="36"/>
      <c r="J276" s="36"/>
      <c r="K276" s="36"/>
      <c r="L276" s="36"/>
      <c r="M276" s="23">
        <v>0.0</v>
      </c>
      <c r="N276" s="36"/>
      <c r="O276" s="21">
        <v>0.0</v>
      </c>
      <c r="P276" s="23">
        <v>0.0</v>
      </c>
      <c r="Q276" s="36"/>
      <c r="R276" s="15">
        <v>4.0</v>
      </c>
      <c r="S276" s="58"/>
      <c r="T276" s="36"/>
      <c r="U276" s="36"/>
      <c r="V276" s="36"/>
      <c r="W276" s="36"/>
      <c r="X276" s="36"/>
      <c r="Y276" s="20" t="s">
        <v>7903</v>
      </c>
    </row>
    <row r="277">
      <c r="A277" s="9">
        <v>265.0</v>
      </c>
      <c r="B277" s="10" t="s">
        <v>7904</v>
      </c>
      <c r="C277" s="11" t="s">
        <v>7905</v>
      </c>
      <c r="D277" s="12" t="s">
        <v>36</v>
      </c>
      <c r="E277" s="13" t="s">
        <v>7906</v>
      </c>
      <c r="F277" s="12">
        <v>18.0</v>
      </c>
      <c r="G277" s="12">
        <v>2006.0</v>
      </c>
      <c r="H277" s="14">
        <v>17.0</v>
      </c>
      <c r="I277" s="15">
        <v>924.0</v>
      </c>
      <c r="J277" s="15">
        <v>54.0</v>
      </c>
      <c r="K277" s="15">
        <v>27.0</v>
      </c>
      <c r="L277" s="15">
        <v>10.3</v>
      </c>
      <c r="M277" s="17">
        <v>1.07</v>
      </c>
      <c r="N277" s="15">
        <v>80.0</v>
      </c>
      <c r="O277" s="18">
        <v>0.68</v>
      </c>
      <c r="P277" s="17">
        <v>0.58</v>
      </c>
      <c r="Q277" s="15">
        <v>8.0</v>
      </c>
      <c r="R277" s="18">
        <v>2.04</v>
      </c>
      <c r="S277" s="14">
        <v>2.0</v>
      </c>
      <c r="T277" s="18">
        <v>1.94</v>
      </c>
      <c r="U277" s="18">
        <v>1.46</v>
      </c>
      <c r="V277" s="54">
        <v>0.49</v>
      </c>
      <c r="W277" s="55">
        <f>+0.49</f>
        <v>0.49</v>
      </c>
      <c r="X277" s="57">
        <v>-0.02</v>
      </c>
      <c r="Y277" s="20" t="s">
        <v>7907</v>
      </c>
    </row>
    <row r="278">
      <c r="A278" s="9">
        <v>266.0</v>
      </c>
      <c r="B278" s="10" t="s">
        <v>7908</v>
      </c>
      <c r="C278" s="11" t="s">
        <v>7909</v>
      </c>
      <c r="D278" s="12" t="s">
        <v>36</v>
      </c>
      <c r="E278" s="13" t="s">
        <v>7910</v>
      </c>
      <c r="F278" s="12">
        <v>25.0</v>
      </c>
      <c r="G278" s="12">
        <v>2000.0</v>
      </c>
      <c r="H278" s="14">
        <v>36.0</v>
      </c>
      <c r="I278" s="16">
        <v>3210.0</v>
      </c>
      <c r="J278" s="15">
        <v>89.0</v>
      </c>
      <c r="K278" s="15">
        <v>93.9</v>
      </c>
      <c r="L278" s="15">
        <v>35.7</v>
      </c>
      <c r="M278" s="17">
        <v>1.01</v>
      </c>
      <c r="N278" s="15">
        <v>89.0</v>
      </c>
      <c r="O278" s="18">
        <v>0.98</v>
      </c>
      <c r="P278" s="22">
        <v>0.0</v>
      </c>
      <c r="Q278" s="36"/>
      <c r="R278" s="19">
        <v>0.0</v>
      </c>
      <c r="S278" s="14">
        <v>1.44</v>
      </c>
      <c r="T278" s="18">
        <v>1.46</v>
      </c>
      <c r="U278" s="18">
        <v>1.23</v>
      </c>
      <c r="V278" s="54">
        <v>0.22</v>
      </c>
      <c r="W278" s="55">
        <f>+0.22</f>
        <v>0.22</v>
      </c>
      <c r="X278" s="55">
        <f>+1.08</f>
        <v>1.08</v>
      </c>
      <c r="Y278" s="20" t="s">
        <v>7911</v>
      </c>
    </row>
    <row r="279">
      <c r="A279" s="9">
        <v>267.0</v>
      </c>
      <c r="B279" s="10" t="s">
        <v>7912</v>
      </c>
      <c r="C279" s="11" t="s">
        <v>7913</v>
      </c>
      <c r="D279" s="12" t="s">
        <v>107</v>
      </c>
      <c r="E279" s="13" t="s">
        <v>7914</v>
      </c>
      <c r="F279" s="12">
        <v>29.0</v>
      </c>
      <c r="G279" s="12">
        <v>1996.0</v>
      </c>
      <c r="H279" s="14">
        <v>26.0</v>
      </c>
      <c r="I279" s="16">
        <v>1446.0</v>
      </c>
      <c r="J279" s="15">
        <v>56.0</v>
      </c>
      <c r="K279" s="15">
        <v>42.3</v>
      </c>
      <c r="L279" s="15">
        <v>16.1</v>
      </c>
      <c r="M279" s="17">
        <v>1.12</v>
      </c>
      <c r="N279" s="15">
        <v>73.0</v>
      </c>
      <c r="O279" s="18">
        <v>0.06</v>
      </c>
      <c r="P279" s="17">
        <v>0.5</v>
      </c>
      <c r="Q279" s="15">
        <v>17.0</v>
      </c>
      <c r="R279" s="18">
        <v>0.43</v>
      </c>
      <c r="S279" s="14">
        <v>0.38</v>
      </c>
      <c r="T279" s="18">
        <v>0.62</v>
      </c>
      <c r="U279" s="18">
        <v>1.8</v>
      </c>
      <c r="V279" s="56">
        <v>-1.18</v>
      </c>
      <c r="W279" s="57">
        <v>-1.18</v>
      </c>
      <c r="X279" s="57">
        <v>-0.18</v>
      </c>
      <c r="Y279" s="20" t="s">
        <v>7915</v>
      </c>
    </row>
    <row r="280">
      <c r="A280" s="9">
        <v>268.0</v>
      </c>
      <c r="B280" s="10" t="s">
        <v>7916</v>
      </c>
      <c r="C280" s="11" t="s">
        <v>7917</v>
      </c>
      <c r="D280" s="12" t="s">
        <v>31</v>
      </c>
      <c r="E280" s="13" t="s">
        <v>7918</v>
      </c>
      <c r="F280" s="12">
        <v>18.0</v>
      </c>
      <c r="G280" s="12">
        <v>2007.0</v>
      </c>
      <c r="H280" s="14">
        <v>2.0</v>
      </c>
      <c r="I280" s="15">
        <v>27.0</v>
      </c>
      <c r="J280" s="15">
        <v>14.0</v>
      </c>
      <c r="K280" s="15">
        <v>0.8</v>
      </c>
      <c r="L280" s="15">
        <v>0.3</v>
      </c>
      <c r="M280" s="22">
        <v>0.0</v>
      </c>
      <c r="N280" s="36"/>
      <c r="O280" s="19">
        <v>0.0</v>
      </c>
      <c r="P280" s="17">
        <v>6.67</v>
      </c>
      <c r="Q280" s="15">
        <v>14.0</v>
      </c>
      <c r="R280" s="18">
        <v>33.3</v>
      </c>
      <c r="S280" s="23">
        <v>0.0</v>
      </c>
      <c r="T280" s="18">
        <v>3.33</v>
      </c>
      <c r="U280" s="19">
        <v>0.0</v>
      </c>
      <c r="V280" s="54">
        <v>3.33</v>
      </c>
      <c r="W280" s="55">
        <f>+3.33</f>
        <v>3.33</v>
      </c>
      <c r="X280" s="55">
        <f>+3.17</f>
        <v>3.17</v>
      </c>
      <c r="Y280" s="20" t="s">
        <v>7919</v>
      </c>
    </row>
    <row r="281">
      <c r="A281" s="9">
        <v>269.0</v>
      </c>
      <c r="B281" s="10" t="s">
        <v>7920</v>
      </c>
      <c r="C281" s="11" t="s">
        <v>7921</v>
      </c>
      <c r="D281" s="12" t="s">
        <v>98</v>
      </c>
      <c r="E281" s="13" t="s">
        <v>7922</v>
      </c>
      <c r="F281" s="12">
        <v>28.0</v>
      </c>
      <c r="G281" s="12">
        <v>1997.0</v>
      </c>
      <c r="H281" s="14">
        <v>37.0</v>
      </c>
      <c r="I281" s="16">
        <v>3330.0</v>
      </c>
      <c r="J281" s="15">
        <v>90.0</v>
      </c>
      <c r="K281" s="15">
        <v>97.4</v>
      </c>
      <c r="L281" s="15">
        <v>37.0</v>
      </c>
      <c r="M281" s="17">
        <v>1.0</v>
      </c>
      <c r="N281" s="15">
        <v>90.0</v>
      </c>
      <c r="O281" s="18">
        <v>1.0</v>
      </c>
      <c r="P281" s="22">
        <v>0.0</v>
      </c>
      <c r="Q281" s="36"/>
      <c r="R281" s="19">
        <v>0.0</v>
      </c>
      <c r="S281" s="14">
        <v>1.19</v>
      </c>
      <c r="T281" s="18">
        <v>1.11</v>
      </c>
      <c r="U281" s="18">
        <v>1.38</v>
      </c>
      <c r="V281" s="56">
        <v>-0.27</v>
      </c>
      <c r="W281" s="57">
        <v>-0.27</v>
      </c>
      <c r="X281" s="57">
        <v>-0.27</v>
      </c>
      <c r="Y281" s="20" t="s">
        <v>7923</v>
      </c>
    </row>
    <row r="282">
      <c r="A282" s="9">
        <v>270.0</v>
      </c>
      <c r="B282" s="10" t="s">
        <v>7924</v>
      </c>
      <c r="C282" s="11" t="s">
        <v>7925</v>
      </c>
      <c r="D282" s="12" t="s">
        <v>31</v>
      </c>
      <c r="E282" s="13" t="s">
        <v>7926</v>
      </c>
      <c r="F282" s="12">
        <v>35.0</v>
      </c>
      <c r="G282" s="12">
        <v>1990.0</v>
      </c>
      <c r="H282" s="14">
        <v>32.0</v>
      </c>
      <c r="I282" s="16">
        <v>1919.0</v>
      </c>
      <c r="J282" s="15">
        <v>60.0</v>
      </c>
      <c r="K282" s="15">
        <v>56.1</v>
      </c>
      <c r="L282" s="15">
        <v>21.3</v>
      </c>
      <c r="M282" s="17">
        <v>1.03</v>
      </c>
      <c r="N282" s="15">
        <v>79.0</v>
      </c>
      <c r="O282" s="18">
        <v>0.47</v>
      </c>
      <c r="P282" s="17">
        <v>0.47</v>
      </c>
      <c r="Q282" s="15">
        <v>18.0</v>
      </c>
      <c r="R282" s="18">
        <v>0.05</v>
      </c>
      <c r="S282" s="14">
        <v>1.41</v>
      </c>
      <c r="T282" s="18">
        <v>1.31</v>
      </c>
      <c r="U282" s="18">
        <v>1.31</v>
      </c>
      <c r="V282" s="19">
        <v>0.0</v>
      </c>
      <c r="W282" s="21">
        <v>0.0</v>
      </c>
      <c r="X282" s="57">
        <v>-0.18</v>
      </c>
      <c r="Y282" s="20" t="s">
        <v>7927</v>
      </c>
    </row>
    <row r="283">
      <c r="A283" s="9">
        <v>271.0</v>
      </c>
      <c r="B283" s="10" t="s">
        <v>7928</v>
      </c>
      <c r="C283" s="11" t="s">
        <v>7929</v>
      </c>
      <c r="D283" s="12" t="s">
        <v>36</v>
      </c>
      <c r="E283" s="13" t="s">
        <v>7930</v>
      </c>
      <c r="F283" s="12">
        <v>28.0</v>
      </c>
      <c r="G283" s="12">
        <v>1997.0</v>
      </c>
      <c r="H283" s="14">
        <v>25.0</v>
      </c>
      <c r="I283" s="16">
        <v>1328.0</v>
      </c>
      <c r="J283" s="15">
        <v>53.0</v>
      </c>
      <c r="K283" s="15">
        <v>38.8</v>
      </c>
      <c r="L283" s="15">
        <v>14.8</v>
      </c>
      <c r="M283" s="17">
        <v>0.95</v>
      </c>
      <c r="N283" s="15">
        <v>80.0</v>
      </c>
      <c r="O283" s="18">
        <v>0.41</v>
      </c>
      <c r="P283" s="17">
        <v>0.74</v>
      </c>
      <c r="Q283" s="15">
        <v>19.0</v>
      </c>
      <c r="R283" s="18">
        <v>0.27</v>
      </c>
      <c r="S283" s="14">
        <v>1.64</v>
      </c>
      <c r="T283" s="18">
        <v>1.89</v>
      </c>
      <c r="U283" s="18">
        <v>1.49</v>
      </c>
      <c r="V283" s="54">
        <v>0.41</v>
      </c>
      <c r="W283" s="55">
        <f>+0.41</f>
        <v>0.41</v>
      </c>
      <c r="X283" s="55">
        <f>+0.54</f>
        <v>0.54</v>
      </c>
      <c r="Y283" s="20" t="s">
        <v>7931</v>
      </c>
    </row>
    <row r="284">
      <c r="A284" s="9">
        <v>272.0</v>
      </c>
      <c r="B284" s="10" t="s">
        <v>7932</v>
      </c>
      <c r="C284" s="11" t="s">
        <v>7933</v>
      </c>
      <c r="D284" s="12" t="s">
        <v>98</v>
      </c>
      <c r="E284" s="13" t="s">
        <v>7934</v>
      </c>
      <c r="F284" s="12">
        <v>25.0</v>
      </c>
      <c r="G284" s="12">
        <v>2000.0</v>
      </c>
      <c r="H284" s="14">
        <v>18.0</v>
      </c>
      <c r="I284" s="16">
        <v>1620.0</v>
      </c>
      <c r="J284" s="15">
        <v>90.0</v>
      </c>
      <c r="K284" s="15">
        <v>47.4</v>
      </c>
      <c r="L284" s="15">
        <v>18.0</v>
      </c>
      <c r="M284" s="17">
        <v>1.0</v>
      </c>
      <c r="N284" s="15">
        <v>90.0</v>
      </c>
      <c r="O284" s="18">
        <v>1.0</v>
      </c>
      <c r="P284" s="22">
        <v>0.0</v>
      </c>
      <c r="Q284" s="36"/>
      <c r="R284" s="18">
        <v>1.11</v>
      </c>
      <c r="S284" s="14">
        <v>1.22</v>
      </c>
      <c r="T284" s="18">
        <v>1.17</v>
      </c>
      <c r="U284" s="18">
        <v>1.56</v>
      </c>
      <c r="V284" s="56">
        <v>-0.39</v>
      </c>
      <c r="W284" s="57">
        <v>-0.39</v>
      </c>
      <c r="X284" s="55">
        <f>+0.21</f>
        <v>0.21</v>
      </c>
      <c r="Y284" s="20" t="s">
        <v>7935</v>
      </c>
    </row>
    <row r="285">
      <c r="A285" s="9">
        <v>273.0</v>
      </c>
      <c r="B285" s="10" t="s">
        <v>7936</v>
      </c>
      <c r="C285" s="11" t="s">
        <v>7937</v>
      </c>
      <c r="D285" s="12" t="s">
        <v>98</v>
      </c>
      <c r="E285" s="13" t="s">
        <v>7938</v>
      </c>
      <c r="F285" s="12">
        <v>19.0</v>
      </c>
      <c r="G285" s="12">
        <v>2006.0</v>
      </c>
      <c r="H285" s="23">
        <v>0.0</v>
      </c>
      <c r="I285" s="36"/>
      <c r="J285" s="36"/>
      <c r="K285" s="36"/>
      <c r="L285" s="36"/>
      <c r="M285" s="23">
        <v>0.0</v>
      </c>
      <c r="N285" s="36"/>
      <c r="O285" s="21">
        <v>0.0</v>
      </c>
      <c r="P285" s="23">
        <v>0.0</v>
      </c>
      <c r="Q285" s="36"/>
      <c r="R285" s="15">
        <v>1.0</v>
      </c>
      <c r="S285" s="58"/>
      <c r="T285" s="36"/>
      <c r="U285" s="36"/>
      <c r="V285" s="36"/>
      <c r="W285" s="36"/>
      <c r="X285" s="36"/>
      <c r="Y285" s="20" t="s">
        <v>7939</v>
      </c>
    </row>
    <row r="286">
      <c r="A286" s="9">
        <v>274.0</v>
      </c>
      <c r="B286" s="10" t="s">
        <v>7940</v>
      </c>
      <c r="C286" s="11" t="s">
        <v>7941</v>
      </c>
      <c r="D286" s="12" t="s">
        <v>41</v>
      </c>
      <c r="E286" s="13" t="s">
        <v>7942</v>
      </c>
      <c r="F286" s="12">
        <v>17.0</v>
      </c>
      <c r="G286" s="12">
        <v>2008.0</v>
      </c>
      <c r="H286" s="23">
        <v>0.0</v>
      </c>
      <c r="I286" s="36"/>
      <c r="J286" s="36"/>
      <c r="K286" s="36"/>
      <c r="L286" s="36"/>
      <c r="M286" s="23">
        <v>0.0</v>
      </c>
      <c r="N286" s="36"/>
      <c r="O286" s="21">
        <v>0.0</v>
      </c>
      <c r="P286" s="23">
        <v>0.0</v>
      </c>
      <c r="Q286" s="36"/>
      <c r="R286" s="15">
        <v>5.0</v>
      </c>
      <c r="S286" s="58"/>
      <c r="T286" s="36"/>
      <c r="U286" s="36"/>
      <c r="V286" s="36"/>
      <c r="W286" s="36"/>
      <c r="X286" s="36"/>
      <c r="Y286" s="20" t="s">
        <v>7943</v>
      </c>
    </row>
    <row r="287">
      <c r="A287" s="9">
        <v>275.0</v>
      </c>
      <c r="B287" s="10" t="s">
        <v>7944</v>
      </c>
      <c r="C287" s="11" t="s">
        <v>7945</v>
      </c>
      <c r="D287" s="12" t="s">
        <v>345</v>
      </c>
      <c r="E287" s="13" t="s">
        <v>7946</v>
      </c>
      <c r="F287" s="12">
        <v>23.0</v>
      </c>
      <c r="G287" s="12">
        <v>2002.0</v>
      </c>
      <c r="H287" s="14">
        <v>21.0</v>
      </c>
      <c r="I287" s="15">
        <v>690.0</v>
      </c>
      <c r="J287" s="15">
        <v>33.0</v>
      </c>
      <c r="K287" s="15">
        <v>20.2</v>
      </c>
      <c r="L287" s="15">
        <v>7.7</v>
      </c>
      <c r="M287" s="17">
        <v>1.04</v>
      </c>
      <c r="N287" s="15">
        <v>68.0</v>
      </c>
      <c r="O287" s="18">
        <v>0.13</v>
      </c>
      <c r="P287" s="17">
        <v>1.69</v>
      </c>
      <c r="Q287" s="15">
        <v>11.0</v>
      </c>
      <c r="R287" s="18">
        <v>1.04</v>
      </c>
      <c r="S287" s="14">
        <v>1.48</v>
      </c>
      <c r="T287" s="18">
        <v>1.17</v>
      </c>
      <c r="U287" s="18">
        <v>1.17</v>
      </c>
      <c r="V287" s="19">
        <v>0.0</v>
      </c>
      <c r="W287" s="21">
        <v>0.0</v>
      </c>
      <c r="X287" s="57">
        <v>-0.1</v>
      </c>
      <c r="Y287" s="20" t="s">
        <v>7947</v>
      </c>
    </row>
    <row r="288">
      <c r="A288" s="37" t="s">
        <v>3</v>
      </c>
      <c r="B288" s="38" t="s">
        <v>4</v>
      </c>
      <c r="C288" s="39" t="s">
        <v>5</v>
      </c>
      <c r="D288" s="39" t="s">
        <v>6</v>
      </c>
      <c r="E288" s="39" t="s">
        <v>7</v>
      </c>
      <c r="F288" s="39" t="s">
        <v>8</v>
      </c>
      <c r="G288" s="39" t="s">
        <v>9</v>
      </c>
      <c r="H288" s="40" t="s">
        <v>10</v>
      </c>
      <c r="I288" s="39" t="s">
        <v>12</v>
      </c>
      <c r="J288" s="39" t="s">
        <v>6838</v>
      </c>
      <c r="K288" s="39" t="s">
        <v>6839</v>
      </c>
      <c r="L288" s="39" t="s">
        <v>13</v>
      </c>
      <c r="M288" s="40" t="s">
        <v>11</v>
      </c>
      <c r="N288" s="39" t="s">
        <v>6840</v>
      </c>
      <c r="O288" s="39" t="s">
        <v>6841</v>
      </c>
      <c r="P288" s="40" t="s">
        <v>6836</v>
      </c>
      <c r="Q288" s="39" t="s">
        <v>6842</v>
      </c>
      <c r="R288" s="39" t="s">
        <v>6843</v>
      </c>
      <c r="S288" s="40" t="s">
        <v>6844</v>
      </c>
      <c r="T288" s="39" t="s">
        <v>6845</v>
      </c>
      <c r="U288" s="39" t="s">
        <v>6846</v>
      </c>
      <c r="V288" s="59" t="str">
        <f>+/-</f>
        <v>#ERROR!</v>
      </c>
      <c r="W288" s="59" t="str">
        <f>+/-90</f>
        <v>#ERROR!</v>
      </c>
      <c r="X288" s="39" t="s">
        <v>6847</v>
      </c>
      <c r="Y288" s="40" t="s">
        <v>23</v>
      </c>
    </row>
    <row r="289">
      <c r="A289" s="9">
        <v>276.0</v>
      </c>
      <c r="B289" s="10" t="s">
        <v>7948</v>
      </c>
      <c r="C289" s="11" t="s">
        <v>7949</v>
      </c>
      <c r="D289" s="12" t="s">
        <v>36</v>
      </c>
      <c r="E289" s="13" t="s">
        <v>7950</v>
      </c>
      <c r="F289" s="12">
        <v>23.0</v>
      </c>
      <c r="G289" s="12">
        <v>2002.0</v>
      </c>
      <c r="H289" s="14">
        <v>29.0</v>
      </c>
      <c r="I289" s="16">
        <v>2106.0</v>
      </c>
      <c r="J289" s="15">
        <v>73.0</v>
      </c>
      <c r="K289" s="15">
        <v>61.6</v>
      </c>
      <c r="L289" s="15">
        <v>23.4</v>
      </c>
      <c r="M289" s="17">
        <v>0.94</v>
      </c>
      <c r="N289" s="15">
        <v>88.0</v>
      </c>
      <c r="O289" s="18">
        <v>0.85</v>
      </c>
      <c r="P289" s="17">
        <v>0.3</v>
      </c>
      <c r="Q289" s="15">
        <v>23.0</v>
      </c>
      <c r="R289" s="18">
        <v>0.21</v>
      </c>
      <c r="S289" s="14">
        <v>1.76</v>
      </c>
      <c r="T289" s="18">
        <v>1.45</v>
      </c>
      <c r="U289" s="18">
        <v>1.03</v>
      </c>
      <c r="V289" s="54">
        <v>0.43</v>
      </c>
      <c r="W289" s="55">
        <f>+0.43</f>
        <v>0.43</v>
      </c>
      <c r="X289" s="55">
        <f>+0.84</f>
        <v>0.84</v>
      </c>
      <c r="Y289" s="20" t="s">
        <v>7951</v>
      </c>
    </row>
    <row r="290">
      <c r="A290" s="9">
        <v>277.0</v>
      </c>
      <c r="B290" s="10" t="s">
        <v>7952</v>
      </c>
      <c r="C290" s="11" t="s">
        <v>7953</v>
      </c>
      <c r="D290" s="12" t="s">
        <v>36</v>
      </c>
      <c r="E290" s="13" t="s">
        <v>7954</v>
      </c>
      <c r="F290" s="12">
        <v>23.0</v>
      </c>
      <c r="G290" s="12">
        <v>2002.0</v>
      </c>
      <c r="H290" s="14">
        <v>25.0</v>
      </c>
      <c r="I290" s="16">
        <v>1792.0</v>
      </c>
      <c r="J290" s="15">
        <v>72.0</v>
      </c>
      <c r="K290" s="15">
        <v>52.4</v>
      </c>
      <c r="L290" s="15">
        <v>19.9</v>
      </c>
      <c r="M290" s="17">
        <v>1.01</v>
      </c>
      <c r="N290" s="15">
        <v>85.0</v>
      </c>
      <c r="O290" s="18">
        <v>0.75</v>
      </c>
      <c r="P290" s="17">
        <v>0.25</v>
      </c>
      <c r="Q290" s="15">
        <v>18.0</v>
      </c>
      <c r="R290" s="18">
        <v>0.25</v>
      </c>
      <c r="S290" s="14">
        <v>2.32</v>
      </c>
      <c r="T290" s="18">
        <v>2.06</v>
      </c>
      <c r="U290" s="18">
        <v>0.95</v>
      </c>
      <c r="V290" s="54">
        <v>1.11</v>
      </c>
      <c r="W290" s="55">
        <f>+1.1</f>
        <v>1.1</v>
      </c>
      <c r="X290" s="57">
        <v>-0.11</v>
      </c>
      <c r="Y290" s="20" t="s">
        <v>7955</v>
      </c>
    </row>
    <row r="291">
      <c r="A291" s="9">
        <v>278.0</v>
      </c>
      <c r="B291" s="10" t="s">
        <v>7956</v>
      </c>
      <c r="C291" s="11" t="s">
        <v>7957</v>
      </c>
      <c r="D291" s="12" t="s">
        <v>31</v>
      </c>
      <c r="E291" s="13" t="s">
        <v>7958</v>
      </c>
      <c r="F291" s="12">
        <v>20.0</v>
      </c>
      <c r="G291" s="12">
        <v>2005.0</v>
      </c>
      <c r="H291" s="14">
        <v>27.0</v>
      </c>
      <c r="I291" s="16">
        <v>1741.0</v>
      </c>
      <c r="J291" s="15">
        <v>64.0</v>
      </c>
      <c r="K291" s="15">
        <v>50.9</v>
      </c>
      <c r="L291" s="15">
        <v>19.3</v>
      </c>
      <c r="M291" s="17">
        <v>1.04</v>
      </c>
      <c r="N291" s="15">
        <v>76.0</v>
      </c>
      <c r="O291" s="18">
        <v>0.21</v>
      </c>
      <c r="P291" s="17">
        <v>0.36</v>
      </c>
      <c r="Q291" s="15">
        <v>32.0</v>
      </c>
      <c r="R291" s="18">
        <v>0.1</v>
      </c>
      <c r="S291" s="14">
        <v>1.33</v>
      </c>
      <c r="T291" s="18">
        <v>1.19</v>
      </c>
      <c r="U291" s="18">
        <v>1.19</v>
      </c>
      <c r="V291" s="19">
        <v>0.0</v>
      </c>
      <c r="W291" s="21">
        <v>0.0</v>
      </c>
      <c r="X291" s="57">
        <v>-0.32</v>
      </c>
      <c r="Y291" s="20" t="s">
        <v>7959</v>
      </c>
    </row>
    <row r="292">
      <c r="A292" s="9">
        <v>279.0</v>
      </c>
      <c r="B292" s="10" t="s">
        <v>7960</v>
      </c>
      <c r="C292" s="11" t="s">
        <v>7961</v>
      </c>
      <c r="D292" s="12" t="s">
        <v>264</v>
      </c>
      <c r="E292" s="13" t="s">
        <v>7962</v>
      </c>
      <c r="F292" s="12">
        <v>23.0</v>
      </c>
      <c r="G292" s="12">
        <v>2002.0</v>
      </c>
      <c r="H292" s="14">
        <v>8.0</v>
      </c>
      <c r="I292" s="15">
        <v>425.0</v>
      </c>
      <c r="J292" s="15">
        <v>53.0</v>
      </c>
      <c r="K292" s="15">
        <v>12.4</v>
      </c>
      <c r="L292" s="15">
        <v>4.7</v>
      </c>
      <c r="M292" s="17">
        <v>1.28</v>
      </c>
      <c r="N292" s="15">
        <v>65.0</v>
      </c>
      <c r="O292" s="19">
        <v>0.0</v>
      </c>
      <c r="P292" s="17">
        <v>0.43</v>
      </c>
      <c r="Q292" s="15">
        <v>17.0</v>
      </c>
      <c r="R292" s="18">
        <v>1.91</v>
      </c>
      <c r="S292" s="23">
        <v>0.0</v>
      </c>
      <c r="T292" s="18">
        <v>0.64</v>
      </c>
      <c r="U292" s="18">
        <v>2.77</v>
      </c>
      <c r="V292" s="56">
        <v>-2.13</v>
      </c>
      <c r="W292" s="57">
        <v>-2.12</v>
      </c>
      <c r="X292" s="57">
        <v>-1.19</v>
      </c>
      <c r="Y292" s="20" t="s">
        <v>7963</v>
      </c>
    </row>
    <row r="293">
      <c r="A293" s="9">
        <v>280.0</v>
      </c>
      <c r="B293" s="10" t="s">
        <v>7964</v>
      </c>
      <c r="C293" s="11" t="s">
        <v>7965</v>
      </c>
      <c r="D293" s="12" t="s">
        <v>98</v>
      </c>
      <c r="E293" s="13" t="s">
        <v>7966</v>
      </c>
      <c r="F293" s="12">
        <v>20.0</v>
      </c>
      <c r="G293" s="12">
        <v>2004.0</v>
      </c>
      <c r="H293" s="23">
        <v>0.0</v>
      </c>
      <c r="I293" s="36"/>
      <c r="J293" s="36"/>
      <c r="K293" s="36"/>
      <c r="L293" s="36"/>
      <c r="M293" s="23">
        <v>0.0</v>
      </c>
      <c r="N293" s="36"/>
      <c r="O293" s="21">
        <v>0.0</v>
      </c>
      <c r="P293" s="23">
        <v>0.0</v>
      </c>
      <c r="Q293" s="36"/>
      <c r="R293" s="15">
        <v>1.0</v>
      </c>
      <c r="S293" s="58"/>
      <c r="T293" s="36"/>
      <c r="U293" s="36"/>
      <c r="V293" s="36"/>
      <c r="W293" s="36"/>
      <c r="X293" s="36"/>
      <c r="Y293" s="20" t="s">
        <v>7967</v>
      </c>
    </row>
    <row r="294">
      <c r="A294" s="9">
        <v>281.0</v>
      </c>
      <c r="B294" s="10" t="s">
        <v>7968</v>
      </c>
      <c r="C294" s="11" t="s">
        <v>7969</v>
      </c>
      <c r="D294" s="12" t="s">
        <v>31</v>
      </c>
      <c r="E294" s="13" t="s">
        <v>7970</v>
      </c>
      <c r="F294" s="12">
        <v>17.0</v>
      </c>
      <c r="G294" s="12">
        <v>2008.0</v>
      </c>
      <c r="H294" s="14">
        <v>3.0</v>
      </c>
      <c r="I294" s="15">
        <v>94.0</v>
      </c>
      <c r="J294" s="15">
        <v>31.0</v>
      </c>
      <c r="K294" s="15">
        <v>2.7</v>
      </c>
      <c r="L294" s="15">
        <v>1.0</v>
      </c>
      <c r="M294" s="17">
        <v>1.0</v>
      </c>
      <c r="N294" s="15">
        <v>70.0</v>
      </c>
      <c r="O294" s="19">
        <v>0.0</v>
      </c>
      <c r="P294" s="17">
        <v>2.0</v>
      </c>
      <c r="Q294" s="15">
        <v>12.0</v>
      </c>
      <c r="R294" s="18">
        <v>4.0</v>
      </c>
      <c r="S294" s="23">
        <v>0.0</v>
      </c>
      <c r="T294" s="19">
        <v>0.0</v>
      </c>
      <c r="U294" s="18">
        <v>2.0</v>
      </c>
      <c r="V294" s="56">
        <v>-2.0</v>
      </c>
      <c r="W294" s="57">
        <v>-1.91</v>
      </c>
      <c r="X294" s="57">
        <v>-2.13</v>
      </c>
      <c r="Y294" s="20" t="s">
        <v>7971</v>
      </c>
    </row>
    <row r="295">
      <c r="A295" s="9">
        <v>282.0</v>
      </c>
      <c r="B295" s="10" t="s">
        <v>7972</v>
      </c>
      <c r="C295" s="11" t="s">
        <v>7973</v>
      </c>
      <c r="D295" s="12" t="s">
        <v>31</v>
      </c>
      <c r="E295" s="13" t="s">
        <v>7974</v>
      </c>
      <c r="F295" s="12">
        <v>24.0</v>
      </c>
      <c r="G295" s="12">
        <v>2000.0</v>
      </c>
      <c r="H295" s="14">
        <v>30.0</v>
      </c>
      <c r="I295" s="16">
        <v>1841.0</v>
      </c>
      <c r="J295" s="15">
        <v>61.0</v>
      </c>
      <c r="K295" s="15">
        <v>53.8</v>
      </c>
      <c r="L295" s="15">
        <v>20.5</v>
      </c>
      <c r="M295" s="17">
        <v>1.02</v>
      </c>
      <c r="N295" s="15">
        <v>75.0</v>
      </c>
      <c r="O295" s="18">
        <v>0.2</v>
      </c>
      <c r="P295" s="17">
        <v>0.44</v>
      </c>
      <c r="Q295" s="15">
        <v>31.0</v>
      </c>
      <c r="R295" s="19">
        <v>0.0</v>
      </c>
      <c r="S295" s="14">
        <v>1.0</v>
      </c>
      <c r="T295" s="18">
        <v>1.02</v>
      </c>
      <c r="U295" s="18">
        <v>1.27</v>
      </c>
      <c r="V295" s="56">
        <v>-0.24</v>
      </c>
      <c r="W295" s="57">
        <v>-0.24</v>
      </c>
      <c r="X295" s="57">
        <v>-0.36</v>
      </c>
      <c r="Y295" s="20" t="s">
        <v>7975</v>
      </c>
    </row>
    <row r="296">
      <c r="A296" s="9">
        <v>283.0</v>
      </c>
      <c r="B296" s="10" t="s">
        <v>7976</v>
      </c>
      <c r="C296" s="11" t="s">
        <v>7977</v>
      </c>
      <c r="D296" s="12" t="s">
        <v>31</v>
      </c>
      <c r="E296" s="13" t="s">
        <v>7978</v>
      </c>
      <c r="F296" s="12">
        <v>30.0</v>
      </c>
      <c r="G296" s="12">
        <v>1995.0</v>
      </c>
      <c r="H296" s="14">
        <v>31.0</v>
      </c>
      <c r="I296" s="16">
        <v>1571.0</v>
      </c>
      <c r="J296" s="15">
        <v>51.0</v>
      </c>
      <c r="K296" s="15">
        <v>45.9</v>
      </c>
      <c r="L296" s="15">
        <v>17.5</v>
      </c>
      <c r="M296" s="17">
        <v>1.09</v>
      </c>
      <c r="N296" s="15">
        <v>73.0</v>
      </c>
      <c r="O296" s="18">
        <v>0.46</v>
      </c>
      <c r="P296" s="17">
        <v>0.69</v>
      </c>
      <c r="Q296" s="15">
        <v>16.0</v>
      </c>
      <c r="R296" s="18">
        <v>0.34</v>
      </c>
      <c r="S296" s="14">
        <v>1.26</v>
      </c>
      <c r="T296" s="18">
        <v>0.63</v>
      </c>
      <c r="U296" s="18">
        <v>1.03</v>
      </c>
      <c r="V296" s="56">
        <v>-0.4</v>
      </c>
      <c r="W296" s="57">
        <v>-0.4</v>
      </c>
      <c r="X296" s="57">
        <v>-0.25</v>
      </c>
      <c r="Y296" s="20" t="s">
        <v>7979</v>
      </c>
    </row>
    <row r="297">
      <c r="A297" s="9">
        <v>284.0</v>
      </c>
      <c r="B297" s="10" t="s">
        <v>7980</v>
      </c>
      <c r="C297" s="11" t="s">
        <v>7981</v>
      </c>
      <c r="D297" s="12" t="s">
        <v>345</v>
      </c>
      <c r="E297" s="13" t="s">
        <v>7982</v>
      </c>
      <c r="F297" s="12">
        <v>23.0</v>
      </c>
      <c r="G297" s="12">
        <v>2002.0</v>
      </c>
      <c r="H297" s="14">
        <v>38.0</v>
      </c>
      <c r="I297" s="16">
        <v>3036.0</v>
      </c>
      <c r="J297" s="15">
        <v>80.0</v>
      </c>
      <c r="K297" s="15">
        <v>88.8</v>
      </c>
      <c r="L297" s="15">
        <v>33.7</v>
      </c>
      <c r="M297" s="17">
        <v>1.01</v>
      </c>
      <c r="N297" s="15">
        <v>87.0</v>
      </c>
      <c r="O297" s="18">
        <v>0.77</v>
      </c>
      <c r="P297" s="17">
        <v>0.12</v>
      </c>
      <c r="Q297" s="15">
        <v>22.0</v>
      </c>
      <c r="R297" s="19">
        <v>0.0</v>
      </c>
      <c r="S297" s="14">
        <v>1.42</v>
      </c>
      <c r="T297" s="18">
        <v>1.01</v>
      </c>
      <c r="U297" s="18">
        <v>1.25</v>
      </c>
      <c r="V297" s="56">
        <v>-0.24</v>
      </c>
      <c r="W297" s="57">
        <v>-0.24</v>
      </c>
      <c r="X297" s="57">
        <v>-0.71</v>
      </c>
      <c r="Y297" s="20" t="s">
        <v>7983</v>
      </c>
    </row>
    <row r="298">
      <c r="A298" s="9">
        <v>285.0</v>
      </c>
      <c r="B298" s="10" t="s">
        <v>7984</v>
      </c>
      <c r="C298" s="11" t="s">
        <v>7985</v>
      </c>
      <c r="D298" s="12" t="s">
        <v>345</v>
      </c>
      <c r="E298" s="13" t="s">
        <v>7986</v>
      </c>
      <c r="F298" s="12">
        <v>22.0</v>
      </c>
      <c r="G298" s="12">
        <v>2003.0</v>
      </c>
      <c r="H298" s="14">
        <v>20.0</v>
      </c>
      <c r="I298" s="16">
        <v>1578.0</v>
      </c>
      <c r="J298" s="15">
        <v>79.0</v>
      </c>
      <c r="K298" s="15">
        <v>46.1</v>
      </c>
      <c r="L298" s="15">
        <v>17.5</v>
      </c>
      <c r="M298" s="17">
        <v>0.97</v>
      </c>
      <c r="N298" s="15">
        <v>88.0</v>
      </c>
      <c r="O298" s="18">
        <v>0.74</v>
      </c>
      <c r="P298" s="17">
        <v>0.17</v>
      </c>
      <c r="Q298" s="15">
        <v>29.0</v>
      </c>
      <c r="R298" s="18">
        <v>0.34</v>
      </c>
      <c r="S298" s="14">
        <v>0.5</v>
      </c>
      <c r="T298" s="18">
        <v>0.86</v>
      </c>
      <c r="U298" s="18">
        <v>1.89</v>
      </c>
      <c r="V298" s="56">
        <v>-1.03</v>
      </c>
      <c r="W298" s="57">
        <v>-1.03</v>
      </c>
      <c r="X298" s="57">
        <v>-0.1</v>
      </c>
      <c r="Y298" s="20" t="s">
        <v>7987</v>
      </c>
    </row>
    <row r="299">
      <c r="A299" s="9">
        <v>286.0</v>
      </c>
      <c r="B299" s="10" t="s">
        <v>7988</v>
      </c>
      <c r="C299" s="11" t="s">
        <v>7989</v>
      </c>
      <c r="D299" s="12" t="s">
        <v>31</v>
      </c>
      <c r="E299" s="13" t="s">
        <v>7990</v>
      </c>
      <c r="F299" s="12">
        <v>21.0</v>
      </c>
      <c r="G299" s="12">
        <v>2003.0</v>
      </c>
      <c r="H299" s="14">
        <v>31.0</v>
      </c>
      <c r="I299" s="16">
        <v>1688.0</v>
      </c>
      <c r="J299" s="15">
        <v>54.0</v>
      </c>
      <c r="K299" s="15">
        <v>49.4</v>
      </c>
      <c r="L299" s="15">
        <v>18.8</v>
      </c>
      <c r="M299" s="17">
        <v>0.9</v>
      </c>
      <c r="N299" s="15">
        <v>78.0</v>
      </c>
      <c r="O299" s="18">
        <v>0.43</v>
      </c>
      <c r="P299" s="17">
        <v>0.74</v>
      </c>
      <c r="Q299" s="15">
        <v>26.0</v>
      </c>
      <c r="R299" s="18">
        <v>0.27</v>
      </c>
      <c r="S299" s="14">
        <v>1.19</v>
      </c>
      <c r="T299" s="18">
        <v>1.33</v>
      </c>
      <c r="U299" s="18">
        <v>1.28</v>
      </c>
      <c r="V299" s="54">
        <v>0.05</v>
      </c>
      <c r="W299" s="55">
        <f>+0.05</f>
        <v>0.05</v>
      </c>
      <c r="X299" s="55">
        <f>+0.26</f>
        <v>0.26</v>
      </c>
      <c r="Y299" s="20" t="s">
        <v>7991</v>
      </c>
    </row>
    <row r="300">
      <c r="A300" s="9">
        <v>287.0</v>
      </c>
      <c r="B300" s="10" t="s">
        <v>7992</v>
      </c>
      <c r="C300" s="11" t="s">
        <v>7993</v>
      </c>
      <c r="D300" s="12" t="s">
        <v>36</v>
      </c>
      <c r="E300" s="13" t="s">
        <v>7994</v>
      </c>
      <c r="F300" s="12">
        <v>27.0</v>
      </c>
      <c r="G300" s="12">
        <v>1998.0</v>
      </c>
      <c r="H300" s="23">
        <v>0.0</v>
      </c>
      <c r="I300" s="36"/>
      <c r="J300" s="36"/>
      <c r="K300" s="36"/>
      <c r="L300" s="36"/>
      <c r="M300" s="23">
        <v>0.0</v>
      </c>
      <c r="N300" s="36"/>
      <c r="O300" s="21">
        <v>0.0</v>
      </c>
      <c r="P300" s="23">
        <v>0.0</v>
      </c>
      <c r="Q300" s="36"/>
      <c r="R300" s="15">
        <v>6.0</v>
      </c>
      <c r="S300" s="58"/>
      <c r="T300" s="36"/>
      <c r="U300" s="36"/>
      <c r="V300" s="36"/>
      <c r="W300" s="36"/>
      <c r="X300" s="36"/>
      <c r="Y300" s="20" t="s">
        <v>7995</v>
      </c>
    </row>
    <row r="301">
      <c r="A301" s="9">
        <v>288.0</v>
      </c>
      <c r="B301" s="10" t="s">
        <v>7996</v>
      </c>
      <c r="C301" s="11" t="s">
        <v>7997</v>
      </c>
      <c r="D301" s="12" t="s">
        <v>36</v>
      </c>
      <c r="E301" s="13" t="s">
        <v>7998</v>
      </c>
      <c r="F301" s="12">
        <v>27.0</v>
      </c>
      <c r="G301" s="12">
        <v>1998.0</v>
      </c>
      <c r="H301" s="14">
        <v>4.0</v>
      </c>
      <c r="I301" s="15">
        <v>105.0</v>
      </c>
      <c r="J301" s="15">
        <v>26.0</v>
      </c>
      <c r="K301" s="15">
        <v>3.1</v>
      </c>
      <c r="L301" s="15">
        <v>1.2</v>
      </c>
      <c r="M301" s="17">
        <v>0.83</v>
      </c>
      <c r="N301" s="15">
        <v>90.0</v>
      </c>
      <c r="O301" s="18">
        <v>0.83</v>
      </c>
      <c r="P301" s="17">
        <v>2.5</v>
      </c>
      <c r="Q301" s="15">
        <v>5.0</v>
      </c>
      <c r="R301" s="18">
        <v>7.5</v>
      </c>
      <c r="S301" s="14">
        <v>2.0</v>
      </c>
      <c r="T301" s="18">
        <v>3.33</v>
      </c>
      <c r="U301" s="18">
        <v>2.5</v>
      </c>
      <c r="V301" s="54">
        <v>0.83</v>
      </c>
      <c r="W301" s="55">
        <f>+0.86</f>
        <v>0.86</v>
      </c>
      <c r="X301" s="55">
        <f>+1.4</f>
        <v>1.4</v>
      </c>
      <c r="Y301" s="20" t="s">
        <v>7999</v>
      </c>
    </row>
    <row r="302">
      <c r="A302" s="9">
        <v>289.0</v>
      </c>
      <c r="B302" s="10" t="s">
        <v>8000</v>
      </c>
      <c r="C302" s="11" t="s">
        <v>8001</v>
      </c>
      <c r="D302" s="12" t="s">
        <v>31</v>
      </c>
      <c r="E302" s="13" t="s">
        <v>8002</v>
      </c>
      <c r="F302" s="12">
        <v>21.0</v>
      </c>
      <c r="G302" s="12">
        <v>2003.0</v>
      </c>
      <c r="H302" s="23">
        <v>0.0</v>
      </c>
      <c r="I302" s="36"/>
      <c r="J302" s="36"/>
      <c r="K302" s="36"/>
      <c r="L302" s="36"/>
      <c r="M302" s="23">
        <v>0.0</v>
      </c>
      <c r="N302" s="36"/>
      <c r="O302" s="21">
        <v>0.0</v>
      </c>
      <c r="P302" s="23">
        <v>0.0</v>
      </c>
      <c r="Q302" s="36"/>
      <c r="R302" s="15">
        <v>1.0</v>
      </c>
      <c r="S302" s="58"/>
      <c r="T302" s="36"/>
      <c r="U302" s="36"/>
      <c r="V302" s="36"/>
      <c r="W302" s="36"/>
      <c r="X302" s="36"/>
      <c r="Y302" s="20" t="s">
        <v>8003</v>
      </c>
    </row>
    <row r="303">
      <c r="A303" s="9">
        <v>290.0</v>
      </c>
      <c r="B303" s="10" t="s">
        <v>8004</v>
      </c>
      <c r="C303" s="11" t="s">
        <v>8005</v>
      </c>
      <c r="D303" s="12" t="s">
        <v>345</v>
      </c>
      <c r="E303" s="13" t="s">
        <v>8006</v>
      </c>
      <c r="F303" s="12">
        <v>22.0</v>
      </c>
      <c r="G303" s="12">
        <v>2003.0</v>
      </c>
      <c r="H303" s="23">
        <v>0.0</v>
      </c>
      <c r="I303" s="36"/>
      <c r="J303" s="36"/>
      <c r="K303" s="36"/>
      <c r="L303" s="36"/>
      <c r="M303" s="23">
        <v>0.0</v>
      </c>
      <c r="N303" s="36"/>
      <c r="O303" s="21">
        <v>0.0</v>
      </c>
      <c r="P303" s="23">
        <v>0.0</v>
      </c>
      <c r="Q303" s="36"/>
      <c r="R303" s="15">
        <v>2.0</v>
      </c>
      <c r="S303" s="58"/>
      <c r="T303" s="36"/>
      <c r="U303" s="36"/>
      <c r="V303" s="36"/>
      <c r="W303" s="36"/>
      <c r="X303" s="36"/>
      <c r="Y303" s="20" t="s">
        <v>8007</v>
      </c>
    </row>
    <row r="304">
      <c r="A304" s="9">
        <v>291.0</v>
      </c>
      <c r="B304" s="10" t="s">
        <v>8008</v>
      </c>
      <c r="C304" s="11" t="s">
        <v>8009</v>
      </c>
      <c r="D304" s="12" t="s">
        <v>31</v>
      </c>
      <c r="E304" s="13" t="s">
        <v>8010</v>
      </c>
      <c r="F304" s="12">
        <v>22.0</v>
      </c>
      <c r="G304" s="12">
        <v>2003.0</v>
      </c>
      <c r="H304" s="14">
        <v>29.0</v>
      </c>
      <c r="I304" s="16">
        <v>1487.0</v>
      </c>
      <c r="J304" s="15">
        <v>51.0</v>
      </c>
      <c r="K304" s="15">
        <v>43.5</v>
      </c>
      <c r="L304" s="15">
        <v>16.5</v>
      </c>
      <c r="M304" s="17">
        <v>1.03</v>
      </c>
      <c r="N304" s="15">
        <v>79.0</v>
      </c>
      <c r="O304" s="18">
        <v>0.36</v>
      </c>
      <c r="P304" s="17">
        <v>0.73</v>
      </c>
      <c r="Q304" s="15">
        <v>12.0</v>
      </c>
      <c r="R304" s="18">
        <v>0.36</v>
      </c>
      <c r="S304" s="14">
        <v>1.31</v>
      </c>
      <c r="T304" s="18">
        <v>1.15</v>
      </c>
      <c r="U304" s="18">
        <v>1.09</v>
      </c>
      <c r="V304" s="54">
        <v>0.06</v>
      </c>
      <c r="W304" s="55">
        <f>+0.06</f>
        <v>0.06</v>
      </c>
      <c r="X304" s="55">
        <f>+0.25</f>
        <v>0.25</v>
      </c>
      <c r="Y304" s="20" t="s">
        <v>8011</v>
      </c>
    </row>
    <row r="305">
      <c r="A305" s="9">
        <v>292.0</v>
      </c>
      <c r="B305" s="10" t="s">
        <v>8012</v>
      </c>
      <c r="C305" s="11" t="s">
        <v>8013</v>
      </c>
      <c r="D305" s="12" t="s">
        <v>31</v>
      </c>
      <c r="E305" s="13" t="s">
        <v>8014</v>
      </c>
      <c r="F305" s="12">
        <v>25.0</v>
      </c>
      <c r="G305" s="12">
        <v>2000.0</v>
      </c>
      <c r="H305" s="14">
        <v>7.0</v>
      </c>
      <c r="I305" s="15">
        <v>158.0</v>
      </c>
      <c r="J305" s="15">
        <v>23.0</v>
      </c>
      <c r="K305" s="15">
        <v>4.6</v>
      </c>
      <c r="L305" s="15">
        <v>1.8</v>
      </c>
      <c r="M305" s="17">
        <v>1.11</v>
      </c>
      <c r="N305" s="15">
        <v>62.0</v>
      </c>
      <c r="O305" s="19">
        <v>0.0</v>
      </c>
      <c r="P305" s="17">
        <v>2.78</v>
      </c>
      <c r="Q305" s="15">
        <v>7.0</v>
      </c>
      <c r="R305" s="18">
        <v>4.44</v>
      </c>
      <c r="S305" s="14">
        <v>0.71</v>
      </c>
      <c r="T305" s="18">
        <v>1.67</v>
      </c>
      <c r="U305" s="18">
        <v>2.22</v>
      </c>
      <c r="V305" s="56">
        <v>-0.56</v>
      </c>
      <c r="W305" s="57">
        <v>-0.57</v>
      </c>
      <c r="X305" s="57">
        <v>-0.07</v>
      </c>
      <c r="Y305" s="20" t="s">
        <v>8015</v>
      </c>
    </row>
    <row r="306">
      <c r="A306" s="9">
        <v>293.0</v>
      </c>
      <c r="B306" s="10" t="s">
        <v>8016</v>
      </c>
      <c r="C306" s="11" t="s">
        <v>8017</v>
      </c>
      <c r="D306" s="12" t="s">
        <v>41</v>
      </c>
      <c r="E306" s="13" t="s">
        <v>8018</v>
      </c>
      <c r="F306" s="12">
        <v>25.0</v>
      </c>
      <c r="G306" s="12">
        <v>1999.0</v>
      </c>
      <c r="H306" s="14">
        <v>14.0</v>
      </c>
      <c r="I306" s="15">
        <v>699.0</v>
      </c>
      <c r="J306" s="15">
        <v>50.0</v>
      </c>
      <c r="K306" s="15">
        <v>20.4</v>
      </c>
      <c r="L306" s="15">
        <v>7.8</v>
      </c>
      <c r="M306" s="17">
        <v>1.03</v>
      </c>
      <c r="N306" s="15">
        <v>74.0</v>
      </c>
      <c r="O306" s="19">
        <v>0.0</v>
      </c>
      <c r="P306" s="17">
        <v>0.77</v>
      </c>
      <c r="Q306" s="15">
        <v>17.0</v>
      </c>
      <c r="R306" s="18">
        <v>0.26</v>
      </c>
      <c r="S306" s="14">
        <v>1.71</v>
      </c>
      <c r="T306" s="18">
        <v>0.9</v>
      </c>
      <c r="U306" s="18">
        <v>1.15</v>
      </c>
      <c r="V306" s="56">
        <v>-0.26</v>
      </c>
      <c r="W306" s="57">
        <v>-0.26</v>
      </c>
      <c r="X306" s="57">
        <v>-0.65</v>
      </c>
      <c r="Y306" s="20" t="s">
        <v>8019</v>
      </c>
    </row>
    <row r="307">
      <c r="A307" s="9">
        <v>294.0</v>
      </c>
      <c r="B307" s="10" t="s">
        <v>8020</v>
      </c>
      <c r="C307" s="11" t="s">
        <v>8021</v>
      </c>
      <c r="D307" s="12" t="s">
        <v>41</v>
      </c>
      <c r="E307" s="13" t="s">
        <v>8022</v>
      </c>
      <c r="F307" s="12">
        <v>24.0</v>
      </c>
      <c r="G307" s="12">
        <v>2000.0</v>
      </c>
      <c r="H307" s="14">
        <v>32.0</v>
      </c>
      <c r="I307" s="16">
        <v>1165.0</v>
      </c>
      <c r="J307" s="15">
        <v>36.0</v>
      </c>
      <c r="K307" s="15">
        <v>34.1</v>
      </c>
      <c r="L307" s="15">
        <v>12.9</v>
      </c>
      <c r="M307" s="17">
        <v>0.85</v>
      </c>
      <c r="N307" s="15">
        <v>71.0</v>
      </c>
      <c r="O307" s="19">
        <v>0.0</v>
      </c>
      <c r="P307" s="17">
        <v>1.63</v>
      </c>
      <c r="Q307" s="15">
        <v>18.0</v>
      </c>
      <c r="R307" s="18">
        <v>0.31</v>
      </c>
      <c r="S307" s="14">
        <v>1.44</v>
      </c>
      <c r="T307" s="18">
        <v>1.4</v>
      </c>
      <c r="U307" s="18">
        <v>1.32</v>
      </c>
      <c r="V307" s="54">
        <v>0.08</v>
      </c>
      <c r="W307" s="55">
        <f>+0.08</f>
        <v>0.08</v>
      </c>
      <c r="X307" s="55">
        <f>+0.36</f>
        <v>0.36</v>
      </c>
      <c r="Y307" s="20" t="s">
        <v>8023</v>
      </c>
    </row>
    <row r="308">
      <c r="A308" s="9">
        <v>295.0</v>
      </c>
      <c r="B308" s="10" t="s">
        <v>8024</v>
      </c>
      <c r="C308" s="11" t="s">
        <v>8025</v>
      </c>
      <c r="D308" s="12" t="s">
        <v>31</v>
      </c>
      <c r="E308" s="13" t="s">
        <v>8026</v>
      </c>
      <c r="F308" s="12">
        <v>29.0</v>
      </c>
      <c r="G308" s="12">
        <v>1996.0</v>
      </c>
      <c r="H308" s="14">
        <v>29.0</v>
      </c>
      <c r="I308" s="16">
        <v>2419.0</v>
      </c>
      <c r="J308" s="15">
        <v>83.0</v>
      </c>
      <c r="K308" s="15">
        <v>70.7</v>
      </c>
      <c r="L308" s="15">
        <v>26.9</v>
      </c>
      <c r="M308" s="17">
        <v>1.08</v>
      </c>
      <c r="N308" s="15">
        <v>83.0</v>
      </c>
      <c r="O308" s="18">
        <v>0.45</v>
      </c>
      <c r="P308" s="22">
        <v>0.0</v>
      </c>
      <c r="Q308" s="36"/>
      <c r="R308" s="19">
        <v>0.0</v>
      </c>
      <c r="S308" s="14">
        <v>1.31</v>
      </c>
      <c r="T308" s="18">
        <v>1.34</v>
      </c>
      <c r="U308" s="18">
        <v>1.49</v>
      </c>
      <c r="V308" s="56">
        <v>-0.15</v>
      </c>
      <c r="W308" s="57">
        <v>-0.15</v>
      </c>
      <c r="X308" s="57">
        <v>-0.15</v>
      </c>
      <c r="Y308" s="20" t="s">
        <v>8027</v>
      </c>
    </row>
    <row r="309">
      <c r="A309" s="9">
        <v>296.0</v>
      </c>
      <c r="B309" s="10" t="s">
        <v>8028</v>
      </c>
      <c r="C309" s="11" t="s">
        <v>8029</v>
      </c>
      <c r="D309" s="12" t="s">
        <v>107</v>
      </c>
      <c r="E309" s="13" t="s">
        <v>8030</v>
      </c>
      <c r="F309" s="12">
        <v>27.0</v>
      </c>
      <c r="G309" s="12">
        <v>1997.0</v>
      </c>
      <c r="H309" s="14">
        <v>19.0</v>
      </c>
      <c r="I309" s="15">
        <v>559.0</v>
      </c>
      <c r="J309" s="15">
        <v>29.0</v>
      </c>
      <c r="K309" s="15">
        <v>16.3</v>
      </c>
      <c r="L309" s="15">
        <v>6.2</v>
      </c>
      <c r="M309" s="17">
        <v>0.97</v>
      </c>
      <c r="N309" s="15">
        <v>61.0</v>
      </c>
      <c r="O309" s="19">
        <v>0.0</v>
      </c>
      <c r="P309" s="17">
        <v>2.1</v>
      </c>
      <c r="Q309" s="15">
        <v>15.0</v>
      </c>
      <c r="R309" s="18">
        <v>0.65</v>
      </c>
      <c r="S309" s="14">
        <v>1.0</v>
      </c>
      <c r="T309" s="19">
        <v>0.0</v>
      </c>
      <c r="U309" s="18">
        <v>2.58</v>
      </c>
      <c r="V309" s="56">
        <v>-2.58</v>
      </c>
      <c r="W309" s="57">
        <v>-2.58</v>
      </c>
      <c r="X309" s="57">
        <v>-2.86</v>
      </c>
      <c r="Y309" s="20" t="s">
        <v>8031</v>
      </c>
    </row>
    <row r="310">
      <c r="A310" s="9">
        <v>297.0</v>
      </c>
      <c r="B310" s="10" t="s">
        <v>8032</v>
      </c>
      <c r="C310" s="11" t="s">
        <v>8033</v>
      </c>
      <c r="D310" s="12" t="s">
        <v>345</v>
      </c>
      <c r="E310" s="13" t="s">
        <v>8034</v>
      </c>
      <c r="F310" s="12">
        <v>25.0</v>
      </c>
      <c r="G310" s="12">
        <v>1999.0</v>
      </c>
      <c r="H310" s="14">
        <v>29.0</v>
      </c>
      <c r="I310" s="16">
        <v>1963.0</v>
      </c>
      <c r="J310" s="15">
        <v>68.0</v>
      </c>
      <c r="K310" s="15">
        <v>57.4</v>
      </c>
      <c r="L310" s="15">
        <v>21.8</v>
      </c>
      <c r="M310" s="17">
        <v>0.92</v>
      </c>
      <c r="N310" s="15">
        <v>86.0</v>
      </c>
      <c r="O310" s="18">
        <v>0.69</v>
      </c>
      <c r="P310" s="17">
        <v>0.41</v>
      </c>
      <c r="Q310" s="15">
        <v>27.0</v>
      </c>
      <c r="R310" s="18">
        <v>0.14</v>
      </c>
      <c r="S310" s="14">
        <v>1.55</v>
      </c>
      <c r="T310" s="18">
        <v>1.51</v>
      </c>
      <c r="U310" s="18">
        <v>0.92</v>
      </c>
      <c r="V310" s="54">
        <v>0.6</v>
      </c>
      <c r="W310" s="55">
        <f>+0.6</f>
        <v>0.6</v>
      </c>
      <c r="X310" s="55">
        <f>+1.03</f>
        <v>1.03</v>
      </c>
      <c r="Y310" s="20" t="s">
        <v>8035</v>
      </c>
    </row>
    <row r="311">
      <c r="A311" s="9">
        <v>298.0</v>
      </c>
      <c r="B311" s="10" t="s">
        <v>8036</v>
      </c>
      <c r="C311" s="11" t="s">
        <v>8037</v>
      </c>
      <c r="D311" s="12" t="s">
        <v>31</v>
      </c>
      <c r="E311" s="13" t="s">
        <v>8038</v>
      </c>
      <c r="F311" s="12">
        <v>27.0</v>
      </c>
      <c r="G311" s="12">
        <v>1998.0</v>
      </c>
      <c r="H311" s="14">
        <v>25.0</v>
      </c>
      <c r="I311" s="16">
        <v>1444.0</v>
      </c>
      <c r="J311" s="15">
        <v>58.0</v>
      </c>
      <c r="K311" s="15">
        <v>42.2</v>
      </c>
      <c r="L311" s="15">
        <v>16.0</v>
      </c>
      <c r="M311" s="17">
        <v>0.94</v>
      </c>
      <c r="N311" s="15">
        <v>82.0</v>
      </c>
      <c r="O311" s="18">
        <v>0.69</v>
      </c>
      <c r="P311" s="17">
        <v>0.63</v>
      </c>
      <c r="Q311" s="15">
        <v>21.0</v>
      </c>
      <c r="R311" s="18">
        <v>0.19</v>
      </c>
      <c r="S311" s="14">
        <v>1.4</v>
      </c>
      <c r="T311" s="18">
        <v>1.63</v>
      </c>
      <c r="U311" s="18">
        <v>1.31</v>
      </c>
      <c r="V311" s="54">
        <v>0.31</v>
      </c>
      <c r="W311" s="55">
        <f>+0.31</f>
        <v>0.31</v>
      </c>
      <c r="X311" s="55">
        <f>+0.4</f>
        <v>0.4</v>
      </c>
      <c r="Y311" s="20" t="s">
        <v>8039</v>
      </c>
    </row>
    <row r="312">
      <c r="A312" s="9">
        <v>299.0</v>
      </c>
      <c r="B312" s="10" t="s">
        <v>8040</v>
      </c>
      <c r="C312" s="11" t="s">
        <v>8041</v>
      </c>
      <c r="D312" s="12" t="s">
        <v>31</v>
      </c>
      <c r="E312" s="13" t="s">
        <v>8042</v>
      </c>
      <c r="F312" s="12">
        <v>29.0</v>
      </c>
      <c r="G312" s="12">
        <v>1996.0</v>
      </c>
      <c r="H312" s="14">
        <v>36.0</v>
      </c>
      <c r="I312" s="16">
        <v>2247.0</v>
      </c>
      <c r="J312" s="15">
        <v>62.0</v>
      </c>
      <c r="K312" s="15">
        <v>65.7</v>
      </c>
      <c r="L312" s="15">
        <v>25.0</v>
      </c>
      <c r="M312" s="17">
        <v>1.04</v>
      </c>
      <c r="N312" s="15">
        <v>81.0</v>
      </c>
      <c r="O312" s="18">
        <v>0.52</v>
      </c>
      <c r="P312" s="17">
        <v>0.4</v>
      </c>
      <c r="Q312" s="15">
        <v>13.0</v>
      </c>
      <c r="R312" s="18">
        <v>0.08</v>
      </c>
      <c r="S312" s="14">
        <v>1.47</v>
      </c>
      <c r="T312" s="18">
        <v>1.4</v>
      </c>
      <c r="U312" s="18">
        <v>1.32</v>
      </c>
      <c r="V312" s="54">
        <v>0.08</v>
      </c>
      <c r="W312" s="55">
        <f>+0.08</f>
        <v>0.08</v>
      </c>
      <c r="X312" s="21">
        <v>0.0</v>
      </c>
      <c r="Y312" s="20" t="s">
        <v>8043</v>
      </c>
    </row>
    <row r="313">
      <c r="A313" s="9">
        <v>300.0</v>
      </c>
      <c r="B313" s="10" t="s">
        <v>8044</v>
      </c>
      <c r="C313" s="11" t="s">
        <v>8045</v>
      </c>
      <c r="D313" s="12" t="s">
        <v>41</v>
      </c>
      <c r="E313" s="13" t="s">
        <v>8046</v>
      </c>
      <c r="F313" s="12">
        <v>28.0</v>
      </c>
      <c r="G313" s="12">
        <v>1997.0</v>
      </c>
      <c r="H313" s="14">
        <v>14.0</v>
      </c>
      <c r="I313" s="15">
        <v>429.0</v>
      </c>
      <c r="J313" s="15">
        <v>31.0</v>
      </c>
      <c r="K313" s="15">
        <v>12.5</v>
      </c>
      <c r="L313" s="15">
        <v>4.8</v>
      </c>
      <c r="M313" s="17">
        <v>0.63</v>
      </c>
      <c r="N313" s="15">
        <v>63.0</v>
      </c>
      <c r="O313" s="19">
        <v>0.0</v>
      </c>
      <c r="P313" s="17">
        <v>2.29</v>
      </c>
      <c r="Q313" s="15">
        <v>22.0</v>
      </c>
      <c r="R313" s="18">
        <v>2.08</v>
      </c>
      <c r="S313" s="14">
        <v>2.14</v>
      </c>
      <c r="T313" s="18">
        <v>1.67</v>
      </c>
      <c r="U313" s="18">
        <v>1.25</v>
      </c>
      <c r="V313" s="54">
        <v>0.42</v>
      </c>
      <c r="W313" s="55">
        <f>+0.42</f>
        <v>0.42</v>
      </c>
      <c r="X313" s="57">
        <v>-0.84</v>
      </c>
      <c r="Y313" s="20" t="s">
        <v>8047</v>
      </c>
    </row>
    <row r="314">
      <c r="A314" s="37" t="s">
        <v>3</v>
      </c>
      <c r="B314" s="38" t="s">
        <v>4</v>
      </c>
      <c r="C314" s="39" t="s">
        <v>5</v>
      </c>
      <c r="D314" s="39" t="s">
        <v>6</v>
      </c>
      <c r="E314" s="39" t="s">
        <v>7</v>
      </c>
      <c r="F314" s="39" t="s">
        <v>8</v>
      </c>
      <c r="G314" s="39" t="s">
        <v>9</v>
      </c>
      <c r="H314" s="40" t="s">
        <v>10</v>
      </c>
      <c r="I314" s="39" t="s">
        <v>12</v>
      </c>
      <c r="J314" s="39" t="s">
        <v>6838</v>
      </c>
      <c r="K314" s="39" t="s">
        <v>6839</v>
      </c>
      <c r="L314" s="39" t="s">
        <v>13</v>
      </c>
      <c r="M314" s="40" t="s">
        <v>11</v>
      </c>
      <c r="N314" s="39" t="s">
        <v>6840</v>
      </c>
      <c r="O314" s="39" t="s">
        <v>6841</v>
      </c>
      <c r="P314" s="40" t="s">
        <v>6836</v>
      </c>
      <c r="Q314" s="39" t="s">
        <v>6842</v>
      </c>
      <c r="R314" s="39" t="s">
        <v>6843</v>
      </c>
      <c r="S314" s="40" t="s">
        <v>6844</v>
      </c>
      <c r="T314" s="39" t="s">
        <v>6845</v>
      </c>
      <c r="U314" s="39" t="s">
        <v>6846</v>
      </c>
      <c r="V314" s="59" t="str">
        <f>+/-</f>
        <v>#ERROR!</v>
      </c>
      <c r="W314" s="59" t="str">
        <f>+/-90</f>
        <v>#ERROR!</v>
      </c>
      <c r="X314" s="39" t="s">
        <v>6847</v>
      </c>
      <c r="Y314" s="40" t="s">
        <v>23</v>
      </c>
    </row>
    <row r="315">
      <c r="A315" s="9">
        <v>301.0</v>
      </c>
      <c r="B315" s="10" t="s">
        <v>8048</v>
      </c>
      <c r="C315" s="11" t="s">
        <v>8049</v>
      </c>
      <c r="D315" s="12" t="s">
        <v>41</v>
      </c>
      <c r="E315" s="13" t="s">
        <v>8050</v>
      </c>
      <c r="F315" s="12">
        <v>24.0</v>
      </c>
      <c r="G315" s="12">
        <v>2001.0</v>
      </c>
      <c r="H315" s="14">
        <v>37.0</v>
      </c>
      <c r="I315" s="16">
        <v>2298.0</v>
      </c>
      <c r="J315" s="15">
        <v>62.0</v>
      </c>
      <c r="K315" s="15">
        <v>67.2</v>
      </c>
      <c r="L315" s="15">
        <v>25.5</v>
      </c>
      <c r="M315" s="17">
        <v>1.1</v>
      </c>
      <c r="N315" s="15">
        <v>74.0</v>
      </c>
      <c r="O315" s="18">
        <v>0.2</v>
      </c>
      <c r="P315" s="17">
        <v>0.35</v>
      </c>
      <c r="Q315" s="15">
        <v>24.0</v>
      </c>
      <c r="R315" s="19">
        <v>0.0</v>
      </c>
      <c r="S315" s="14">
        <v>1.19</v>
      </c>
      <c r="T315" s="18">
        <v>1.37</v>
      </c>
      <c r="U315" s="18">
        <v>1.45</v>
      </c>
      <c r="V315" s="56">
        <v>-0.08</v>
      </c>
      <c r="W315" s="57">
        <v>-0.08</v>
      </c>
      <c r="X315" s="21">
        <v>0.0</v>
      </c>
      <c r="Y315" s="20" t="s">
        <v>8051</v>
      </c>
    </row>
    <row r="316">
      <c r="A316" s="9">
        <v>302.0</v>
      </c>
      <c r="B316" s="10" t="s">
        <v>8052</v>
      </c>
      <c r="C316" s="11" t="s">
        <v>8053</v>
      </c>
      <c r="D316" s="12" t="s">
        <v>345</v>
      </c>
      <c r="E316" s="13" t="s">
        <v>8054</v>
      </c>
      <c r="F316" s="12">
        <v>20.0</v>
      </c>
      <c r="G316" s="12">
        <v>2005.0</v>
      </c>
      <c r="H316" s="14">
        <v>31.0</v>
      </c>
      <c r="I316" s="16">
        <v>2317.0</v>
      </c>
      <c r="J316" s="15">
        <v>75.0</v>
      </c>
      <c r="K316" s="15">
        <v>67.7</v>
      </c>
      <c r="L316" s="15">
        <v>25.7</v>
      </c>
      <c r="M316" s="17">
        <v>1.01</v>
      </c>
      <c r="N316" s="15">
        <v>84.0</v>
      </c>
      <c r="O316" s="18">
        <v>0.47</v>
      </c>
      <c r="P316" s="17">
        <v>0.19</v>
      </c>
      <c r="Q316" s="15">
        <v>29.0</v>
      </c>
      <c r="R316" s="18">
        <v>0.04</v>
      </c>
      <c r="S316" s="14">
        <v>1.48</v>
      </c>
      <c r="T316" s="18">
        <v>1.6</v>
      </c>
      <c r="U316" s="18">
        <v>1.48</v>
      </c>
      <c r="V316" s="54">
        <v>0.12</v>
      </c>
      <c r="W316" s="55">
        <f>+0.12</f>
        <v>0.12</v>
      </c>
      <c r="X316" s="55">
        <f>+0.03</f>
        <v>0.03</v>
      </c>
      <c r="Y316" s="20" t="s">
        <v>8055</v>
      </c>
    </row>
    <row r="317">
      <c r="A317" s="9">
        <v>303.0</v>
      </c>
      <c r="B317" s="10" t="s">
        <v>8056</v>
      </c>
      <c r="C317" s="11" t="s">
        <v>8057</v>
      </c>
      <c r="D317" s="12" t="s">
        <v>41</v>
      </c>
      <c r="E317" s="13" t="s">
        <v>8058</v>
      </c>
      <c r="F317" s="12">
        <v>34.0</v>
      </c>
      <c r="G317" s="12">
        <v>1991.0</v>
      </c>
      <c r="H317" s="14">
        <v>36.0</v>
      </c>
      <c r="I317" s="16">
        <v>2189.0</v>
      </c>
      <c r="J317" s="15">
        <v>61.0</v>
      </c>
      <c r="K317" s="15">
        <v>64.0</v>
      </c>
      <c r="L317" s="15">
        <v>24.3</v>
      </c>
      <c r="M317" s="17">
        <v>1.11</v>
      </c>
      <c r="N317" s="15">
        <v>75.0</v>
      </c>
      <c r="O317" s="18">
        <v>0.41</v>
      </c>
      <c r="P317" s="17">
        <v>0.37</v>
      </c>
      <c r="Q317" s="15">
        <v>17.0</v>
      </c>
      <c r="R317" s="19">
        <v>0.0</v>
      </c>
      <c r="S317" s="14">
        <v>1.44</v>
      </c>
      <c r="T317" s="18">
        <v>1.4</v>
      </c>
      <c r="U317" s="18">
        <v>1.19</v>
      </c>
      <c r="V317" s="54">
        <v>0.21</v>
      </c>
      <c r="W317" s="55">
        <f>+0.21</f>
        <v>0.21</v>
      </c>
      <c r="X317" s="55">
        <f>+0.86</f>
        <v>0.86</v>
      </c>
      <c r="Y317" s="20" t="s">
        <v>8059</v>
      </c>
    </row>
    <row r="318">
      <c r="A318" s="9">
        <v>304.0</v>
      </c>
      <c r="B318" s="10" t="s">
        <v>8060</v>
      </c>
      <c r="C318" s="11" t="s">
        <v>8061</v>
      </c>
      <c r="D318" s="12" t="s">
        <v>31</v>
      </c>
      <c r="E318" s="13" t="s">
        <v>8062</v>
      </c>
      <c r="F318" s="12">
        <v>18.0</v>
      </c>
      <c r="G318" s="12">
        <v>2006.0</v>
      </c>
      <c r="H318" s="14">
        <v>1.0</v>
      </c>
      <c r="I318" s="15">
        <v>9.0</v>
      </c>
      <c r="J318" s="15">
        <v>9.0</v>
      </c>
      <c r="K318" s="15">
        <v>0.3</v>
      </c>
      <c r="L318" s="15">
        <v>0.1</v>
      </c>
      <c r="M318" s="22">
        <v>0.0</v>
      </c>
      <c r="N318" s="36"/>
      <c r="O318" s="19">
        <v>0.0</v>
      </c>
      <c r="P318" s="17">
        <v>10.0</v>
      </c>
      <c r="Q318" s="15">
        <v>9.0</v>
      </c>
      <c r="R318" s="18">
        <v>80.0</v>
      </c>
      <c r="S318" s="23">
        <v>0.0</v>
      </c>
      <c r="T318" s="18">
        <v>10.0</v>
      </c>
      <c r="U318" s="19">
        <v>0.0</v>
      </c>
      <c r="V318" s="54">
        <v>10.0</v>
      </c>
      <c r="W318" s="55">
        <f>+10</f>
        <v>10</v>
      </c>
      <c r="X318" s="55">
        <f>+9.84</f>
        <v>9.84</v>
      </c>
      <c r="Y318" s="20" t="s">
        <v>8063</v>
      </c>
    </row>
    <row r="319">
      <c r="A319" s="9">
        <v>305.0</v>
      </c>
      <c r="B319" s="10" t="s">
        <v>8064</v>
      </c>
      <c r="C319" s="11" t="s">
        <v>8065</v>
      </c>
      <c r="D319" s="12" t="s">
        <v>107</v>
      </c>
      <c r="E319" s="13" t="s">
        <v>8066</v>
      </c>
      <c r="F319" s="12">
        <v>23.0</v>
      </c>
      <c r="G319" s="12">
        <v>2001.0</v>
      </c>
      <c r="H319" s="14">
        <v>35.0</v>
      </c>
      <c r="I319" s="16">
        <v>2661.0</v>
      </c>
      <c r="J319" s="15">
        <v>76.0</v>
      </c>
      <c r="K319" s="15">
        <v>77.8</v>
      </c>
      <c r="L319" s="15">
        <v>29.6</v>
      </c>
      <c r="M319" s="17">
        <v>1.05</v>
      </c>
      <c r="N319" s="15">
        <v>82.0</v>
      </c>
      <c r="O319" s="18">
        <v>0.47</v>
      </c>
      <c r="P319" s="17">
        <v>0.14</v>
      </c>
      <c r="Q319" s="15">
        <v>31.0</v>
      </c>
      <c r="R319" s="19">
        <v>0.0</v>
      </c>
      <c r="S319" s="14">
        <v>1.4</v>
      </c>
      <c r="T319" s="18">
        <v>1.62</v>
      </c>
      <c r="U319" s="18">
        <v>1.22</v>
      </c>
      <c r="V319" s="54">
        <v>0.41</v>
      </c>
      <c r="W319" s="55">
        <f>+0.41</f>
        <v>0.41</v>
      </c>
      <c r="X319" s="55">
        <f>+1.12</f>
        <v>1.12</v>
      </c>
      <c r="Y319" s="20" t="s">
        <v>8067</v>
      </c>
    </row>
    <row r="320">
      <c r="A320" s="9">
        <v>306.0</v>
      </c>
      <c r="B320" s="10" t="s">
        <v>8068</v>
      </c>
      <c r="C320" s="11" t="s">
        <v>8069</v>
      </c>
      <c r="D320" s="12" t="s">
        <v>31</v>
      </c>
      <c r="E320" s="13" t="s">
        <v>8070</v>
      </c>
      <c r="F320" s="12">
        <v>28.0</v>
      </c>
      <c r="G320" s="12">
        <v>1996.0</v>
      </c>
      <c r="H320" s="14">
        <v>27.0</v>
      </c>
      <c r="I320" s="16">
        <v>1951.0</v>
      </c>
      <c r="J320" s="15">
        <v>72.0</v>
      </c>
      <c r="K320" s="15">
        <v>57.0</v>
      </c>
      <c r="L320" s="15">
        <v>21.7</v>
      </c>
      <c r="M320" s="17">
        <v>1.06</v>
      </c>
      <c r="N320" s="15">
        <v>81.0</v>
      </c>
      <c r="O320" s="18">
        <v>0.6</v>
      </c>
      <c r="P320" s="17">
        <v>0.18</v>
      </c>
      <c r="Q320" s="15">
        <v>24.0</v>
      </c>
      <c r="R320" s="18">
        <v>0.14</v>
      </c>
      <c r="S320" s="14">
        <v>1.48</v>
      </c>
      <c r="T320" s="18">
        <v>1.57</v>
      </c>
      <c r="U320" s="18">
        <v>1.24</v>
      </c>
      <c r="V320" s="54">
        <v>0.32</v>
      </c>
      <c r="W320" s="55">
        <f>+0.32</f>
        <v>0.32</v>
      </c>
      <c r="X320" s="55">
        <f>+0.87</f>
        <v>0.87</v>
      </c>
      <c r="Y320" s="20" t="s">
        <v>8071</v>
      </c>
    </row>
    <row r="321">
      <c r="A321" s="9">
        <v>307.0</v>
      </c>
      <c r="B321" s="10" t="s">
        <v>8072</v>
      </c>
      <c r="C321" s="11" t="s">
        <v>8073</v>
      </c>
      <c r="D321" s="12" t="s">
        <v>98</v>
      </c>
      <c r="E321" s="13" t="s">
        <v>8074</v>
      </c>
      <c r="F321" s="12">
        <v>29.0</v>
      </c>
      <c r="G321" s="12">
        <v>1996.0</v>
      </c>
      <c r="H321" s="14">
        <v>5.0</v>
      </c>
      <c r="I321" s="15">
        <v>437.0</v>
      </c>
      <c r="J321" s="15">
        <v>87.0</v>
      </c>
      <c r="K321" s="15">
        <v>12.8</v>
      </c>
      <c r="L321" s="15">
        <v>4.9</v>
      </c>
      <c r="M321" s="17">
        <v>1.02</v>
      </c>
      <c r="N321" s="15">
        <v>87.0</v>
      </c>
      <c r="O321" s="18">
        <v>0.82</v>
      </c>
      <c r="P321" s="22">
        <v>0.0</v>
      </c>
      <c r="Q321" s="36"/>
      <c r="R321" s="18">
        <v>2.65</v>
      </c>
      <c r="S321" s="14">
        <v>0.6</v>
      </c>
      <c r="T321" s="18">
        <v>1.02</v>
      </c>
      <c r="U321" s="18">
        <v>1.63</v>
      </c>
      <c r="V321" s="56">
        <v>-0.61</v>
      </c>
      <c r="W321" s="57">
        <v>-0.62</v>
      </c>
      <c r="X321" s="57">
        <v>-0.62</v>
      </c>
      <c r="Y321" s="20" t="s">
        <v>8075</v>
      </c>
    </row>
    <row r="322">
      <c r="A322" s="9">
        <v>308.0</v>
      </c>
      <c r="B322" s="10" t="s">
        <v>8076</v>
      </c>
      <c r="C322" s="11" t="s">
        <v>8077</v>
      </c>
      <c r="D322" s="12" t="s">
        <v>26</v>
      </c>
      <c r="E322" s="13" t="s">
        <v>8078</v>
      </c>
      <c r="F322" s="12">
        <v>24.0</v>
      </c>
      <c r="G322" s="12">
        <v>2001.0</v>
      </c>
      <c r="H322" s="14">
        <v>16.0</v>
      </c>
      <c r="I322" s="15">
        <v>610.0</v>
      </c>
      <c r="J322" s="15">
        <v>38.0</v>
      </c>
      <c r="K322" s="15">
        <v>17.8</v>
      </c>
      <c r="L322" s="15">
        <v>6.8</v>
      </c>
      <c r="M322" s="17">
        <v>0.88</v>
      </c>
      <c r="N322" s="15">
        <v>77.0</v>
      </c>
      <c r="O322" s="18">
        <v>0.15</v>
      </c>
      <c r="P322" s="17">
        <v>1.47</v>
      </c>
      <c r="Q322" s="15">
        <v>15.0</v>
      </c>
      <c r="R322" s="18">
        <v>0.29</v>
      </c>
      <c r="S322" s="14">
        <v>1.38</v>
      </c>
      <c r="T322" s="18">
        <v>1.91</v>
      </c>
      <c r="U322" s="18">
        <v>0.74</v>
      </c>
      <c r="V322" s="54">
        <v>1.18</v>
      </c>
      <c r="W322" s="55">
        <f>+1.18</f>
        <v>1.18</v>
      </c>
      <c r="X322" s="55">
        <f>+1.72</f>
        <v>1.72</v>
      </c>
      <c r="Y322" s="20" t="s">
        <v>8079</v>
      </c>
    </row>
    <row r="323">
      <c r="A323" s="9">
        <v>309.0</v>
      </c>
      <c r="B323" s="10" t="s">
        <v>8080</v>
      </c>
      <c r="C323" s="11" t="s">
        <v>8081</v>
      </c>
      <c r="D323" s="12" t="s">
        <v>26</v>
      </c>
      <c r="E323" s="13" t="s">
        <v>8082</v>
      </c>
      <c r="F323" s="12">
        <v>24.0</v>
      </c>
      <c r="G323" s="12">
        <v>2001.0</v>
      </c>
      <c r="H323" s="14">
        <v>18.0</v>
      </c>
      <c r="I323" s="16">
        <v>1112.0</v>
      </c>
      <c r="J323" s="15">
        <v>62.0</v>
      </c>
      <c r="K323" s="15">
        <v>32.5</v>
      </c>
      <c r="L323" s="15">
        <v>12.4</v>
      </c>
      <c r="M323" s="17">
        <v>1.05</v>
      </c>
      <c r="N323" s="15">
        <v>76.0</v>
      </c>
      <c r="O323" s="18">
        <v>0.32</v>
      </c>
      <c r="P323" s="17">
        <v>0.4</v>
      </c>
      <c r="Q323" s="15">
        <v>24.0</v>
      </c>
      <c r="R323" s="18">
        <v>0.08</v>
      </c>
      <c r="S323" s="14">
        <v>1.0</v>
      </c>
      <c r="T323" s="18">
        <v>0.56</v>
      </c>
      <c r="U323" s="18">
        <v>1.53</v>
      </c>
      <c r="V323" s="56">
        <v>-0.97</v>
      </c>
      <c r="W323" s="57">
        <v>-0.97</v>
      </c>
      <c r="X323" s="57">
        <v>-1.05</v>
      </c>
      <c r="Y323" s="20" t="s">
        <v>8083</v>
      </c>
    </row>
    <row r="324">
      <c r="A324" s="9">
        <v>310.0</v>
      </c>
      <c r="B324" s="10" t="s">
        <v>8084</v>
      </c>
      <c r="C324" s="11" t="s">
        <v>8085</v>
      </c>
      <c r="D324" s="12" t="s">
        <v>98</v>
      </c>
      <c r="E324" s="13" t="s">
        <v>8086</v>
      </c>
      <c r="F324" s="12">
        <v>32.0</v>
      </c>
      <c r="G324" s="12">
        <v>1993.0</v>
      </c>
      <c r="H324" s="14">
        <v>12.0</v>
      </c>
      <c r="I324" s="16">
        <v>1080.0</v>
      </c>
      <c r="J324" s="15">
        <v>90.0</v>
      </c>
      <c r="K324" s="15">
        <v>31.6</v>
      </c>
      <c r="L324" s="15">
        <v>12.0</v>
      </c>
      <c r="M324" s="17">
        <v>1.0</v>
      </c>
      <c r="N324" s="15">
        <v>90.0</v>
      </c>
      <c r="O324" s="18">
        <v>1.0</v>
      </c>
      <c r="P324" s="22">
        <v>0.0</v>
      </c>
      <c r="Q324" s="36"/>
      <c r="R324" s="18">
        <v>1.5</v>
      </c>
      <c r="S324" s="14">
        <v>0.17</v>
      </c>
      <c r="T324" s="18">
        <v>0.5</v>
      </c>
      <c r="U324" s="18">
        <v>2.0</v>
      </c>
      <c r="V324" s="56">
        <v>-1.5</v>
      </c>
      <c r="W324" s="57">
        <v>-1.5</v>
      </c>
      <c r="X324" s="57">
        <v>-0.62</v>
      </c>
      <c r="Y324" s="20" t="s">
        <v>8087</v>
      </c>
    </row>
    <row r="325">
      <c r="A325" s="9">
        <v>311.0</v>
      </c>
      <c r="B325" s="10" t="s">
        <v>8088</v>
      </c>
      <c r="C325" s="11" t="s">
        <v>8089</v>
      </c>
      <c r="D325" s="12" t="s">
        <v>264</v>
      </c>
      <c r="E325" s="13" t="s">
        <v>8090</v>
      </c>
      <c r="F325" s="12">
        <v>24.0</v>
      </c>
      <c r="G325" s="12">
        <v>2001.0</v>
      </c>
      <c r="H325" s="14">
        <v>34.0</v>
      </c>
      <c r="I325" s="16">
        <v>1937.0</v>
      </c>
      <c r="J325" s="15">
        <v>57.0</v>
      </c>
      <c r="K325" s="15">
        <v>56.6</v>
      </c>
      <c r="L325" s="15">
        <v>21.5</v>
      </c>
      <c r="M325" s="17">
        <v>0.84</v>
      </c>
      <c r="N325" s="15">
        <v>83.0</v>
      </c>
      <c r="O325" s="18">
        <v>0.42</v>
      </c>
      <c r="P325" s="17">
        <v>0.74</v>
      </c>
      <c r="Q325" s="15">
        <v>28.0</v>
      </c>
      <c r="R325" s="18">
        <v>0.09</v>
      </c>
      <c r="S325" s="14">
        <v>1.47</v>
      </c>
      <c r="T325" s="18">
        <v>1.77</v>
      </c>
      <c r="U325" s="18">
        <v>1.77</v>
      </c>
      <c r="V325" s="19">
        <v>0.0</v>
      </c>
      <c r="W325" s="21">
        <v>0.0</v>
      </c>
      <c r="X325" s="57">
        <v>-0.61</v>
      </c>
      <c r="Y325" s="20" t="s">
        <v>8091</v>
      </c>
    </row>
    <row r="326">
      <c r="A326" s="9">
        <v>312.0</v>
      </c>
      <c r="B326" s="10" t="s">
        <v>8092</v>
      </c>
      <c r="C326" s="11" t="s">
        <v>8093</v>
      </c>
      <c r="D326" s="12" t="s">
        <v>31</v>
      </c>
      <c r="E326" s="13" t="s">
        <v>8094</v>
      </c>
      <c r="F326" s="12">
        <v>20.0</v>
      </c>
      <c r="G326" s="12">
        <v>2004.0</v>
      </c>
      <c r="H326" s="23">
        <v>0.0</v>
      </c>
      <c r="I326" s="36"/>
      <c r="J326" s="36"/>
      <c r="K326" s="36"/>
      <c r="L326" s="36"/>
      <c r="M326" s="23">
        <v>0.0</v>
      </c>
      <c r="N326" s="36"/>
      <c r="O326" s="21">
        <v>0.0</v>
      </c>
      <c r="P326" s="23">
        <v>0.0</v>
      </c>
      <c r="Q326" s="36"/>
      <c r="R326" s="15">
        <v>15.0</v>
      </c>
      <c r="S326" s="58"/>
      <c r="T326" s="36"/>
      <c r="U326" s="36"/>
      <c r="V326" s="36"/>
      <c r="W326" s="36"/>
      <c r="X326" s="36"/>
      <c r="Y326" s="20" t="s">
        <v>8095</v>
      </c>
    </row>
    <row r="327">
      <c r="A327" s="9">
        <v>313.0</v>
      </c>
      <c r="B327" s="10" t="s">
        <v>8096</v>
      </c>
      <c r="C327" s="11" t="s">
        <v>8097</v>
      </c>
      <c r="D327" s="12" t="s">
        <v>31</v>
      </c>
      <c r="E327" s="13" t="s">
        <v>8098</v>
      </c>
      <c r="F327" s="12">
        <v>18.0</v>
      </c>
      <c r="G327" s="12">
        <v>2006.0</v>
      </c>
      <c r="H327" s="23">
        <v>0.0</v>
      </c>
      <c r="I327" s="36"/>
      <c r="J327" s="36"/>
      <c r="K327" s="36"/>
      <c r="L327" s="36"/>
      <c r="M327" s="23">
        <v>0.0</v>
      </c>
      <c r="N327" s="36"/>
      <c r="O327" s="21">
        <v>0.0</v>
      </c>
      <c r="P327" s="23">
        <v>0.0</v>
      </c>
      <c r="Q327" s="36"/>
      <c r="R327" s="15">
        <v>1.0</v>
      </c>
      <c r="S327" s="58"/>
      <c r="T327" s="36"/>
      <c r="U327" s="36"/>
      <c r="V327" s="36"/>
      <c r="W327" s="36"/>
      <c r="X327" s="36"/>
      <c r="Y327" s="20" t="s">
        <v>8099</v>
      </c>
    </row>
    <row r="328">
      <c r="A328" s="9">
        <v>314.0</v>
      </c>
      <c r="B328" s="10" t="s">
        <v>8100</v>
      </c>
      <c r="C328" s="11" t="s">
        <v>8101</v>
      </c>
      <c r="D328" s="12" t="s">
        <v>36</v>
      </c>
      <c r="E328" s="13" t="s">
        <v>8102</v>
      </c>
      <c r="F328" s="12">
        <v>24.0</v>
      </c>
      <c r="G328" s="12">
        <v>2000.0</v>
      </c>
      <c r="H328" s="23">
        <v>0.0</v>
      </c>
      <c r="I328" s="36"/>
      <c r="J328" s="36"/>
      <c r="K328" s="36"/>
      <c r="L328" s="36"/>
      <c r="M328" s="23">
        <v>0.0</v>
      </c>
      <c r="N328" s="36"/>
      <c r="O328" s="21">
        <v>0.0</v>
      </c>
      <c r="P328" s="23">
        <v>0.0</v>
      </c>
      <c r="Q328" s="36"/>
      <c r="R328" s="15">
        <v>7.0</v>
      </c>
      <c r="S328" s="58"/>
      <c r="T328" s="36"/>
      <c r="U328" s="36"/>
      <c r="V328" s="36"/>
      <c r="W328" s="36"/>
      <c r="X328" s="36"/>
      <c r="Y328" s="20" t="s">
        <v>8103</v>
      </c>
    </row>
    <row r="329">
      <c r="A329" s="9">
        <v>315.0</v>
      </c>
      <c r="B329" s="10" t="s">
        <v>8104</v>
      </c>
      <c r="C329" s="11" t="s">
        <v>8105</v>
      </c>
      <c r="D329" s="12" t="s">
        <v>26</v>
      </c>
      <c r="E329" s="13" t="s">
        <v>8106</v>
      </c>
      <c r="F329" s="12">
        <v>19.0</v>
      </c>
      <c r="G329" s="12">
        <v>2006.0</v>
      </c>
      <c r="H329" s="14">
        <v>33.0</v>
      </c>
      <c r="I329" s="16">
        <v>1672.0</v>
      </c>
      <c r="J329" s="15">
        <v>51.0</v>
      </c>
      <c r="K329" s="15">
        <v>48.9</v>
      </c>
      <c r="L329" s="15">
        <v>18.6</v>
      </c>
      <c r="M329" s="17">
        <v>1.13</v>
      </c>
      <c r="N329" s="15">
        <v>71.0</v>
      </c>
      <c r="O329" s="19">
        <v>0.0</v>
      </c>
      <c r="P329" s="17">
        <v>0.65</v>
      </c>
      <c r="Q329" s="15">
        <v>16.0</v>
      </c>
      <c r="R329" s="18">
        <v>0.27</v>
      </c>
      <c r="S329" s="14">
        <v>1.45</v>
      </c>
      <c r="T329" s="18">
        <v>1.67</v>
      </c>
      <c r="U329" s="18">
        <v>1.13</v>
      </c>
      <c r="V329" s="54">
        <v>0.54</v>
      </c>
      <c r="W329" s="55">
        <f>+0.54</f>
        <v>0.54</v>
      </c>
      <c r="X329" s="55">
        <f>+0.85</f>
        <v>0.85</v>
      </c>
      <c r="Y329" s="20" t="s">
        <v>8107</v>
      </c>
    </row>
    <row r="330">
      <c r="A330" s="9">
        <v>316.0</v>
      </c>
      <c r="B330" s="10" t="s">
        <v>8108</v>
      </c>
      <c r="C330" s="11" t="s">
        <v>8109</v>
      </c>
      <c r="D330" s="12" t="s">
        <v>31</v>
      </c>
      <c r="E330" s="13" t="s">
        <v>8110</v>
      </c>
      <c r="F330" s="12">
        <v>25.0</v>
      </c>
      <c r="G330" s="12">
        <v>2000.0</v>
      </c>
      <c r="H330" s="14">
        <v>1.0</v>
      </c>
      <c r="I330" s="15">
        <v>17.0</v>
      </c>
      <c r="J330" s="15">
        <v>17.0</v>
      </c>
      <c r="K330" s="15">
        <v>0.5</v>
      </c>
      <c r="L330" s="15">
        <v>0.2</v>
      </c>
      <c r="M330" s="22">
        <v>0.0</v>
      </c>
      <c r="N330" s="36"/>
      <c r="O330" s="19">
        <v>0.0</v>
      </c>
      <c r="P330" s="17">
        <v>5.0</v>
      </c>
      <c r="Q330" s="15">
        <v>17.0</v>
      </c>
      <c r="R330" s="19">
        <v>0.0</v>
      </c>
      <c r="S330" s="23">
        <v>0.0</v>
      </c>
      <c r="T330" s="18">
        <v>5.0</v>
      </c>
      <c r="U330" s="18">
        <v>10.0</v>
      </c>
      <c r="V330" s="56">
        <v>-5.0</v>
      </c>
      <c r="W330" s="57">
        <v>-5.29</v>
      </c>
      <c r="X330" s="57">
        <v>-5.43</v>
      </c>
      <c r="Y330" s="20" t="s">
        <v>8111</v>
      </c>
    </row>
    <row r="331">
      <c r="A331" s="9">
        <v>317.0</v>
      </c>
      <c r="B331" s="10" t="s">
        <v>8112</v>
      </c>
      <c r="C331" s="11" t="s">
        <v>8113</v>
      </c>
      <c r="D331" s="12" t="s">
        <v>345</v>
      </c>
      <c r="E331" s="13" t="s">
        <v>8114</v>
      </c>
      <c r="F331" s="12">
        <v>27.0</v>
      </c>
      <c r="G331" s="12">
        <v>1998.0</v>
      </c>
      <c r="H331" s="14">
        <v>29.0</v>
      </c>
      <c r="I331" s="16">
        <v>1901.0</v>
      </c>
      <c r="J331" s="15">
        <v>66.0</v>
      </c>
      <c r="K331" s="15">
        <v>55.6</v>
      </c>
      <c r="L331" s="15">
        <v>21.1</v>
      </c>
      <c r="M331" s="17">
        <v>1.0</v>
      </c>
      <c r="N331" s="15">
        <v>86.0</v>
      </c>
      <c r="O331" s="18">
        <v>0.81</v>
      </c>
      <c r="P331" s="17">
        <v>0.38</v>
      </c>
      <c r="Q331" s="15">
        <v>12.0</v>
      </c>
      <c r="R331" s="18">
        <v>0.33</v>
      </c>
      <c r="S331" s="14">
        <v>1.41</v>
      </c>
      <c r="T331" s="18">
        <v>1.28</v>
      </c>
      <c r="U331" s="18">
        <v>1.23</v>
      </c>
      <c r="V331" s="54">
        <v>0.05</v>
      </c>
      <c r="W331" s="55">
        <f>+0.05</f>
        <v>0.05</v>
      </c>
      <c r="X331" s="55">
        <f>+0.52</f>
        <v>0.52</v>
      </c>
      <c r="Y331" s="20" t="s">
        <v>8115</v>
      </c>
    </row>
    <row r="332">
      <c r="A332" s="9">
        <v>318.0</v>
      </c>
      <c r="B332" s="10" t="s">
        <v>8116</v>
      </c>
      <c r="C332" s="11" t="s">
        <v>8117</v>
      </c>
      <c r="D332" s="12" t="s">
        <v>98</v>
      </c>
      <c r="E332" s="13" t="s">
        <v>8118</v>
      </c>
      <c r="F332" s="12">
        <v>23.0</v>
      </c>
      <c r="G332" s="12">
        <v>2002.0</v>
      </c>
      <c r="H332" s="14">
        <v>5.0</v>
      </c>
      <c r="I332" s="15">
        <v>379.0</v>
      </c>
      <c r="J332" s="15">
        <v>76.0</v>
      </c>
      <c r="K332" s="15">
        <v>11.1</v>
      </c>
      <c r="L332" s="15">
        <v>4.2</v>
      </c>
      <c r="M332" s="17">
        <v>0.71</v>
      </c>
      <c r="N332" s="15">
        <v>90.0</v>
      </c>
      <c r="O332" s="18">
        <v>0.71</v>
      </c>
      <c r="P332" s="17">
        <v>0.48</v>
      </c>
      <c r="Q332" s="15">
        <v>55.0</v>
      </c>
      <c r="R332" s="18">
        <v>5.48</v>
      </c>
      <c r="S332" s="14">
        <v>1.0</v>
      </c>
      <c r="T332" s="18">
        <v>1.9</v>
      </c>
      <c r="U332" s="18">
        <v>1.19</v>
      </c>
      <c r="V332" s="54">
        <v>0.71</v>
      </c>
      <c r="W332" s="55">
        <f>+0.71</f>
        <v>0.71</v>
      </c>
      <c r="X332" s="55">
        <f>+0.62</f>
        <v>0.62</v>
      </c>
      <c r="Y332" s="20" t="s">
        <v>8119</v>
      </c>
    </row>
    <row r="333">
      <c r="A333" s="9">
        <v>319.0</v>
      </c>
      <c r="B333" s="10" t="s">
        <v>8120</v>
      </c>
      <c r="C333" s="11" t="s">
        <v>8121</v>
      </c>
      <c r="D333" s="12" t="s">
        <v>345</v>
      </c>
      <c r="E333" s="13" t="s">
        <v>8122</v>
      </c>
      <c r="F333" s="12">
        <v>25.0</v>
      </c>
      <c r="G333" s="12">
        <v>1999.0</v>
      </c>
      <c r="H333" s="14">
        <v>37.0</v>
      </c>
      <c r="I333" s="16">
        <v>3133.0</v>
      </c>
      <c r="J333" s="15">
        <v>85.0</v>
      </c>
      <c r="K333" s="15">
        <v>91.6</v>
      </c>
      <c r="L333" s="15">
        <v>34.8</v>
      </c>
      <c r="M333" s="17">
        <v>0.98</v>
      </c>
      <c r="N333" s="15">
        <v>89.0</v>
      </c>
      <c r="O333" s="18">
        <v>0.86</v>
      </c>
      <c r="P333" s="17">
        <v>0.09</v>
      </c>
      <c r="Q333" s="15">
        <v>38.0</v>
      </c>
      <c r="R333" s="18">
        <v>0.03</v>
      </c>
      <c r="S333" s="14">
        <v>1.35</v>
      </c>
      <c r="T333" s="18">
        <v>1.32</v>
      </c>
      <c r="U333" s="18">
        <v>1.18</v>
      </c>
      <c r="V333" s="54">
        <v>0.14</v>
      </c>
      <c r="W333" s="55">
        <f>+0.14</f>
        <v>0.14</v>
      </c>
      <c r="X333" s="57">
        <v>-0.17</v>
      </c>
      <c r="Y333" s="20" t="s">
        <v>8123</v>
      </c>
    </row>
    <row r="334">
      <c r="A334" s="9">
        <v>320.0</v>
      </c>
      <c r="B334" s="10" t="s">
        <v>8124</v>
      </c>
      <c r="C334" s="11" t="s">
        <v>8125</v>
      </c>
      <c r="D334" s="12" t="s">
        <v>107</v>
      </c>
      <c r="E334" s="13" t="s">
        <v>8126</v>
      </c>
      <c r="F334" s="12">
        <v>28.0</v>
      </c>
      <c r="G334" s="12">
        <v>1997.0</v>
      </c>
      <c r="H334" s="14">
        <v>1.0</v>
      </c>
      <c r="I334" s="15">
        <v>15.0</v>
      </c>
      <c r="J334" s="15">
        <v>15.0</v>
      </c>
      <c r="K334" s="15">
        <v>0.4</v>
      </c>
      <c r="L334" s="15">
        <v>0.2</v>
      </c>
      <c r="M334" s="22">
        <v>0.0</v>
      </c>
      <c r="N334" s="36"/>
      <c r="O334" s="19">
        <v>0.0</v>
      </c>
      <c r="P334" s="17">
        <v>5.0</v>
      </c>
      <c r="Q334" s="15">
        <v>15.0</v>
      </c>
      <c r="R334" s="18">
        <v>5.0</v>
      </c>
      <c r="S334" s="23">
        <v>0.0</v>
      </c>
      <c r="T334" s="18">
        <v>5.0</v>
      </c>
      <c r="U334" s="19">
        <v>0.0</v>
      </c>
      <c r="V334" s="54">
        <v>5.0</v>
      </c>
      <c r="W334" s="55">
        <f>+6</f>
        <v>6</v>
      </c>
      <c r="X334" s="55">
        <f>+7.11</f>
        <v>7.11</v>
      </c>
      <c r="Y334" s="20" t="s">
        <v>8127</v>
      </c>
    </row>
    <row r="335">
      <c r="A335" s="9">
        <v>321.0</v>
      </c>
      <c r="B335" s="10" t="s">
        <v>8128</v>
      </c>
      <c r="C335" s="11" t="s">
        <v>8129</v>
      </c>
      <c r="D335" s="12" t="s">
        <v>41</v>
      </c>
      <c r="E335" s="13" t="s">
        <v>8130</v>
      </c>
      <c r="F335" s="12">
        <v>23.0</v>
      </c>
      <c r="G335" s="12">
        <v>2002.0</v>
      </c>
      <c r="H335" s="14">
        <v>9.0</v>
      </c>
      <c r="I335" s="15">
        <v>96.0</v>
      </c>
      <c r="J335" s="15">
        <v>11.0</v>
      </c>
      <c r="K335" s="15">
        <v>2.8</v>
      </c>
      <c r="L335" s="15">
        <v>1.1</v>
      </c>
      <c r="M335" s="22">
        <v>0.0</v>
      </c>
      <c r="N335" s="36"/>
      <c r="O335" s="19">
        <v>0.0</v>
      </c>
      <c r="P335" s="17">
        <v>8.18</v>
      </c>
      <c r="Q335" s="15">
        <v>11.0</v>
      </c>
      <c r="R335" s="18">
        <v>8.18</v>
      </c>
      <c r="S335" s="14">
        <v>0.22</v>
      </c>
      <c r="T335" s="19">
        <v>0.0</v>
      </c>
      <c r="U335" s="18">
        <v>2.73</v>
      </c>
      <c r="V335" s="56">
        <v>-2.73</v>
      </c>
      <c r="W335" s="57">
        <v>-2.81</v>
      </c>
      <c r="X335" s="57">
        <v>-2.81</v>
      </c>
      <c r="Y335" s="20" t="s">
        <v>8131</v>
      </c>
    </row>
    <row r="336">
      <c r="A336" s="9">
        <v>322.0</v>
      </c>
      <c r="B336" s="10" t="s">
        <v>8132</v>
      </c>
      <c r="C336" s="11" t="s">
        <v>8133</v>
      </c>
      <c r="D336" s="12" t="s">
        <v>31</v>
      </c>
      <c r="E336" s="13" t="s">
        <v>8134</v>
      </c>
      <c r="F336" s="12">
        <v>28.0</v>
      </c>
      <c r="G336" s="12">
        <v>1996.0</v>
      </c>
      <c r="H336" s="14">
        <v>28.0</v>
      </c>
      <c r="I336" s="16">
        <v>1902.0</v>
      </c>
      <c r="J336" s="15">
        <v>68.0</v>
      </c>
      <c r="K336" s="15">
        <v>55.6</v>
      </c>
      <c r="L336" s="15">
        <v>21.1</v>
      </c>
      <c r="M336" s="17">
        <v>1.04</v>
      </c>
      <c r="N336" s="15">
        <v>80.0</v>
      </c>
      <c r="O336" s="18">
        <v>0.38</v>
      </c>
      <c r="P336" s="17">
        <v>0.28</v>
      </c>
      <c r="Q336" s="15">
        <v>22.0</v>
      </c>
      <c r="R336" s="19">
        <v>0.0</v>
      </c>
      <c r="S336" s="14">
        <v>1.43</v>
      </c>
      <c r="T336" s="18">
        <v>1.52</v>
      </c>
      <c r="U336" s="18">
        <v>1.33</v>
      </c>
      <c r="V336" s="54">
        <v>0.19</v>
      </c>
      <c r="W336" s="55">
        <f>+0.19</f>
        <v>0.19</v>
      </c>
      <c r="X336" s="55">
        <f>+1.02</f>
        <v>1.02</v>
      </c>
      <c r="Y336" s="20" t="s">
        <v>8135</v>
      </c>
    </row>
    <row r="337">
      <c r="A337" s="9">
        <v>323.0</v>
      </c>
      <c r="B337" s="10" t="s">
        <v>8136</v>
      </c>
      <c r="C337" s="11" t="s">
        <v>8137</v>
      </c>
      <c r="D337" s="12" t="s">
        <v>31</v>
      </c>
      <c r="E337" s="13" t="s">
        <v>8138</v>
      </c>
      <c r="F337" s="12">
        <v>25.0</v>
      </c>
      <c r="G337" s="12">
        <v>1999.0</v>
      </c>
      <c r="H337" s="14">
        <v>18.0</v>
      </c>
      <c r="I337" s="16">
        <v>1411.0</v>
      </c>
      <c r="J337" s="15">
        <v>78.0</v>
      </c>
      <c r="K337" s="15">
        <v>41.3</v>
      </c>
      <c r="L337" s="15">
        <v>15.7</v>
      </c>
      <c r="M337" s="17">
        <v>1.08</v>
      </c>
      <c r="N337" s="15">
        <v>82.0</v>
      </c>
      <c r="O337" s="18">
        <v>0.57</v>
      </c>
      <c r="P337" s="17">
        <v>0.06</v>
      </c>
      <c r="Q337" s="15">
        <v>19.0</v>
      </c>
      <c r="R337" s="19">
        <v>0.0</v>
      </c>
      <c r="S337" s="14">
        <v>2.33</v>
      </c>
      <c r="T337" s="18">
        <v>1.66</v>
      </c>
      <c r="U337" s="18">
        <v>0.96</v>
      </c>
      <c r="V337" s="54">
        <v>0.7</v>
      </c>
      <c r="W337" s="55">
        <f>+0.7</f>
        <v>0.7</v>
      </c>
      <c r="X337" s="55">
        <f>+0.88</f>
        <v>0.88</v>
      </c>
      <c r="Y337" s="20" t="s">
        <v>8139</v>
      </c>
    </row>
    <row r="338">
      <c r="A338" s="9">
        <v>324.0</v>
      </c>
      <c r="B338" s="10" t="s">
        <v>8140</v>
      </c>
      <c r="C338" s="11" t="s">
        <v>8141</v>
      </c>
      <c r="D338" s="12" t="s">
        <v>31</v>
      </c>
      <c r="E338" s="13" t="s">
        <v>8142</v>
      </c>
      <c r="F338" s="12">
        <v>19.0</v>
      </c>
      <c r="G338" s="12">
        <v>2005.0</v>
      </c>
      <c r="H338" s="14">
        <v>11.0</v>
      </c>
      <c r="I338" s="15">
        <v>75.0</v>
      </c>
      <c r="J338" s="15">
        <v>7.0</v>
      </c>
      <c r="K338" s="15">
        <v>2.2</v>
      </c>
      <c r="L338" s="15">
        <v>0.8</v>
      </c>
      <c r="M338" s="22">
        <v>0.0</v>
      </c>
      <c r="N338" s="36"/>
      <c r="O338" s="19">
        <v>0.0</v>
      </c>
      <c r="P338" s="17">
        <v>13.8</v>
      </c>
      <c r="Q338" s="15">
        <v>7.0</v>
      </c>
      <c r="R338" s="18">
        <v>16.3</v>
      </c>
      <c r="S338" s="14">
        <v>1.0</v>
      </c>
      <c r="T338" s="18">
        <v>2.5</v>
      </c>
      <c r="U338" s="18">
        <v>1.25</v>
      </c>
      <c r="V338" s="54">
        <v>1.25</v>
      </c>
      <c r="W338" s="55">
        <f>+1.2</f>
        <v>1.2</v>
      </c>
      <c r="X338" s="55">
        <f>+1.74</f>
        <v>1.74</v>
      </c>
      <c r="Y338" s="20" t="s">
        <v>8143</v>
      </c>
    </row>
    <row r="339">
      <c r="A339" s="9">
        <v>325.0</v>
      </c>
      <c r="B339" s="10" t="s">
        <v>8144</v>
      </c>
      <c r="C339" s="11" t="s">
        <v>8145</v>
      </c>
      <c r="D339" s="12" t="s">
        <v>41</v>
      </c>
      <c r="E339" s="13" t="s">
        <v>8146</v>
      </c>
      <c r="F339" s="12">
        <v>16.0</v>
      </c>
      <c r="G339" s="12">
        <v>2009.0</v>
      </c>
      <c r="H339" s="23">
        <v>0.0</v>
      </c>
      <c r="I339" s="36"/>
      <c r="J339" s="36"/>
      <c r="K339" s="36"/>
      <c r="L339" s="36"/>
      <c r="M339" s="23">
        <v>0.0</v>
      </c>
      <c r="N339" s="36"/>
      <c r="O339" s="21">
        <v>0.0</v>
      </c>
      <c r="P339" s="23">
        <v>0.0</v>
      </c>
      <c r="Q339" s="36"/>
      <c r="R339" s="15">
        <v>2.0</v>
      </c>
      <c r="S339" s="58"/>
      <c r="T339" s="36"/>
      <c r="U339" s="36"/>
      <c r="V339" s="36"/>
      <c r="W339" s="36"/>
      <c r="X339" s="36"/>
      <c r="Y339" s="20" t="s">
        <v>8147</v>
      </c>
    </row>
    <row r="340">
      <c r="A340" s="37" t="s">
        <v>3</v>
      </c>
      <c r="B340" s="38" t="s">
        <v>4</v>
      </c>
      <c r="C340" s="39" t="s">
        <v>5</v>
      </c>
      <c r="D340" s="39" t="s">
        <v>6</v>
      </c>
      <c r="E340" s="39" t="s">
        <v>7</v>
      </c>
      <c r="F340" s="39" t="s">
        <v>8</v>
      </c>
      <c r="G340" s="39" t="s">
        <v>9</v>
      </c>
      <c r="H340" s="40" t="s">
        <v>10</v>
      </c>
      <c r="I340" s="39" t="s">
        <v>12</v>
      </c>
      <c r="J340" s="39" t="s">
        <v>6838</v>
      </c>
      <c r="K340" s="39" t="s">
        <v>6839</v>
      </c>
      <c r="L340" s="39" t="s">
        <v>13</v>
      </c>
      <c r="M340" s="40" t="s">
        <v>11</v>
      </c>
      <c r="N340" s="39" t="s">
        <v>6840</v>
      </c>
      <c r="O340" s="39" t="s">
        <v>6841</v>
      </c>
      <c r="P340" s="40" t="s">
        <v>6836</v>
      </c>
      <c r="Q340" s="39" t="s">
        <v>6842</v>
      </c>
      <c r="R340" s="39" t="s">
        <v>6843</v>
      </c>
      <c r="S340" s="40" t="s">
        <v>6844</v>
      </c>
      <c r="T340" s="39" t="s">
        <v>6845</v>
      </c>
      <c r="U340" s="39" t="s">
        <v>6846</v>
      </c>
      <c r="V340" s="59" t="str">
        <f>+/-</f>
        <v>#ERROR!</v>
      </c>
      <c r="W340" s="59" t="str">
        <f>+/-90</f>
        <v>#ERROR!</v>
      </c>
      <c r="X340" s="39" t="s">
        <v>6847</v>
      </c>
      <c r="Y340" s="40" t="s">
        <v>23</v>
      </c>
    </row>
    <row r="341">
      <c r="A341" s="9">
        <v>326.0</v>
      </c>
      <c r="B341" s="10" t="s">
        <v>8148</v>
      </c>
      <c r="C341" s="11" t="s">
        <v>8149</v>
      </c>
      <c r="D341" s="12" t="s">
        <v>36</v>
      </c>
      <c r="E341" s="13" t="s">
        <v>8150</v>
      </c>
      <c r="F341" s="12">
        <v>21.0</v>
      </c>
      <c r="G341" s="12">
        <v>2004.0</v>
      </c>
      <c r="H341" s="14">
        <v>37.0</v>
      </c>
      <c r="I341" s="16">
        <v>3258.0</v>
      </c>
      <c r="J341" s="15">
        <v>88.0</v>
      </c>
      <c r="K341" s="15">
        <v>95.3</v>
      </c>
      <c r="L341" s="15">
        <v>36.2</v>
      </c>
      <c r="M341" s="17">
        <v>1.02</v>
      </c>
      <c r="N341" s="15">
        <v>88.0</v>
      </c>
      <c r="O341" s="18">
        <v>0.86</v>
      </c>
      <c r="P341" s="22">
        <v>0.0</v>
      </c>
      <c r="Q341" s="36"/>
      <c r="R341" s="19">
        <v>0.0</v>
      </c>
      <c r="S341" s="14">
        <v>1.43</v>
      </c>
      <c r="T341" s="18">
        <v>1.49</v>
      </c>
      <c r="U341" s="18">
        <v>1.35</v>
      </c>
      <c r="V341" s="54">
        <v>0.14</v>
      </c>
      <c r="W341" s="55">
        <f>+0.14</f>
        <v>0.14</v>
      </c>
      <c r="X341" s="55">
        <f>+1.25</f>
        <v>1.25</v>
      </c>
      <c r="Y341" s="20" t="s">
        <v>8151</v>
      </c>
    </row>
    <row r="342">
      <c r="A342" s="9">
        <v>327.0</v>
      </c>
      <c r="B342" s="10" t="s">
        <v>8152</v>
      </c>
      <c r="C342" s="11" t="s">
        <v>8153</v>
      </c>
      <c r="D342" s="12" t="s">
        <v>36</v>
      </c>
      <c r="E342" s="13" t="s">
        <v>8154</v>
      </c>
      <c r="F342" s="12">
        <v>32.0</v>
      </c>
      <c r="G342" s="12">
        <v>1993.0</v>
      </c>
      <c r="H342" s="14">
        <v>33.0</v>
      </c>
      <c r="I342" s="16">
        <v>2591.0</v>
      </c>
      <c r="J342" s="15">
        <v>79.0</v>
      </c>
      <c r="K342" s="15">
        <v>75.8</v>
      </c>
      <c r="L342" s="15">
        <v>28.8</v>
      </c>
      <c r="M342" s="17">
        <v>1.01</v>
      </c>
      <c r="N342" s="15">
        <v>89.0</v>
      </c>
      <c r="O342" s="18">
        <v>0.94</v>
      </c>
      <c r="P342" s="17">
        <v>0.14</v>
      </c>
      <c r="Q342" s="15">
        <v>4.0</v>
      </c>
      <c r="R342" s="18">
        <v>0.03</v>
      </c>
      <c r="S342" s="14">
        <v>1.15</v>
      </c>
      <c r="T342" s="18">
        <v>1.08</v>
      </c>
      <c r="U342" s="18">
        <v>1.46</v>
      </c>
      <c r="V342" s="56">
        <v>-0.38</v>
      </c>
      <c r="W342" s="57">
        <v>-0.38</v>
      </c>
      <c r="X342" s="57">
        <v>-1.25</v>
      </c>
      <c r="Y342" s="20" t="s">
        <v>8155</v>
      </c>
    </row>
    <row r="343">
      <c r="A343" s="9">
        <v>328.0</v>
      </c>
      <c r="B343" s="10" t="s">
        <v>8156</v>
      </c>
      <c r="C343" s="11" t="s">
        <v>8157</v>
      </c>
      <c r="D343" s="12" t="s">
        <v>98</v>
      </c>
      <c r="E343" s="13" t="s">
        <v>8158</v>
      </c>
      <c r="F343" s="12">
        <v>26.0</v>
      </c>
      <c r="G343" s="12">
        <v>1998.0</v>
      </c>
      <c r="H343" s="14">
        <v>37.0</v>
      </c>
      <c r="I343" s="16">
        <v>3330.0</v>
      </c>
      <c r="J343" s="15">
        <v>90.0</v>
      </c>
      <c r="K343" s="15">
        <v>97.4</v>
      </c>
      <c r="L343" s="15">
        <v>37.0</v>
      </c>
      <c r="M343" s="17">
        <v>1.0</v>
      </c>
      <c r="N343" s="15">
        <v>90.0</v>
      </c>
      <c r="O343" s="18">
        <v>1.0</v>
      </c>
      <c r="P343" s="22">
        <v>0.0</v>
      </c>
      <c r="Q343" s="36"/>
      <c r="R343" s="19">
        <v>0.0</v>
      </c>
      <c r="S343" s="14">
        <v>1.35</v>
      </c>
      <c r="T343" s="18">
        <v>1.38</v>
      </c>
      <c r="U343" s="18">
        <v>1.32</v>
      </c>
      <c r="V343" s="54">
        <v>0.05</v>
      </c>
      <c r="W343" s="55">
        <f>+0.05</f>
        <v>0.05</v>
      </c>
      <c r="X343" s="57">
        <v>-0.95</v>
      </c>
      <c r="Y343" s="20" t="s">
        <v>8159</v>
      </c>
    </row>
    <row r="344">
      <c r="A344" s="9">
        <v>329.0</v>
      </c>
      <c r="B344" s="10" t="s">
        <v>8160</v>
      </c>
      <c r="C344" s="11" t="s">
        <v>8161</v>
      </c>
      <c r="D344" s="12" t="s">
        <v>36</v>
      </c>
      <c r="E344" s="13" t="s">
        <v>8162</v>
      </c>
      <c r="F344" s="12">
        <v>21.0</v>
      </c>
      <c r="G344" s="12">
        <v>2003.0</v>
      </c>
      <c r="H344" s="14">
        <v>34.0</v>
      </c>
      <c r="I344" s="16">
        <v>2257.0</v>
      </c>
      <c r="J344" s="15">
        <v>66.0</v>
      </c>
      <c r="K344" s="15">
        <v>66.0</v>
      </c>
      <c r="L344" s="15">
        <v>25.1</v>
      </c>
      <c r="M344" s="17">
        <v>1.08</v>
      </c>
      <c r="N344" s="15">
        <v>79.0</v>
      </c>
      <c r="O344" s="18">
        <v>0.6</v>
      </c>
      <c r="P344" s="17">
        <v>0.28</v>
      </c>
      <c r="Q344" s="15">
        <v>16.0</v>
      </c>
      <c r="R344" s="18">
        <v>0.16</v>
      </c>
      <c r="S344" s="14">
        <v>1.47</v>
      </c>
      <c r="T344" s="18">
        <v>1.63</v>
      </c>
      <c r="U344" s="18">
        <v>1.43</v>
      </c>
      <c r="V344" s="54">
        <v>0.2</v>
      </c>
      <c r="W344" s="55">
        <f>+0.2</f>
        <v>0.2</v>
      </c>
      <c r="X344" s="57">
        <v>-0.19</v>
      </c>
      <c r="Y344" s="20" t="s">
        <v>8163</v>
      </c>
    </row>
    <row r="345">
      <c r="A345" s="9">
        <v>330.0</v>
      </c>
      <c r="B345" s="10" t="s">
        <v>8164</v>
      </c>
      <c r="C345" s="11" t="s">
        <v>8165</v>
      </c>
      <c r="D345" s="12" t="s">
        <v>31</v>
      </c>
      <c r="E345" s="13" t="s">
        <v>8166</v>
      </c>
      <c r="F345" s="12">
        <v>22.0</v>
      </c>
      <c r="G345" s="12">
        <v>2003.0</v>
      </c>
      <c r="H345" s="14">
        <v>26.0</v>
      </c>
      <c r="I345" s="16">
        <v>1041.0</v>
      </c>
      <c r="J345" s="15">
        <v>40.0</v>
      </c>
      <c r="K345" s="15">
        <v>30.4</v>
      </c>
      <c r="L345" s="15">
        <v>11.6</v>
      </c>
      <c r="M345" s="17">
        <v>0.78</v>
      </c>
      <c r="N345" s="15">
        <v>68.0</v>
      </c>
      <c r="O345" s="19">
        <v>0.0</v>
      </c>
      <c r="P345" s="17">
        <v>1.47</v>
      </c>
      <c r="Q345" s="15">
        <v>25.0</v>
      </c>
      <c r="R345" s="18">
        <v>0.09</v>
      </c>
      <c r="S345" s="14">
        <v>1.38</v>
      </c>
      <c r="T345" s="18">
        <v>1.12</v>
      </c>
      <c r="U345" s="18">
        <v>1.21</v>
      </c>
      <c r="V345" s="56">
        <v>-0.09</v>
      </c>
      <c r="W345" s="57">
        <v>-0.09</v>
      </c>
      <c r="X345" s="55">
        <f>+0.03</f>
        <v>0.03</v>
      </c>
      <c r="Y345" s="20" t="s">
        <v>8167</v>
      </c>
    </row>
    <row r="346">
      <c r="A346" s="9">
        <v>331.0</v>
      </c>
      <c r="B346" s="10" t="s">
        <v>8168</v>
      </c>
      <c r="C346" s="11" t="s">
        <v>8169</v>
      </c>
      <c r="D346" s="12" t="s">
        <v>36</v>
      </c>
      <c r="E346" s="13" t="s">
        <v>8170</v>
      </c>
      <c r="F346" s="12">
        <v>21.0</v>
      </c>
      <c r="G346" s="12">
        <v>2004.0</v>
      </c>
      <c r="H346" s="14">
        <v>21.0</v>
      </c>
      <c r="I346" s="16">
        <v>1432.0</v>
      </c>
      <c r="J346" s="15">
        <v>68.0</v>
      </c>
      <c r="K346" s="15">
        <v>41.9</v>
      </c>
      <c r="L346" s="15">
        <v>15.9</v>
      </c>
      <c r="M346" s="17">
        <v>0.94</v>
      </c>
      <c r="N346" s="15">
        <v>85.0</v>
      </c>
      <c r="O346" s="18">
        <v>0.75</v>
      </c>
      <c r="P346" s="17">
        <v>0.38</v>
      </c>
      <c r="Q346" s="15">
        <v>27.0</v>
      </c>
      <c r="R346" s="18">
        <v>0.57</v>
      </c>
      <c r="S346" s="14">
        <v>1.95</v>
      </c>
      <c r="T346" s="18">
        <v>1.57</v>
      </c>
      <c r="U346" s="18">
        <v>0.82</v>
      </c>
      <c r="V346" s="54">
        <v>0.75</v>
      </c>
      <c r="W346" s="55">
        <f>+0.75</f>
        <v>0.75</v>
      </c>
      <c r="X346" s="57">
        <v>-0.6</v>
      </c>
      <c r="Y346" s="20" t="s">
        <v>8171</v>
      </c>
    </row>
    <row r="347">
      <c r="A347" s="9">
        <v>332.0</v>
      </c>
      <c r="B347" s="10" t="s">
        <v>8172</v>
      </c>
      <c r="C347" s="11" t="s">
        <v>8173</v>
      </c>
      <c r="D347" s="12" t="s">
        <v>36</v>
      </c>
      <c r="E347" s="13" t="s">
        <v>8174</v>
      </c>
      <c r="F347" s="12">
        <v>28.0</v>
      </c>
      <c r="G347" s="12">
        <v>1997.0</v>
      </c>
      <c r="H347" s="14">
        <v>21.0</v>
      </c>
      <c r="I347" s="16">
        <v>1561.0</v>
      </c>
      <c r="J347" s="15">
        <v>74.0</v>
      </c>
      <c r="K347" s="15">
        <v>45.6</v>
      </c>
      <c r="L347" s="15">
        <v>17.3</v>
      </c>
      <c r="M347" s="17">
        <v>0.98</v>
      </c>
      <c r="N347" s="15">
        <v>90.0</v>
      </c>
      <c r="O347" s="18">
        <v>0.98</v>
      </c>
      <c r="P347" s="17">
        <v>0.23</v>
      </c>
      <c r="Q347" s="15">
        <v>8.0</v>
      </c>
      <c r="R347" s="18">
        <v>0.75</v>
      </c>
      <c r="S347" s="14">
        <v>0.95</v>
      </c>
      <c r="T347" s="18">
        <v>1.04</v>
      </c>
      <c r="U347" s="18">
        <v>2.14</v>
      </c>
      <c r="V347" s="56">
        <v>-1.1</v>
      </c>
      <c r="W347" s="57">
        <v>-1.1</v>
      </c>
      <c r="X347" s="57">
        <v>-1.1</v>
      </c>
      <c r="Y347" s="20" t="s">
        <v>8175</v>
      </c>
    </row>
    <row r="348">
      <c r="A348" s="9">
        <v>333.0</v>
      </c>
      <c r="B348" s="10" t="s">
        <v>8176</v>
      </c>
      <c r="C348" s="11" t="s">
        <v>8177</v>
      </c>
      <c r="D348" s="12" t="s">
        <v>36</v>
      </c>
      <c r="E348" s="13" t="s">
        <v>8178</v>
      </c>
      <c r="F348" s="12">
        <v>18.0</v>
      </c>
      <c r="G348" s="12">
        <v>2007.0</v>
      </c>
      <c r="H348" s="23">
        <v>0.0</v>
      </c>
      <c r="I348" s="36"/>
      <c r="J348" s="36"/>
      <c r="K348" s="36"/>
      <c r="L348" s="36"/>
      <c r="M348" s="23">
        <v>0.0</v>
      </c>
      <c r="N348" s="36"/>
      <c r="O348" s="21">
        <v>0.0</v>
      </c>
      <c r="P348" s="23">
        <v>0.0</v>
      </c>
      <c r="Q348" s="36"/>
      <c r="R348" s="15">
        <v>1.0</v>
      </c>
      <c r="S348" s="58"/>
      <c r="T348" s="36"/>
      <c r="U348" s="36"/>
      <c r="V348" s="36"/>
      <c r="W348" s="36"/>
      <c r="X348" s="36"/>
      <c r="Y348" s="20" t="s">
        <v>8179</v>
      </c>
    </row>
    <row r="349">
      <c r="A349" s="9">
        <v>334.0</v>
      </c>
      <c r="B349" s="10" t="s">
        <v>8180</v>
      </c>
      <c r="C349" s="11" t="s">
        <v>8181</v>
      </c>
      <c r="D349" s="12" t="s">
        <v>31</v>
      </c>
      <c r="E349" s="13" t="s">
        <v>8182</v>
      </c>
      <c r="F349" s="12">
        <v>18.0</v>
      </c>
      <c r="G349" s="12">
        <v>2007.0</v>
      </c>
      <c r="H349" s="14">
        <v>32.0</v>
      </c>
      <c r="I349" s="16">
        <v>1308.0</v>
      </c>
      <c r="J349" s="15">
        <v>41.0</v>
      </c>
      <c r="K349" s="15">
        <v>38.2</v>
      </c>
      <c r="L349" s="15">
        <v>14.5</v>
      </c>
      <c r="M349" s="17">
        <v>1.03</v>
      </c>
      <c r="N349" s="15">
        <v>65.0</v>
      </c>
      <c r="O349" s="19">
        <v>0.0</v>
      </c>
      <c r="P349" s="17">
        <v>1.17</v>
      </c>
      <c r="Q349" s="15">
        <v>19.0</v>
      </c>
      <c r="R349" s="18">
        <v>0.21</v>
      </c>
      <c r="S349" s="14">
        <v>1.38</v>
      </c>
      <c r="T349" s="18">
        <v>0.97</v>
      </c>
      <c r="U349" s="18">
        <v>1.24</v>
      </c>
      <c r="V349" s="56">
        <v>-0.28</v>
      </c>
      <c r="W349" s="57">
        <v>-0.28</v>
      </c>
      <c r="X349" s="57">
        <v>-0.28</v>
      </c>
      <c r="Y349" s="20" t="s">
        <v>8183</v>
      </c>
    </row>
    <row r="350">
      <c r="A350" s="9">
        <v>335.0</v>
      </c>
      <c r="B350" s="10" t="s">
        <v>8184</v>
      </c>
      <c r="C350" s="11" t="s">
        <v>8185</v>
      </c>
      <c r="D350" s="12" t="s">
        <v>98</v>
      </c>
      <c r="E350" s="13" t="s">
        <v>8186</v>
      </c>
      <c r="F350" s="12">
        <v>30.0</v>
      </c>
      <c r="G350" s="12">
        <v>1995.0</v>
      </c>
      <c r="H350" s="23">
        <v>0.0</v>
      </c>
      <c r="I350" s="36"/>
      <c r="J350" s="36"/>
      <c r="K350" s="36"/>
      <c r="L350" s="36"/>
      <c r="M350" s="23">
        <v>0.0</v>
      </c>
      <c r="N350" s="36"/>
      <c r="O350" s="21">
        <v>0.0</v>
      </c>
      <c r="P350" s="23">
        <v>0.0</v>
      </c>
      <c r="Q350" s="36"/>
      <c r="R350" s="15">
        <v>13.0</v>
      </c>
      <c r="S350" s="58"/>
      <c r="T350" s="36"/>
      <c r="U350" s="36"/>
      <c r="V350" s="36"/>
      <c r="W350" s="36"/>
      <c r="X350" s="36"/>
      <c r="Y350" s="20" t="s">
        <v>8187</v>
      </c>
    </row>
    <row r="351">
      <c r="A351" s="9">
        <v>336.0</v>
      </c>
      <c r="B351" s="10" t="s">
        <v>8188</v>
      </c>
      <c r="C351" s="11" t="s">
        <v>8189</v>
      </c>
      <c r="D351" s="12" t="s">
        <v>98</v>
      </c>
      <c r="E351" s="13" t="s">
        <v>8190</v>
      </c>
      <c r="F351" s="12">
        <v>22.0</v>
      </c>
      <c r="G351" s="12">
        <v>2003.0</v>
      </c>
      <c r="H351" s="14">
        <v>7.0</v>
      </c>
      <c r="I351" s="15">
        <v>630.0</v>
      </c>
      <c r="J351" s="15">
        <v>90.0</v>
      </c>
      <c r="K351" s="15">
        <v>18.4</v>
      </c>
      <c r="L351" s="15">
        <v>7.0</v>
      </c>
      <c r="M351" s="17">
        <v>1.0</v>
      </c>
      <c r="N351" s="15">
        <v>90.0</v>
      </c>
      <c r="O351" s="18">
        <v>1.0</v>
      </c>
      <c r="P351" s="22">
        <v>0.0</v>
      </c>
      <c r="Q351" s="36"/>
      <c r="R351" s="18">
        <v>4.29</v>
      </c>
      <c r="S351" s="14">
        <v>1.57</v>
      </c>
      <c r="T351" s="18">
        <v>1.14</v>
      </c>
      <c r="U351" s="18">
        <v>1.0</v>
      </c>
      <c r="V351" s="54">
        <v>0.14</v>
      </c>
      <c r="W351" s="55">
        <f>+0.14</f>
        <v>0.14</v>
      </c>
      <c r="X351" s="55">
        <f>+0.47</f>
        <v>0.47</v>
      </c>
      <c r="Y351" s="20" t="s">
        <v>8191</v>
      </c>
    </row>
    <row r="352">
      <c r="A352" s="9">
        <v>337.0</v>
      </c>
      <c r="B352" s="10" t="s">
        <v>8192</v>
      </c>
      <c r="C352" s="11" t="s">
        <v>8193</v>
      </c>
      <c r="D352" s="12" t="s">
        <v>345</v>
      </c>
      <c r="E352" s="13" t="s">
        <v>8194</v>
      </c>
      <c r="F352" s="12">
        <v>25.0</v>
      </c>
      <c r="G352" s="12">
        <v>2000.0</v>
      </c>
      <c r="H352" s="23">
        <v>0.0</v>
      </c>
      <c r="I352" s="36"/>
      <c r="J352" s="36"/>
      <c r="K352" s="36"/>
      <c r="L352" s="36"/>
      <c r="M352" s="23">
        <v>0.0</v>
      </c>
      <c r="N352" s="36"/>
      <c r="O352" s="21">
        <v>0.0</v>
      </c>
      <c r="P352" s="23">
        <v>0.0</v>
      </c>
      <c r="Q352" s="36"/>
      <c r="R352" s="15">
        <v>1.0</v>
      </c>
      <c r="S352" s="58"/>
      <c r="T352" s="36"/>
      <c r="U352" s="36"/>
      <c r="V352" s="36"/>
      <c r="W352" s="36"/>
      <c r="X352" s="36"/>
      <c r="Y352" s="20" t="s">
        <v>8195</v>
      </c>
    </row>
    <row r="353">
      <c r="A353" s="9">
        <v>338.0</v>
      </c>
      <c r="B353" s="10" t="s">
        <v>8196</v>
      </c>
      <c r="C353" s="11" t="s">
        <v>8197</v>
      </c>
      <c r="D353" s="12" t="s">
        <v>31</v>
      </c>
      <c r="E353" s="13" t="s">
        <v>8198</v>
      </c>
      <c r="F353" s="12">
        <v>26.0</v>
      </c>
      <c r="G353" s="12">
        <v>1999.0</v>
      </c>
      <c r="H353" s="14">
        <v>20.0</v>
      </c>
      <c r="I353" s="15">
        <v>952.0</v>
      </c>
      <c r="J353" s="15">
        <v>48.0</v>
      </c>
      <c r="K353" s="15">
        <v>27.8</v>
      </c>
      <c r="L353" s="15">
        <v>10.6</v>
      </c>
      <c r="M353" s="17">
        <v>0.94</v>
      </c>
      <c r="N353" s="15">
        <v>72.0</v>
      </c>
      <c r="O353" s="19">
        <v>0.0</v>
      </c>
      <c r="P353" s="17">
        <v>0.94</v>
      </c>
      <c r="Q353" s="15">
        <v>23.0</v>
      </c>
      <c r="R353" s="18">
        <v>0.09</v>
      </c>
      <c r="S353" s="14">
        <v>1.2</v>
      </c>
      <c r="T353" s="18">
        <v>1.51</v>
      </c>
      <c r="U353" s="18">
        <v>1.79</v>
      </c>
      <c r="V353" s="56">
        <v>-0.28</v>
      </c>
      <c r="W353" s="57">
        <v>-0.28</v>
      </c>
      <c r="X353" s="57">
        <v>-0.54</v>
      </c>
      <c r="Y353" s="20" t="s">
        <v>8199</v>
      </c>
    </row>
    <row r="354">
      <c r="A354" s="9">
        <v>339.0</v>
      </c>
      <c r="B354" s="10" t="s">
        <v>8200</v>
      </c>
      <c r="C354" s="11" t="s">
        <v>8201</v>
      </c>
      <c r="D354" s="12" t="s">
        <v>31</v>
      </c>
      <c r="E354" s="13" t="s">
        <v>8202</v>
      </c>
      <c r="F354" s="12">
        <v>19.0</v>
      </c>
      <c r="G354" s="12">
        <v>2005.0</v>
      </c>
      <c r="H354" s="14">
        <v>1.0</v>
      </c>
      <c r="I354" s="15">
        <v>1.0</v>
      </c>
      <c r="J354" s="15">
        <v>1.0</v>
      </c>
      <c r="K354" s="21">
        <v>0.0</v>
      </c>
      <c r="L354" s="21">
        <v>0.0</v>
      </c>
      <c r="M354" s="23">
        <v>0.0</v>
      </c>
      <c r="N354" s="36"/>
      <c r="O354" s="21">
        <v>0.0</v>
      </c>
      <c r="P354" s="14">
        <v>1.0</v>
      </c>
      <c r="Q354" s="15">
        <v>1.0</v>
      </c>
      <c r="R354" s="15">
        <v>4.0</v>
      </c>
      <c r="S354" s="14">
        <v>3.0</v>
      </c>
      <c r="T354" s="21">
        <v>0.0</v>
      </c>
      <c r="U354" s="21">
        <v>0.0</v>
      </c>
      <c r="V354" s="21">
        <v>0.0</v>
      </c>
      <c r="W354" s="21">
        <v>0.0</v>
      </c>
      <c r="X354" s="57">
        <v>-0.16</v>
      </c>
      <c r="Y354" s="20" t="s">
        <v>8203</v>
      </c>
    </row>
    <row r="355">
      <c r="A355" s="9">
        <v>340.0</v>
      </c>
      <c r="B355" s="10" t="s">
        <v>8204</v>
      </c>
      <c r="C355" s="11" t="s">
        <v>8205</v>
      </c>
      <c r="D355" s="12" t="s">
        <v>107</v>
      </c>
      <c r="E355" s="13" t="s">
        <v>8206</v>
      </c>
      <c r="F355" s="12">
        <v>26.0</v>
      </c>
      <c r="G355" s="12">
        <v>1998.0</v>
      </c>
      <c r="H355" s="14">
        <v>30.0</v>
      </c>
      <c r="I355" s="16">
        <v>1664.0</v>
      </c>
      <c r="J355" s="15">
        <v>55.0</v>
      </c>
      <c r="K355" s="15">
        <v>48.7</v>
      </c>
      <c r="L355" s="15">
        <v>18.5</v>
      </c>
      <c r="M355" s="17">
        <v>1.14</v>
      </c>
      <c r="N355" s="15">
        <v>69.0</v>
      </c>
      <c r="O355" s="18">
        <v>0.22</v>
      </c>
      <c r="P355" s="17">
        <v>0.49</v>
      </c>
      <c r="Q355" s="15">
        <v>25.0</v>
      </c>
      <c r="R355" s="18">
        <v>0.11</v>
      </c>
      <c r="S355" s="14">
        <v>0.87</v>
      </c>
      <c r="T355" s="18">
        <v>0.92</v>
      </c>
      <c r="U355" s="18">
        <v>1.68</v>
      </c>
      <c r="V355" s="56">
        <v>-0.76</v>
      </c>
      <c r="W355" s="57">
        <v>-0.76</v>
      </c>
      <c r="X355" s="57">
        <v>-1.01</v>
      </c>
      <c r="Y355" s="20" t="s">
        <v>8207</v>
      </c>
    </row>
    <row r="356">
      <c r="A356" s="9">
        <v>341.0</v>
      </c>
      <c r="B356" s="10" t="s">
        <v>8208</v>
      </c>
      <c r="C356" s="11" t="s">
        <v>8209</v>
      </c>
      <c r="D356" s="12" t="s">
        <v>36</v>
      </c>
      <c r="E356" s="13" t="s">
        <v>8210</v>
      </c>
      <c r="F356" s="12">
        <v>26.0</v>
      </c>
      <c r="G356" s="12">
        <v>1999.0</v>
      </c>
      <c r="H356" s="14">
        <v>36.0</v>
      </c>
      <c r="I356" s="16">
        <v>3090.0</v>
      </c>
      <c r="J356" s="15">
        <v>86.0</v>
      </c>
      <c r="K356" s="15">
        <v>90.4</v>
      </c>
      <c r="L356" s="15">
        <v>34.3</v>
      </c>
      <c r="M356" s="17">
        <v>1.05</v>
      </c>
      <c r="N356" s="15">
        <v>86.0</v>
      </c>
      <c r="O356" s="18">
        <v>0.76</v>
      </c>
      <c r="P356" s="22">
        <v>0.0</v>
      </c>
      <c r="Q356" s="36"/>
      <c r="R356" s="18">
        <v>0.03</v>
      </c>
      <c r="S356" s="14">
        <v>1.64</v>
      </c>
      <c r="T356" s="18">
        <v>1.6</v>
      </c>
      <c r="U356" s="18">
        <v>1.31</v>
      </c>
      <c r="V356" s="54">
        <v>0.29</v>
      </c>
      <c r="W356" s="55">
        <f t="shared" ref="W356:X356" si="5">+0.29</f>
        <v>0.29</v>
      </c>
      <c r="X356" s="55">
        <f t="shared" si="5"/>
        <v>0.29</v>
      </c>
      <c r="Y356" s="20" t="s">
        <v>8211</v>
      </c>
    </row>
    <row r="357">
      <c r="A357" s="9">
        <v>342.0</v>
      </c>
      <c r="B357" s="10" t="s">
        <v>8212</v>
      </c>
      <c r="C357" s="11" t="s">
        <v>8213</v>
      </c>
      <c r="D357" s="12" t="s">
        <v>36</v>
      </c>
      <c r="E357" s="13" t="s">
        <v>8214</v>
      </c>
      <c r="F357" s="12">
        <v>27.0</v>
      </c>
      <c r="G357" s="12">
        <v>1997.0</v>
      </c>
      <c r="H357" s="14">
        <v>34.0</v>
      </c>
      <c r="I357" s="16">
        <v>3035.0</v>
      </c>
      <c r="J357" s="15">
        <v>89.0</v>
      </c>
      <c r="K357" s="15">
        <v>88.7</v>
      </c>
      <c r="L357" s="15">
        <v>33.7</v>
      </c>
      <c r="M357" s="17">
        <v>1.01</v>
      </c>
      <c r="N357" s="15">
        <v>89.0</v>
      </c>
      <c r="O357" s="18">
        <v>0.98</v>
      </c>
      <c r="P357" s="22">
        <v>0.0</v>
      </c>
      <c r="Q357" s="36"/>
      <c r="R357" s="18">
        <v>0.06</v>
      </c>
      <c r="S357" s="14">
        <v>1.79</v>
      </c>
      <c r="T357" s="18">
        <v>1.54</v>
      </c>
      <c r="U357" s="18">
        <v>1.31</v>
      </c>
      <c r="V357" s="54">
        <v>0.24</v>
      </c>
      <c r="W357" s="55">
        <f>+0.24</f>
        <v>0.24</v>
      </c>
      <c r="X357" s="55">
        <f>+0.47</f>
        <v>0.47</v>
      </c>
      <c r="Y357" s="20" t="s">
        <v>8215</v>
      </c>
    </row>
    <row r="358">
      <c r="A358" s="9">
        <v>343.0</v>
      </c>
      <c r="B358" s="10" t="s">
        <v>8216</v>
      </c>
      <c r="C358" s="11" t="s">
        <v>8217</v>
      </c>
      <c r="D358" s="12" t="s">
        <v>41</v>
      </c>
      <c r="E358" s="13" t="s">
        <v>8218</v>
      </c>
      <c r="F358" s="12">
        <v>18.0</v>
      </c>
      <c r="G358" s="12">
        <v>2007.0</v>
      </c>
      <c r="H358" s="14">
        <v>21.0</v>
      </c>
      <c r="I358" s="15">
        <v>369.0</v>
      </c>
      <c r="J358" s="15">
        <v>18.0</v>
      </c>
      <c r="K358" s="15">
        <v>10.8</v>
      </c>
      <c r="L358" s="15">
        <v>4.1</v>
      </c>
      <c r="M358" s="17">
        <v>0.49</v>
      </c>
      <c r="N358" s="15">
        <v>76.0</v>
      </c>
      <c r="O358" s="19">
        <v>0.0</v>
      </c>
      <c r="P358" s="17">
        <v>4.63</v>
      </c>
      <c r="Q358" s="15">
        <v>11.0</v>
      </c>
      <c r="R358" s="18">
        <v>1.95</v>
      </c>
      <c r="S358" s="14">
        <v>0.9</v>
      </c>
      <c r="T358" s="18">
        <v>1.95</v>
      </c>
      <c r="U358" s="18">
        <v>2.2</v>
      </c>
      <c r="V358" s="56">
        <v>-0.24</v>
      </c>
      <c r="W358" s="57">
        <v>-0.24</v>
      </c>
      <c r="X358" s="57">
        <v>-0.45</v>
      </c>
      <c r="Y358" s="20" t="s">
        <v>8219</v>
      </c>
    </row>
    <row r="359">
      <c r="A359" s="9">
        <v>344.0</v>
      </c>
      <c r="B359" s="10" t="s">
        <v>8220</v>
      </c>
      <c r="C359" s="11" t="s">
        <v>8221</v>
      </c>
      <c r="D359" s="12" t="s">
        <v>31</v>
      </c>
      <c r="E359" s="13" t="s">
        <v>8222</v>
      </c>
      <c r="F359" s="12">
        <v>31.0</v>
      </c>
      <c r="G359" s="12">
        <v>1994.0</v>
      </c>
      <c r="H359" s="14">
        <v>6.0</v>
      </c>
      <c r="I359" s="15">
        <v>130.0</v>
      </c>
      <c r="J359" s="15">
        <v>22.0</v>
      </c>
      <c r="K359" s="15">
        <v>3.8</v>
      </c>
      <c r="L359" s="15">
        <v>1.4</v>
      </c>
      <c r="M359" s="17">
        <v>0.71</v>
      </c>
      <c r="N359" s="15">
        <v>55.0</v>
      </c>
      <c r="O359" s="19">
        <v>0.0</v>
      </c>
      <c r="P359" s="17">
        <v>3.57</v>
      </c>
      <c r="Q359" s="15">
        <v>15.0</v>
      </c>
      <c r="R359" s="18">
        <v>4.29</v>
      </c>
      <c r="S359" s="14">
        <v>1.83</v>
      </c>
      <c r="T359" s="18">
        <v>2.14</v>
      </c>
      <c r="U359" s="18">
        <v>2.14</v>
      </c>
      <c r="V359" s="19">
        <v>0.0</v>
      </c>
      <c r="W359" s="21">
        <v>0.0</v>
      </c>
      <c r="X359" s="57">
        <v>-1.15</v>
      </c>
      <c r="Y359" s="20" t="s">
        <v>8223</v>
      </c>
    </row>
    <row r="360">
      <c r="A360" s="9">
        <v>345.0</v>
      </c>
      <c r="B360" s="10" t="s">
        <v>8224</v>
      </c>
      <c r="C360" s="11" t="s">
        <v>8225</v>
      </c>
      <c r="D360" s="12" t="s">
        <v>36</v>
      </c>
      <c r="E360" s="13" t="s">
        <v>8226</v>
      </c>
      <c r="F360" s="12">
        <v>30.0</v>
      </c>
      <c r="G360" s="12">
        <v>1994.0</v>
      </c>
      <c r="H360" s="14">
        <v>1.0</v>
      </c>
      <c r="I360" s="15">
        <v>45.0</v>
      </c>
      <c r="J360" s="15">
        <v>45.0</v>
      </c>
      <c r="K360" s="15">
        <v>1.3</v>
      </c>
      <c r="L360" s="15">
        <v>0.5</v>
      </c>
      <c r="M360" s="17">
        <v>2.0</v>
      </c>
      <c r="N360" s="15">
        <v>45.0</v>
      </c>
      <c r="O360" s="19">
        <v>0.0</v>
      </c>
      <c r="P360" s="22">
        <v>0.0</v>
      </c>
      <c r="Q360" s="36"/>
      <c r="R360" s="18">
        <v>18.0</v>
      </c>
      <c r="S360" s="23">
        <v>0.0</v>
      </c>
      <c r="T360" s="18">
        <v>2.0</v>
      </c>
      <c r="U360" s="18">
        <v>4.0</v>
      </c>
      <c r="V360" s="56">
        <v>-2.0</v>
      </c>
      <c r="W360" s="57">
        <v>-2.0</v>
      </c>
      <c r="X360" s="57">
        <v>-1.97</v>
      </c>
      <c r="Y360" s="20" t="s">
        <v>8227</v>
      </c>
    </row>
    <row r="361">
      <c r="A361" s="9">
        <v>346.0</v>
      </c>
      <c r="B361" s="10" t="s">
        <v>8228</v>
      </c>
      <c r="C361" s="11" t="s">
        <v>8229</v>
      </c>
      <c r="D361" s="12" t="s">
        <v>345</v>
      </c>
      <c r="E361" s="13" t="s">
        <v>8230</v>
      </c>
      <c r="F361" s="12">
        <v>26.0</v>
      </c>
      <c r="G361" s="12">
        <v>1999.0</v>
      </c>
      <c r="H361" s="14">
        <v>28.0</v>
      </c>
      <c r="I361" s="16">
        <v>2356.0</v>
      </c>
      <c r="J361" s="15">
        <v>84.0</v>
      </c>
      <c r="K361" s="15">
        <v>68.9</v>
      </c>
      <c r="L361" s="15">
        <v>26.2</v>
      </c>
      <c r="M361" s="17">
        <v>1.03</v>
      </c>
      <c r="N361" s="15">
        <v>85.0</v>
      </c>
      <c r="O361" s="18">
        <v>0.8</v>
      </c>
      <c r="P361" s="17">
        <v>0.04</v>
      </c>
      <c r="Q361" s="15">
        <v>48.0</v>
      </c>
      <c r="R361" s="18">
        <v>0.08</v>
      </c>
      <c r="S361" s="14">
        <v>0.57</v>
      </c>
      <c r="T361" s="18">
        <v>0.76</v>
      </c>
      <c r="U361" s="18">
        <v>1.72</v>
      </c>
      <c r="V361" s="56">
        <v>-0.95</v>
      </c>
      <c r="W361" s="57">
        <v>-0.96</v>
      </c>
      <c r="X361" s="55">
        <f>+0.4</f>
        <v>0.4</v>
      </c>
      <c r="Y361" s="20" t="s">
        <v>8231</v>
      </c>
    </row>
    <row r="362">
      <c r="A362" s="9">
        <v>347.0</v>
      </c>
      <c r="B362" s="10" t="s">
        <v>8232</v>
      </c>
      <c r="C362" s="11" t="s">
        <v>8233</v>
      </c>
      <c r="D362" s="12" t="s">
        <v>26</v>
      </c>
      <c r="E362" s="13" t="s">
        <v>8234</v>
      </c>
      <c r="F362" s="12">
        <v>24.0</v>
      </c>
      <c r="G362" s="12">
        <v>2000.0</v>
      </c>
      <c r="H362" s="14">
        <v>19.0</v>
      </c>
      <c r="I362" s="16">
        <v>1535.0</v>
      </c>
      <c r="J362" s="15">
        <v>81.0</v>
      </c>
      <c r="K362" s="15">
        <v>44.9</v>
      </c>
      <c r="L362" s="15">
        <v>17.1</v>
      </c>
      <c r="M362" s="17">
        <v>1.11</v>
      </c>
      <c r="N362" s="15">
        <v>81.0</v>
      </c>
      <c r="O362" s="18">
        <v>0.47</v>
      </c>
      <c r="P362" s="22">
        <v>0.0</v>
      </c>
      <c r="Q362" s="36"/>
      <c r="R362" s="19">
        <v>0.0</v>
      </c>
      <c r="S362" s="14">
        <v>1.37</v>
      </c>
      <c r="T362" s="18">
        <v>1.29</v>
      </c>
      <c r="U362" s="18">
        <v>1.17</v>
      </c>
      <c r="V362" s="54">
        <v>0.12</v>
      </c>
      <c r="W362" s="55">
        <f>+0.12</f>
        <v>0.12</v>
      </c>
      <c r="X362" s="55">
        <f>+0.64</f>
        <v>0.64</v>
      </c>
      <c r="Y362" s="20" t="s">
        <v>8235</v>
      </c>
    </row>
    <row r="363">
      <c r="A363" s="9">
        <v>348.0</v>
      </c>
      <c r="B363" s="10" t="s">
        <v>8236</v>
      </c>
      <c r="C363" s="11" t="s">
        <v>8237</v>
      </c>
      <c r="D363" s="12" t="s">
        <v>36</v>
      </c>
      <c r="E363" s="13" t="s">
        <v>8238</v>
      </c>
      <c r="F363" s="12">
        <v>17.0</v>
      </c>
      <c r="G363" s="12">
        <v>2008.0</v>
      </c>
      <c r="H363" s="23">
        <v>0.0</v>
      </c>
      <c r="I363" s="36"/>
      <c r="J363" s="36"/>
      <c r="K363" s="36"/>
      <c r="L363" s="36"/>
      <c r="M363" s="23">
        <v>0.0</v>
      </c>
      <c r="N363" s="36"/>
      <c r="O363" s="21">
        <v>0.0</v>
      </c>
      <c r="P363" s="23">
        <v>0.0</v>
      </c>
      <c r="Q363" s="36"/>
      <c r="R363" s="15">
        <v>2.0</v>
      </c>
      <c r="S363" s="58"/>
      <c r="T363" s="36"/>
      <c r="U363" s="36"/>
      <c r="V363" s="36"/>
      <c r="W363" s="36"/>
      <c r="X363" s="36"/>
      <c r="Y363" s="20" t="s">
        <v>8239</v>
      </c>
    </row>
    <row r="364">
      <c r="A364" s="9">
        <v>349.0</v>
      </c>
      <c r="B364" s="10" t="s">
        <v>8240</v>
      </c>
      <c r="C364" s="11" t="s">
        <v>8241</v>
      </c>
      <c r="D364" s="12" t="s">
        <v>41</v>
      </c>
      <c r="E364" s="13" t="s">
        <v>8242</v>
      </c>
      <c r="F364" s="12">
        <v>18.0</v>
      </c>
      <c r="G364" s="12">
        <v>2007.0</v>
      </c>
      <c r="H364" s="14">
        <v>7.0</v>
      </c>
      <c r="I364" s="15">
        <v>55.0</v>
      </c>
      <c r="J364" s="15">
        <v>8.0</v>
      </c>
      <c r="K364" s="15">
        <v>1.6</v>
      </c>
      <c r="L364" s="15">
        <v>0.6</v>
      </c>
      <c r="M364" s="22">
        <v>0.0</v>
      </c>
      <c r="N364" s="36"/>
      <c r="O364" s="19">
        <v>0.0</v>
      </c>
      <c r="P364" s="17">
        <v>11.7</v>
      </c>
      <c r="Q364" s="15">
        <v>8.0</v>
      </c>
      <c r="R364" s="18">
        <v>18.3</v>
      </c>
      <c r="S364" s="14">
        <v>0.57</v>
      </c>
      <c r="T364" s="18">
        <v>3.33</v>
      </c>
      <c r="U364" s="18">
        <v>3.33</v>
      </c>
      <c r="V364" s="19">
        <v>0.0</v>
      </c>
      <c r="W364" s="21">
        <v>0.0</v>
      </c>
      <c r="X364" s="55">
        <f>+0.11</f>
        <v>0.11</v>
      </c>
      <c r="Y364" s="20" t="s">
        <v>8243</v>
      </c>
    </row>
    <row r="365">
      <c r="A365" s="9">
        <v>350.0</v>
      </c>
      <c r="B365" s="10" t="s">
        <v>8244</v>
      </c>
      <c r="C365" s="11" t="s">
        <v>8245</v>
      </c>
      <c r="D365" s="12" t="s">
        <v>31</v>
      </c>
      <c r="E365" s="13" t="s">
        <v>8246</v>
      </c>
      <c r="F365" s="12">
        <v>20.0</v>
      </c>
      <c r="G365" s="12">
        <v>2005.0</v>
      </c>
      <c r="H365" s="23">
        <v>0.0</v>
      </c>
      <c r="I365" s="36"/>
      <c r="J365" s="36"/>
      <c r="K365" s="36"/>
      <c r="L365" s="36"/>
      <c r="M365" s="23">
        <v>0.0</v>
      </c>
      <c r="N365" s="36"/>
      <c r="O365" s="21">
        <v>0.0</v>
      </c>
      <c r="P365" s="23">
        <v>0.0</v>
      </c>
      <c r="Q365" s="36"/>
      <c r="R365" s="15">
        <v>2.0</v>
      </c>
      <c r="S365" s="58"/>
      <c r="T365" s="36"/>
      <c r="U365" s="36"/>
      <c r="V365" s="36"/>
      <c r="W365" s="36"/>
      <c r="X365" s="36"/>
      <c r="Y365" s="20" t="s">
        <v>8247</v>
      </c>
    </row>
    <row r="366">
      <c r="A366" s="37" t="s">
        <v>3</v>
      </c>
      <c r="B366" s="38" t="s">
        <v>4</v>
      </c>
      <c r="C366" s="39" t="s">
        <v>5</v>
      </c>
      <c r="D366" s="39" t="s">
        <v>6</v>
      </c>
      <c r="E366" s="39" t="s">
        <v>7</v>
      </c>
      <c r="F366" s="39" t="s">
        <v>8</v>
      </c>
      <c r="G366" s="39" t="s">
        <v>9</v>
      </c>
      <c r="H366" s="40" t="s">
        <v>10</v>
      </c>
      <c r="I366" s="39" t="s">
        <v>12</v>
      </c>
      <c r="J366" s="39" t="s">
        <v>6838</v>
      </c>
      <c r="K366" s="39" t="s">
        <v>6839</v>
      </c>
      <c r="L366" s="39" t="s">
        <v>13</v>
      </c>
      <c r="M366" s="40" t="s">
        <v>11</v>
      </c>
      <c r="N366" s="39" t="s">
        <v>6840</v>
      </c>
      <c r="O366" s="39" t="s">
        <v>6841</v>
      </c>
      <c r="P366" s="40" t="s">
        <v>6836</v>
      </c>
      <c r="Q366" s="39" t="s">
        <v>6842</v>
      </c>
      <c r="R366" s="39" t="s">
        <v>6843</v>
      </c>
      <c r="S366" s="40" t="s">
        <v>6844</v>
      </c>
      <c r="T366" s="39" t="s">
        <v>6845</v>
      </c>
      <c r="U366" s="39" t="s">
        <v>6846</v>
      </c>
      <c r="V366" s="59" t="str">
        <f>+/-</f>
        <v>#ERROR!</v>
      </c>
      <c r="W366" s="59" t="str">
        <f>+/-90</f>
        <v>#ERROR!</v>
      </c>
      <c r="X366" s="39" t="s">
        <v>6847</v>
      </c>
      <c r="Y366" s="40" t="s">
        <v>23</v>
      </c>
    </row>
    <row r="367">
      <c r="A367" s="9">
        <v>351.0</v>
      </c>
      <c r="B367" s="10" t="s">
        <v>8248</v>
      </c>
      <c r="C367" s="11" t="s">
        <v>8249</v>
      </c>
      <c r="D367" s="12" t="s">
        <v>41</v>
      </c>
      <c r="E367" s="13" t="s">
        <v>8250</v>
      </c>
      <c r="F367" s="12">
        <v>18.0</v>
      </c>
      <c r="G367" s="12">
        <v>2007.0</v>
      </c>
      <c r="H367" s="14">
        <v>3.0</v>
      </c>
      <c r="I367" s="15">
        <v>43.0</v>
      </c>
      <c r="J367" s="15">
        <v>14.0</v>
      </c>
      <c r="K367" s="15">
        <v>1.3</v>
      </c>
      <c r="L367" s="15">
        <v>0.5</v>
      </c>
      <c r="M367" s="22">
        <v>0.0</v>
      </c>
      <c r="N367" s="36"/>
      <c r="O367" s="19">
        <v>0.0</v>
      </c>
      <c r="P367" s="17">
        <v>6.0</v>
      </c>
      <c r="Q367" s="15">
        <v>14.0</v>
      </c>
      <c r="R367" s="18">
        <v>22.0</v>
      </c>
      <c r="S367" s="14">
        <v>1.33</v>
      </c>
      <c r="T367" s="19">
        <v>0.0</v>
      </c>
      <c r="U367" s="19">
        <v>0.0</v>
      </c>
      <c r="V367" s="19">
        <v>0.0</v>
      </c>
      <c r="W367" s="21">
        <v>0.0</v>
      </c>
      <c r="X367" s="57">
        <v>-0.51</v>
      </c>
      <c r="Y367" s="20" t="s">
        <v>8251</v>
      </c>
    </row>
    <row r="368">
      <c r="A368" s="9">
        <v>352.0</v>
      </c>
      <c r="B368" s="10" t="s">
        <v>8252</v>
      </c>
      <c r="C368" s="11" t="s">
        <v>8253</v>
      </c>
      <c r="D368" s="12" t="s">
        <v>36</v>
      </c>
      <c r="E368" s="13" t="s">
        <v>8254</v>
      </c>
      <c r="F368" s="12">
        <v>25.0</v>
      </c>
      <c r="G368" s="12">
        <v>2000.0</v>
      </c>
      <c r="H368" s="14">
        <v>35.0</v>
      </c>
      <c r="I368" s="16">
        <v>3085.0</v>
      </c>
      <c r="J368" s="15">
        <v>88.0</v>
      </c>
      <c r="K368" s="15">
        <v>90.2</v>
      </c>
      <c r="L368" s="15">
        <v>34.3</v>
      </c>
      <c r="M368" s="17">
        <v>1.02</v>
      </c>
      <c r="N368" s="15">
        <v>88.0</v>
      </c>
      <c r="O368" s="18">
        <v>0.96</v>
      </c>
      <c r="P368" s="22">
        <v>0.0</v>
      </c>
      <c r="Q368" s="36"/>
      <c r="R368" s="18">
        <v>0.03</v>
      </c>
      <c r="S368" s="14">
        <v>1.11</v>
      </c>
      <c r="T368" s="18">
        <v>1.05</v>
      </c>
      <c r="U368" s="18">
        <v>1.31</v>
      </c>
      <c r="V368" s="56">
        <v>-0.26</v>
      </c>
      <c r="W368" s="57">
        <v>-0.26</v>
      </c>
      <c r="X368" s="55">
        <f>+0.01</f>
        <v>0.01</v>
      </c>
      <c r="Y368" s="20" t="s">
        <v>8255</v>
      </c>
    </row>
    <row r="369">
      <c r="A369" s="9">
        <v>353.0</v>
      </c>
      <c r="B369" s="10" t="s">
        <v>8256</v>
      </c>
      <c r="C369" s="11" t="s">
        <v>8257</v>
      </c>
      <c r="D369" s="12" t="s">
        <v>31</v>
      </c>
      <c r="E369" s="13" t="s">
        <v>8258</v>
      </c>
      <c r="F369" s="12">
        <v>21.0</v>
      </c>
      <c r="G369" s="12">
        <v>2003.0</v>
      </c>
      <c r="H369" s="23">
        <v>0.0</v>
      </c>
      <c r="I369" s="36"/>
      <c r="J369" s="36"/>
      <c r="K369" s="36"/>
      <c r="L369" s="36"/>
      <c r="M369" s="23">
        <v>0.0</v>
      </c>
      <c r="N369" s="36"/>
      <c r="O369" s="21">
        <v>0.0</v>
      </c>
      <c r="P369" s="23">
        <v>0.0</v>
      </c>
      <c r="Q369" s="36"/>
      <c r="R369" s="15">
        <v>3.0</v>
      </c>
      <c r="S369" s="58"/>
      <c r="T369" s="36"/>
      <c r="U369" s="36"/>
      <c r="V369" s="36"/>
      <c r="W369" s="36"/>
      <c r="X369" s="36"/>
      <c r="Y369" s="20" t="s">
        <v>8259</v>
      </c>
    </row>
    <row r="370">
      <c r="A370" s="9">
        <v>354.0</v>
      </c>
      <c r="B370" s="10" t="s">
        <v>8260</v>
      </c>
      <c r="C370" s="11" t="s">
        <v>8261</v>
      </c>
      <c r="D370" s="12" t="s">
        <v>98</v>
      </c>
      <c r="E370" s="13" t="s">
        <v>8262</v>
      </c>
      <c r="F370" s="12">
        <v>23.0</v>
      </c>
      <c r="G370" s="12">
        <v>2002.0</v>
      </c>
      <c r="H370" s="14">
        <v>32.0</v>
      </c>
      <c r="I370" s="16">
        <v>2880.0</v>
      </c>
      <c r="J370" s="15">
        <v>90.0</v>
      </c>
      <c r="K370" s="15">
        <v>84.2</v>
      </c>
      <c r="L370" s="15">
        <v>32.0</v>
      </c>
      <c r="M370" s="17">
        <v>1.0</v>
      </c>
      <c r="N370" s="15">
        <v>90.0</v>
      </c>
      <c r="O370" s="18">
        <v>1.0</v>
      </c>
      <c r="P370" s="22">
        <v>0.0</v>
      </c>
      <c r="Q370" s="36"/>
      <c r="R370" s="18">
        <v>0.09</v>
      </c>
      <c r="S370" s="14">
        <v>2.0</v>
      </c>
      <c r="T370" s="18">
        <v>1.94</v>
      </c>
      <c r="U370" s="18">
        <v>1.22</v>
      </c>
      <c r="V370" s="54">
        <v>0.72</v>
      </c>
      <c r="W370" s="55">
        <f>+0.72</f>
        <v>0.72</v>
      </c>
      <c r="X370" s="55">
        <f>+1.39</f>
        <v>1.39</v>
      </c>
      <c r="Y370" s="20" t="s">
        <v>8263</v>
      </c>
    </row>
    <row r="371">
      <c r="A371" s="9">
        <v>355.0</v>
      </c>
      <c r="B371" s="10" t="s">
        <v>8264</v>
      </c>
      <c r="C371" s="11" t="s">
        <v>8265</v>
      </c>
      <c r="D371" s="12" t="s">
        <v>36</v>
      </c>
      <c r="E371" s="13" t="s">
        <v>8266</v>
      </c>
      <c r="F371" s="12">
        <v>31.0</v>
      </c>
      <c r="G371" s="12">
        <v>1993.0</v>
      </c>
      <c r="H371" s="14">
        <v>2.0</v>
      </c>
      <c r="I371" s="15">
        <v>21.0</v>
      </c>
      <c r="J371" s="15">
        <v>11.0</v>
      </c>
      <c r="K371" s="15">
        <v>0.6</v>
      </c>
      <c r="L371" s="15">
        <v>0.2</v>
      </c>
      <c r="M371" s="22">
        <v>0.0</v>
      </c>
      <c r="N371" s="36"/>
      <c r="O371" s="19">
        <v>0.0</v>
      </c>
      <c r="P371" s="17">
        <v>10.0</v>
      </c>
      <c r="Q371" s="15">
        <v>11.0</v>
      </c>
      <c r="R371" s="18">
        <v>15.0</v>
      </c>
      <c r="S371" s="14">
        <v>0.5</v>
      </c>
      <c r="T371" s="19">
        <v>0.0</v>
      </c>
      <c r="U371" s="18">
        <v>10.0</v>
      </c>
      <c r="V371" s="56">
        <v>-10.0</v>
      </c>
      <c r="W371" s="57">
        <v>-8.57</v>
      </c>
      <c r="X371" s="57">
        <v>-8.57</v>
      </c>
      <c r="Y371" s="20" t="s">
        <v>8267</v>
      </c>
    </row>
    <row r="372">
      <c r="A372" s="9">
        <v>356.0</v>
      </c>
      <c r="B372" s="10" t="s">
        <v>8268</v>
      </c>
      <c r="C372" s="11" t="s">
        <v>8269</v>
      </c>
      <c r="D372" s="12" t="s">
        <v>345</v>
      </c>
      <c r="E372" s="13" t="s">
        <v>8270</v>
      </c>
      <c r="F372" s="12">
        <v>30.0</v>
      </c>
      <c r="G372" s="12">
        <v>1995.0</v>
      </c>
      <c r="H372" s="14">
        <v>33.0</v>
      </c>
      <c r="I372" s="16">
        <v>1764.0</v>
      </c>
      <c r="J372" s="15">
        <v>53.0</v>
      </c>
      <c r="K372" s="15">
        <v>51.6</v>
      </c>
      <c r="L372" s="15">
        <v>19.6</v>
      </c>
      <c r="M372" s="17">
        <v>0.92</v>
      </c>
      <c r="N372" s="15">
        <v>81.0</v>
      </c>
      <c r="O372" s="18">
        <v>0.46</v>
      </c>
      <c r="P372" s="17">
        <v>0.77</v>
      </c>
      <c r="Q372" s="15">
        <v>20.0</v>
      </c>
      <c r="R372" s="18">
        <v>0.2</v>
      </c>
      <c r="S372" s="14">
        <v>0.64</v>
      </c>
      <c r="T372" s="18">
        <v>0.87</v>
      </c>
      <c r="U372" s="18">
        <v>2.04</v>
      </c>
      <c r="V372" s="56">
        <v>-1.17</v>
      </c>
      <c r="W372" s="57">
        <v>-1.17</v>
      </c>
      <c r="X372" s="57">
        <v>-0.41</v>
      </c>
      <c r="Y372" s="20" t="s">
        <v>8271</v>
      </c>
    </row>
    <row r="373">
      <c r="A373" s="9">
        <v>357.0</v>
      </c>
      <c r="B373" s="10" t="s">
        <v>8272</v>
      </c>
      <c r="C373" s="11" t="s">
        <v>8273</v>
      </c>
      <c r="D373" s="12" t="s">
        <v>31</v>
      </c>
      <c r="E373" s="13" t="s">
        <v>8274</v>
      </c>
      <c r="F373" s="12">
        <v>21.0</v>
      </c>
      <c r="G373" s="12">
        <v>2004.0</v>
      </c>
      <c r="H373" s="14">
        <v>12.0</v>
      </c>
      <c r="I373" s="15">
        <v>382.0</v>
      </c>
      <c r="J373" s="15">
        <v>32.0</v>
      </c>
      <c r="K373" s="15">
        <v>11.2</v>
      </c>
      <c r="L373" s="15">
        <v>4.2</v>
      </c>
      <c r="M373" s="17">
        <v>0.95</v>
      </c>
      <c r="N373" s="15">
        <v>58.0</v>
      </c>
      <c r="O373" s="19">
        <v>0.0</v>
      </c>
      <c r="P373" s="17">
        <v>1.9</v>
      </c>
      <c r="Q373" s="15">
        <v>19.0</v>
      </c>
      <c r="R373" s="18">
        <v>0.71</v>
      </c>
      <c r="S373" s="14">
        <v>1.0</v>
      </c>
      <c r="T373" s="18">
        <v>0.24</v>
      </c>
      <c r="U373" s="18">
        <v>2.38</v>
      </c>
      <c r="V373" s="56">
        <v>-2.14</v>
      </c>
      <c r="W373" s="57">
        <v>-2.12</v>
      </c>
      <c r="X373" s="57">
        <v>-2.56</v>
      </c>
      <c r="Y373" s="20" t="s">
        <v>8275</v>
      </c>
    </row>
    <row r="374">
      <c r="A374" s="9">
        <v>358.0</v>
      </c>
      <c r="B374" s="10" t="s">
        <v>8276</v>
      </c>
      <c r="C374" s="11" t="s">
        <v>8277</v>
      </c>
      <c r="D374" s="12" t="s">
        <v>26</v>
      </c>
      <c r="E374" s="13" t="s">
        <v>8278</v>
      </c>
      <c r="F374" s="12">
        <v>25.0</v>
      </c>
      <c r="G374" s="12">
        <v>2000.0</v>
      </c>
      <c r="H374" s="14">
        <v>36.0</v>
      </c>
      <c r="I374" s="16">
        <v>2930.0</v>
      </c>
      <c r="J374" s="15">
        <v>81.0</v>
      </c>
      <c r="K374" s="15">
        <v>85.7</v>
      </c>
      <c r="L374" s="15">
        <v>32.6</v>
      </c>
      <c r="M374" s="17">
        <v>1.01</v>
      </c>
      <c r="N374" s="15">
        <v>87.0</v>
      </c>
      <c r="O374" s="18">
        <v>0.77</v>
      </c>
      <c r="P374" s="17">
        <v>0.09</v>
      </c>
      <c r="Q374" s="15">
        <v>16.0</v>
      </c>
      <c r="R374" s="19">
        <v>0.0</v>
      </c>
      <c r="S374" s="14">
        <v>1.47</v>
      </c>
      <c r="T374" s="18">
        <v>1.13</v>
      </c>
      <c r="U374" s="18">
        <v>1.32</v>
      </c>
      <c r="V374" s="56">
        <v>-0.18</v>
      </c>
      <c r="W374" s="57">
        <v>-0.18</v>
      </c>
      <c r="X374" s="57">
        <v>-0.18</v>
      </c>
      <c r="Y374" s="20" t="s">
        <v>8279</v>
      </c>
    </row>
    <row r="375">
      <c r="A375" s="9">
        <v>359.0</v>
      </c>
      <c r="B375" s="10" t="s">
        <v>8280</v>
      </c>
      <c r="C375" s="11" t="s">
        <v>8281</v>
      </c>
      <c r="D375" s="12" t="s">
        <v>98</v>
      </c>
      <c r="E375" s="13" t="s">
        <v>8282</v>
      </c>
      <c r="F375" s="12">
        <v>34.0</v>
      </c>
      <c r="G375" s="12">
        <v>1991.0</v>
      </c>
      <c r="H375" s="23">
        <v>0.0</v>
      </c>
      <c r="I375" s="36"/>
      <c r="J375" s="36"/>
      <c r="K375" s="36"/>
      <c r="L375" s="36"/>
      <c r="M375" s="23">
        <v>0.0</v>
      </c>
      <c r="N375" s="36"/>
      <c r="O375" s="21">
        <v>0.0</v>
      </c>
      <c r="P375" s="23">
        <v>0.0</v>
      </c>
      <c r="Q375" s="36"/>
      <c r="R375" s="15">
        <v>38.0</v>
      </c>
      <c r="S375" s="58"/>
      <c r="T375" s="36"/>
      <c r="U375" s="36"/>
      <c r="V375" s="36"/>
      <c r="W375" s="36"/>
      <c r="X375" s="36"/>
      <c r="Y375" s="20" t="s">
        <v>8283</v>
      </c>
    </row>
    <row r="376">
      <c r="A376" s="9">
        <v>360.0</v>
      </c>
      <c r="B376" s="10" t="s">
        <v>8284</v>
      </c>
      <c r="C376" s="11" t="s">
        <v>8285</v>
      </c>
      <c r="D376" s="12" t="s">
        <v>98</v>
      </c>
      <c r="E376" s="13" t="s">
        <v>8286</v>
      </c>
      <c r="F376" s="12">
        <v>33.0</v>
      </c>
      <c r="G376" s="12">
        <v>1992.0</v>
      </c>
      <c r="H376" s="14">
        <v>38.0</v>
      </c>
      <c r="I376" s="16">
        <v>3420.0</v>
      </c>
      <c r="J376" s="15">
        <v>90.0</v>
      </c>
      <c r="K376" s="15">
        <v>100.0</v>
      </c>
      <c r="L376" s="15">
        <v>38.0</v>
      </c>
      <c r="M376" s="17">
        <v>1.0</v>
      </c>
      <c r="N376" s="15">
        <v>90.0</v>
      </c>
      <c r="O376" s="18">
        <v>1.0</v>
      </c>
      <c r="P376" s="22">
        <v>0.0</v>
      </c>
      <c r="Q376" s="36"/>
      <c r="R376" s="19">
        <v>0.0</v>
      </c>
      <c r="S376" s="14">
        <v>1.37</v>
      </c>
      <c r="T376" s="18">
        <v>1.24</v>
      </c>
      <c r="U376" s="18">
        <v>1.34</v>
      </c>
      <c r="V376" s="56">
        <v>-0.11</v>
      </c>
      <c r="W376" s="57">
        <v>-0.11</v>
      </c>
      <c r="X376" s="36"/>
      <c r="Y376" s="20" t="s">
        <v>8287</v>
      </c>
    </row>
    <row r="377">
      <c r="A377" s="9">
        <v>361.0</v>
      </c>
      <c r="B377" s="10" t="s">
        <v>8288</v>
      </c>
      <c r="C377" s="11" t="s">
        <v>8289</v>
      </c>
      <c r="D377" s="12" t="s">
        <v>36</v>
      </c>
      <c r="E377" s="13" t="s">
        <v>8290</v>
      </c>
      <c r="F377" s="12">
        <v>18.0</v>
      </c>
      <c r="G377" s="12">
        <v>2007.0</v>
      </c>
      <c r="H377" s="23">
        <v>0.0</v>
      </c>
      <c r="I377" s="36"/>
      <c r="J377" s="36"/>
      <c r="K377" s="36"/>
      <c r="L377" s="36"/>
      <c r="M377" s="23">
        <v>0.0</v>
      </c>
      <c r="N377" s="36"/>
      <c r="O377" s="21">
        <v>0.0</v>
      </c>
      <c r="P377" s="23">
        <v>0.0</v>
      </c>
      <c r="Q377" s="36"/>
      <c r="R377" s="15">
        <v>3.0</v>
      </c>
      <c r="S377" s="58"/>
      <c r="T377" s="36"/>
      <c r="U377" s="36"/>
      <c r="V377" s="36"/>
      <c r="W377" s="36"/>
      <c r="X377" s="36"/>
      <c r="Y377" s="20" t="s">
        <v>8291</v>
      </c>
    </row>
    <row r="378">
      <c r="A378" s="9">
        <v>362.0</v>
      </c>
      <c r="B378" s="10" t="s">
        <v>8292</v>
      </c>
      <c r="C378" s="11" t="s">
        <v>8293</v>
      </c>
      <c r="D378" s="12" t="s">
        <v>36</v>
      </c>
      <c r="E378" s="13" t="s">
        <v>8294</v>
      </c>
      <c r="F378" s="12">
        <v>18.0</v>
      </c>
      <c r="G378" s="12">
        <v>2006.0</v>
      </c>
      <c r="H378" s="23">
        <v>0.0</v>
      </c>
      <c r="I378" s="36"/>
      <c r="J378" s="36"/>
      <c r="K378" s="36"/>
      <c r="L378" s="36"/>
      <c r="M378" s="23">
        <v>0.0</v>
      </c>
      <c r="N378" s="36"/>
      <c r="O378" s="21">
        <v>0.0</v>
      </c>
      <c r="P378" s="23">
        <v>0.0</v>
      </c>
      <c r="Q378" s="36"/>
      <c r="R378" s="15">
        <v>1.0</v>
      </c>
      <c r="S378" s="58"/>
      <c r="T378" s="36"/>
      <c r="U378" s="36"/>
      <c r="V378" s="36"/>
      <c r="W378" s="36"/>
      <c r="X378" s="36"/>
      <c r="Y378" s="20" t="s">
        <v>8295</v>
      </c>
    </row>
    <row r="379">
      <c r="A379" s="9">
        <v>363.0</v>
      </c>
      <c r="B379" s="10" t="s">
        <v>8296</v>
      </c>
      <c r="C379" s="11" t="s">
        <v>8297</v>
      </c>
      <c r="D379" s="12" t="s">
        <v>264</v>
      </c>
      <c r="E379" s="13" t="s">
        <v>8298</v>
      </c>
      <c r="F379" s="12">
        <v>30.0</v>
      </c>
      <c r="G379" s="12">
        <v>1994.0</v>
      </c>
      <c r="H379" s="14">
        <v>31.0</v>
      </c>
      <c r="I379" s="16">
        <v>1733.0</v>
      </c>
      <c r="J379" s="15">
        <v>56.0</v>
      </c>
      <c r="K379" s="15">
        <v>50.7</v>
      </c>
      <c r="L379" s="15">
        <v>19.3</v>
      </c>
      <c r="M379" s="17">
        <v>0.93</v>
      </c>
      <c r="N379" s="15">
        <v>83.0</v>
      </c>
      <c r="O379" s="18">
        <v>0.78</v>
      </c>
      <c r="P379" s="17">
        <v>0.67</v>
      </c>
      <c r="Q379" s="15">
        <v>18.0</v>
      </c>
      <c r="R379" s="18">
        <v>0.21</v>
      </c>
      <c r="S379" s="14">
        <v>1.19</v>
      </c>
      <c r="T379" s="18">
        <v>0.98</v>
      </c>
      <c r="U379" s="18">
        <v>1.3</v>
      </c>
      <c r="V379" s="56">
        <v>-0.31</v>
      </c>
      <c r="W379" s="57">
        <v>-0.31</v>
      </c>
      <c r="X379" s="57">
        <v>-0.1</v>
      </c>
      <c r="Y379" s="20" t="s">
        <v>8299</v>
      </c>
    </row>
    <row r="380">
      <c r="A380" s="9">
        <v>364.0</v>
      </c>
      <c r="B380" s="10" t="s">
        <v>8300</v>
      </c>
      <c r="C380" s="11" t="s">
        <v>8301</v>
      </c>
      <c r="D380" s="12" t="s">
        <v>36</v>
      </c>
      <c r="E380" s="13" t="s">
        <v>8302</v>
      </c>
      <c r="F380" s="12">
        <v>20.0</v>
      </c>
      <c r="G380" s="12">
        <v>2004.0</v>
      </c>
      <c r="H380" s="14">
        <v>11.0</v>
      </c>
      <c r="I380" s="15">
        <v>407.0</v>
      </c>
      <c r="J380" s="15">
        <v>37.0</v>
      </c>
      <c r="K380" s="15">
        <v>11.9</v>
      </c>
      <c r="L380" s="15">
        <v>4.5</v>
      </c>
      <c r="M380" s="17">
        <v>0.89</v>
      </c>
      <c r="N380" s="15">
        <v>84.0</v>
      </c>
      <c r="O380" s="18">
        <v>0.67</v>
      </c>
      <c r="P380" s="17">
        <v>1.56</v>
      </c>
      <c r="Q380" s="15">
        <v>10.0</v>
      </c>
      <c r="R380" s="18">
        <v>3.56</v>
      </c>
      <c r="S380" s="14">
        <v>1.73</v>
      </c>
      <c r="T380" s="18">
        <v>1.56</v>
      </c>
      <c r="U380" s="18">
        <v>1.56</v>
      </c>
      <c r="V380" s="19">
        <v>0.0</v>
      </c>
      <c r="W380" s="21">
        <v>0.0</v>
      </c>
      <c r="X380" s="57">
        <v>-1.25</v>
      </c>
      <c r="Y380" s="20" t="s">
        <v>8303</v>
      </c>
    </row>
    <row r="381">
      <c r="A381" s="9">
        <v>365.0</v>
      </c>
      <c r="B381" s="10" t="s">
        <v>8304</v>
      </c>
      <c r="C381" s="11" t="s">
        <v>8305</v>
      </c>
      <c r="D381" s="12" t="s">
        <v>345</v>
      </c>
      <c r="E381" s="13" t="s">
        <v>8306</v>
      </c>
      <c r="F381" s="12">
        <v>24.0</v>
      </c>
      <c r="G381" s="12">
        <v>2001.0</v>
      </c>
      <c r="H381" s="14">
        <v>36.0</v>
      </c>
      <c r="I381" s="16">
        <v>1972.0</v>
      </c>
      <c r="J381" s="15">
        <v>55.0</v>
      </c>
      <c r="K381" s="15">
        <v>57.7</v>
      </c>
      <c r="L381" s="15">
        <v>21.9</v>
      </c>
      <c r="M381" s="17">
        <v>1.0</v>
      </c>
      <c r="N381" s="15">
        <v>81.0</v>
      </c>
      <c r="O381" s="18">
        <v>0.46</v>
      </c>
      <c r="P381" s="17">
        <v>0.64</v>
      </c>
      <c r="Q381" s="15">
        <v>14.0</v>
      </c>
      <c r="R381" s="18">
        <v>0.09</v>
      </c>
      <c r="S381" s="14">
        <v>1.39</v>
      </c>
      <c r="T381" s="18">
        <v>1.28</v>
      </c>
      <c r="U381" s="18">
        <v>1.46</v>
      </c>
      <c r="V381" s="56">
        <v>-0.18</v>
      </c>
      <c r="W381" s="57">
        <v>-0.18</v>
      </c>
      <c r="X381" s="57">
        <v>-0.62</v>
      </c>
      <c r="Y381" s="20" t="s">
        <v>8307</v>
      </c>
    </row>
    <row r="382">
      <c r="A382" s="9">
        <v>366.0</v>
      </c>
      <c r="B382" s="10" t="s">
        <v>8308</v>
      </c>
      <c r="C382" s="11" t="s">
        <v>8309</v>
      </c>
      <c r="D382" s="12" t="s">
        <v>264</v>
      </c>
      <c r="E382" s="13" t="s">
        <v>8310</v>
      </c>
      <c r="F382" s="12">
        <v>18.0</v>
      </c>
      <c r="G382" s="12">
        <v>2006.0</v>
      </c>
      <c r="H382" s="14">
        <v>20.0</v>
      </c>
      <c r="I382" s="15">
        <v>709.0</v>
      </c>
      <c r="J382" s="15">
        <v>35.0</v>
      </c>
      <c r="K382" s="15">
        <v>20.7</v>
      </c>
      <c r="L382" s="15">
        <v>7.9</v>
      </c>
      <c r="M382" s="17">
        <v>0.63</v>
      </c>
      <c r="N382" s="15">
        <v>86.0</v>
      </c>
      <c r="O382" s="18">
        <v>0.51</v>
      </c>
      <c r="P382" s="17">
        <v>1.9</v>
      </c>
      <c r="Q382" s="15">
        <v>19.0</v>
      </c>
      <c r="R382" s="18">
        <v>2.15</v>
      </c>
      <c r="S382" s="14">
        <v>2.5</v>
      </c>
      <c r="T382" s="18">
        <v>2.03</v>
      </c>
      <c r="U382" s="18">
        <v>1.01</v>
      </c>
      <c r="V382" s="54">
        <v>1.01</v>
      </c>
      <c r="W382" s="55">
        <f>+1.02</f>
        <v>1.02</v>
      </c>
      <c r="X382" s="57">
        <v>-0.18</v>
      </c>
      <c r="Y382" s="20" t="s">
        <v>8311</v>
      </c>
    </row>
    <row r="383">
      <c r="A383" s="9">
        <v>367.0</v>
      </c>
      <c r="B383" s="10" t="s">
        <v>8312</v>
      </c>
      <c r="C383" s="11" t="s">
        <v>8313</v>
      </c>
      <c r="D383" s="12" t="s">
        <v>36</v>
      </c>
      <c r="E383" s="13" t="s">
        <v>8314</v>
      </c>
      <c r="F383" s="12">
        <v>17.0</v>
      </c>
      <c r="G383" s="12">
        <v>2008.0</v>
      </c>
      <c r="H383" s="23">
        <v>0.0</v>
      </c>
      <c r="I383" s="36"/>
      <c r="J383" s="36"/>
      <c r="K383" s="36"/>
      <c r="L383" s="36"/>
      <c r="M383" s="23">
        <v>0.0</v>
      </c>
      <c r="N383" s="36"/>
      <c r="O383" s="21">
        <v>0.0</v>
      </c>
      <c r="P383" s="23">
        <v>0.0</v>
      </c>
      <c r="Q383" s="36"/>
      <c r="R383" s="15">
        <v>2.0</v>
      </c>
      <c r="S383" s="58"/>
      <c r="T383" s="36"/>
      <c r="U383" s="36"/>
      <c r="V383" s="36"/>
      <c r="W383" s="36"/>
      <c r="X383" s="36"/>
      <c r="Y383" s="20" t="s">
        <v>8315</v>
      </c>
    </row>
    <row r="384">
      <c r="A384" s="9">
        <v>368.0</v>
      </c>
      <c r="B384" s="10" t="s">
        <v>8316</v>
      </c>
      <c r="C384" s="11" t="s">
        <v>8317</v>
      </c>
      <c r="D384" s="12" t="s">
        <v>36</v>
      </c>
      <c r="E384" s="13" t="s">
        <v>8318</v>
      </c>
      <c r="F384" s="12">
        <v>25.0</v>
      </c>
      <c r="G384" s="12">
        <v>1999.0</v>
      </c>
      <c r="H384" s="14">
        <v>13.0</v>
      </c>
      <c r="I384" s="16">
        <v>1170.0</v>
      </c>
      <c r="J384" s="15">
        <v>90.0</v>
      </c>
      <c r="K384" s="15">
        <v>34.2</v>
      </c>
      <c r="L384" s="15">
        <v>13.0</v>
      </c>
      <c r="M384" s="17">
        <v>1.0</v>
      </c>
      <c r="N384" s="15">
        <v>90.0</v>
      </c>
      <c r="O384" s="18">
        <v>1.0</v>
      </c>
      <c r="P384" s="22">
        <v>0.0</v>
      </c>
      <c r="Q384" s="36"/>
      <c r="R384" s="19">
        <v>0.0</v>
      </c>
      <c r="S384" s="14">
        <v>1.62</v>
      </c>
      <c r="T384" s="18">
        <v>1.62</v>
      </c>
      <c r="U384" s="18">
        <v>1.54</v>
      </c>
      <c r="V384" s="54">
        <v>0.08</v>
      </c>
      <c r="W384" s="55">
        <f>+0.08</f>
        <v>0.08</v>
      </c>
      <c r="X384" s="57">
        <v>-0.64</v>
      </c>
      <c r="Y384" s="20" t="s">
        <v>8319</v>
      </c>
    </row>
    <row r="385">
      <c r="A385" s="9">
        <v>369.0</v>
      </c>
      <c r="B385" s="10" t="s">
        <v>8320</v>
      </c>
      <c r="C385" s="11" t="s">
        <v>8321</v>
      </c>
      <c r="D385" s="12" t="s">
        <v>31</v>
      </c>
      <c r="E385" s="13" t="s">
        <v>8322</v>
      </c>
      <c r="F385" s="12">
        <v>19.0</v>
      </c>
      <c r="G385" s="12">
        <v>2006.0</v>
      </c>
      <c r="H385" s="14">
        <v>9.0</v>
      </c>
      <c r="I385" s="15">
        <v>260.0</v>
      </c>
      <c r="J385" s="15">
        <v>29.0</v>
      </c>
      <c r="K385" s="15">
        <v>7.6</v>
      </c>
      <c r="L385" s="15">
        <v>2.9</v>
      </c>
      <c r="M385" s="17">
        <v>1.03</v>
      </c>
      <c r="N385" s="15">
        <v>65.0</v>
      </c>
      <c r="O385" s="19">
        <v>0.0</v>
      </c>
      <c r="P385" s="17">
        <v>2.07</v>
      </c>
      <c r="Q385" s="15">
        <v>11.0</v>
      </c>
      <c r="R385" s="18">
        <v>3.1</v>
      </c>
      <c r="S385" s="14">
        <v>0.44</v>
      </c>
      <c r="T385" s="19">
        <v>0.0</v>
      </c>
      <c r="U385" s="18">
        <v>2.07</v>
      </c>
      <c r="V385" s="56">
        <v>-2.07</v>
      </c>
      <c r="W385" s="57">
        <v>-2.08</v>
      </c>
      <c r="X385" s="57">
        <v>-1.08</v>
      </c>
      <c r="Y385" s="20" t="s">
        <v>8323</v>
      </c>
    </row>
    <row r="386">
      <c r="A386" s="9">
        <v>370.0</v>
      </c>
      <c r="B386" s="10" t="s">
        <v>8324</v>
      </c>
      <c r="C386" s="11" t="s">
        <v>8325</v>
      </c>
      <c r="D386" s="12" t="s">
        <v>345</v>
      </c>
      <c r="E386" s="13" t="s">
        <v>8326</v>
      </c>
      <c r="F386" s="12">
        <v>31.0</v>
      </c>
      <c r="G386" s="12">
        <v>1994.0</v>
      </c>
      <c r="H386" s="14">
        <v>17.0</v>
      </c>
      <c r="I386" s="15">
        <v>948.0</v>
      </c>
      <c r="J386" s="15">
        <v>56.0</v>
      </c>
      <c r="K386" s="15">
        <v>27.7</v>
      </c>
      <c r="L386" s="15">
        <v>10.5</v>
      </c>
      <c r="M386" s="17">
        <v>1.05</v>
      </c>
      <c r="N386" s="15">
        <v>83.0</v>
      </c>
      <c r="O386" s="18">
        <v>0.76</v>
      </c>
      <c r="P386" s="17">
        <v>0.57</v>
      </c>
      <c r="Q386" s="15">
        <v>6.0</v>
      </c>
      <c r="R386" s="18">
        <v>1.62</v>
      </c>
      <c r="S386" s="14">
        <v>2.18</v>
      </c>
      <c r="T386" s="18">
        <v>1.9</v>
      </c>
      <c r="U386" s="18">
        <v>1.43</v>
      </c>
      <c r="V386" s="54">
        <v>0.48</v>
      </c>
      <c r="W386" s="55">
        <f>+0.47</f>
        <v>0.47</v>
      </c>
      <c r="X386" s="55">
        <f>+0.4</f>
        <v>0.4</v>
      </c>
      <c r="Y386" s="20" t="s">
        <v>8327</v>
      </c>
    </row>
    <row r="387">
      <c r="A387" s="9">
        <v>371.0</v>
      </c>
      <c r="B387" s="10" t="s">
        <v>8328</v>
      </c>
      <c r="C387" s="11" t="s">
        <v>8329</v>
      </c>
      <c r="D387" s="12" t="s">
        <v>36</v>
      </c>
      <c r="E387" s="13" t="s">
        <v>8330</v>
      </c>
      <c r="F387" s="12">
        <v>22.0</v>
      </c>
      <c r="G387" s="12">
        <v>2002.0</v>
      </c>
      <c r="H387" s="14">
        <v>17.0</v>
      </c>
      <c r="I387" s="16">
        <v>1328.0</v>
      </c>
      <c r="J387" s="15">
        <v>78.0</v>
      </c>
      <c r="K387" s="15">
        <v>38.8</v>
      </c>
      <c r="L387" s="15">
        <v>14.8</v>
      </c>
      <c r="M387" s="17">
        <v>0.95</v>
      </c>
      <c r="N387" s="15">
        <v>88.0</v>
      </c>
      <c r="O387" s="18">
        <v>0.81</v>
      </c>
      <c r="P387" s="17">
        <v>0.2</v>
      </c>
      <c r="Q387" s="15">
        <v>33.0</v>
      </c>
      <c r="R387" s="19">
        <v>0.0</v>
      </c>
      <c r="S387" s="14">
        <v>1.47</v>
      </c>
      <c r="T387" s="18">
        <v>1.49</v>
      </c>
      <c r="U387" s="18">
        <v>0.95</v>
      </c>
      <c r="V387" s="54">
        <v>0.54</v>
      </c>
      <c r="W387" s="55">
        <f>+0.54</f>
        <v>0.54</v>
      </c>
      <c r="X387" s="55">
        <f>+0.97</f>
        <v>0.97</v>
      </c>
      <c r="Y387" s="20" t="s">
        <v>8331</v>
      </c>
    </row>
    <row r="388">
      <c r="A388" s="9">
        <v>372.0</v>
      </c>
      <c r="B388" s="10" t="s">
        <v>8332</v>
      </c>
      <c r="C388" s="11" t="s">
        <v>8333</v>
      </c>
      <c r="D388" s="12" t="s">
        <v>31</v>
      </c>
      <c r="E388" s="13" t="s">
        <v>8334</v>
      </c>
      <c r="F388" s="12">
        <v>27.0</v>
      </c>
      <c r="G388" s="12">
        <v>1997.0</v>
      </c>
      <c r="H388" s="14">
        <v>23.0</v>
      </c>
      <c r="I388" s="16">
        <v>1011.0</v>
      </c>
      <c r="J388" s="15">
        <v>44.0</v>
      </c>
      <c r="K388" s="15">
        <v>29.6</v>
      </c>
      <c r="L388" s="15">
        <v>11.2</v>
      </c>
      <c r="M388" s="17">
        <v>0.89</v>
      </c>
      <c r="N388" s="15">
        <v>84.0</v>
      </c>
      <c r="O388" s="18">
        <v>0.63</v>
      </c>
      <c r="P388" s="17">
        <v>1.16</v>
      </c>
      <c r="Q388" s="15">
        <v>13.0</v>
      </c>
      <c r="R388" s="18">
        <v>0.54</v>
      </c>
      <c r="S388" s="14">
        <v>1.35</v>
      </c>
      <c r="T388" s="18">
        <v>1.07</v>
      </c>
      <c r="U388" s="18">
        <v>1.79</v>
      </c>
      <c r="V388" s="56">
        <v>-0.71</v>
      </c>
      <c r="W388" s="57">
        <v>-0.71</v>
      </c>
      <c r="X388" s="57">
        <v>-0.75</v>
      </c>
      <c r="Y388" s="20" t="s">
        <v>8335</v>
      </c>
    </row>
    <row r="389">
      <c r="A389" s="9">
        <v>373.0</v>
      </c>
      <c r="B389" s="10" t="s">
        <v>8336</v>
      </c>
      <c r="C389" s="11" t="s">
        <v>8337</v>
      </c>
      <c r="D389" s="12" t="s">
        <v>31</v>
      </c>
      <c r="E389" s="13" t="s">
        <v>8338</v>
      </c>
      <c r="F389" s="12">
        <v>21.0</v>
      </c>
      <c r="G389" s="12">
        <v>2004.0</v>
      </c>
      <c r="H389" s="14">
        <v>9.0</v>
      </c>
      <c r="I389" s="15">
        <v>235.0</v>
      </c>
      <c r="J389" s="15">
        <v>26.0</v>
      </c>
      <c r="K389" s="15">
        <v>6.9</v>
      </c>
      <c r="L389" s="15">
        <v>2.6</v>
      </c>
      <c r="M389" s="17">
        <v>0.77</v>
      </c>
      <c r="N389" s="15">
        <v>55.0</v>
      </c>
      <c r="O389" s="19">
        <v>0.0</v>
      </c>
      <c r="P389" s="17">
        <v>2.69</v>
      </c>
      <c r="Q389" s="15">
        <v>18.0</v>
      </c>
      <c r="R389" s="18">
        <v>4.23</v>
      </c>
      <c r="S389" s="14">
        <v>0.11</v>
      </c>
      <c r="T389" s="18">
        <v>1.15</v>
      </c>
      <c r="U389" s="18">
        <v>3.46</v>
      </c>
      <c r="V389" s="56">
        <v>-2.31</v>
      </c>
      <c r="W389" s="57">
        <v>-2.3</v>
      </c>
      <c r="X389" s="57">
        <v>-1.31</v>
      </c>
      <c r="Y389" s="20" t="s">
        <v>8339</v>
      </c>
    </row>
    <row r="390">
      <c r="A390" s="9">
        <v>374.0</v>
      </c>
      <c r="B390" s="10" t="s">
        <v>8340</v>
      </c>
      <c r="C390" s="11" t="s">
        <v>8341</v>
      </c>
      <c r="D390" s="12" t="s">
        <v>264</v>
      </c>
      <c r="E390" s="13" t="s">
        <v>8342</v>
      </c>
      <c r="F390" s="12">
        <v>24.0</v>
      </c>
      <c r="G390" s="12">
        <v>2001.0</v>
      </c>
      <c r="H390" s="14">
        <v>20.0</v>
      </c>
      <c r="I390" s="16">
        <v>1409.0</v>
      </c>
      <c r="J390" s="15">
        <v>70.0</v>
      </c>
      <c r="K390" s="15">
        <v>41.2</v>
      </c>
      <c r="L390" s="15">
        <v>15.7</v>
      </c>
      <c r="M390" s="17">
        <v>0.96</v>
      </c>
      <c r="N390" s="15">
        <v>87.0</v>
      </c>
      <c r="O390" s="18">
        <v>0.89</v>
      </c>
      <c r="P390" s="17">
        <v>0.32</v>
      </c>
      <c r="Q390" s="15">
        <v>21.0</v>
      </c>
      <c r="R390" s="18">
        <v>0.83</v>
      </c>
      <c r="S390" s="14">
        <v>0.45</v>
      </c>
      <c r="T390" s="18">
        <v>1.02</v>
      </c>
      <c r="U390" s="18">
        <v>1.85</v>
      </c>
      <c r="V390" s="56">
        <v>-0.83</v>
      </c>
      <c r="W390" s="57">
        <v>-0.83</v>
      </c>
      <c r="X390" s="55">
        <f>+0.24</f>
        <v>0.24</v>
      </c>
      <c r="Y390" s="20" t="s">
        <v>8343</v>
      </c>
    </row>
    <row r="391">
      <c r="A391" s="9">
        <v>375.0</v>
      </c>
      <c r="B391" s="10" t="s">
        <v>8344</v>
      </c>
      <c r="C391" s="11" t="s">
        <v>8345</v>
      </c>
      <c r="D391" s="12" t="s">
        <v>41</v>
      </c>
      <c r="E391" s="13" t="s">
        <v>8346</v>
      </c>
      <c r="F391" s="12">
        <v>24.0</v>
      </c>
      <c r="G391" s="12">
        <v>2000.0</v>
      </c>
      <c r="H391" s="14">
        <v>4.0</v>
      </c>
      <c r="I391" s="15">
        <v>129.0</v>
      </c>
      <c r="J391" s="15">
        <v>32.0</v>
      </c>
      <c r="K391" s="15">
        <v>3.8</v>
      </c>
      <c r="L391" s="15">
        <v>1.4</v>
      </c>
      <c r="M391" s="17">
        <v>0.71</v>
      </c>
      <c r="N391" s="15">
        <v>70.0</v>
      </c>
      <c r="O391" s="19">
        <v>0.0</v>
      </c>
      <c r="P391" s="17">
        <v>2.14</v>
      </c>
      <c r="Q391" s="15">
        <v>20.0</v>
      </c>
      <c r="R391" s="18">
        <v>1.43</v>
      </c>
      <c r="S391" s="14">
        <v>0.5</v>
      </c>
      <c r="T391" s="18">
        <v>1.43</v>
      </c>
      <c r="U391" s="18">
        <v>0.71</v>
      </c>
      <c r="V391" s="54">
        <v>0.71</v>
      </c>
      <c r="W391" s="55">
        <f>+0.7</f>
        <v>0.7</v>
      </c>
      <c r="X391" s="55">
        <f>+0.81</f>
        <v>0.81</v>
      </c>
      <c r="Y391" s="20" t="s">
        <v>8347</v>
      </c>
    </row>
    <row r="392">
      <c r="A392" s="37" t="s">
        <v>3</v>
      </c>
      <c r="B392" s="38" t="s">
        <v>4</v>
      </c>
      <c r="C392" s="39" t="s">
        <v>5</v>
      </c>
      <c r="D392" s="39" t="s">
        <v>6</v>
      </c>
      <c r="E392" s="39" t="s">
        <v>7</v>
      </c>
      <c r="F392" s="39" t="s">
        <v>8</v>
      </c>
      <c r="G392" s="39" t="s">
        <v>9</v>
      </c>
      <c r="H392" s="40" t="s">
        <v>10</v>
      </c>
      <c r="I392" s="39" t="s">
        <v>12</v>
      </c>
      <c r="J392" s="39" t="s">
        <v>6838</v>
      </c>
      <c r="K392" s="39" t="s">
        <v>6839</v>
      </c>
      <c r="L392" s="39" t="s">
        <v>13</v>
      </c>
      <c r="M392" s="40" t="s">
        <v>11</v>
      </c>
      <c r="N392" s="39" t="s">
        <v>6840</v>
      </c>
      <c r="O392" s="39" t="s">
        <v>6841</v>
      </c>
      <c r="P392" s="40" t="s">
        <v>6836</v>
      </c>
      <c r="Q392" s="39" t="s">
        <v>6842</v>
      </c>
      <c r="R392" s="39" t="s">
        <v>6843</v>
      </c>
      <c r="S392" s="40" t="s">
        <v>6844</v>
      </c>
      <c r="T392" s="39" t="s">
        <v>6845</v>
      </c>
      <c r="U392" s="39" t="s">
        <v>6846</v>
      </c>
      <c r="V392" s="59" t="str">
        <f>+/-</f>
        <v>#ERROR!</v>
      </c>
      <c r="W392" s="59" t="str">
        <f>+/-90</f>
        <v>#ERROR!</v>
      </c>
      <c r="X392" s="39" t="s">
        <v>6847</v>
      </c>
      <c r="Y392" s="40" t="s">
        <v>23</v>
      </c>
    </row>
    <row r="393">
      <c r="A393" s="9">
        <v>376.0</v>
      </c>
      <c r="B393" s="10" t="s">
        <v>8348</v>
      </c>
      <c r="C393" s="11" t="s">
        <v>8349</v>
      </c>
      <c r="D393" s="12" t="s">
        <v>31</v>
      </c>
      <c r="E393" s="13" t="s">
        <v>8350</v>
      </c>
      <c r="F393" s="12">
        <v>25.0</v>
      </c>
      <c r="G393" s="12">
        <v>1999.0</v>
      </c>
      <c r="H393" s="14">
        <v>31.0</v>
      </c>
      <c r="I393" s="16">
        <v>2105.0</v>
      </c>
      <c r="J393" s="15">
        <v>68.0</v>
      </c>
      <c r="K393" s="15">
        <v>61.5</v>
      </c>
      <c r="L393" s="15">
        <v>23.4</v>
      </c>
      <c r="M393" s="17">
        <v>1.07</v>
      </c>
      <c r="N393" s="15">
        <v>79.0</v>
      </c>
      <c r="O393" s="18">
        <v>0.38</v>
      </c>
      <c r="P393" s="17">
        <v>0.26</v>
      </c>
      <c r="Q393" s="15">
        <v>20.0</v>
      </c>
      <c r="R393" s="18">
        <v>0.17</v>
      </c>
      <c r="S393" s="14">
        <v>0.52</v>
      </c>
      <c r="T393" s="18">
        <v>0.85</v>
      </c>
      <c r="U393" s="18">
        <v>1.92</v>
      </c>
      <c r="V393" s="56">
        <v>-1.07</v>
      </c>
      <c r="W393" s="57">
        <v>-1.07</v>
      </c>
      <c r="X393" s="57">
        <v>-0.25</v>
      </c>
      <c r="Y393" s="20" t="s">
        <v>8351</v>
      </c>
    </row>
    <row r="394">
      <c r="A394" s="9">
        <v>377.0</v>
      </c>
      <c r="B394" s="10" t="s">
        <v>8352</v>
      </c>
      <c r="C394" s="11" t="s">
        <v>8353</v>
      </c>
      <c r="D394" s="12" t="s">
        <v>31</v>
      </c>
      <c r="E394" s="13" t="s">
        <v>8354</v>
      </c>
      <c r="F394" s="12">
        <v>27.0</v>
      </c>
      <c r="G394" s="12">
        <v>1998.0</v>
      </c>
      <c r="H394" s="14">
        <v>13.0</v>
      </c>
      <c r="I394" s="15">
        <v>604.0</v>
      </c>
      <c r="J394" s="15">
        <v>46.0</v>
      </c>
      <c r="K394" s="15">
        <v>17.7</v>
      </c>
      <c r="L394" s="15">
        <v>6.7</v>
      </c>
      <c r="M394" s="17">
        <v>1.04</v>
      </c>
      <c r="N394" s="15">
        <v>75.0</v>
      </c>
      <c r="O394" s="18">
        <v>0.15</v>
      </c>
      <c r="P394" s="17">
        <v>0.9</v>
      </c>
      <c r="Q394" s="15">
        <v>13.0</v>
      </c>
      <c r="R394" s="18">
        <v>0.3</v>
      </c>
      <c r="S394" s="14">
        <v>1.23</v>
      </c>
      <c r="T394" s="18">
        <v>0.75</v>
      </c>
      <c r="U394" s="18">
        <v>1.19</v>
      </c>
      <c r="V394" s="56">
        <v>-0.45</v>
      </c>
      <c r="W394" s="57">
        <v>-0.45</v>
      </c>
      <c r="X394" s="57">
        <v>-0.77</v>
      </c>
      <c r="Y394" s="20" t="s">
        <v>8355</v>
      </c>
    </row>
    <row r="395">
      <c r="A395" s="9">
        <v>378.0</v>
      </c>
      <c r="B395" s="10" t="s">
        <v>8356</v>
      </c>
      <c r="C395" s="11" t="s">
        <v>8357</v>
      </c>
      <c r="D395" s="12" t="s">
        <v>31</v>
      </c>
      <c r="E395" s="13" t="s">
        <v>8358</v>
      </c>
      <c r="F395" s="12">
        <v>27.0</v>
      </c>
      <c r="G395" s="12">
        <v>1998.0</v>
      </c>
      <c r="H395" s="14">
        <v>8.0</v>
      </c>
      <c r="I395" s="15">
        <v>315.0</v>
      </c>
      <c r="J395" s="15">
        <v>39.0</v>
      </c>
      <c r="K395" s="15">
        <v>9.2</v>
      </c>
      <c r="L395" s="15">
        <v>3.5</v>
      </c>
      <c r="M395" s="17">
        <v>1.43</v>
      </c>
      <c r="N395" s="15">
        <v>51.0</v>
      </c>
      <c r="O395" s="19">
        <v>0.0</v>
      </c>
      <c r="P395" s="17">
        <v>0.86</v>
      </c>
      <c r="Q395" s="15">
        <v>19.0</v>
      </c>
      <c r="R395" s="18">
        <v>1.71</v>
      </c>
      <c r="S395" s="14">
        <v>0.63</v>
      </c>
      <c r="T395" s="18">
        <v>0.29</v>
      </c>
      <c r="U395" s="18">
        <v>2.0</v>
      </c>
      <c r="V395" s="56">
        <v>-1.71</v>
      </c>
      <c r="W395" s="57">
        <v>-1.71</v>
      </c>
      <c r="X395" s="57">
        <v>-1.8</v>
      </c>
      <c r="Y395" s="20" t="s">
        <v>8359</v>
      </c>
    </row>
    <row r="396">
      <c r="A396" s="9">
        <v>379.0</v>
      </c>
      <c r="B396" s="10" t="s">
        <v>8360</v>
      </c>
      <c r="C396" s="11" t="s">
        <v>8361</v>
      </c>
      <c r="D396" s="12" t="s">
        <v>31</v>
      </c>
      <c r="E396" s="13" t="s">
        <v>8362</v>
      </c>
      <c r="F396" s="12">
        <v>28.0</v>
      </c>
      <c r="G396" s="12">
        <v>1996.0</v>
      </c>
      <c r="H396" s="14">
        <v>26.0</v>
      </c>
      <c r="I396" s="16">
        <v>1734.0</v>
      </c>
      <c r="J396" s="15">
        <v>67.0</v>
      </c>
      <c r="K396" s="15">
        <v>50.7</v>
      </c>
      <c r="L396" s="15">
        <v>19.3</v>
      </c>
      <c r="M396" s="17">
        <v>1.04</v>
      </c>
      <c r="N396" s="15">
        <v>80.0</v>
      </c>
      <c r="O396" s="18">
        <v>0.62</v>
      </c>
      <c r="P396" s="17">
        <v>0.31</v>
      </c>
      <c r="Q396" s="15">
        <v>24.0</v>
      </c>
      <c r="R396" s="18">
        <v>0.16</v>
      </c>
      <c r="S396" s="14">
        <v>1.19</v>
      </c>
      <c r="T396" s="18">
        <v>0.83</v>
      </c>
      <c r="U396" s="18">
        <v>1.14</v>
      </c>
      <c r="V396" s="56">
        <v>-0.31</v>
      </c>
      <c r="W396" s="57">
        <v>-0.31</v>
      </c>
      <c r="X396" s="57">
        <v>-0.42</v>
      </c>
      <c r="Y396" s="20" t="s">
        <v>8363</v>
      </c>
    </row>
    <row r="397">
      <c r="A397" s="9">
        <v>380.0</v>
      </c>
      <c r="B397" s="10" t="s">
        <v>8364</v>
      </c>
      <c r="C397" s="11" t="s">
        <v>8365</v>
      </c>
      <c r="D397" s="12" t="s">
        <v>36</v>
      </c>
      <c r="E397" s="13" t="s">
        <v>8366</v>
      </c>
      <c r="F397" s="12">
        <v>23.0</v>
      </c>
      <c r="G397" s="12">
        <v>2002.0</v>
      </c>
      <c r="H397" s="14">
        <v>30.0</v>
      </c>
      <c r="I397" s="16">
        <v>1605.0</v>
      </c>
      <c r="J397" s="15">
        <v>54.0</v>
      </c>
      <c r="K397" s="15">
        <v>46.9</v>
      </c>
      <c r="L397" s="15">
        <v>17.8</v>
      </c>
      <c r="M397" s="17">
        <v>0.96</v>
      </c>
      <c r="N397" s="15">
        <v>82.0</v>
      </c>
      <c r="O397" s="18">
        <v>0.45</v>
      </c>
      <c r="P397" s="17">
        <v>0.73</v>
      </c>
      <c r="Q397" s="15">
        <v>17.0</v>
      </c>
      <c r="R397" s="18">
        <v>0.45</v>
      </c>
      <c r="S397" s="14">
        <v>1.7</v>
      </c>
      <c r="T397" s="18">
        <v>1.63</v>
      </c>
      <c r="U397" s="18">
        <v>1.52</v>
      </c>
      <c r="V397" s="54">
        <v>0.11</v>
      </c>
      <c r="W397" s="55">
        <f>+0.11</f>
        <v>0.11</v>
      </c>
      <c r="X397" s="57">
        <v>-0.14</v>
      </c>
      <c r="Y397" s="20" t="s">
        <v>8367</v>
      </c>
    </row>
    <row r="398">
      <c r="A398" s="9">
        <v>381.0</v>
      </c>
      <c r="B398" s="10" t="s">
        <v>8368</v>
      </c>
      <c r="C398" s="11" t="s">
        <v>8369</v>
      </c>
      <c r="D398" s="12" t="s">
        <v>31</v>
      </c>
      <c r="E398" s="13" t="s">
        <v>8370</v>
      </c>
      <c r="F398" s="12">
        <v>26.0</v>
      </c>
      <c r="G398" s="12">
        <v>1998.0</v>
      </c>
      <c r="H398" s="14">
        <v>37.0</v>
      </c>
      <c r="I398" s="16">
        <v>2658.0</v>
      </c>
      <c r="J398" s="15">
        <v>72.0</v>
      </c>
      <c r="K398" s="15">
        <v>77.7</v>
      </c>
      <c r="L398" s="15">
        <v>29.5</v>
      </c>
      <c r="M398" s="17">
        <v>1.05</v>
      </c>
      <c r="N398" s="15">
        <v>82.0</v>
      </c>
      <c r="O398" s="18">
        <v>0.68</v>
      </c>
      <c r="P398" s="17">
        <v>0.2</v>
      </c>
      <c r="Q398" s="15">
        <v>20.0</v>
      </c>
      <c r="R398" s="19">
        <v>0.0</v>
      </c>
      <c r="S398" s="14">
        <v>1.54</v>
      </c>
      <c r="T398" s="18">
        <v>1.53</v>
      </c>
      <c r="U398" s="18">
        <v>1.39</v>
      </c>
      <c r="V398" s="54">
        <v>0.14</v>
      </c>
      <c r="W398" s="55">
        <f>+0.14</f>
        <v>0.14</v>
      </c>
      <c r="X398" s="57">
        <v>-0.57</v>
      </c>
      <c r="Y398" s="20" t="s">
        <v>8371</v>
      </c>
    </row>
    <row r="399">
      <c r="A399" s="9">
        <v>382.0</v>
      </c>
      <c r="B399" s="10" t="s">
        <v>8372</v>
      </c>
      <c r="C399" s="11" t="s">
        <v>8373</v>
      </c>
      <c r="D399" s="12" t="s">
        <v>107</v>
      </c>
      <c r="E399" s="13" t="s">
        <v>8374</v>
      </c>
      <c r="F399" s="12">
        <v>28.0</v>
      </c>
      <c r="G399" s="12">
        <v>1996.0</v>
      </c>
      <c r="H399" s="14">
        <v>3.0</v>
      </c>
      <c r="I399" s="15">
        <v>37.0</v>
      </c>
      <c r="J399" s="15">
        <v>12.0</v>
      </c>
      <c r="K399" s="15">
        <v>1.1</v>
      </c>
      <c r="L399" s="15">
        <v>0.4</v>
      </c>
      <c r="M399" s="22">
        <v>0.0</v>
      </c>
      <c r="N399" s="36"/>
      <c r="O399" s="19">
        <v>0.0</v>
      </c>
      <c r="P399" s="17">
        <v>7.5</v>
      </c>
      <c r="Q399" s="15">
        <v>12.0</v>
      </c>
      <c r="R399" s="18">
        <v>7.5</v>
      </c>
      <c r="S399" s="14">
        <v>1.33</v>
      </c>
      <c r="T399" s="18">
        <v>2.5</v>
      </c>
      <c r="U399" s="19">
        <v>0.0</v>
      </c>
      <c r="V399" s="54">
        <v>2.5</v>
      </c>
      <c r="W399" s="55">
        <f>+2.43</f>
        <v>2.43</v>
      </c>
      <c r="X399" s="55">
        <f>+2.7</f>
        <v>2.7</v>
      </c>
      <c r="Y399" s="20" t="s">
        <v>8375</v>
      </c>
    </row>
    <row r="400">
      <c r="A400" s="9">
        <v>383.0</v>
      </c>
      <c r="B400" s="10" t="s">
        <v>8376</v>
      </c>
      <c r="C400" s="11" t="s">
        <v>8377</v>
      </c>
      <c r="D400" s="12" t="s">
        <v>107</v>
      </c>
      <c r="E400" s="13" t="s">
        <v>8378</v>
      </c>
      <c r="F400" s="12">
        <v>23.0</v>
      </c>
      <c r="G400" s="12">
        <v>2002.0</v>
      </c>
      <c r="H400" s="14">
        <v>26.0</v>
      </c>
      <c r="I400" s="16">
        <v>1211.0</v>
      </c>
      <c r="J400" s="15">
        <v>47.0</v>
      </c>
      <c r="K400" s="15">
        <v>35.4</v>
      </c>
      <c r="L400" s="15">
        <v>13.5</v>
      </c>
      <c r="M400" s="17">
        <v>1.19</v>
      </c>
      <c r="N400" s="15">
        <v>64.0</v>
      </c>
      <c r="O400" s="19">
        <v>0.0</v>
      </c>
      <c r="P400" s="17">
        <v>0.74</v>
      </c>
      <c r="Q400" s="15">
        <v>18.0</v>
      </c>
      <c r="R400" s="18">
        <v>0.44</v>
      </c>
      <c r="S400" s="14">
        <v>1.96</v>
      </c>
      <c r="T400" s="18">
        <v>1.78</v>
      </c>
      <c r="U400" s="18">
        <v>0.67</v>
      </c>
      <c r="V400" s="54">
        <v>1.11</v>
      </c>
      <c r="W400" s="55">
        <f>+1.11</f>
        <v>1.11</v>
      </c>
      <c r="X400" s="57">
        <v>-0.07</v>
      </c>
      <c r="Y400" s="20" t="s">
        <v>8379</v>
      </c>
    </row>
    <row r="401">
      <c r="A401" s="9">
        <v>384.0</v>
      </c>
      <c r="B401" s="10" t="s">
        <v>8380</v>
      </c>
      <c r="C401" s="11" t="s">
        <v>8381</v>
      </c>
      <c r="D401" s="12" t="s">
        <v>36</v>
      </c>
      <c r="E401" s="13" t="s">
        <v>8382</v>
      </c>
      <c r="F401" s="12">
        <v>27.0</v>
      </c>
      <c r="G401" s="12">
        <v>1997.0</v>
      </c>
      <c r="H401" s="14">
        <v>32.0</v>
      </c>
      <c r="I401" s="16">
        <v>2751.0</v>
      </c>
      <c r="J401" s="15">
        <v>86.0</v>
      </c>
      <c r="K401" s="15">
        <v>80.4</v>
      </c>
      <c r="L401" s="15">
        <v>30.6</v>
      </c>
      <c r="M401" s="17">
        <v>0.98</v>
      </c>
      <c r="N401" s="15">
        <v>90.0</v>
      </c>
      <c r="O401" s="18">
        <v>0.95</v>
      </c>
      <c r="P401" s="17">
        <v>0.07</v>
      </c>
      <c r="Q401" s="15">
        <v>33.0</v>
      </c>
      <c r="R401" s="19">
        <v>0.0</v>
      </c>
      <c r="S401" s="14">
        <v>2.25</v>
      </c>
      <c r="T401" s="18">
        <v>1.83</v>
      </c>
      <c r="U401" s="18">
        <v>0.65</v>
      </c>
      <c r="V401" s="54">
        <v>1.18</v>
      </c>
      <c r="W401" s="55">
        <f>+1.18</f>
        <v>1.18</v>
      </c>
      <c r="X401" s="55">
        <f>+0.1</f>
        <v>0.1</v>
      </c>
      <c r="Y401" s="20" t="s">
        <v>8383</v>
      </c>
    </row>
    <row r="402">
      <c r="A402" s="9">
        <v>385.0</v>
      </c>
      <c r="B402" s="10" t="s">
        <v>8384</v>
      </c>
      <c r="C402" s="11" t="s">
        <v>8385</v>
      </c>
      <c r="D402" s="12" t="s">
        <v>31</v>
      </c>
      <c r="E402" s="13" t="s">
        <v>8386</v>
      </c>
      <c r="F402" s="12">
        <v>21.0</v>
      </c>
      <c r="G402" s="12">
        <v>2003.0</v>
      </c>
      <c r="H402" s="14">
        <v>22.0</v>
      </c>
      <c r="I402" s="15">
        <v>981.0</v>
      </c>
      <c r="J402" s="15">
        <v>45.0</v>
      </c>
      <c r="K402" s="15">
        <v>28.7</v>
      </c>
      <c r="L402" s="15">
        <v>10.9</v>
      </c>
      <c r="M402" s="17">
        <v>1.01</v>
      </c>
      <c r="N402" s="15">
        <v>74.0</v>
      </c>
      <c r="O402" s="18">
        <v>0.18</v>
      </c>
      <c r="P402" s="17">
        <v>1.01</v>
      </c>
      <c r="Q402" s="15">
        <v>15.0</v>
      </c>
      <c r="R402" s="18">
        <v>1.1</v>
      </c>
      <c r="S402" s="14">
        <v>0.73</v>
      </c>
      <c r="T402" s="18">
        <v>1.01</v>
      </c>
      <c r="U402" s="18">
        <v>2.11</v>
      </c>
      <c r="V402" s="56">
        <v>-1.1</v>
      </c>
      <c r="W402" s="57">
        <v>-1.1</v>
      </c>
      <c r="X402" s="57">
        <v>-0.84</v>
      </c>
      <c r="Y402" s="20" t="s">
        <v>8387</v>
      </c>
    </row>
    <row r="403">
      <c r="A403" s="9">
        <v>386.0</v>
      </c>
      <c r="B403" s="10" t="s">
        <v>8388</v>
      </c>
      <c r="C403" s="11" t="s">
        <v>8389</v>
      </c>
      <c r="D403" s="12" t="s">
        <v>36</v>
      </c>
      <c r="E403" s="13" t="s">
        <v>8390</v>
      </c>
      <c r="F403" s="12">
        <v>32.0</v>
      </c>
      <c r="G403" s="12">
        <v>1993.0</v>
      </c>
      <c r="H403" s="14">
        <v>23.0</v>
      </c>
      <c r="I403" s="16">
        <v>1653.0</v>
      </c>
      <c r="J403" s="15">
        <v>72.0</v>
      </c>
      <c r="K403" s="15">
        <v>48.3</v>
      </c>
      <c r="L403" s="15">
        <v>18.4</v>
      </c>
      <c r="M403" s="17">
        <v>1.03</v>
      </c>
      <c r="N403" s="15">
        <v>84.0</v>
      </c>
      <c r="O403" s="18">
        <v>0.71</v>
      </c>
      <c r="P403" s="17">
        <v>0.22</v>
      </c>
      <c r="Q403" s="15">
        <v>13.0</v>
      </c>
      <c r="R403" s="18">
        <v>0.16</v>
      </c>
      <c r="S403" s="14">
        <v>2.04</v>
      </c>
      <c r="T403" s="18">
        <v>1.96</v>
      </c>
      <c r="U403" s="18">
        <v>1.03</v>
      </c>
      <c r="V403" s="54">
        <v>0.92</v>
      </c>
      <c r="W403" s="55">
        <f>+0.93</f>
        <v>0.93</v>
      </c>
      <c r="X403" s="55">
        <f>+0.82</f>
        <v>0.82</v>
      </c>
      <c r="Y403" s="20" t="s">
        <v>8391</v>
      </c>
    </row>
    <row r="404">
      <c r="A404" s="9">
        <v>387.0</v>
      </c>
      <c r="B404" s="10" t="s">
        <v>8392</v>
      </c>
      <c r="C404" s="11" t="s">
        <v>8393</v>
      </c>
      <c r="D404" s="12" t="s">
        <v>31</v>
      </c>
      <c r="E404" s="13" t="s">
        <v>8394</v>
      </c>
      <c r="F404" s="12">
        <v>20.0</v>
      </c>
      <c r="G404" s="12">
        <v>2005.0</v>
      </c>
      <c r="H404" s="14">
        <v>28.0</v>
      </c>
      <c r="I404" s="16">
        <v>1662.0</v>
      </c>
      <c r="J404" s="15">
        <v>59.0</v>
      </c>
      <c r="K404" s="15">
        <v>48.6</v>
      </c>
      <c r="L404" s="15">
        <v>18.5</v>
      </c>
      <c r="M404" s="17">
        <v>0.86</v>
      </c>
      <c r="N404" s="15">
        <v>89.0</v>
      </c>
      <c r="O404" s="18">
        <v>0.76</v>
      </c>
      <c r="P404" s="17">
        <v>0.65</v>
      </c>
      <c r="Q404" s="15">
        <v>20.0</v>
      </c>
      <c r="R404" s="18">
        <v>0.22</v>
      </c>
      <c r="S404" s="14">
        <v>2.21</v>
      </c>
      <c r="T404" s="18">
        <v>2.05</v>
      </c>
      <c r="U404" s="18">
        <v>1.19</v>
      </c>
      <c r="V404" s="54">
        <v>0.86</v>
      </c>
      <c r="W404" s="55">
        <f>+0.87</f>
        <v>0.87</v>
      </c>
      <c r="X404" s="55">
        <f>+0.71</f>
        <v>0.71</v>
      </c>
      <c r="Y404" s="20" t="s">
        <v>8395</v>
      </c>
    </row>
    <row r="405">
      <c r="A405" s="9">
        <v>388.0</v>
      </c>
      <c r="B405" s="10" t="s">
        <v>8396</v>
      </c>
      <c r="C405" s="11" t="s">
        <v>8397</v>
      </c>
      <c r="D405" s="12" t="s">
        <v>36</v>
      </c>
      <c r="E405" s="13" t="s">
        <v>8398</v>
      </c>
      <c r="F405" s="12">
        <v>25.0</v>
      </c>
      <c r="G405" s="12">
        <v>1999.0</v>
      </c>
      <c r="H405" s="14">
        <v>3.0</v>
      </c>
      <c r="I405" s="15">
        <v>18.0</v>
      </c>
      <c r="J405" s="15">
        <v>6.0</v>
      </c>
      <c r="K405" s="15">
        <v>0.5</v>
      </c>
      <c r="L405" s="15">
        <v>0.2</v>
      </c>
      <c r="M405" s="22">
        <v>0.0</v>
      </c>
      <c r="N405" s="36"/>
      <c r="O405" s="19">
        <v>0.0</v>
      </c>
      <c r="P405" s="17">
        <v>15.0</v>
      </c>
      <c r="Q405" s="15">
        <v>6.0</v>
      </c>
      <c r="R405" s="18">
        <v>125.0</v>
      </c>
      <c r="S405" s="14">
        <v>2.0</v>
      </c>
      <c r="T405" s="19">
        <v>0.0</v>
      </c>
      <c r="U405" s="18">
        <v>5.0</v>
      </c>
      <c r="V405" s="56">
        <v>-5.0</v>
      </c>
      <c r="W405" s="57">
        <v>-5.0</v>
      </c>
      <c r="X405" s="57">
        <v>-5.53</v>
      </c>
      <c r="Y405" s="20" t="s">
        <v>8399</v>
      </c>
    </row>
    <row r="406">
      <c r="A406" s="9">
        <v>389.0</v>
      </c>
      <c r="B406" s="10" t="s">
        <v>8400</v>
      </c>
      <c r="C406" s="11" t="s">
        <v>8401</v>
      </c>
      <c r="D406" s="12" t="s">
        <v>107</v>
      </c>
      <c r="E406" s="13" t="s">
        <v>8402</v>
      </c>
      <c r="F406" s="12">
        <v>26.0</v>
      </c>
      <c r="G406" s="12">
        <v>1999.0</v>
      </c>
      <c r="H406" s="14">
        <v>21.0</v>
      </c>
      <c r="I406" s="15">
        <v>656.0</v>
      </c>
      <c r="J406" s="15">
        <v>31.0</v>
      </c>
      <c r="K406" s="15">
        <v>19.2</v>
      </c>
      <c r="L406" s="15">
        <v>7.3</v>
      </c>
      <c r="M406" s="17">
        <v>0.68</v>
      </c>
      <c r="N406" s="15">
        <v>71.0</v>
      </c>
      <c r="O406" s="19">
        <v>0.0</v>
      </c>
      <c r="P406" s="17">
        <v>2.19</v>
      </c>
      <c r="Q406" s="15">
        <v>19.0</v>
      </c>
      <c r="R406" s="19">
        <v>0.0</v>
      </c>
      <c r="S406" s="14">
        <v>2.05</v>
      </c>
      <c r="T406" s="18">
        <v>1.51</v>
      </c>
      <c r="U406" s="18">
        <v>1.37</v>
      </c>
      <c r="V406" s="54">
        <v>0.14</v>
      </c>
      <c r="W406" s="55">
        <f>+0.14</f>
        <v>0.14</v>
      </c>
      <c r="X406" s="57">
        <v>-0.06</v>
      </c>
      <c r="Y406" s="20" t="s">
        <v>8403</v>
      </c>
    </row>
    <row r="407">
      <c r="A407" s="9">
        <v>390.0</v>
      </c>
      <c r="B407" s="10" t="s">
        <v>8404</v>
      </c>
      <c r="C407" s="11" t="s">
        <v>8405</v>
      </c>
      <c r="D407" s="12" t="s">
        <v>98</v>
      </c>
      <c r="E407" s="13" t="s">
        <v>8406</v>
      </c>
      <c r="F407" s="12">
        <v>24.0</v>
      </c>
      <c r="G407" s="12">
        <v>2000.0</v>
      </c>
      <c r="H407" s="14">
        <v>10.0</v>
      </c>
      <c r="I407" s="15">
        <v>867.0</v>
      </c>
      <c r="J407" s="15">
        <v>87.0</v>
      </c>
      <c r="K407" s="15">
        <v>25.4</v>
      </c>
      <c r="L407" s="15">
        <v>9.6</v>
      </c>
      <c r="M407" s="17">
        <v>1.04</v>
      </c>
      <c r="N407" s="15">
        <v>87.0</v>
      </c>
      <c r="O407" s="18">
        <v>0.94</v>
      </c>
      <c r="P407" s="22">
        <v>0.0</v>
      </c>
      <c r="Q407" s="36"/>
      <c r="R407" s="18">
        <v>2.71</v>
      </c>
      <c r="S407" s="14">
        <v>1.0</v>
      </c>
      <c r="T407" s="18">
        <v>1.35</v>
      </c>
      <c r="U407" s="18">
        <v>1.88</v>
      </c>
      <c r="V407" s="56">
        <v>-0.52</v>
      </c>
      <c r="W407" s="57">
        <v>-0.52</v>
      </c>
      <c r="X407" s="57">
        <v>-1.05</v>
      </c>
      <c r="Y407" s="20" t="s">
        <v>8407</v>
      </c>
    </row>
    <row r="408">
      <c r="A408" s="9">
        <v>391.0</v>
      </c>
      <c r="B408" s="10" t="s">
        <v>8408</v>
      </c>
      <c r="C408" s="11" t="s">
        <v>8409</v>
      </c>
      <c r="D408" s="12" t="s">
        <v>98</v>
      </c>
      <c r="E408" s="13" t="s">
        <v>8410</v>
      </c>
      <c r="F408" s="12">
        <v>23.0</v>
      </c>
      <c r="G408" s="12">
        <v>2001.0</v>
      </c>
      <c r="H408" s="23">
        <v>0.0</v>
      </c>
      <c r="I408" s="36"/>
      <c r="J408" s="36"/>
      <c r="K408" s="36"/>
      <c r="L408" s="36"/>
      <c r="M408" s="23">
        <v>0.0</v>
      </c>
      <c r="N408" s="36"/>
      <c r="O408" s="21">
        <v>0.0</v>
      </c>
      <c r="P408" s="23">
        <v>0.0</v>
      </c>
      <c r="Q408" s="36"/>
      <c r="R408" s="15">
        <v>15.0</v>
      </c>
      <c r="S408" s="58"/>
      <c r="T408" s="36"/>
      <c r="U408" s="36"/>
      <c r="V408" s="36"/>
      <c r="W408" s="36"/>
      <c r="X408" s="36"/>
      <c r="Y408" s="20" t="s">
        <v>8411</v>
      </c>
    </row>
    <row r="409">
      <c r="A409" s="9">
        <v>392.0</v>
      </c>
      <c r="B409" s="10" t="s">
        <v>8412</v>
      </c>
      <c r="C409" s="11" t="s">
        <v>8413</v>
      </c>
      <c r="D409" s="12" t="s">
        <v>36</v>
      </c>
      <c r="E409" s="13" t="s">
        <v>8414</v>
      </c>
      <c r="F409" s="12">
        <v>31.0</v>
      </c>
      <c r="G409" s="12">
        <v>1994.0</v>
      </c>
      <c r="H409" s="14">
        <v>25.0</v>
      </c>
      <c r="I409" s="16">
        <v>1966.0</v>
      </c>
      <c r="J409" s="15">
        <v>79.0</v>
      </c>
      <c r="K409" s="15">
        <v>57.5</v>
      </c>
      <c r="L409" s="15">
        <v>21.8</v>
      </c>
      <c r="M409" s="17">
        <v>1.06</v>
      </c>
      <c r="N409" s="15">
        <v>83.0</v>
      </c>
      <c r="O409" s="18">
        <v>0.87</v>
      </c>
      <c r="P409" s="17">
        <v>0.09</v>
      </c>
      <c r="Q409" s="15">
        <v>23.0</v>
      </c>
      <c r="R409" s="19">
        <v>0.0</v>
      </c>
      <c r="S409" s="14">
        <v>1.6</v>
      </c>
      <c r="T409" s="18">
        <v>1.28</v>
      </c>
      <c r="U409" s="18">
        <v>1.19</v>
      </c>
      <c r="V409" s="54">
        <v>0.09</v>
      </c>
      <c r="W409" s="55">
        <f>+0.09</f>
        <v>0.09</v>
      </c>
      <c r="X409" s="55">
        <f>+0.59</f>
        <v>0.59</v>
      </c>
      <c r="Y409" s="20" t="s">
        <v>8415</v>
      </c>
    </row>
    <row r="410">
      <c r="A410" s="9">
        <v>393.0</v>
      </c>
      <c r="B410" s="10" t="s">
        <v>8416</v>
      </c>
      <c r="C410" s="11" t="s">
        <v>8417</v>
      </c>
      <c r="D410" s="12" t="s">
        <v>31</v>
      </c>
      <c r="E410" s="13" t="s">
        <v>8418</v>
      </c>
      <c r="F410" s="12">
        <v>17.0</v>
      </c>
      <c r="G410" s="12">
        <v>2007.0</v>
      </c>
      <c r="H410" s="14">
        <v>27.0</v>
      </c>
      <c r="I410" s="16">
        <v>1795.0</v>
      </c>
      <c r="J410" s="15">
        <v>66.0</v>
      </c>
      <c r="K410" s="15">
        <v>52.5</v>
      </c>
      <c r="L410" s="15">
        <v>19.9</v>
      </c>
      <c r="M410" s="17">
        <v>0.95</v>
      </c>
      <c r="N410" s="15">
        <v>85.0</v>
      </c>
      <c r="O410" s="18">
        <v>0.75</v>
      </c>
      <c r="P410" s="17">
        <v>0.4</v>
      </c>
      <c r="Q410" s="15">
        <v>23.0</v>
      </c>
      <c r="R410" s="19">
        <v>0.0</v>
      </c>
      <c r="S410" s="14">
        <v>0.67</v>
      </c>
      <c r="T410" s="18">
        <v>0.8</v>
      </c>
      <c r="U410" s="18">
        <v>1.51</v>
      </c>
      <c r="V410" s="56">
        <v>-0.7</v>
      </c>
      <c r="W410" s="57">
        <v>-0.7</v>
      </c>
      <c r="X410" s="55">
        <f>+0.79</f>
        <v>0.79</v>
      </c>
      <c r="Y410" s="20" t="s">
        <v>8419</v>
      </c>
    </row>
    <row r="411">
      <c r="A411" s="9">
        <v>394.0</v>
      </c>
      <c r="B411" s="10" t="s">
        <v>8420</v>
      </c>
      <c r="C411" s="11" t="s">
        <v>8421</v>
      </c>
      <c r="D411" s="12" t="s">
        <v>31</v>
      </c>
      <c r="E411" s="13" t="s">
        <v>8422</v>
      </c>
      <c r="F411" s="12">
        <v>17.0</v>
      </c>
      <c r="G411" s="12">
        <v>2008.0</v>
      </c>
      <c r="H411" s="14">
        <v>1.0</v>
      </c>
      <c r="I411" s="15">
        <v>16.0</v>
      </c>
      <c r="J411" s="15">
        <v>16.0</v>
      </c>
      <c r="K411" s="15">
        <v>0.5</v>
      </c>
      <c r="L411" s="15">
        <v>0.2</v>
      </c>
      <c r="M411" s="22">
        <v>0.0</v>
      </c>
      <c r="N411" s="36"/>
      <c r="O411" s="19">
        <v>0.0</v>
      </c>
      <c r="P411" s="17">
        <v>5.0</v>
      </c>
      <c r="Q411" s="15">
        <v>16.0</v>
      </c>
      <c r="R411" s="18">
        <v>15.0</v>
      </c>
      <c r="S411" s="14">
        <v>1.0</v>
      </c>
      <c r="T411" s="19">
        <v>0.0</v>
      </c>
      <c r="U411" s="19">
        <v>0.0</v>
      </c>
      <c r="V411" s="19">
        <v>0.0</v>
      </c>
      <c r="W411" s="21">
        <v>0.0</v>
      </c>
      <c r="X411" s="57">
        <v>-0.5</v>
      </c>
      <c r="Y411" s="20" t="s">
        <v>8423</v>
      </c>
    </row>
    <row r="412">
      <c r="A412" s="9">
        <v>395.0</v>
      </c>
      <c r="B412" s="10" t="s">
        <v>8424</v>
      </c>
      <c r="C412" s="11" t="s">
        <v>8425</v>
      </c>
      <c r="D412" s="12" t="s">
        <v>31</v>
      </c>
      <c r="E412" s="13" t="s">
        <v>8426</v>
      </c>
      <c r="F412" s="12">
        <v>31.0</v>
      </c>
      <c r="G412" s="12">
        <v>1994.0</v>
      </c>
      <c r="H412" s="14">
        <v>4.0</v>
      </c>
      <c r="I412" s="15">
        <v>41.0</v>
      </c>
      <c r="J412" s="15">
        <v>10.0</v>
      </c>
      <c r="K412" s="15">
        <v>1.2</v>
      </c>
      <c r="L412" s="15">
        <v>0.5</v>
      </c>
      <c r="M412" s="22">
        <v>0.0</v>
      </c>
      <c r="N412" s="36"/>
      <c r="O412" s="19">
        <v>0.0</v>
      </c>
      <c r="P412" s="17">
        <v>8.0</v>
      </c>
      <c r="Q412" s="15">
        <v>10.0</v>
      </c>
      <c r="R412" s="18">
        <v>4.0</v>
      </c>
      <c r="S412" s="14">
        <v>1.5</v>
      </c>
      <c r="T412" s="19">
        <v>0.0</v>
      </c>
      <c r="U412" s="18">
        <v>2.0</v>
      </c>
      <c r="V412" s="56">
        <v>-2.0</v>
      </c>
      <c r="W412" s="57">
        <v>-2.2</v>
      </c>
      <c r="X412" s="57">
        <v>-2.38</v>
      </c>
      <c r="Y412" s="20" t="s">
        <v>8427</v>
      </c>
    </row>
    <row r="413">
      <c r="A413" s="9">
        <v>396.0</v>
      </c>
      <c r="B413" s="10" t="s">
        <v>8428</v>
      </c>
      <c r="C413" s="11" t="s">
        <v>8429</v>
      </c>
      <c r="D413" s="12" t="s">
        <v>107</v>
      </c>
      <c r="E413" s="13" t="s">
        <v>8430</v>
      </c>
      <c r="F413" s="12">
        <v>26.0</v>
      </c>
      <c r="G413" s="12">
        <v>1999.0</v>
      </c>
      <c r="H413" s="14">
        <v>21.0</v>
      </c>
      <c r="I413" s="15">
        <v>700.0</v>
      </c>
      <c r="J413" s="15">
        <v>33.0</v>
      </c>
      <c r="K413" s="15">
        <v>20.5</v>
      </c>
      <c r="L413" s="15">
        <v>7.8</v>
      </c>
      <c r="M413" s="17">
        <v>1.03</v>
      </c>
      <c r="N413" s="15">
        <v>65.0</v>
      </c>
      <c r="O413" s="19">
        <v>0.0</v>
      </c>
      <c r="P413" s="17">
        <v>1.67</v>
      </c>
      <c r="Q413" s="15">
        <v>14.0</v>
      </c>
      <c r="R413" s="18">
        <v>0.9</v>
      </c>
      <c r="S413" s="14">
        <v>2.05</v>
      </c>
      <c r="T413" s="18">
        <v>1.92</v>
      </c>
      <c r="U413" s="18">
        <v>0.64</v>
      </c>
      <c r="V413" s="54">
        <v>1.28</v>
      </c>
      <c r="W413" s="55">
        <f>+1.29</f>
        <v>1.29</v>
      </c>
      <c r="X413" s="55">
        <f>+0.23</f>
        <v>0.23</v>
      </c>
      <c r="Y413" s="20" t="s">
        <v>8431</v>
      </c>
    </row>
    <row r="414">
      <c r="A414" s="9">
        <v>397.0</v>
      </c>
      <c r="B414" s="10" t="s">
        <v>8432</v>
      </c>
      <c r="C414" s="11" t="s">
        <v>8433</v>
      </c>
      <c r="D414" s="12" t="s">
        <v>41</v>
      </c>
      <c r="E414" s="13" t="s">
        <v>8434</v>
      </c>
      <c r="F414" s="12">
        <v>19.0</v>
      </c>
      <c r="G414" s="12">
        <v>2005.0</v>
      </c>
      <c r="H414" s="23">
        <v>0.0</v>
      </c>
      <c r="I414" s="36"/>
      <c r="J414" s="36"/>
      <c r="K414" s="36"/>
      <c r="L414" s="36"/>
      <c r="M414" s="23">
        <v>0.0</v>
      </c>
      <c r="N414" s="36"/>
      <c r="O414" s="21">
        <v>0.0</v>
      </c>
      <c r="P414" s="23">
        <v>0.0</v>
      </c>
      <c r="Q414" s="36"/>
      <c r="R414" s="15">
        <v>1.0</v>
      </c>
      <c r="S414" s="58"/>
      <c r="T414" s="36"/>
      <c r="U414" s="36"/>
      <c r="V414" s="36"/>
      <c r="W414" s="36"/>
      <c r="X414" s="36"/>
      <c r="Y414" s="20" t="s">
        <v>8435</v>
      </c>
    </row>
    <row r="415">
      <c r="A415" s="9">
        <v>398.0</v>
      </c>
      <c r="B415" s="10" t="s">
        <v>8436</v>
      </c>
      <c r="C415" s="11" t="s">
        <v>8437</v>
      </c>
      <c r="D415" s="12" t="s">
        <v>41</v>
      </c>
      <c r="E415" s="13" t="s">
        <v>8438</v>
      </c>
      <c r="F415" s="12">
        <v>20.0</v>
      </c>
      <c r="G415" s="12">
        <v>2004.0</v>
      </c>
      <c r="H415" s="14">
        <v>2.0</v>
      </c>
      <c r="I415" s="15">
        <v>60.0</v>
      </c>
      <c r="J415" s="15">
        <v>30.0</v>
      </c>
      <c r="K415" s="15">
        <v>1.8</v>
      </c>
      <c r="L415" s="15">
        <v>0.7</v>
      </c>
      <c r="M415" s="22">
        <v>0.0</v>
      </c>
      <c r="N415" s="36"/>
      <c r="O415" s="19">
        <v>0.0</v>
      </c>
      <c r="P415" s="17">
        <v>2.86</v>
      </c>
      <c r="Q415" s="15">
        <v>30.0</v>
      </c>
      <c r="R415" s="18">
        <v>5.71</v>
      </c>
      <c r="S415" s="23">
        <v>0.0</v>
      </c>
      <c r="T415" s="19">
        <v>0.0</v>
      </c>
      <c r="U415" s="18">
        <v>2.86</v>
      </c>
      <c r="V415" s="56">
        <v>-2.86</v>
      </c>
      <c r="W415" s="57">
        <v>-3.0</v>
      </c>
      <c r="X415" s="57">
        <v>-2.54</v>
      </c>
      <c r="Y415" s="20" t="s">
        <v>8439</v>
      </c>
    </row>
    <row r="416">
      <c r="A416" s="9">
        <v>399.0</v>
      </c>
      <c r="B416" s="10" t="s">
        <v>8440</v>
      </c>
      <c r="C416" s="11" t="s">
        <v>8441</v>
      </c>
      <c r="D416" s="12" t="s">
        <v>107</v>
      </c>
      <c r="E416" s="13" t="s">
        <v>8442</v>
      </c>
      <c r="F416" s="12">
        <v>24.0</v>
      </c>
      <c r="G416" s="12">
        <v>2001.0</v>
      </c>
      <c r="H416" s="14">
        <v>30.0</v>
      </c>
      <c r="I416" s="16">
        <v>1081.0</v>
      </c>
      <c r="J416" s="15">
        <v>36.0</v>
      </c>
      <c r="K416" s="15">
        <v>31.6</v>
      </c>
      <c r="L416" s="15">
        <v>12.0</v>
      </c>
      <c r="M416" s="17">
        <v>0.92</v>
      </c>
      <c r="N416" s="15">
        <v>64.0</v>
      </c>
      <c r="O416" s="18">
        <v>0.17</v>
      </c>
      <c r="P416" s="17">
        <v>1.58</v>
      </c>
      <c r="Q416" s="15">
        <v>20.0</v>
      </c>
      <c r="R416" s="18">
        <v>0.5</v>
      </c>
      <c r="S416" s="14">
        <v>2.2</v>
      </c>
      <c r="T416" s="18">
        <v>1.83</v>
      </c>
      <c r="U416" s="18">
        <v>0.67</v>
      </c>
      <c r="V416" s="54">
        <v>1.17</v>
      </c>
      <c r="W416" s="55">
        <f>+1.17</f>
        <v>1.17</v>
      </c>
      <c r="X416" s="55">
        <f>+0.01</f>
        <v>0.01</v>
      </c>
      <c r="Y416" s="20" t="s">
        <v>8443</v>
      </c>
    </row>
    <row r="417">
      <c r="A417" s="9">
        <v>400.0</v>
      </c>
      <c r="B417" s="10" t="s">
        <v>8444</v>
      </c>
      <c r="C417" s="11" t="s">
        <v>8445</v>
      </c>
      <c r="D417" s="12" t="s">
        <v>98</v>
      </c>
      <c r="E417" s="13" t="s">
        <v>8446</v>
      </c>
      <c r="F417" s="12">
        <v>32.0</v>
      </c>
      <c r="G417" s="12">
        <v>1992.0</v>
      </c>
      <c r="H417" s="14">
        <v>32.0</v>
      </c>
      <c r="I417" s="16">
        <v>2835.0</v>
      </c>
      <c r="J417" s="15">
        <v>89.0</v>
      </c>
      <c r="K417" s="15">
        <v>82.9</v>
      </c>
      <c r="L417" s="15">
        <v>31.5</v>
      </c>
      <c r="M417" s="17">
        <v>1.02</v>
      </c>
      <c r="N417" s="15">
        <v>89.0</v>
      </c>
      <c r="O417" s="18">
        <v>0.98</v>
      </c>
      <c r="P417" s="22">
        <v>0.0</v>
      </c>
      <c r="Q417" s="36"/>
      <c r="R417" s="19">
        <v>0.0</v>
      </c>
      <c r="S417" s="14">
        <v>1.69</v>
      </c>
      <c r="T417" s="18">
        <v>1.46</v>
      </c>
      <c r="U417" s="18">
        <v>1.24</v>
      </c>
      <c r="V417" s="54">
        <v>0.22</v>
      </c>
      <c r="W417" s="55">
        <f t="shared" ref="W417:X417" si="6">+0.22</f>
        <v>0.22</v>
      </c>
      <c r="X417" s="55">
        <f t="shared" si="6"/>
        <v>0.22</v>
      </c>
      <c r="Y417" s="20" t="s">
        <v>8447</v>
      </c>
    </row>
    <row r="418">
      <c r="A418" s="37" t="s">
        <v>3</v>
      </c>
      <c r="B418" s="38" t="s">
        <v>4</v>
      </c>
      <c r="C418" s="39" t="s">
        <v>5</v>
      </c>
      <c r="D418" s="39" t="s">
        <v>6</v>
      </c>
      <c r="E418" s="39" t="s">
        <v>7</v>
      </c>
      <c r="F418" s="39" t="s">
        <v>8</v>
      </c>
      <c r="G418" s="39" t="s">
        <v>9</v>
      </c>
      <c r="H418" s="40" t="s">
        <v>10</v>
      </c>
      <c r="I418" s="39" t="s">
        <v>12</v>
      </c>
      <c r="J418" s="39" t="s">
        <v>6838</v>
      </c>
      <c r="K418" s="39" t="s">
        <v>6839</v>
      </c>
      <c r="L418" s="39" t="s">
        <v>13</v>
      </c>
      <c r="M418" s="40" t="s">
        <v>11</v>
      </c>
      <c r="N418" s="39" t="s">
        <v>6840</v>
      </c>
      <c r="O418" s="39" t="s">
        <v>6841</v>
      </c>
      <c r="P418" s="40" t="s">
        <v>6836</v>
      </c>
      <c r="Q418" s="39" t="s">
        <v>6842</v>
      </c>
      <c r="R418" s="39" t="s">
        <v>6843</v>
      </c>
      <c r="S418" s="40" t="s">
        <v>6844</v>
      </c>
      <c r="T418" s="39" t="s">
        <v>6845</v>
      </c>
      <c r="U418" s="39" t="s">
        <v>6846</v>
      </c>
      <c r="V418" s="59" t="str">
        <f>+/-</f>
        <v>#ERROR!</v>
      </c>
      <c r="W418" s="59" t="str">
        <f>+/-90</f>
        <v>#ERROR!</v>
      </c>
      <c r="X418" s="39" t="s">
        <v>6847</v>
      </c>
      <c r="Y418" s="40" t="s">
        <v>23</v>
      </c>
    </row>
    <row r="419">
      <c r="A419" s="9">
        <v>401.0</v>
      </c>
      <c r="B419" s="10" t="s">
        <v>8448</v>
      </c>
      <c r="C419" s="11" t="s">
        <v>8449</v>
      </c>
      <c r="D419" s="12" t="s">
        <v>36</v>
      </c>
      <c r="E419" s="13" t="s">
        <v>8450</v>
      </c>
      <c r="F419" s="12">
        <v>27.0</v>
      </c>
      <c r="G419" s="12">
        <v>1998.0</v>
      </c>
      <c r="H419" s="14">
        <v>18.0</v>
      </c>
      <c r="I419" s="16">
        <v>1233.0</v>
      </c>
      <c r="J419" s="15">
        <v>69.0</v>
      </c>
      <c r="K419" s="15">
        <v>36.1</v>
      </c>
      <c r="L419" s="15">
        <v>13.7</v>
      </c>
      <c r="M419" s="17">
        <v>0.95</v>
      </c>
      <c r="N419" s="15">
        <v>87.0</v>
      </c>
      <c r="O419" s="18">
        <v>0.8</v>
      </c>
      <c r="P419" s="17">
        <v>0.36</v>
      </c>
      <c r="Q419" s="15">
        <v>20.0</v>
      </c>
      <c r="R419" s="18">
        <v>0.07</v>
      </c>
      <c r="S419" s="14">
        <v>1.89</v>
      </c>
      <c r="T419" s="18">
        <v>1.82</v>
      </c>
      <c r="U419" s="18">
        <v>1.09</v>
      </c>
      <c r="V419" s="54">
        <v>0.73</v>
      </c>
      <c r="W419" s="55">
        <f>+0.73</f>
        <v>0.73</v>
      </c>
      <c r="X419" s="55">
        <f>+0.36</f>
        <v>0.36</v>
      </c>
      <c r="Y419" s="20" t="s">
        <v>8451</v>
      </c>
    </row>
    <row r="420">
      <c r="A420" s="9">
        <v>402.0</v>
      </c>
      <c r="B420" s="10" t="s">
        <v>8452</v>
      </c>
      <c r="C420" s="11" t="s">
        <v>8453</v>
      </c>
      <c r="D420" s="12" t="s">
        <v>36</v>
      </c>
      <c r="E420" s="13" t="s">
        <v>8454</v>
      </c>
      <c r="F420" s="12">
        <v>31.0</v>
      </c>
      <c r="G420" s="12">
        <v>1993.0</v>
      </c>
      <c r="H420" s="14">
        <v>3.0</v>
      </c>
      <c r="I420" s="15">
        <v>126.0</v>
      </c>
      <c r="J420" s="15">
        <v>42.0</v>
      </c>
      <c r="K420" s="15">
        <v>3.7</v>
      </c>
      <c r="L420" s="15">
        <v>1.4</v>
      </c>
      <c r="M420" s="17">
        <v>1.43</v>
      </c>
      <c r="N420" s="15">
        <v>58.0</v>
      </c>
      <c r="O420" s="19">
        <v>0.0</v>
      </c>
      <c r="P420" s="17">
        <v>0.71</v>
      </c>
      <c r="Q420" s="15">
        <v>11.0</v>
      </c>
      <c r="R420" s="18">
        <v>5.71</v>
      </c>
      <c r="S420" s="14">
        <v>1.33</v>
      </c>
      <c r="T420" s="18">
        <v>0.71</v>
      </c>
      <c r="U420" s="18">
        <v>1.43</v>
      </c>
      <c r="V420" s="56">
        <v>-0.71</v>
      </c>
      <c r="W420" s="57">
        <v>-0.71</v>
      </c>
      <c r="X420" s="57">
        <v>-0.58</v>
      </c>
      <c r="Y420" s="20" t="s">
        <v>8455</v>
      </c>
    </row>
    <row r="421">
      <c r="A421" s="9">
        <v>403.0</v>
      </c>
      <c r="B421" s="10" t="s">
        <v>8456</v>
      </c>
      <c r="C421" s="11" t="s">
        <v>8457</v>
      </c>
      <c r="D421" s="12" t="s">
        <v>31</v>
      </c>
      <c r="E421" s="13" t="s">
        <v>8458</v>
      </c>
      <c r="F421" s="12">
        <v>22.0</v>
      </c>
      <c r="G421" s="12">
        <v>2002.0</v>
      </c>
      <c r="H421" s="14">
        <v>26.0</v>
      </c>
      <c r="I421" s="16">
        <v>1397.0</v>
      </c>
      <c r="J421" s="15">
        <v>54.0</v>
      </c>
      <c r="K421" s="15">
        <v>40.8</v>
      </c>
      <c r="L421" s="15">
        <v>15.5</v>
      </c>
      <c r="M421" s="17">
        <v>0.84</v>
      </c>
      <c r="N421" s="15">
        <v>89.0</v>
      </c>
      <c r="O421" s="18">
        <v>0.71</v>
      </c>
      <c r="P421" s="17">
        <v>0.84</v>
      </c>
      <c r="Q421" s="15">
        <v>19.0</v>
      </c>
      <c r="R421" s="18">
        <v>0.19</v>
      </c>
      <c r="S421" s="14">
        <v>1.12</v>
      </c>
      <c r="T421" s="18">
        <v>1.35</v>
      </c>
      <c r="U421" s="18">
        <v>1.48</v>
      </c>
      <c r="V421" s="56">
        <v>-0.13</v>
      </c>
      <c r="W421" s="57">
        <v>-0.13</v>
      </c>
      <c r="X421" s="55">
        <f>+0.18</f>
        <v>0.18</v>
      </c>
      <c r="Y421" s="20" t="s">
        <v>8459</v>
      </c>
    </row>
    <row r="422">
      <c r="A422" s="9">
        <v>404.0</v>
      </c>
      <c r="B422" s="10" t="s">
        <v>8460</v>
      </c>
      <c r="C422" s="11" t="s">
        <v>8461</v>
      </c>
      <c r="D422" s="12" t="s">
        <v>41</v>
      </c>
      <c r="E422" s="13" t="s">
        <v>8462</v>
      </c>
      <c r="F422" s="12">
        <v>28.0</v>
      </c>
      <c r="G422" s="12">
        <v>1997.0</v>
      </c>
      <c r="H422" s="14">
        <v>32.0</v>
      </c>
      <c r="I422" s="16">
        <v>2218.0</v>
      </c>
      <c r="J422" s="15">
        <v>69.0</v>
      </c>
      <c r="K422" s="15">
        <v>64.9</v>
      </c>
      <c r="L422" s="15">
        <v>24.6</v>
      </c>
      <c r="M422" s="17">
        <v>1.02</v>
      </c>
      <c r="N422" s="15">
        <v>81.0</v>
      </c>
      <c r="O422" s="18">
        <v>0.49</v>
      </c>
      <c r="P422" s="17">
        <v>0.28</v>
      </c>
      <c r="Q422" s="15">
        <v>27.0</v>
      </c>
      <c r="R422" s="19">
        <v>0.0</v>
      </c>
      <c r="S422" s="14">
        <v>1.09</v>
      </c>
      <c r="T422" s="18">
        <v>0.93</v>
      </c>
      <c r="U422" s="18">
        <v>1.18</v>
      </c>
      <c r="V422" s="56">
        <v>-0.24</v>
      </c>
      <c r="W422" s="57">
        <v>-0.24</v>
      </c>
      <c r="X422" s="55">
        <f>+0.06</f>
        <v>0.06</v>
      </c>
      <c r="Y422" s="20" t="s">
        <v>8463</v>
      </c>
    </row>
    <row r="423">
      <c r="A423" s="9">
        <v>405.0</v>
      </c>
      <c r="B423" s="10" t="s">
        <v>8464</v>
      </c>
      <c r="C423" s="11" t="s">
        <v>8465</v>
      </c>
      <c r="D423" s="12" t="s">
        <v>98</v>
      </c>
      <c r="E423" s="13" t="s">
        <v>8466</v>
      </c>
      <c r="F423" s="12">
        <v>31.0</v>
      </c>
      <c r="G423" s="12">
        <v>1994.0</v>
      </c>
      <c r="H423" s="23">
        <v>0.0</v>
      </c>
      <c r="I423" s="36"/>
      <c r="J423" s="36"/>
      <c r="K423" s="36"/>
      <c r="L423" s="36"/>
      <c r="M423" s="23">
        <v>0.0</v>
      </c>
      <c r="N423" s="36"/>
      <c r="O423" s="21">
        <v>0.0</v>
      </c>
      <c r="P423" s="23">
        <v>0.0</v>
      </c>
      <c r="Q423" s="36"/>
      <c r="R423" s="15">
        <v>10.0</v>
      </c>
      <c r="S423" s="58"/>
      <c r="T423" s="36"/>
      <c r="U423" s="36"/>
      <c r="V423" s="36"/>
      <c r="W423" s="36"/>
      <c r="X423" s="36"/>
      <c r="Y423" s="20" t="s">
        <v>8467</v>
      </c>
    </row>
    <row r="424">
      <c r="A424" s="9">
        <v>406.0</v>
      </c>
      <c r="B424" s="10" t="s">
        <v>8468</v>
      </c>
      <c r="C424" s="11" t="s">
        <v>8469</v>
      </c>
      <c r="D424" s="12" t="s">
        <v>36</v>
      </c>
      <c r="E424" s="13" t="s">
        <v>8470</v>
      </c>
      <c r="F424" s="12">
        <v>27.0</v>
      </c>
      <c r="G424" s="12">
        <v>1997.0</v>
      </c>
      <c r="H424" s="14">
        <v>31.0</v>
      </c>
      <c r="I424" s="16">
        <v>2534.0</v>
      </c>
      <c r="J424" s="15">
        <v>82.0</v>
      </c>
      <c r="K424" s="15">
        <v>74.1</v>
      </c>
      <c r="L424" s="15">
        <v>28.2</v>
      </c>
      <c r="M424" s="17">
        <v>0.96</v>
      </c>
      <c r="N424" s="15">
        <v>90.0</v>
      </c>
      <c r="O424" s="18">
        <v>0.96</v>
      </c>
      <c r="P424" s="17">
        <v>0.14</v>
      </c>
      <c r="Q424" s="15">
        <v>26.0</v>
      </c>
      <c r="R424" s="18">
        <v>0.11</v>
      </c>
      <c r="S424" s="14">
        <v>1.03</v>
      </c>
      <c r="T424" s="18">
        <v>1.21</v>
      </c>
      <c r="U424" s="18">
        <v>1.56</v>
      </c>
      <c r="V424" s="56">
        <v>-0.35</v>
      </c>
      <c r="W424" s="57">
        <v>-0.36</v>
      </c>
      <c r="X424" s="55">
        <f>+0.56</f>
        <v>0.56</v>
      </c>
      <c r="Y424" s="20" t="s">
        <v>8471</v>
      </c>
    </row>
    <row r="425">
      <c r="A425" s="9">
        <v>407.0</v>
      </c>
      <c r="B425" s="10" t="s">
        <v>8472</v>
      </c>
      <c r="C425" s="11" t="s">
        <v>8473</v>
      </c>
      <c r="D425" s="12" t="s">
        <v>107</v>
      </c>
      <c r="E425" s="13" t="s">
        <v>8474</v>
      </c>
      <c r="F425" s="12">
        <v>20.0</v>
      </c>
      <c r="G425" s="12">
        <v>2005.0</v>
      </c>
      <c r="H425" s="14">
        <v>20.0</v>
      </c>
      <c r="I425" s="15">
        <v>759.0</v>
      </c>
      <c r="J425" s="15">
        <v>38.0</v>
      </c>
      <c r="K425" s="15">
        <v>22.2</v>
      </c>
      <c r="L425" s="15">
        <v>8.4</v>
      </c>
      <c r="M425" s="17">
        <v>0.95</v>
      </c>
      <c r="N425" s="15">
        <v>74.0</v>
      </c>
      <c r="O425" s="18">
        <v>0.12</v>
      </c>
      <c r="P425" s="17">
        <v>1.43</v>
      </c>
      <c r="Q425" s="15">
        <v>14.0</v>
      </c>
      <c r="R425" s="18">
        <v>2.14</v>
      </c>
      <c r="S425" s="14">
        <v>1.25</v>
      </c>
      <c r="T425" s="18">
        <v>0.95</v>
      </c>
      <c r="U425" s="18">
        <v>1.07</v>
      </c>
      <c r="V425" s="56">
        <v>-0.12</v>
      </c>
      <c r="W425" s="57">
        <v>-0.12</v>
      </c>
      <c r="X425" s="55">
        <f>+0.05</f>
        <v>0.05</v>
      </c>
      <c r="Y425" s="20" t="s">
        <v>8475</v>
      </c>
    </row>
    <row r="426">
      <c r="A426" s="9">
        <v>408.0</v>
      </c>
      <c r="B426" s="10" t="s">
        <v>8476</v>
      </c>
      <c r="C426" s="11" t="s">
        <v>8477</v>
      </c>
      <c r="D426" s="12" t="s">
        <v>36</v>
      </c>
      <c r="E426" s="13" t="s">
        <v>8478</v>
      </c>
      <c r="F426" s="12">
        <v>18.0</v>
      </c>
      <c r="G426" s="12">
        <v>2007.0</v>
      </c>
      <c r="H426" s="14">
        <v>6.0</v>
      </c>
      <c r="I426" s="15">
        <v>117.0</v>
      </c>
      <c r="J426" s="15">
        <v>20.0</v>
      </c>
      <c r="K426" s="15">
        <v>3.4</v>
      </c>
      <c r="L426" s="15">
        <v>1.3</v>
      </c>
      <c r="M426" s="22">
        <v>0.0</v>
      </c>
      <c r="N426" s="36"/>
      <c r="O426" s="19">
        <v>0.0</v>
      </c>
      <c r="P426" s="17">
        <v>4.62</v>
      </c>
      <c r="Q426" s="15">
        <v>20.0</v>
      </c>
      <c r="R426" s="18">
        <v>6.15</v>
      </c>
      <c r="S426" s="14">
        <v>0.33</v>
      </c>
      <c r="T426" s="19">
        <v>0.0</v>
      </c>
      <c r="U426" s="18">
        <v>2.31</v>
      </c>
      <c r="V426" s="56">
        <v>-2.31</v>
      </c>
      <c r="W426" s="57">
        <v>-2.31</v>
      </c>
      <c r="X426" s="57">
        <v>-1.87</v>
      </c>
      <c r="Y426" s="20" t="s">
        <v>8479</v>
      </c>
    </row>
    <row r="427">
      <c r="A427" s="9">
        <v>409.0</v>
      </c>
      <c r="B427" s="10" t="s">
        <v>8480</v>
      </c>
      <c r="C427" s="11" t="s">
        <v>8481</v>
      </c>
      <c r="D427" s="12" t="s">
        <v>345</v>
      </c>
      <c r="E427" s="13" t="s">
        <v>8482</v>
      </c>
      <c r="F427" s="12">
        <v>27.0</v>
      </c>
      <c r="G427" s="12">
        <v>1997.0</v>
      </c>
      <c r="H427" s="14">
        <v>20.0</v>
      </c>
      <c r="I427" s="15">
        <v>985.0</v>
      </c>
      <c r="J427" s="15">
        <v>49.0</v>
      </c>
      <c r="K427" s="15">
        <v>28.8</v>
      </c>
      <c r="L427" s="15">
        <v>10.9</v>
      </c>
      <c r="M427" s="17">
        <v>1.01</v>
      </c>
      <c r="N427" s="15">
        <v>72.0</v>
      </c>
      <c r="O427" s="18">
        <v>0.28</v>
      </c>
      <c r="P427" s="17">
        <v>0.83</v>
      </c>
      <c r="Q427" s="15">
        <v>22.0</v>
      </c>
      <c r="R427" s="18">
        <v>0.55</v>
      </c>
      <c r="S427" s="14">
        <v>2.0</v>
      </c>
      <c r="T427" s="18">
        <v>1.74</v>
      </c>
      <c r="U427" s="18">
        <v>0.92</v>
      </c>
      <c r="V427" s="54">
        <v>0.83</v>
      </c>
      <c r="W427" s="55">
        <f>+0.82</f>
        <v>0.82</v>
      </c>
      <c r="X427" s="55">
        <f>+0.45</f>
        <v>0.45</v>
      </c>
      <c r="Y427" s="20" t="s">
        <v>8483</v>
      </c>
    </row>
    <row r="428">
      <c r="A428" s="9">
        <v>410.0</v>
      </c>
      <c r="B428" s="10" t="s">
        <v>8484</v>
      </c>
      <c r="C428" s="11" t="s">
        <v>8485</v>
      </c>
      <c r="D428" s="12" t="s">
        <v>26</v>
      </c>
      <c r="E428" s="13" t="s">
        <v>8486</v>
      </c>
      <c r="F428" s="12">
        <v>25.0</v>
      </c>
      <c r="G428" s="12">
        <v>1999.0</v>
      </c>
      <c r="H428" s="14">
        <v>33.0</v>
      </c>
      <c r="I428" s="16">
        <v>2609.0</v>
      </c>
      <c r="J428" s="15">
        <v>79.0</v>
      </c>
      <c r="K428" s="15">
        <v>76.3</v>
      </c>
      <c r="L428" s="15">
        <v>29.0</v>
      </c>
      <c r="M428" s="17">
        <v>1.07</v>
      </c>
      <c r="N428" s="15">
        <v>83.0</v>
      </c>
      <c r="O428" s="18">
        <v>0.45</v>
      </c>
      <c r="P428" s="17">
        <v>0.07</v>
      </c>
      <c r="Q428" s="15">
        <v>19.0</v>
      </c>
      <c r="R428" s="19">
        <v>0.0</v>
      </c>
      <c r="S428" s="14">
        <v>1.97</v>
      </c>
      <c r="T428" s="18">
        <v>1.97</v>
      </c>
      <c r="U428" s="18">
        <v>1.24</v>
      </c>
      <c r="V428" s="54">
        <v>0.72</v>
      </c>
      <c r="W428" s="55">
        <f>+0.72</f>
        <v>0.72</v>
      </c>
      <c r="X428" s="55">
        <f>+0.95</f>
        <v>0.95</v>
      </c>
      <c r="Y428" s="20" t="s">
        <v>8487</v>
      </c>
    </row>
    <row r="429">
      <c r="A429" s="9">
        <v>411.0</v>
      </c>
      <c r="B429" s="10" t="s">
        <v>8488</v>
      </c>
      <c r="C429" s="11" t="s">
        <v>8489</v>
      </c>
      <c r="D429" s="12" t="s">
        <v>41</v>
      </c>
      <c r="E429" s="13" t="s">
        <v>8490</v>
      </c>
      <c r="F429" s="12">
        <v>17.0</v>
      </c>
      <c r="G429" s="12">
        <v>2008.0</v>
      </c>
      <c r="H429" s="23">
        <v>0.0</v>
      </c>
      <c r="I429" s="36"/>
      <c r="J429" s="36"/>
      <c r="K429" s="36"/>
      <c r="L429" s="36"/>
      <c r="M429" s="23">
        <v>0.0</v>
      </c>
      <c r="N429" s="36"/>
      <c r="O429" s="21">
        <v>0.0</v>
      </c>
      <c r="P429" s="23">
        <v>0.0</v>
      </c>
      <c r="Q429" s="36"/>
      <c r="R429" s="15">
        <v>6.0</v>
      </c>
      <c r="S429" s="58"/>
      <c r="T429" s="36"/>
      <c r="U429" s="36"/>
      <c r="V429" s="36"/>
      <c r="W429" s="36"/>
      <c r="X429" s="36"/>
      <c r="Y429" s="20" t="s">
        <v>8491</v>
      </c>
    </row>
    <row r="430">
      <c r="A430" s="9">
        <v>412.0</v>
      </c>
      <c r="B430" s="10" t="s">
        <v>8492</v>
      </c>
      <c r="C430" s="11" t="s">
        <v>8493</v>
      </c>
      <c r="D430" s="12" t="s">
        <v>31</v>
      </c>
      <c r="E430" s="13" t="s">
        <v>8494</v>
      </c>
      <c r="F430" s="12">
        <v>22.0</v>
      </c>
      <c r="G430" s="12">
        <v>2002.0</v>
      </c>
      <c r="H430" s="14">
        <v>14.0</v>
      </c>
      <c r="I430" s="15">
        <v>298.0</v>
      </c>
      <c r="J430" s="15">
        <v>21.0</v>
      </c>
      <c r="K430" s="15">
        <v>8.7</v>
      </c>
      <c r="L430" s="15">
        <v>3.3</v>
      </c>
      <c r="M430" s="17">
        <v>0.61</v>
      </c>
      <c r="N430" s="15">
        <v>75.0</v>
      </c>
      <c r="O430" s="18">
        <v>0.3</v>
      </c>
      <c r="P430" s="17">
        <v>3.64</v>
      </c>
      <c r="Q430" s="15">
        <v>12.0</v>
      </c>
      <c r="R430" s="18">
        <v>6.36</v>
      </c>
      <c r="S430" s="14">
        <v>0.71</v>
      </c>
      <c r="T430" s="18">
        <v>1.21</v>
      </c>
      <c r="U430" s="18">
        <v>2.73</v>
      </c>
      <c r="V430" s="56">
        <v>-1.52</v>
      </c>
      <c r="W430" s="57">
        <v>-1.51</v>
      </c>
      <c r="X430" s="57">
        <v>-1.57</v>
      </c>
      <c r="Y430" s="20" t="s">
        <v>8495</v>
      </c>
    </row>
    <row r="431">
      <c r="A431" s="9">
        <v>413.0</v>
      </c>
      <c r="B431" s="10" t="s">
        <v>8496</v>
      </c>
      <c r="C431" s="11" t="s">
        <v>8497</v>
      </c>
      <c r="D431" s="12" t="s">
        <v>31</v>
      </c>
      <c r="E431" s="13" t="s">
        <v>8498</v>
      </c>
      <c r="F431" s="12">
        <v>20.0</v>
      </c>
      <c r="G431" s="12">
        <v>2004.0</v>
      </c>
      <c r="H431" s="23">
        <v>0.0</v>
      </c>
      <c r="I431" s="36"/>
      <c r="J431" s="36"/>
      <c r="K431" s="36"/>
      <c r="L431" s="36"/>
      <c r="M431" s="23">
        <v>0.0</v>
      </c>
      <c r="N431" s="36"/>
      <c r="O431" s="21">
        <v>0.0</v>
      </c>
      <c r="P431" s="23">
        <v>0.0</v>
      </c>
      <c r="Q431" s="36"/>
      <c r="R431" s="15">
        <v>1.0</v>
      </c>
      <c r="S431" s="58"/>
      <c r="T431" s="36"/>
      <c r="U431" s="36"/>
      <c r="V431" s="36"/>
      <c r="W431" s="36"/>
      <c r="X431" s="36"/>
      <c r="Y431" s="20" t="s">
        <v>8499</v>
      </c>
    </row>
    <row r="432">
      <c r="A432" s="9">
        <v>414.0</v>
      </c>
      <c r="B432" s="10" t="s">
        <v>8500</v>
      </c>
      <c r="C432" s="11" t="s">
        <v>8501</v>
      </c>
      <c r="D432" s="12" t="s">
        <v>31</v>
      </c>
      <c r="E432" s="13" t="s">
        <v>8502</v>
      </c>
      <c r="F432" s="12">
        <v>30.0</v>
      </c>
      <c r="G432" s="12">
        <v>1994.0</v>
      </c>
      <c r="H432" s="14">
        <v>30.0</v>
      </c>
      <c r="I432" s="16">
        <v>2137.0</v>
      </c>
      <c r="J432" s="15">
        <v>71.0</v>
      </c>
      <c r="K432" s="15">
        <v>62.5</v>
      </c>
      <c r="L432" s="15">
        <v>23.7</v>
      </c>
      <c r="M432" s="17">
        <v>1.18</v>
      </c>
      <c r="N432" s="15">
        <v>75.0</v>
      </c>
      <c r="O432" s="18">
        <v>0.25</v>
      </c>
      <c r="P432" s="17">
        <v>0.08</v>
      </c>
      <c r="Q432" s="15">
        <v>25.0</v>
      </c>
      <c r="R432" s="19">
        <v>0.0</v>
      </c>
      <c r="S432" s="14">
        <v>1.9</v>
      </c>
      <c r="T432" s="18">
        <v>1.56</v>
      </c>
      <c r="U432" s="18">
        <v>1.18</v>
      </c>
      <c r="V432" s="54">
        <v>0.38</v>
      </c>
      <c r="W432" s="55">
        <f>+0.38</f>
        <v>0.38</v>
      </c>
      <c r="X432" s="55">
        <f>+0.52</f>
        <v>0.52</v>
      </c>
      <c r="Y432" s="20" t="s">
        <v>8503</v>
      </c>
    </row>
    <row r="433">
      <c r="A433" s="9">
        <v>415.0</v>
      </c>
      <c r="B433" s="10" t="s">
        <v>8504</v>
      </c>
      <c r="C433" s="11" t="s">
        <v>8505</v>
      </c>
      <c r="D433" s="12" t="s">
        <v>31</v>
      </c>
      <c r="E433" s="13" t="s">
        <v>8506</v>
      </c>
      <c r="F433" s="12">
        <v>16.0</v>
      </c>
      <c r="G433" s="12">
        <v>2008.0</v>
      </c>
      <c r="H433" s="23">
        <v>0.0</v>
      </c>
      <c r="I433" s="36"/>
      <c r="J433" s="36"/>
      <c r="K433" s="36"/>
      <c r="L433" s="36"/>
      <c r="M433" s="23">
        <v>0.0</v>
      </c>
      <c r="N433" s="36"/>
      <c r="O433" s="21">
        <v>0.0</v>
      </c>
      <c r="P433" s="23">
        <v>0.0</v>
      </c>
      <c r="Q433" s="36"/>
      <c r="R433" s="15">
        <v>1.0</v>
      </c>
      <c r="S433" s="58"/>
      <c r="T433" s="36"/>
      <c r="U433" s="36"/>
      <c r="V433" s="36"/>
      <c r="W433" s="36"/>
      <c r="X433" s="36"/>
      <c r="Y433" s="20" t="s">
        <v>8507</v>
      </c>
    </row>
    <row r="434">
      <c r="A434" s="9">
        <v>416.0</v>
      </c>
      <c r="B434" s="10" t="s">
        <v>8508</v>
      </c>
      <c r="C434" s="67"/>
      <c r="D434" s="12" t="s">
        <v>36</v>
      </c>
      <c r="E434" s="13" t="s">
        <v>8509</v>
      </c>
      <c r="F434" s="68"/>
      <c r="G434" s="68"/>
      <c r="H434" s="23">
        <v>0.0</v>
      </c>
      <c r="I434" s="36"/>
      <c r="J434" s="36"/>
      <c r="K434" s="36"/>
      <c r="L434" s="36"/>
      <c r="M434" s="23">
        <v>0.0</v>
      </c>
      <c r="N434" s="36"/>
      <c r="O434" s="21">
        <v>0.0</v>
      </c>
      <c r="P434" s="23">
        <v>0.0</v>
      </c>
      <c r="Q434" s="36"/>
      <c r="R434" s="15">
        <v>1.0</v>
      </c>
      <c r="S434" s="58"/>
      <c r="T434" s="36"/>
      <c r="U434" s="36"/>
      <c r="V434" s="36"/>
      <c r="W434" s="36"/>
      <c r="X434" s="36"/>
      <c r="Y434" s="20" t="s">
        <v>8510</v>
      </c>
    </row>
    <row r="435">
      <c r="A435" s="9">
        <v>417.0</v>
      </c>
      <c r="B435" s="10" t="s">
        <v>8511</v>
      </c>
      <c r="C435" s="11" t="s">
        <v>8512</v>
      </c>
      <c r="D435" s="12" t="s">
        <v>98</v>
      </c>
      <c r="E435" s="13" t="s">
        <v>8513</v>
      </c>
      <c r="F435" s="12">
        <v>20.0</v>
      </c>
      <c r="G435" s="12">
        <v>2004.0</v>
      </c>
      <c r="H435" s="23">
        <v>0.0</v>
      </c>
      <c r="I435" s="36"/>
      <c r="J435" s="36"/>
      <c r="K435" s="36"/>
      <c r="L435" s="36"/>
      <c r="M435" s="23">
        <v>0.0</v>
      </c>
      <c r="N435" s="36"/>
      <c r="O435" s="21">
        <v>0.0</v>
      </c>
      <c r="P435" s="23">
        <v>0.0</v>
      </c>
      <c r="Q435" s="36"/>
      <c r="R435" s="15">
        <v>1.0</v>
      </c>
      <c r="S435" s="58"/>
      <c r="T435" s="36"/>
      <c r="U435" s="36"/>
      <c r="V435" s="36"/>
      <c r="W435" s="36"/>
      <c r="X435" s="36"/>
      <c r="Y435" s="20" t="s">
        <v>8514</v>
      </c>
    </row>
    <row r="436">
      <c r="A436" s="9">
        <v>418.0</v>
      </c>
      <c r="B436" s="10" t="s">
        <v>8515</v>
      </c>
      <c r="C436" s="11" t="s">
        <v>8516</v>
      </c>
      <c r="D436" s="12" t="s">
        <v>31</v>
      </c>
      <c r="E436" s="13" t="s">
        <v>8517</v>
      </c>
      <c r="F436" s="12">
        <v>25.0</v>
      </c>
      <c r="G436" s="12">
        <v>1999.0</v>
      </c>
      <c r="H436" s="14">
        <v>22.0</v>
      </c>
      <c r="I436" s="16">
        <v>1168.0</v>
      </c>
      <c r="J436" s="15">
        <v>53.0</v>
      </c>
      <c r="K436" s="15">
        <v>34.2</v>
      </c>
      <c r="L436" s="15">
        <v>13.0</v>
      </c>
      <c r="M436" s="17">
        <v>1.08</v>
      </c>
      <c r="N436" s="15">
        <v>76.0</v>
      </c>
      <c r="O436" s="18">
        <v>0.23</v>
      </c>
      <c r="P436" s="17">
        <v>0.62</v>
      </c>
      <c r="Q436" s="15">
        <v>13.0</v>
      </c>
      <c r="R436" s="18">
        <v>1.08</v>
      </c>
      <c r="S436" s="14">
        <v>1.45</v>
      </c>
      <c r="T436" s="18">
        <v>1.08</v>
      </c>
      <c r="U436" s="18">
        <v>0.69</v>
      </c>
      <c r="V436" s="54">
        <v>0.38</v>
      </c>
      <c r="W436" s="55">
        <f>+0.39</f>
        <v>0.39</v>
      </c>
      <c r="X436" s="55">
        <f>+0.7</f>
        <v>0.7</v>
      </c>
      <c r="Y436" s="20" t="s">
        <v>8518</v>
      </c>
    </row>
    <row r="437">
      <c r="A437" s="9">
        <v>419.0</v>
      </c>
      <c r="B437" s="10" t="s">
        <v>8519</v>
      </c>
      <c r="C437" s="11" t="s">
        <v>8520</v>
      </c>
      <c r="D437" s="12" t="s">
        <v>31</v>
      </c>
      <c r="E437" s="13" t="s">
        <v>8521</v>
      </c>
      <c r="F437" s="12">
        <v>22.0</v>
      </c>
      <c r="G437" s="12">
        <v>2003.0</v>
      </c>
      <c r="H437" s="14">
        <v>27.0</v>
      </c>
      <c r="I437" s="16">
        <v>1229.0</v>
      </c>
      <c r="J437" s="15">
        <v>46.0</v>
      </c>
      <c r="K437" s="15">
        <v>35.9</v>
      </c>
      <c r="L437" s="15">
        <v>13.7</v>
      </c>
      <c r="M437" s="17">
        <v>1.09</v>
      </c>
      <c r="N437" s="15">
        <v>70.0</v>
      </c>
      <c r="O437" s="18">
        <v>0.22</v>
      </c>
      <c r="P437" s="17">
        <v>0.88</v>
      </c>
      <c r="Q437" s="15">
        <v>15.0</v>
      </c>
      <c r="R437" s="18">
        <v>0.15</v>
      </c>
      <c r="S437" s="14">
        <v>0.74</v>
      </c>
      <c r="T437" s="18">
        <v>1.17</v>
      </c>
      <c r="U437" s="18">
        <v>1.97</v>
      </c>
      <c r="V437" s="56">
        <v>-0.8</v>
      </c>
      <c r="W437" s="57">
        <v>-0.81</v>
      </c>
      <c r="X437" s="55">
        <f>+0.26</f>
        <v>0.26</v>
      </c>
      <c r="Y437" s="20" t="s">
        <v>8522</v>
      </c>
    </row>
    <row r="438">
      <c r="A438" s="9">
        <v>420.0</v>
      </c>
      <c r="B438" s="10" t="s">
        <v>8523</v>
      </c>
      <c r="C438" s="11" t="s">
        <v>8524</v>
      </c>
      <c r="D438" s="12" t="s">
        <v>26</v>
      </c>
      <c r="E438" s="13" t="s">
        <v>8525</v>
      </c>
      <c r="F438" s="12">
        <v>29.0</v>
      </c>
      <c r="G438" s="12">
        <v>1996.0</v>
      </c>
      <c r="H438" s="14">
        <v>22.0</v>
      </c>
      <c r="I438" s="16">
        <v>1036.0</v>
      </c>
      <c r="J438" s="15">
        <v>47.0</v>
      </c>
      <c r="K438" s="15">
        <v>30.3</v>
      </c>
      <c r="L438" s="15">
        <v>11.5</v>
      </c>
      <c r="M438" s="17">
        <v>0.87</v>
      </c>
      <c r="N438" s="15">
        <v>77.0</v>
      </c>
      <c r="O438" s="18">
        <v>0.43</v>
      </c>
      <c r="P438" s="17">
        <v>1.04</v>
      </c>
      <c r="Q438" s="15">
        <v>22.0</v>
      </c>
      <c r="R438" s="18">
        <v>0.17</v>
      </c>
      <c r="S438" s="14">
        <v>2.23</v>
      </c>
      <c r="T438" s="18">
        <v>1.91</v>
      </c>
      <c r="U438" s="18">
        <v>0.87</v>
      </c>
      <c r="V438" s="54">
        <v>1.04</v>
      </c>
      <c r="W438" s="55">
        <f>+1.04</f>
        <v>1.04</v>
      </c>
      <c r="X438" s="57">
        <v>-0.17</v>
      </c>
      <c r="Y438" s="20" t="s">
        <v>8526</v>
      </c>
    </row>
    <row r="439">
      <c r="A439" s="9">
        <v>421.0</v>
      </c>
      <c r="B439" s="10" t="s">
        <v>8527</v>
      </c>
      <c r="C439" s="11" t="s">
        <v>8528</v>
      </c>
      <c r="D439" s="12" t="s">
        <v>98</v>
      </c>
      <c r="E439" s="13" t="s">
        <v>8529</v>
      </c>
      <c r="F439" s="12">
        <v>19.0</v>
      </c>
      <c r="G439" s="12">
        <v>2005.0</v>
      </c>
      <c r="H439" s="23">
        <v>0.0</v>
      </c>
      <c r="I439" s="36"/>
      <c r="J439" s="36"/>
      <c r="K439" s="36"/>
      <c r="L439" s="36"/>
      <c r="M439" s="23">
        <v>0.0</v>
      </c>
      <c r="N439" s="36"/>
      <c r="O439" s="21">
        <v>0.0</v>
      </c>
      <c r="P439" s="23">
        <v>0.0</v>
      </c>
      <c r="Q439" s="36"/>
      <c r="R439" s="15">
        <v>1.0</v>
      </c>
      <c r="S439" s="58"/>
      <c r="T439" s="36"/>
      <c r="U439" s="36"/>
      <c r="V439" s="36"/>
      <c r="W439" s="36"/>
      <c r="X439" s="36"/>
      <c r="Y439" s="20" t="s">
        <v>8530</v>
      </c>
    </row>
    <row r="440">
      <c r="A440" s="9">
        <v>422.0</v>
      </c>
      <c r="B440" s="10" t="s">
        <v>8531</v>
      </c>
      <c r="C440" s="11" t="s">
        <v>8532</v>
      </c>
      <c r="D440" s="12" t="s">
        <v>98</v>
      </c>
      <c r="E440" s="13" t="s">
        <v>8533</v>
      </c>
      <c r="F440" s="12">
        <v>25.0</v>
      </c>
      <c r="G440" s="12">
        <v>2000.0</v>
      </c>
      <c r="H440" s="23">
        <v>0.0</v>
      </c>
      <c r="I440" s="36"/>
      <c r="J440" s="36"/>
      <c r="K440" s="36"/>
      <c r="L440" s="36"/>
      <c r="M440" s="23">
        <v>0.0</v>
      </c>
      <c r="N440" s="36"/>
      <c r="O440" s="21">
        <v>0.0</v>
      </c>
      <c r="P440" s="23">
        <v>0.0</v>
      </c>
      <c r="Q440" s="36"/>
      <c r="R440" s="15">
        <v>5.0</v>
      </c>
      <c r="S440" s="58"/>
      <c r="T440" s="36"/>
      <c r="U440" s="36"/>
      <c r="V440" s="36"/>
      <c r="W440" s="36"/>
      <c r="X440" s="36"/>
      <c r="Y440" s="20" t="s">
        <v>8534</v>
      </c>
    </row>
    <row r="441">
      <c r="A441" s="9">
        <v>423.0</v>
      </c>
      <c r="B441" s="10" t="s">
        <v>8535</v>
      </c>
      <c r="C441" s="11" t="s">
        <v>8536</v>
      </c>
      <c r="D441" s="12" t="s">
        <v>36</v>
      </c>
      <c r="E441" s="13" t="s">
        <v>8537</v>
      </c>
      <c r="F441" s="12">
        <v>17.0</v>
      </c>
      <c r="G441" s="12">
        <v>2008.0</v>
      </c>
      <c r="H441" s="23">
        <v>0.0</v>
      </c>
      <c r="I441" s="36"/>
      <c r="J441" s="36"/>
      <c r="K441" s="36"/>
      <c r="L441" s="36"/>
      <c r="M441" s="23">
        <v>0.0</v>
      </c>
      <c r="N441" s="36"/>
      <c r="O441" s="21">
        <v>0.0</v>
      </c>
      <c r="P441" s="23">
        <v>0.0</v>
      </c>
      <c r="Q441" s="36"/>
      <c r="R441" s="15">
        <v>5.0</v>
      </c>
      <c r="S441" s="58"/>
      <c r="T441" s="36"/>
      <c r="U441" s="36"/>
      <c r="V441" s="36"/>
      <c r="W441" s="36"/>
      <c r="X441" s="36"/>
      <c r="Y441" s="20" t="s">
        <v>8538</v>
      </c>
    </row>
    <row r="442">
      <c r="A442" s="9">
        <v>424.0</v>
      </c>
      <c r="B442" s="10" t="s">
        <v>8539</v>
      </c>
      <c r="C442" s="11" t="s">
        <v>8540</v>
      </c>
      <c r="D442" s="12" t="s">
        <v>41</v>
      </c>
      <c r="E442" s="13" t="s">
        <v>8541</v>
      </c>
      <c r="F442" s="12">
        <v>17.0</v>
      </c>
      <c r="G442" s="12">
        <v>2007.0</v>
      </c>
      <c r="H442" s="14">
        <v>1.0</v>
      </c>
      <c r="I442" s="15">
        <v>2.0</v>
      </c>
      <c r="J442" s="15">
        <v>2.0</v>
      </c>
      <c r="K442" s="15">
        <v>0.1</v>
      </c>
      <c r="L442" s="21">
        <v>0.0</v>
      </c>
      <c r="M442" s="23">
        <v>0.0</v>
      </c>
      <c r="N442" s="36"/>
      <c r="O442" s="21">
        <v>0.0</v>
      </c>
      <c r="P442" s="14">
        <v>1.0</v>
      </c>
      <c r="Q442" s="15">
        <v>2.0</v>
      </c>
      <c r="R442" s="21">
        <v>0.0</v>
      </c>
      <c r="S442" s="14">
        <v>3.0</v>
      </c>
      <c r="T442" s="21">
        <v>0.0</v>
      </c>
      <c r="U442" s="21">
        <v>0.0</v>
      </c>
      <c r="V442" s="21">
        <v>0.0</v>
      </c>
      <c r="W442" s="21">
        <v>0.0</v>
      </c>
      <c r="X442" s="57">
        <v>-0.16</v>
      </c>
      <c r="Y442" s="20" t="s">
        <v>8542</v>
      </c>
    </row>
    <row r="443">
      <c r="A443" s="9">
        <v>425.0</v>
      </c>
      <c r="B443" s="10" t="s">
        <v>8543</v>
      </c>
      <c r="C443" s="11" t="s">
        <v>8544</v>
      </c>
      <c r="D443" s="12" t="s">
        <v>31</v>
      </c>
      <c r="E443" s="13" t="s">
        <v>8545</v>
      </c>
      <c r="F443" s="12">
        <v>20.0</v>
      </c>
      <c r="G443" s="12">
        <v>2005.0</v>
      </c>
      <c r="H443" s="14">
        <v>1.0</v>
      </c>
      <c r="I443" s="15">
        <v>45.0</v>
      </c>
      <c r="J443" s="15">
        <v>45.0</v>
      </c>
      <c r="K443" s="15">
        <v>1.3</v>
      </c>
      <c r="L443" s="15">
        <v>0.5</v>
      </c>
      <c r="M443" s="17">
        <v>2.0</v>
      </c>
      <c r="N443" s="15">
        <v>45.0</v>
      </c>
      <c r="O443" s="19">
        <v>0.0</v>
      </c>
      <c r="P443" s="22">
        <v>0.0</v>
      </c>
      <c r="Q443" s="36"/>
      <c r="R443" s="18">
        <v>6.0</v>
      </c>
      <c r="S443" s="23">
        <v>0.0</v>
      </c>
      <c r="T443" s="19">
        <v>0.0</v>
      </c>
      <c r="U443" s="18">
        <v>6.0</v>
      </c>
      <c r="V443" s="56">
        <v>-6.0</v>
      </c>
      <c r="W443" s="57">
        <v>-6.0</v>
      </c>
      <c r="X443" s="57">
        <v>-6.16</v>
      </c>
      <c r="Y443" s="20" t="s">
        <v>8546</v>
      </c>
    </row>
    <row r="444">
      <c r="A444" s="37" t="s">
        <v>3</v>
      </c>
      <c r="B444" s="38" t="s">
        <v>4</v>
      </c>
      <c r="C444" s="39" t="s">
        <v>5</v>
      </c>
      <c r="D444" s="39" t="s">
        <v>6</v>
      </c>
      <c r="E444" s="39" t="s">
        <v>7</v>
      </c>
      <c r="F444" s="39" t="s">
        <v>8</v>
      </c>
      <c r="G444" s="39" t="s">
        <v>9</v>
      </c>
      <c r="H444" s="40" t="s">
        <v>10</v>
      </c>
      <c r="I444" s="39" t="s">
        <v>12</v>
      </c>
      <c r="J444" s="39" t="s">
        <v>6838</v>
      </c>
      <c r="K444" s="39" t="s">
        <v>6839</v>
      </c>
      <c r="L444" s="39" t="s">
        <v>13</v>
      </c>
      <c r="M444" s="40" t="s">
        <v>11</v>
      </c>
      <c r="N444" s="39" t="s">
        <v>6840</v>
      </c>
      <c r="O444" s="39" t="s">
        <v>6841</v>
      </c>
      <c r="P444" s="40" t="s">
        <v>6836</v>
      </c>
      <c r="Q444" s="39" t="s">
        <v>6842</v>
      </c>
      <c r="R444" s="39" t="s">
        <v>6843</v>
      </c>
      <c r="S444" s="40" t="s">
        <v>6844</v>
      </c>
      <c r="T444" s="39" t="s">
        <v>6845</v>
      </c>
      <c r="U444" s="39" t="s">
        <v>6846</v>
      </c>
      <c r="V444" s="59" t="str">
        <f>+/-</f>
        <v>#ERROR!</v>
      </c>
      <c r="W444" s="59" t="str">
        <f>+/-90</f>
        <v>#ERROR!</v>
      </c>
      <c r="X444" s="39" t="s">
        <v>6847</v>
      </c>
      <c r="Y444" s="40" t="s">
        <v>23</v>
      </c>
    </row>
    <row r="445">
      <c r="A445" s="9">
        <v>426.0</v>
      </c>
      <c r="B445" s="10" t="s">
        <v>8547</v>
      </c>
      <c r="C445" s="11" t="s">
        <v>8548</v>
      </c>
      <c r="D445" s="12" t="s">
        <v>36</v>
      </c>
      <c r="E445" s="13" t="s">
        <v>8549</v>
      </c>
      <c r="F445" s="12">
        <v>27.0</v>
      </c>
      <c r="G445" s="12">
        <v>1997.0</v>
      </c>
      <c r="H445" s="14">
        <v>38.0</v>
      </c>
      <c r="I445" s="16">
        <v>3375.0</v>
      </c>
      <c r="J445" s="15">
        <v>89.0</v>
      </c>
      <c r="K445" s="15">
        <v>98.7</v>
      </c>
      <c r="L445" s="15">
        <v>37.5</v>
      </c>
      <c r="M445" s="17">
        <v>0.99</v>
      </c>
      <c r="N445" s="15">
        <v>90.0</v>
      </c>
      <c r="O445" s="18">
        <v>0.99</v>
      </c>
      <c r="P445" s="17">
        <v>0.03</v>
      </c>
      <c r="Q445" s="15">
        <v>45.0</v>
      </c>
      <c r="R445" s="19">
        <v>0.0</v>
      </c>
      <c r="S445" s="14">
        <v>1.16</v>
      </c>
      <c r="T445" s="18">
        <v>1.23</v>
      </c>
      <c r="U445" s="18">
        <v>1.36</v>
      </c>
      <c r="V445" s="56">
        <v>-0.13</v>
      </c>
      <c r="W445" s="57">
        <v>-0.13</v>
      </c>
      <c r="X445" s="57">
        <v>-4.13</v>
      </c>
      <c r="Y445" s="20" t="s">
        <v>8550</v>
      </c>
    </row>
    <row r="446">
      <c r="A446" s="9">
        <v>427.0</v>
      </c>
      <c r="B446" s="10" t="s">
        <v>8551</v>
      </c>
      <c r="C446" s="11" t="s">
        <v>8552</v>
      </c>
      <c r="D446" s="12" t="s">
        <v>264</v>
      </c>
      <c r="E446" s="13" t="s">
        <v>8553</v>
      </c>
      <c r="F446" s="12">
        <v>19.0</v>
      </c>
      <c r="G446" s="12">
        <v>2006.0</v>
      </c>
      <c r="H446" s="14">
        <v>23.0</v>
      </c>
      <c r="I446" s="16">
        <v>1496.0</v>
      </c>
      <c r="J446" s="15">
        <v>65.0</v>
      </c>
      <c r="K446" s="15">
        <v>43.7</v>
      </c>
      <c r="L446" s="15">
        <v>16.6</v>
      </c>
      <c r="M446" s="17">
        <v>0.9</v>
      </c>
      <c r="N446" s="15">
        <v>88.0</v>
      </c>
      <c r="O446" s="18">
        <v>0.78</v>
      </c>
      <c r="P446" s="17">
        <v>0.48</v>
      </c>
      <c r="Q446" s="15">
        <v>22.0</v>
      </c>
      <c r="R446" s="18">
        <v>0.3</v>
      </c>
      <c r="S446" s="14">
        <v>1.3</v>
      </c>
      <c r="T446" s="18">
        <v>1.51</v>
      </c>
      <c r="U446" s="18">
        <v>1.33</v>
      </c>
      <c r="V446" s="54">
        <v>0.18</v>
      </c>
      <c r="W446" s="55">
        <f>+0.18</f>
        <v>0.18</v>
      </c>
      <c r="X446" s="55">
        <f>+0.41</f>
        <v>0.41</v>
      </c>
      <c r="Y446" s="20" t="s">
        <v>8554</v>
      </c>
    </row>
    <row r="447">
      <c r="A447" s="9">
        <v>428.0</v>
      </c>
      <c r="B447" s="10" t="s">
        <v>8555</v>
      </c>
      <c r="C447" s="11" t="s">
        <v>8556</v>
      </c>
      <c r="D447" s="12" t="s">
        <v>31</v>
      </c>
      <c r="E447" s="13" t="s">
        <v>8557</v>
      </c>
      <c r="F447" s="12">
        <v>39.0</v>
      </c>
      <c r="G447" s="12">
        <v>1986.0</v>
      </c>
      <c r="H447" s="14">
        <v>20.0</v>
      </c>
      <c r="I447" s="15">
        <v>784.0</v>
      </c>
      <c r="J447" s="15">
        <v>39.0</v>
      </c>
      <c r="K447" s="15">
        <v>22.9</v>
      </c>
      <c r="L447" s="15">
        <v>8.7</v>
      </c>
      <c r="M447" s="17">
        <v>0.8</v>
      </c>
      <c r="N447" s="15">
        <v>76.0</v>
      </c>
      <c r="O447" s="18">
        <v>0.11</v>
      </c>
      <c r="P447" s="17">
        <v>1.49</v>
      </c>
      <c r="Q447" s="15">
        <v>19.0</v>
      </c>
      <c r="R447" s="18">
        <v>0.92</v>
      </c>
      <c r="S447" s="14">
        <v>1.4</v>
      </c>
      <c r="T447" s="18">
        <v>1.84</v>
      </c>
      <c r="U447" s="18">
        <v>1.95</v>
      </c>
      <c r="V447" s="56">
        <v>-0.11</v>
      </c>
      <c r="W447" s="57">
        <v>-0.11</v>
      </c>
      <c r="X447" s="57">
        <v>-0.35</v>
      </c>
      <c r="Y447" s="20" t="s">
        <v>8558</v>
      </c>
    </row>
    <row r="448">
      <c r="A448" s="9">
        <v>429.0</v>
      </c>
      <c r="B448" s="10" t="s">
        <v>8559</v>
      </c>
      <c r="C448" s="11" t="s">
        <v>8560</v>
      </c>
      <c r="D448" s="12" t="s">
        <v>36</v>
      </c>
      <c r="E448" s="13" t="s">
        <v>8561</v>
      </c>
      <c r="F448" s="12">
        <v>18.0</v>
      </c>
      <c r="G448" s="12">
        <v>2007.0</v>
      </c>
      <c r="H448" s="14">
        <v>7.0</v>
      </c>
      <c r="I448" s="15">
        <v>368.0</v>
      </c>
      <c r="J448" s="15">
        <v>53.0</v>
      </c>
      <c r="K448" s="15">
        <v>10.8</v>
      </c>
      <c r="L448" s="15">
        <v>4.1</v>
      </c>
      <c r="M448" s="17">
        <v>0.98</v>
      </c>
      <c r="N448" s="15">
        <v>90.0</v>
      </c>
      <c r="O448" s="18">
        <v>0.98</v>
      </c>
      <c r="P448" s="17">
        <v>0.73</v>
      </c>
      <c r="Q448" s="15">
        <v>3.0</v>
      </c>
      <c r="R448" s="18">
        <v>3.66</v>
      </c>
      <c r="S448" s="14">
        <v>1.86</v>
      </c>
      <c r="T448" s="18">
        <v>1.22</v>
      </c>
      <c r="U448" s="18">
        <v>1.46</v>
      </c>
      <c r="V448" s="56">
        <v>-0.24</v>
      </c>
      <c r="W448" s="57">
        <v>-0.24</v>
      </c>
      <c r="X448" s="57">
        <v>-0.39</v>
      </c>
      <c r="Y448" s="20" t="s">
        <v>8562</v>
      </c>
    </row>
    <row r="449">
      <c r="A449" s="9">
        <v>430.0</v>
      </c>
      <c r="B449" s="10" t="s">
        <v>8563</v>
      </c>
      <c r="C449" s="11" t="s">
        <v>8564</v>
      </c>
      <c r="D449" s="12" t="s">
        <v>36</v>
      </c>
      <c r="E449" s="13" t="s">
        <v>8565</v>
      </c>
      <c r="F449" s="12">
        <v>32.0</v>
      </c>
      <c r="G449" s="12">
        <v>1993.0</v>
      </c>
      <c r="H449" s="14">
        <v>17.0</v>
      </c>
      <c r="I449" s="16">
        <v>1324.0</v>
      </c>
      <c r="J449" s="15">
        <v>78.0</v>
      </c>
      <c r="K449" s="15">
        <v>38.7</v>
      </c>
      <c r="L449" s="15">
        <v>14.7</v>
      </c>
      <c r="M449" s="17">
        <v>1.02</v>
      </c>
      <c r="N449" s="15">
        <v>86.0</v>
      </c>
      <c r="O449" s="18">
        <v>0.95</v>
      </c>
      <c r="P449" s="17">
        <v>0.14</v>
      </c>
      <c r="Q449" s="15">
        <v>17.0</v>
      </c>
      <c r="R449" s="18">
        <v>0.41</v>
      </c>
      <c r="S449" s="14">
        <v>1.24</v>
      </c>
      <c r="T449" s="18">
        <v>1.09</v>
      </c>
      <c r="U449" s="18">
        <v>1.56</v>
      </c>
      <c r="V449" s="56">
        <v>-0.48</v>
      </c>
      <c r="W449" s="57">
        <v>-0.48</v>
      </c>
      <c r="X449" s="57">
        <v>-1.08</v>
      </c>
      <c r="Y449" s="20" t="s">
        <v>8566</v>
      </c>
    </row>
    <row r="450">
      <c r="A450" s="9">
        <v>431.0</v>
      </c>
      <c r="B450" s="10" t="s">
        <v>8567</v>
      </c>
      <c r="C450" s="11" t="s">
        <v>8568</v>
      </c>
      <c r="D450" s="12" t="s">
        <v>31</v>
      </c>
      <c r="E450" s="13" t="s">
        <v>8569</v>
      </c>
      <c r="F450" s="12">
        <v>21.0</v>
      </c>
      <c r="G450" s="12">
        <v>2004.0</v>
      </c>
      <c r="H450" s="14">
        <v>34.0</v>
      </c>
      <c r="I450" s="16">
        <v>2391.0</v>
      </c>
      <c r="J450" s="15">
        <v>70.0</v>
      </c>
      <c r="K450" s="15">
        <v>69.9</v>
      </c>
      <c r="L450" s="15">
        <v>26.6</v>
      </c>
      <c r="M450" s="17">
        <v>0.98</v>
      </c>
      <c r="N450" s="15">
        <v>83.0</v>
      </c>
      <c r="O450" s="18">
        <v>0.41</v>
      </c>
      <c r="P450" s="17">
        <v>0.3</v>
      </c>
      <c r="Q450" s="15">
        <v>29.0</v>
      </c>
      <c r="R450" s="18">
        <v>0.08</v>
      </c>
      <c r="S450" s="14">
        <v>1.26</v>
      </c>
      <c r="T450" s="18">
        <v>1.47</v>
      </c>
      <c r="U450" s="18">
        <v>1.24</v>
      </c>
      <c r="V450" s="54">
        <v>0.23</v>
      </c>
      <c r="W450" s="55">
        <f t="shared" ref="W450:X450" si="7">+0.23</f>
        <v>0.23</v>
      </c>
      <c r="X450" s="55">
        <f t="shared" si="7"/>
        <v>0.23</v>
      </c>
      <c r="Y450" s="20" t="s">
        <v>8570</v>
      </c>
    </row>
    <row r="451">
      <c r="A451" s="9">
        <v>432.0</v>
      </c>
      <c r="B451" s="10" t="s">
        <v>8571</v>
      </c>
      <c r="C451" s="11" t="s">
        <v>8572</v>
      </c>
      <c r="D451" s="12" t="s">
        <v>31</v>
      </c>
      <c r="E451" s="13" t="s">
        <v>8573</v>
      </c>
      <c r="F451" s="12">
        <v>25.0</v>
      </c>
      <c r="G451" s="12">
        <v>1999.0</v>
      </c>
      <c r="H451" s="14">
        <v>38.0</v>
      </c>
      <c r="I451" s="16">
        <v>3251.0</v>
      </c>
      <c r="J451" s="15">
        <v>86.0</v>
      </c>
      <c r="K451" s="15">
        <v>95.1</v>
      </c>
      <c r="L451" s="15">
        <v>36.1</v>
      </c>
      <c r="M451" s="17">
        <v>1.0</v>
      </c>
      <c r="N451" s="15">
        <v>88.0</v>
      </c>
      <c r="O451" s="18">
        <v>0.86</v>
      </c>
      <c r="P451" s="17">
        <v>0.06</v>
      </c>
      <c r="Q451" s="15">
        <v>45.0</v>
      </c>
      <c r="R451" s="19">
        <v>0.0</v>
      </c>
      <c r="S451" s="14">
        <v>1.18</v>
      </c>
      <c r="T451" s="18">
        <v>1.05</v>
      </c>
      <c r="U451" s="18">
        <v>1.3</v>
      </c>
      <c r="V451" s="56">
        <v>-0.25</v>
      </c>
      <c r="W451" s="57">
        <v>-0.25</v>
      </c>
      <c r="X451" s="55">
        <f>+0.28</f>
        <v>0.28</v>
      </c>
      <c r="Y451" s="20" t="s">
        <v>8574</v>
      </c>
    </row>
    <row r="452">
      <c r="A452" s="9">
        <v>433.0</v>
      </c>
      <c r="B452" s="10" t="s">
        <v>8575</v>
      </c>
      <c r="C452" s="11" t="s">
        <v>8576</v>
      </c>
      <c r="D452" s="12" t="s">
        <v>26</v>
      </c>
      <c r="E452" s="13" t="s">
        <v>8577</v>
      </c>
      <c r="F452" s="12">
        <v>28.0</v>
      </c>
      <c r="G452" s="12">
        <v>1997.0</v>
      </c>
      <c r="H452" s="14">
        <v>25.0</v>
      </c>
      <c r="I452" s="16">
        <v>1721.0</v>
      </c>
      <c r="J452" s="15">
        <v>69.0</v>
      </c>
      <c r="K452" s="15">
        <v>50.3</v>
      </c>
      <c r="L452" s="15">
        <v>19.1</v>
      </c>
      <c r="M452" s="17">
        <v>0.99</v>
      </c>
      <c r="N452" s="15">
        <v>82.0</v>
      </c>
      <c r="O452" s="18">
        <v>0.52</v>
      </c>
      <c r="P452" s="17">
        <v>0.31</v>
      </c>
      <c r="Q452" s="15">
        <v>28.0</v>
      </c>
      <c r="R452" s="19">
        <v>0.0</v>
      </c>
      <c r="S452" s="14">
        <v>1.4</v>
      </c>
      <c r="T452" s="18">
        <v>1.26</v>
      </c>
      <c r="U452" s="18">
        <v>1.05</v>
      </c>
      <c r="V452" s="54">
        <v>0.21</v>
      </c>
      <c r="W452" s="55">
        <f>+0.21</f>
        <v>0.21</v>
      </c>
      <c r="X452" s="55">
        <f>+0.1</f>
        <v>0.1</v>
      </c>
      <c r="Y452" s="20" t="s">
        <v>8578</v>
      </c>
    </row>
    <row r="453">
      <c r="A453" s="9">
        <v>434.0</v>
      </c>
      <c r="B453" s="10" t="s">
        <v>8579</v>
      </c>
      <c r="C453" s="11" t="s">
        <v>8580</v>
      </c>
      <c r="D453" s="12" t="s">
        <v>98</v>
      </c>
      <c r="E453" s="13" t="s">
        <v>8581</v>
      </c>
      <c r="F453" s="12">
        <v>35.0</v>
      </c>
      <c r="G453" s="12">
        <v>1990.0</v>
      </c>
      <c r="H453" s="23">
        <v>0.0</v>
      </c>
      <c r="I453" s="36"/>
      <c r="J453" s="36"/>
      <c r="K453" s="36"/>
      <c r="L453" s="36"/>
      <c r="M453" s="23">
        <v>0.0</v>
      </c>
      <c r="N453" s="36"/>
      <c r="O453" s="21">
        <v>0.0</v>
      </c>
      <c r="P453" s="23">
        <v>0.0</v>
      </c>
      <c r="Q453" s="36"/>
      <c r="R453" s="15">
        <v>4.0</v>
      </c>
      <c r="S453" s="58"/>
      <c r="T453" s="36"/>
      <c r="U453" s="36"/>
      <c r="V453" s="36"/>
      <c r="W453" s="36"/>
      <c r="X453" s="36"/>
      <c r="Y453" s="20" t="s">
        <v>8582</v>
      </c>
    </row>
    <row r="454">
      <c r="A454" s="9">
        <v>435.0</v>
      </c>
      <c r="B454" s="10" t="s">
        <v>8583</v>
      </c>
      <c r="C454" s="11" t="s">
        <v>8584</v>
      </c>
      <c r="D454" s="12" t="s">
        <v>31</v>
      </c>
      <c r="E454" s="13" t="s">
        <v>8585</v>
      </c>
      <c r="F454" s="12">
        <v>19.0</v>
      </c>
      <c r="G454" s="12">
        <v>2005.0</v>
      </c>
      <c r="H454" s="23">
        <v>0.0</v>
      </c>
      <c r="I454" s="36"/>
      <c r="J454" s="36"/>
      <c r="K454" s="36"/>
      <c r="L454" s="36"/>
      <c r="M454" s="23">
        <v>0.0</v>
      </c>
      <c r="N454" s="36"/>
      <c r="O454" s="21">
        <v>0.0</v>
      </c>
      <c r="P454" s="23">
        <v>0.0</v>
      </c>
      <c r="Q454" s="36"/>
      <c r="R454" s="15">
        <v>2.0</v>
      </c>
      <c r="S454" s="58"/>
      <c r="T454" s="36"/>
      <c r="U454" s="36"/>
      <c r="V454" s="36"/>
      <c r="W454" s="36"/>
      <c r="X454" s="36"/>
      <c r="Y454" s="20" t="s">
        <v>8586</v>
      </c>
    </row>
    <row r="455">
      <c r="A455" s="9">
        <v>436.0</v>
      </c>
      <c r="B455" s="10" t="s">
        <v>8587</v>
      </c>
      <c r="C455" s="11" t="s">
        <v>8588</v>
      </c>
      <c r="D455" s="12" t="s">
        <v>36</v>
      </c>
      <c r="E455" s="13" t="s">
        <v>8589</v>
      </c>
      <c r="F455" s="12">
        <v>24.0</v>
      </c>
      <c r="G455" s="12">
        <v>2001.0</v>
      </c>
      <c r="H455" s="14">
        <v>21.0</v>
      </c>
      <c r="I455" s="16">
        <v>1345.0</v>
      </c>
      <c r="J455" s="15">
        <v>64.0</v>
      </c>
      <c r="K455" s="15">
        <v>39.3</v>
      </c>
      <c r="L455" s="15">
        <v>14.9</v>
      </c>
      <c r="M455" s="17">
        <v>0.94</v>
      </c>
      <c r="N455" s="15">
        <v>89.0</v>
      </c>
      <c r="O455" s="18">
        <v>0.87</v>
      </c>
      <c r="P455" s="17">
        <v>0.47</v>
      </c>
      <c r="Q455" s="15">
        <v>14.0</v>
      </c>
      <c r="R455" s="18">
        <v>1.07</v>
      </c>
      <c r="S455" s="14">
        <v>1.29</v>
      </c>
      <c r="T455" s="18">
        <v>0.87</v>
      </c>
      <c r="U455" s="18">
        <v>1.54</v>
      </c>
      <c r="V455" s="56">
        <v>-0.67</v>
      </c>
      <c r="W455" s="57">
        <v>-0.67</v>
      </c>
      <c r="X455" s="57">
        <v>-0.97</v>
      </c>
      <c r="Y455" s="20" t="s">
        <v>8590</v>
      </c>
    </row>
    <row r="456">
      <c r="A456" s="9">
        <v>437.0</v>
      </c>
      <c r="B456" s="10" t="s">
        <v>8591</v>
      </c>
      <c r="C456" s="11" t="s">
        <v>8592</v>
      </c>
      <c r="D456" s="12" t="s">
        <v>31</v>
      </c>
      <c r="E456" s="13" t="s">
        <v>8593</v>
      </c>
      <c r="F456" s="12">
        <v>18.0</v>
      </c>
      <c r="G456" s="12">
        <v>2006.0</v>
      </c>
      <c r="H456" s="23">
        <v>0.0</v>
      </c>
      <c r="I456" s="36"/>
      <c r="J456" s="36"/>
      <c r="K456" s="36"/>
      <c r="L456" s="36"/>
      <c r="M456" s="23">
        <v>0.0</v>
      </c>
      <c r="N456" s="36"/>
      <c r="O456" s="21">
        <v>0.0</v>
      </c>
      <c r="P456" s="23">
        <v>0.0</v>
      </c>
      <c r="Q456" s="36"/>
      <c r="R456" s="15">
        <v>7.0</v>
      </c>
      <c r="S456" s="58"/>
      <c r="T456" s="36"/>
      <c r="U456" s="36"/>
      <c r="V456" s="36"/>
      <c r="W456" s="36"/>
      <c r="X456" s="36"/>
      <c r="Y456" s="20" t="s">
        <v>8594</v>
      </c>
    </row>
    <row r="457">
      <c r="A457" s="9">
        <v>438.0</v>
      </c>
      <c r="B457" s="10" t="s">
        <v>8595</v>
      </c>
      <c r="C457" s="11" t="s">
        <v>8596</v>
      </c>
      <c r="D457" s="12" t="s">
        <v>36</v>
      </c>
      <c r="E457" s="13" t="s">
        <v>8597</v>
      </c>
      <c r="F457" s="12">
        <v>21.0</v>
      </c>
      <c r="G457" s="12">
        <v>2004.0</v>
      </c>
      <c r="H457" s="14">
        <v>20.0</v>
      </c>
      <c r="I457" s="15">
        <v>994.0</v>
      </c>
      <c r="J457" s="15">
        <v>50.0</v>
      </c>
      <c r="K457" s="15">
        <v>29.1</v>
      </c>
      <c r="L457" s="15">
        <v>11.0</v>
      </c>
      <c r="M457" s="17">
        <v>0.82</v>
      </c>
      <c r="N457" s="15">
        <v>75.0</v>
      </c>
      <c r="O457" s="18">
        <v>0.45</v>
      </c>
      <c r="P457" s="17">
        <v>1.0</v>
      </c>
      <c r="Q457" s="15">
        <v>29.0</v>
      </c>
      <c r="R457" s="18">
        <v>1.0</v>
      </c>
      <c r="S457" s="14">
        <v>2.15</v>
      </c>
      <c r="T457" s="18">
        <v>1.55</v>
      </c>
      <c r="U457" s="18">
        <v>0.73</v>
      </c>
      <c r="V457" s="54">
        <v>0.82</v>
      </c>
      <c r="W457" s="55">
        <f>+0.81</f>
        <v>0.81</v>
      </c>
      <c r="X457" s="57">
        <v>-0.48</v>
      </c>
      <c r="Y457" s="20" t="s">
        <v>8598</v>
      </c>
    </row>
    <row r="458">
      <c r="A458" s="9">
        <v>439.0</v>
      </c>
      <c r="B458" s="10" t="s">
        <v>8599</v>
      </c>
      <c r="C458" s="11" t="s">
        <v>8600</v>
      </c>
      <c r="D458" s="12" t="s">
        <v>36</v>
      </c>
      <c r="E458" s="13" t="s">
        <v>8601</v>
      </c>
      <c r="F458" s="12">
        <v>24.0</v>
      </c>
      <c r="G458" s="12">
        <v>2001.0</v>
      </c>
      <c r="H458" s="14">
        <v>27.0</v>
      </c>
      <c r="I458" s="16">
        <v>2136.0</v>
      </c>
      <c r="J458" s="15">
        <v>79.0</v>
      </c>
      <c r="K458" s="15">
        <v>62.5</v>
      </c>
      <c r="L458" s="15">
        <v>23.7</v>
      </c>
      <c r="M458" s="17">
        <v>1.01</v>
      </c>
      <c r="N458" s="15">
        <v>86.0</v>
      </c>
      <c r="O458" s="18">
        <v>0.72</v>
      </c>
      <c r="P458" s="17">
        <v>0.13</v>
      </c>
      <c r="Q458" s="15">
        <v>26.0</v>
      </c>
      <c r="R458" s="18">
        <v>0.25</v>
      </c>
      <c r="S458" s="14">
        <v>0.7</v>
      </c>
      <c r="T458" s="18">
        <v>0.89</v>
      </c>
      <c r="U458" s="18">
        <v>1.69</v>
      </c>
      <c r="V458" s="56">
        <v>-0.8</v>
      </c>
      <c r="W458" s="57">
        <v>-0.8</v>
      </c>
      <c r="X458" s="55">
        <f>+0.74</f>
        <v>0.74</v>
      </c>
      <c r="Y458" s="20" t="s">
        <v>8602</v>
      </c>
    </row>
    <row r="459">
      <c r="A459" s="9">
        <v>440.0</v>
      </c>
      <c r="B459" s="10" t="s">
        <v>8603</v>
      </c>
      <c r="C459" s="11" t="s">
        <v>8604</v>
      </c>
      <c r="D459" s="12" t="s">
        <v>31</v>
      </c>
      <c r="E459" s="13" t="s">
        <v>8605</v>
      </c>
      <c r="F459" s="12">
        <v>26.0</v>
      </c>
      <c r="G459" s="12">
        <v>1999.0</v>
      </c>
      <c r="H459" s="14">
        <v>23.0</v>
      </c>
      <c r="I459" s="16">
        <v>1017.0</v>
      </c>
      <c r="J459" s="15">
        <v>44.0</v>
      </c>
      <c r="K459" s="15">
        <v>29.7</v>
      </c>
      <c r="L459" s="15">
        <v>11.3</v>
      </c>
      <c r="M459" s="17">
        <v>1.06</v>
      </c>
      <c r="N459" s="15">
        <v>70.0</v>
      </c>
      <c r="O459" s="18">
        <v>0.27</v>
      </c>
      <c r="P459" s="17">
        <v>0.97</v>
      </c>
      <c r="Q459" s="15">
        <v>16.0</v>
      </c>
      <c r="R459" s="18">
        <v>0.53</v>
      </c>
      <c r="S459" s="14">
        <v>1.87</v>
      </c>
      <c r="T459" s="18">
        <v>1.68</v>
      </c>
      <c r="U459" s="18">
        <v>1.33</v>
      </c>
      <c r="V459" s="54">
        <v>0.35</v>
      </c>
      <c r="W459" s="55">
        <f>+0.35</f>
        <v>0.35</v>
      </c>
      <c r="X459" s="57">
        <v>-0.21</v>
      </c>
      <c r="Y459" s="20" t="s">
        <v>8606</v>
      </c>
    </row>
    <row r="460">
      <c r="A460" s="9">
        <v>441.0</v>
      </c>
      <c r="B460" s="10" t="s">
        <v>8607</v>
      </c>
      <c r="C460" s="11" t="s">
        <v>8608</v>
      </c>
      <c r="D460" s="12" t="s">
        <v>31</v>
      </c>
      <c r="E460" s="13" t="s">
        <v>8609</v>
      </c>
      <c r="F460" s="12">
        <v>17.0</v>
      </c>
      <c r="G460" s="12">
        <v>2007.0</v>
      </c>
      <c r="H460" s="14">
        <v>2.0</v>
      </c>
      <c r="I460" s="15">
        <v>27.0</v>
      </c>
      <c r="J460" s="15">
        <v>14.0</v>
      </c>
      <c r="K460" s="15">
        <v>0.8</v>
      </c>
      <c r="L460" s="15">
        <v>0.3</v>
      </c>
      <c r="M460" s="22">
        <v>0.0</v>
      </c>
      <c r="N460" s="36"/>
      <c r="O460" s="19">
        <v>0.0</v>
      </c>
      <c r="P460" s="17">
        <v>6.67</v>
      </c>
      <c r="Q460" s="15">
        <v>14.0</v>
      </c>
      <c r="R460" s="18">
        <v>30.0</v>
      </c>
      <c r="S460" s="14">
        <v>1.5</v>
      </c>
      <c r="T460" s="19">
        <v>0.0</v>
      </c>
      <c r="U460" s="19">
        <v>0.0</v>
      </c>
      <c r="V460" s="19">
        <v>0.0</v>
      </c>
      <c r="W460" s="21">
        <v>0.0</v>
      </c>
      <c r="X460" s="57">
        <v>-1.11</v>
      </c>
      <c r="Y460" s="20" t="s">
        <v>8610</v>
      </c>
    </row>
    <row r="461">
      <c r="A461" s="9">
        <v>442.0</v>
      </c>
      <c r="B461" s="10" t="s">
        <v>8611</v>
      </c>
      <c r="C461" s="11" t="s">
        <v>8612</v>
      </c>
      <c r="D461" s="12" t="s">
        <v>36</v>
      </c>
      <c r="E461" s="13" t="s">
        <v>8613</v>
      </c>
      <c r="F461" s="12">
        <v>27.0</v>
      </c>
      <c r="G461" s="12">
        <v>1997.0</v>
      </c>
      <c r="H461" s="14">
        <v>32.0</v>
      </c>
      <c r="I461" s="16">
        <v>2784.0</v>
      </c>
      <c r="J461" s="15">
        <v>87.0</v>
      </c>
      <c r="K461" s="15">
        <v>81.4</v>
      </c>
      <c r="L461" s="15">
        <v>30.9</v>
      </c>
      <c r="M461" s="17">
        <v>1.04</v>
      </c>
      <c r="N461" s="15">
        <v>87.0</v>
      </c>
      <c r="O461" s="18">
        <v>0.94</v>
      </c>
      <c r="P461" s="22">
        <v>0.0</v>
      </c>
      <c r="Q461" s="36"/>
      <c r="R461" s="18">
        <v>0.03</v>
      </c>
      <c r="S461" s="14">
        <v>1.38</v>
      </c>
      <c r="T461" s="18">
        <v>1.1</v>
      </c>
      <c r="U461" s="18">
        <v>1.29</v>
      </c>
      <c r="V461" s="56">
        <v>-0.19</v>
      </c>
      <c r="W461" s="57">
        <v>-0.19</v>
      </c>
      <c r="X461" s="57">
        <v>-0.19</v>
      </c>
      <c r="Y461" s="20" t="s">
        <v>8614</v>
      </c>
    </row>
    <row r="462">
      <c r="A462" s="9">
        <v>443.0</v>
      </c>
      <c r="B462" s="10" t="s">
        <v>8615</v>
      </c>
      <c r="C462" s="11" t="s">
        <v>8616</v>
      </c>
      <c r="D462" s="12" t="s">
        <v>31</v>
      </c>
      <c r="E462" s="13" t="s">
        <v>8617</v>
      </c>
      <c r="F462" s="12">
        <v>22.0</v>
      </c>
      <c r="G462" s="12">
        <v>2003.0</v>
      </c>
      <c r="H462" s="14">
        <v>14.0</v>
      </c>
      <c r="I462" s="15">
        <v>411.0</v>
      </c>
      <c r="J462" s="15">
        <v>29.0</v>
      </c>
      <c r="K462" s="15">
        <v>12.0</v>
      </c>
      <c r="L462" s="15">
        <v>4.6</v>
      </c>
      <c r="M462" s="17">
        <v>0.43</v>
      </c>
      <c r="N462" s="15">
        <v>66.0</v>
      </c>
      <c r="O462" s="19">
        <v>0.0</v>
      </c>
      <c r="P462" s="17">
        <v>2.61</v>
      </c>
      <c r="Q462" s="15">
        <v>23.0</v>
      </c>
      <c r="R462" s="18">
        <v>0.22</v>
      </c>
      <c r="S462" s="14">
        <v>1.14</v>
      </c>
      <c r="T462" s="18">
        <v>1.09</v>
      </c>
      <c r="U462" s="18">
        <v>2.39</v>
      </c>
      <c r="V462" s="56">
        <v>-1.3</v>
      </c>
      <c r="W462" s="57">
        <v>-1.31</v>
      </c>
      <c r="X462" s="57">
        <v>-1.31</v>
      </c>
      <c r="Y462" s="20" t="s">
        <v>8618</v>
      </c>
    </row>
    <row r="463">
      <c r="A463" s="9">
        <v>444.0</v>
      </c>
      <c r="B463" s="10" t="s">
        <v>8619</v>
      </c>
      <c r="C463" s="11" t="s">
        <v>8620</v>
      </c>
      <c r="D463" s="12" t="s">
        <v>26</v>
      </c>
      <c r="E463" s="13" t="s">
        <v>8621</v>
      </c>
      <c r="F463" s="12">
        <v>29.0</v>
      </c>
      <c r="G463" s="12">
        <v>1996.0</v>
      </c>
      <c r="H463" s="14">
        <v>13.0</v>
      </c>
      <c r="I463" s="15">
        <v>875.0</v>
      </c>
      <c r="J463" s="15">
        <v>67.0</v>
      </c>
      <c r="K463" s="15">
        <v>25.6</v>
      </c>
      <c r="L463" s="15">
        <v>9.7</v>
      </c>
      <c r="M463" s="17">
        <v>0.93</v>
      </c>
      <c r="N463" s="15">
        <v>86.0</v>
      </c>
      <c r="O463" s="18">
        <v>0.62</v>
      </c>
      <c r="P463" s="17">
        <v>0.41</v>
      </c>
      <c r="Q463" s="15">
        <v>24.0</v>
      </c>
      <c r="R463" s="18">
        <v>0.1</v>
      </c>
      <c r="S463" s="14">
        <v>0.15</v>
      </c>
      <c r="T463" s="18">
        <v>0.62</v>
      </c>
      <c r="U463" s="18">
        <v>1.96</v>
      </c>
      <c r="V463" s="56">
        <v>-1.34</v>
      </c>
      <c r="W463" s="57">
        <v>-1.34</v>
      </c>
      <c r="X463" s="57">
        <v>-0.35</v>
      </c>
      <c r="Y463" s="20" t="s">
        <v>8622</v>
      </c>
    </row>
    <row r="464">
      <c r="A464" s="9">
        <v>445.0</v>
      </c>
      <c r="B464" s="10" t="s">
        <v>8623</v>
      </c>
      <c r="C464" s="11" t="s">
        <v>8624</v>
      </c>
      <c r="D464" s="12" t="s">
        <v>41</v>
      </c>
      <c r="E464" s="13" t="s">
        <v>8625</v>
      </c>
      <c r="F464" s="12">
        <v>24.0</v>
      </c>
      <c r="G464" s="12">
        <v>2001.0</v>
      </c>
      <c r="H464" s="14">
        <v>21.0</v>
      </c>
      <c r="I464" s="16">
        <v>1000.0</v>
      </c>
      <c r="J464" s="15">
        <v>48.0</v>
      </c>
      <c r="K464" s="15">
        <v>29.2</v>
      </c>
      <c r="L464" s="15">
        <v>11.1</v>
      </c>
      <c r="M464" s="17">
        <v>0.9</v>
      </c>
      <c r="N464" s="15">
        <v>74.0</v>
      </c>
      <c r="O464" s="18">
        <v>0.09</v>
      </c>
      <c r="P464" s="17">
        <v>0.99</v>
      </c>
      <c r="Q464" s="15">
        <v>23.0</v>
      </c>
      <c r="R464" s="19">
        <v>0.0</v>
      </c>
      <c r="S464" s="14">
        <v>1.38</v>
      </c>
      <c r="T464" s="18">
        <v>0.9</v>
      </c>
      <c r="U464" s="18">
        <v>1.08</v>
      </c>
      <c r="V464" s="56">
        <v>-0.18</v>
      </c>
      <c r="W464" s="57">
        <v>-0.18</v>
      </c>
      <c r="X464" s="57">
        <v>-0.11</v>
      </c>
      <c r="Y464" s="20" t="s">
        <v>8626</v>
      </c>
    </row>
    <row r="465">
      <c r="A465" s="9">
        <v>446.0</v>
      </c>
      <c r="B465" s="10" t="s">
        <v>8627</v>
      </c>
      <c r="C465" s="11" t="s">
        <v>8628</v>
      </c>
      <c r="D465" s="12" t="s">
        <v>31</v>
      </c>
      <c r="E465" s="13" t="s">
        <v>8629</v>
      </c>
      <c r="F465" s="12">
        <v>29.0</v>
      </c>
      <c r="G465" s="12">
        <v>1996.0</v>
      </c>
      <c r="H465" s="14">
        <v>29.0</v>
      </c>
      <c r="I465" s="16">
        <v>2399.0</v>
      </c>
      <c r="J465" s="15">
        <v>83.0</v>
      </c>
      <c r="K465" s="15">
        <v>70.1</v>
      </c>
      <c r="L465" s="15">
        <v>26.7</v>
      </c>
      <c r="M465" s="17">
        <v>1.09</v>
      </c>
      <c r="N465" s="15">
        <v>83.0</v>
      </c>
      <c r="O465" s="18">
        <v>0.82</v>
      </c>
      <c r="P465" s="22">
        <v>0.0</v>
      </c>
      <c r="Q465" s="36"/>
      <c r="R465" s="19">
        <v>0.0</v>
      </c>
      <c r="S465" s="14">
        <v>1.34</v>
      </c>
      <c r="T465" s="18">
        <v>1.16</v>
      </c>
      <c r="U465" s="18">
        <v>1.24</v>
      </c>
      <c r="V465" s="56">
        <v>-0.07</v>
      </c>
      <c r="W465" s="57">
        <v>-0.08</v>
      </c>
      <c r="X465" s="55">
        <f>+0.63</f>
        <v>0.63</v>
      </c>
      <c r="Y465" s="20" t="s">
        <v>8630</v>
      </c>
    </row>
    <row r="466">
      <c r="A466" s="9">
        <v>447.0</v>
      </c>
      <c r="B466" s="10" t="s">
        <v>8631</v>
      </c>
      <c r="C466" s="11" t="s">
        <v>8632</v>
      </c>
      <c r="D466" s="12" t="s">
        <v>36</v>
      </c>
      <c r="E466" s="13" t="s">
        <v>8633</v>
      </c>
      <c r="F466" s="12">
        <v>23.0</v>
      </c>
      <c r="G466" s="12">
        <v>2002.0</v>
      </c>
      <c r="H466" s="14">
        <v>25.0</v>
      </c>
      <c r="I466" s="16">
        <v>2130.0</v>
      </c>
      <c r="J466" s="15">
        <v>85.0</v>
      </c>
      <c r="K466" s="15">
        <v>62.3</v>
      </c>
      <c r="L466" s="15">
        <v>23.7</v>
      </c>
      <c r="M466" s="17">
        <v>1.05</v>
      </c>
      <c r="N466" s="15">
        <v>85.0</v>
      </c>
      <c r="O466" s="18">
        <v>0.93</v>
      </c>
      <c r="P466" s="22">
        <v>0.0</v>
      </c>
      <c r="Q466" s="36"/>
      <c r="R466" s="18">
        <v>0.04</v>
      </c>
      <c r="S466" s="14">
        <v>1.24</v>
      </c>
      <c r="T466" s="18">
        <v>1.22</v>
      </c>
      <c r="U466" s="18">
        <v>1.22</v>
      </c>
      <c r="V466" s="19">
        <v>0.0</v>
      </c>
      <c r="W466" s="21">
        <v>0.0</v>
      </c>
      <c r="X466" s="55">
        <f>+0.21</f>
        <v>0.21</v>
      </c>
      <c r="Y466" s="20" t="s">
        <v>8634</v>
      </c>
    </row>
    <row r="467">
      <c r="A467" s="9">
        <v>448.0</v>
      </c>
      <c r="B467" s="10" t="s">
        <v>8635</v>
      </c>
      <c r="C467" s="11" t="s">
        <v>8636</v>
      </c>
      <c r="D467" s="12" t="s">
        <v>36</v>
      </c>
      <c r="E467" s="13" t="s">
        <v>8637</v>
      </c>
      <c r="F467" s="12">
        <v>21.0</v>
      </c>
      <c r="G467" s="12">
        <v>2004.0</v>
      </c>
      <c r="H467" s="14">
        <v>2.0</v>
      </c>
      <c r="I467" s="15">
        <v>9.0</v>
      </c>
      <c r="J467" s="15">
        <v>5.0</v>
      </c>
      <c r="K467" s="15">
        <v>0.3</v>
      </c>
      <c r="L467" s="15">
        <v>0.1</v>
      </c>
      <c r="M467" s="22">
        <v>0.0</v>
      </c>
      <c r="N467" s="36"/>
      <c r="O467" s="19">
        <v>0.0</v>
      </c>
      <c r="P467" s="17">
        <v>20.0</v>
      </c>
      <c r="Q467" s="15">
        <v>5.0</v>
      </c>
      <c r="R467" s="18">
        <v>230.0</v>
      </c>
      <c r="S467" s="23">
        <v>0.0</v>
      </c>
      <c r="T467" s="19">
        <v>0.0</v>
      </c>
      <c r="U467" s="18">
        <v>10.0</v>
      </c>
      <c r="V467" s="56">
        <v>-10.0</v>
      </c>
      <c r="W467" s="57">
        <v>-10.0</v>
      </c>
      <c r="X467" s="57">
        <v>-9.97</v>
      </c>
      <c r="Y467" s="20" t="s">
        <v>8638</v>
      </c>
    </row>
    <row r="468">
      <c r="A468" s="9">
        <v>449.0</v>
      </c>
      <c r="B468" s="10" t="s">
        <v>8639</v>
      </c>
      <c r="C468" s="11" t="s">
        <v>8640</v>
      </c>
      <c r="D468" s="12" t="s">
        <v>107</v>
      </c>
      <c r="E468" s="13" t="s">
        <v>8641</v>
      </c>
      <c r="F468" s="12">
        <v>30.0</v>
      </c>
      <c r="G468" s="12">
        <v>1995.0</v>
      </c>
      <c r="H468" s="14">
        <v>33.0</v>
      </c>
      <c r="I468" s="16">
        <v>1617.0</v>
      </c>
      <c r="J468" s="15">
        <v>49.0</v>
      </c>
      <c r="K468" s="15">
        <v>47.3</v>
      </c>
      <c r="L468" s="15">
        <v>18.0</v>
      </c>
      <c r="M468" s="17">
        <v>1.06</v>
      </c>
      <c r="N468" s="15">
        <v>69.0</v>
      </c>
      <c r="O468" s="18">
        <v>0.06</v>
      </c>
      <c r="P468" s="17">
        <v>0.78</v>
      </c>
      <c r="Q468" s="15">
        <v>21.0</v>
      </c>
      <c r="R468" s="18">
        <v>0.17</v>
      </c>
      <c r="S468" s="14">
        <v>1.27</v>
      </c>
      <c r="T468" s="18">
        <v>1.33</v>
      </c>
      <c r="U468" s="18">
        <v>1.06</v>
      </c>
      <c r="V468" s="54">
        <v>0.28</v>
      </c>
      <c r="W468" s="55">
        <f>+0.28</f>
        <v>0.28</v>
      </c>
      <c r="X468" s="55">
        <f>+0.63</f>
        <v>0.63</v>
      </c>
      <c r="Y468" s="20" t="s">
        <v>8642</v>
      </c>
    </row>
    <row r="469">
      <c r="A469" s="9">
        <v>450.0</v>
      </c>
      <c r="B469" s="10" t="s">
        <v>8643</v>
      </c>
      <c r="C469" s="11" t="s">
        <v>8644</v>
      </c>
      <c r="D469" s="12" t="s">
        <v>36</v>
      </c>
      <c r="E469" s="13" t="s">
        <v>8645</v>
      </c>
      <c r="F469" s="12">
        <v>26.0</v>
      </c>
      <c r="G469" s="12">
        <v>1999.0</v>
      </c>
      <c r="H469" s="14">
        <v>33.0</v>
      </c>
      <c r="I469" s="16">
        <v>2958.0</v>
      </c>
      <c r="J469" s="15">
        <v>90.0</v>
      </c>
      <c r="K469" s="15">
        <v>86.5</v>
      </c>
      <c r="L469" s="15">
        <v>32.9</v>
      </c>
      <c r="M469" s="17">
        <v>1.0</v>
      </c>
      <c r="N469" s="15">
        <v>90.0</v>
      </c>
      <c r="O469" s="18">
        <v>0.91</v>
      </c>
      <c r="P469" s="22">
        <v>0.0</v>
      </c>
      <c r="Q469" s="36"/>
      <c r="R469" s="18">
        <v>0.03</v>
      </c>
      <c r="S469" s="14">
        <v>1.33</v>
      </c>
      <c r="T469" s="18">
        <v>1.34</v>
      </c>
      <c r="U469" s="18">
        <v>1.43</v>
      </c>
      <c r="V469" s="56">
        <v>-0.09</v>
      </c>
      <c r="W469" s="57">
        <v>-0.09</v>
      </c>
      <c r="X469" s="57">
        <v>-0.09</v>
      </c>
      <c r="Y469" s="20" t="s">
        <v>8646</v>
      </c>
    </row>
    <row r="470">
      <c r="A470" s="37" t="s">
        <v>3</v>
      </c>
      <c r="B470" s="38" t="s">
        <v>4</v>
      </c>
      <c r="C470" s="39" t="s">
        <v>5</v>
      </c>
      <c r="D470" s="39" t="s">
        <v>6</v>
      </c>
      <c r="E470" s="39" t="s">
        <v>7</v>
      </c>
      <c r="F470" s="39" t="s">
        <v>8</v>
      </c>
      <c r="G470" s="39" t="s">
        <v>9</v>
      </c>
      <c r="H470" s="40" t="s">
        <v>10</v>
      </c>
      <c r="I470" s="39" t="s">
        <v>12</v>
      </c>
      <c r="J470" s="39" t="s">
        <v>6838</v>
      </c>
      <c r="K470" s="39" t="s">
        <v>6839</v>
      </c>
      <c r="L470" s="39" t="s">
        <v>13</v>
      </c>
      <c r="M470" s="40" t="s">
        <v>11</v>
      </c>
      <c r="N470" s="39" t="s">
        <v>6840</v>
      </c>
      <c r="O470" s="39" t="s">
        <v>6841</v>
      </c>
      <c r="P470" s="40" t="s">
        <v>6836</v>
      </c>
      <c r="Q470" s="39" t="s">
        <v>6842</v>
      </c>
      <c r="R470" s="39" t="s">
        <v>6843</v>
      </c>
      <c r="S470" s="40" t="s">
        <v>6844</v>
      </c>
      <c r="T470" s="39" t="s">
        <v>6845</v>
      </c>
      <c r="U470" s="39" t="s">
        <v>6846</v>
      </c>
      <c r="V470" s="59" t="str">
        <f>+/-</f>
        <v>#ERROR!</v>
      </c>
      <c r="W470" s="59" t="str">
        <f>+/-90</f>
        <v>#ERROR!</v>
      </c>
      <c r="X470" s="39" t="s">
        <v>6847</v>
      </c>
      <c r="Y470" s="40" t="s">
        <v>23</v>
      </c>
    </row>
    <row r="471">
      <c r="A471" s="9">
        <v>451.0</v>
      </c>
      <c r="B471" s="10" t="s">
        <v>8647</v>
      </c>
      <c r="C471" s="11" t="s">
        <v>8648</v>
      </c>
      <c r="D471" s="12" t="s">
        <v>264</v>
      </c>
      <c r="E471" s="13" t="s">
        <v>8649</v>
      </c>
      <c r="F471" s="12">
        <v>23.0</v>
      </c>
      <c r="G471" s="12">
        <v>2002.0</v>
      </c>
      <c r="H471" s="14">
        <v>22.0</v>
      </c>
      <c r="I471" s="16">
        <v>1049.0</v>
      </c>
      <c r="J471" s="15">
        <v>48.0</v>
      </c>
      <c r="K471" s="15">
        <v>30.7</v>
      </c>
      <c r="L471" s="15">
        <v>11.7</v>
      </c>
      <c r="M471" s="17">
        <v>0.94</v>
      </c>
      <c r="N471" s="15">
        <v>79.0</v>
      </c>
      <c r="O471" s="18">
        <v>0.34</v>
      </c>
      <c r="P471" s="17">
        <v>0.94</v>
      </c>
      <c r="Q471" s="15">
        <v>16.0</v>
      </c>
      <c r="R471" s="18">
        <v>1.28</v>
      </c>
      <c r="S471" s="14">
        <v>0.5</v>
      </c>
      <c r="T471" s="18">
        <v>0.51</v>
      </c>
      <c r="U471" s="18">
        <v>1.97</v>
      </c>
      <c r="V471" s="56">
        <v>-1.45</v>
      </c>
      <c r="W471" s="57">
        <v>-1.46</v>
      </c>
      <c r="X471" s="57">
        <v>-0.55</v>
      </c>
      <c r="Y471" s="20" t="s">
        <v>8650</v>
      </c>
    </row>
    <row r="472">
      <c r="A472" s="9">
        <v>452.0</v>
      </c>
      <c r="B472" s="10" t="s">
        <v>8651</v>
      </c>
      <c r="C472" s="11" t="s">
        <v>8652</v>
      </c>
      <c r="D472" s="12" t="s">
        <v>36</v>
      </c>
      <c r="E472" s="13" t="s">
        <v>8653</v>
      </c>
      <c r="F472" s="12">
        <v>18.0</v>
      </c>
      <c r="G472" s="12">
        <v>2006.0</v>
      </c>
      <c r="H472" s="23">
        <v>0.0</v>
      </c>
      <c r="I472" s="36"/>
      <c r="J472" s="36"/>
      <c r="K472" s="36"/>
      <c r="L472" s="36"/>
      <c r="M472" s="23">
        <v>0.0</v>
      </c>
      <c r="N472" s="36"/>
      <c r="O472" s="21">
        <v>0.0</v>
      </c>
      <c r="P472" s="23">
        <v>0.0</v>
      </c>
      <c r="Q472" s="36"/>
      <c r="R472" s="15">
        <v>1.0</v>
      </c>
      <c r="S472" s="58"/>
      <c r="T472" s="36"/>
      <c r="U472" s="36"/>
      <c r="V472" s="36"/>
      <c r="W472" s="36"/>
      <c r="X472" s="36"/>
      <c r="Y472" s="20" t="s">
        <v>8654</v>
      </c>
    </row>
    <row r="473">
      <c r="A473" s="9">
        <v>453.0</v>
      </c>
      <c r="B473" s="10" t="s">
        <v>8655</v>
      </c>
      <c r="C473" s="11" t="s">
        <v>8656</v>
      </c>
      <c r="D473" s="12" t="s">
        <v>36</v>
      </c>
      <c r="E473" s="13" t="s">
        <v>8657</v>
      </c>
      <c r="F473" s="12">
        <v>17.0</v>
      </c>
      <c r="G473" s="12">
        <v>2008.0</v>
      </c>
      <c r="H473" s="23">
        <v>0.0</v>
      </c>
      <c r="I473" s="36"/>
      <c r="J473" s="36"/>
      <c r="K473" s="36"/>
      <c r="L473" s="36"/>
      <c r="M473" s="23">
        <v>0.0</v>
      </c>
      <c r="N473" s="36"/>
      <c r="O473" s="21">
        <v>0.0</v>
      </c>
      <c r="P473" s="23">
        <v>0.0</v>
      </c>
      <c r="Q473" s="36"/>
      <c r="R473" s="15">
        <v>3.0</v>
      </c>
      <c r="S473" s="58"/>
      <c r="T473" s="36"/>
      <c r="U473" s="36"/>
      <c r="V473" s="36"/>
      <c r="W473" s="36"/>
      <c r="X473" s="36"/>
      <c r="Y473" s="20" t="s">
        <v>8658</v>
      </c>
    </row>
    <row r="474">
      <c r="A474" s="9">
        <v>454.0</v>
      </c>
      <c r="B474" s="10" t="s">
        <v>8659</v>
      </c>
      <c r="C474" s="11" t="s">
        <v>8660</v>
      </c>
      <c r="D474" s="12" t="s">
        <v>31</v>
      </c>
      <c r="E474" s="13" t="s">
        <v>8661</v>
      </c>
      <c r="F474" s="12">
        <v>25.0</v>
      </c>
      <c r="G474" s="12">
        <v>2000.0</v>
      </c>
      <c r="H474" s="14">
        <v>32.0</v>
      </c>
      <c r="I474" s="16">
        <v>2778.0</v>
      </c>
      <c r="J474" s="15">
        <v>87.0</v>
      </c>
      <c r="K474" s="15">
        <v>81.2</v>
      </c>
      <c r="L474" s="15">
        <v>30.9</v>
      </c>
      <c r="M474" s="17">
        <v>1.04</v>
      </c>
      <c r="N474" s="15">
        <v>87.0</v>
      </c>
      <c r="O474" s="18">
        <v>0.68</v>
      </c>
      <c r="P474" s="22">
        <v>0.0</v>
      </c>
      <c r="Q474" s="36"/>
      <c r="R474" s="19">
        <v>0.0</v>
      </c>
      <c r="S474" s="14">
        <v>1.28</v>
      </c>
      <c r="T474" s="18">
        <v>1.29</v>
      </c>
      <c r="U474" s="18">
        <v>1.42</v>
      </c>
      <c r="V474" s="56">
        <v>-0.13</v>
      </c>
      <c r="W474" s="57">
        <v>-0.13</v>
      </c>
      <c r="X474" s="57">
        <v>-0.27</v>
      </c>
      <c r="Y474" s="20" t="s">
        <v>8662</v>
      </c>
    </row>
    <row r="475">
      <c r="A475" s="9">
        <v>455.0</v>
      </c>
      <c r="B475" s="10" t="s">
        <v>8663</v>
      </c>
      <c r="C475" s="11" t="s">
        <v>8664</v>
      </c>
      <c r="D475" s="12" t="s">
        <v>31</v>
      </c>
      <c r="E475" s="13" t="s">
        <v>8665</v>
      </c>
      <c r="F475" s="12">
        <v>24.0</v>
      </c>
      <c r="G475" s="12">
        <v>2000.0</v>
      </c>
      <c r="H475" s="14">
        <v>24.0</v>
      </c>
      <c r="I475" s="16">
        <v>1173.0</v>
      </c>
      <c r="J475" s="15">
        <v>49.0</v>
      </c>
      <c r="K475" s="15">
        <v>34.3</v>
      </c>
      <c r="L475" s="15">
        <v>13.0</v>
      </c>
      <c r="M475" s="17">
        <v>1.08</v>
      </c>
      <c r="N475" s="15">
        <v>71.0</v>
      </c>
      <c r="O475" s="18">
        <v>0.23</v>
      </c>
      <c r="P475" s="17">
        <v>0.77</v>
      </c>
      <c r="Q475" s="15">
        <v>18.0</v>
      </c>
      <c r="R475" s="18">
        <v>0.38</v>
      </c>
      <c r="S475" s="14">
        <v>1.08</v>
      </c>
      <c r="T475" s="18">
        <v>1.15</v>
      </c>
      <c r="U475" s="18">
        <v>1.31</v>
      </c>
      <c r="V475" s="56">
        <v>-0.15</v>
      </c>
      <c r="W475" s="57">
        <v>-0.15</v>
      </c>
      <c r="X475" s="57">
        <v>-0.11</v>
      </c>
      <c r="Y475" s="20" t="s">
        <v>8666</v>
      </c>
    </row>
    <row r="476">
      <c r="A476" s="9">
        <v>456.0</v>
      </c>
      <c r="B476" s="10" t="s">
        <v>8667</v>
      </c>
      <c r="C476" s="11" t="s">
        <v>8668</v>
      </c>
      <c r="D476" s="12" t="s">
        <v>41</v>
      </c>
      <c r="E476" s="13" t="s">
        <v>8669</v>
      </c>
      <c r="F476" s="12">
        <v>18.0</v>
      </c>
      <c r="G476" s="12">
        <v>2007.0</v>
      </c>
      <c r="H476" s="14">
        <v>1.0</v>
      </c>
      <c r="I476" s="15">
        <v>14.0</v>
      </c>
      <c r="J476" s="15">
        <v>14.0</v>
      </c>
      <c r="K476" s="15">
        <v>0.4</v>
      </c>
      <c r="L476" s="15">
        <v>0.2</v>
      </c>
      <c r="M476" s="22">
        <v>0.0</v>
      </c>
      <c r="N476" s="36"/>
      <c r="O476" s="19">
        <v>0.0</v>
      </c>
      <c r="P476" s="17">
        <v>5.0</v>
      </c>
      <c r="Q476" s="15">
        <v>14.0</v>
      </c>
      <c r="R476" s="18">
        <v>65.0</v>
      </c>
      <c r="S476" s="23">
        <v>0.0</v>
      </c>
      <c r="T476" s="19">
        <v>0.0</v>
      </c>
      <c r="U476" s="18">
        <v>5.0</v>
      </c>
      <c r="V476" s="56">
        <v>-5.0</v>
      </c>
      <c r="W476" s="57">
        <v>-6.43</v>
      </c>
      <c r="X476" s="57">
        <v>-6.4</v>
      </c>
      <c r="Y476" s="20" t="s">
        <v>8670</v>
      </c>
    </row>
    <row r="477">
      <c r="A477" s="9">
        <v>457.0</v>
      </c>
      <c r="B477" s="10" t="s">
        <v>8671</v>
      </c>
      <c r="C477" s="11" t="s">
        <v>8672</v>
      </c>
      <c r="D477" s="12" t="s">
        <v>31</v>
      </c>
      <c r="E477" s="13" t="s">
        <v>8673</v>
      </c>
      <c r="F477" s="12">
        <v>23.0</v>
      </c>
      <c r="G477" s="12">
        <v>2001.0</v>
      </c>
      <c r="H477" s="14">
        <v>3.0</v>
      </c>
      <c r="I477" s="15">
        <v>14.0</v>
      </c>
      <c r="J477" s="15">
        <v>5.0</v>
      </c>
      <c r="K477" s="15">
        <v>0.4</v>
      </c>
      <c r="L477" s="15">
        <v>0.2</v>
      </c>
      <c r="M477" s="22">
        <v>0.0</v>
      </c>
      <c r="N477" s="36"/>
      <c r="O477" s="19">
        <v>0.0</v>
      </c>
      <c r="P477" s="17">
        <v>15.0</v>
      </c>
      <c r="Q477" s="15">
        <v>5.0</v>
      </c>
      <c r="R477" s="18">
        <v>95.0</v>
      </c>
      <c r="S477" s="14">
        <v>1.33</v>
      </c>
      <c r="T477" s="19">
        <v>0.0</v>
      </c>
      <c r="U477" s="19">
        <v>0.0</v>
      </c>
      <c r="V477" s="19">
        <v>0.0</v>
      </c>
      <c r="W477" s="21">
        <v>0.0</v>
      </c>
      <c r="X477" s="55">
        <f>+0.16</f>
        <v>0.16</v>
      </c>
      <c r="Y477" s="20" t="s">
        <v>8674</v>
      </c>
    </row>
    <row r="478">
      <c r="A478" s="9">
        <v>458.0</v>
      </c>
      <c r="B478" s="10" t="s">
        <v>8675</v>
      </c>
      <c r="C478" s="11" t="s">
        <v>8676</v>
      </c>
      <c r="D478" s="12" t="s">
        <v>107</v>
      </c>
      <c r="E478" s="13" t="s">
        <v>8677</v>
      </c>
      <c r="F478" s="12">
        <v>25.0</v>
      </c>
      <c r="G478" s="12">
        <v>1999.0</v>
      </c>
      <c r="H478" s="14">
        <v>10.0</v>
      </c>
      <c r="I478" s="15">
        <v>126.0</v>
      </c>
      <c r="J478" s="15">
        <v>13.0</v>
      </c>
      <c r="K478" s="15">
        <v>3.7</v>
      </c>
      <c r="L478" s="15">
        <v>1.4</v>
      </c>
      <c r="M478" s="22">
        <v>0.0</v>
      </c>
      <c r="N478" s="36"/>
      <c r="O478" s="19">
        <v>0.0</v>
      </c>
      <c r="P478" s="17">
        <v>7.14</v>
      </c>
      <c r="Q478" s="15">
        <v>13.0</v>
      </c>
      <c r="R478" s="18">
        <v>10.0</v>
      </c>
      <c r="S478" s="14">
        <v>1.6</v>
      </c>
      <c r="T478" s="18">
        <v>5.0</v>
      </c>
      <c r="U478" s="18">
        <v>1.43</v>
      </c>
      <c r="V478" s="54">
        <v>3.57</v>
      </c>
      <c r="W478" s="55">
        <f>+3.57</f>
        <v>3.57</v>
      </c>
      <c r="X478" s="55">
        <f>+3.63</f>
        <v>3.63</v>
      </c>
      <c r="Y478" s="20" t="s">
        <v>8678</v>
      </c>
    </row>
    <row r="479">
      <c r="A479" s="9">
        <v>459.0</v>
      </c>
      <c r="B479" s="10" t="s">
        <v>8679</v>
      </c>
      <c r="C479" s="11" t="s">
        <v>8680</v>
      </c>
      <c r="D479" s="12" t="s">
        <v>26</v>
      </c>
      <c r="E479" s="13" t="s">
        <v>8681</v>
      </c>
      <c r="F479" s="12">
        <v>25.0</v>
      </c>
      <c r="G479" s="12">
        <v>2000.0</v>
      </c>
      <c r="H479" s="14">
        <v>34.0</v>
      </c>
      <c r="I479" s="16">
        <v>2631.0</v>
      </c>
      <c r="J479" s="15">
        <v>77.0</v>
      </c>
      <c r="K479" s="15">
        <v>76.9</v>
      </c>
      <c r="L479" s="15">
        <v>29.2</v>
      </c>
      <c r="M479" s="17">
        <v>1.03</v>
      </c>
      <c r="N479" s="15">
        <v>82.0</v>
      </c>
      <c r="O479" s="18">
        <v>0.55</v>
      </c>
      <c r="P479" s="17">
        <v>0.14</v>
      </c>
      <c r="Q479" s="15">
        <v>46.0</v>
      </c>
      <c r="R479" s="19">
        <v>0.0</v>
      </c>
      <c r="S479" s="14">
        <v>1.41</v>
      </c>
      <c r="T479" s="18">
        <v>1.54</v>
      </c>
      <c r="U479" s="18">
        <v>1.13</v>
      </c>
      <c r="V479" s="54">
        <v>0.41</v>
      </c>
      <c r="W479" s="55">
        <f>+0.41</f>
        <v>0.41</v>
      </c>
      <c r="X479" s="55">
        <f>+1.09</f>
        <v>1.09</v>
      </c>
      <c r="Y479" s="20" t="s">
        <v>8682</v>
      </c>
    </row>
    <row r="480">
      <c r="A480" s="9">
        <v>460.0</v>
      </c>
      <c r="B480" s="10" t="s">
        <v>8683</v>
      </c>
      <c r="C480" s="11" t="s">
        <v>8684</v>
      </c>
      <c r="D480" s="12" t="s">
        <v>345</v>
      </c>
      <c r="E480" s="13" t="s">
        <v>8685</v>
      </c>
      <c r="F480" s="12">
        <v>22.0</v>
      </c>
      <c r="G480" s="12">
        <v>2003.0</v>
      </c>
      <c r="H480" s="14">
        <v>7.0</v>
      </c>
      <c r="I480" s="15">
        <v>357.0</v>
      </c>
      <c r="J480" s="15">
        <v>51.0</v>
      </c>
      <c r="K480" s="15">
        <v>10.4</v>
      </c>
      <c r="L480" s="15">
        <v>4.0</v>
      </c>
      <c r="M480" s="17">
        <v>0.75</v>
      </c>
      <c r="N480" s="15">
        <v>85.0</v>
      </c>
      <c r="O480" s="18">
        <v>0.25</v>
      </c>
      <c r="P480" s="17">
        <v>1.0</v>
      </c>
      <c r="Q480" s="15">
        <v>26.0</v>
      </c>
      <c r="R480" s="18">
        <v>1.5</v>
      </c>
      <c r="S480" s="14">
        <v>1.14</v>
      </c>
      <c r="T480" s="18">
        <v>1.75</v>
      </c>
      <c r="U480" s="18">
        <v>1.25</v>
      </c>
      <c r="V480" s="54">
        <v>0.5</v>
      </c>
      <c r="W480" s="55">
        <f>+0.5</f>
        <v>0.5</v>
      </c>
      <c r="X480" s="55">
        <f t="shared" ref="X480:X481" si="8">+0.65</f>
        <v>0.65</v>
      </c>
      <c r="Y480" s="20" t="s">
        <v>8686</v>
      </c>
    </row>
    <row r="481">
      <c r="A481" s="9">
        <v>461.0</v>
      </c>
      <c r="B481" s="10" t="s">
        <v>8687</v>
      </c>
      <c r="C481" s="11" t="s">
        <v>8688</v>
      </c>
      <c r="D481" s="12" t="s">
        <v>31</v>
      </c>
      <c r="E481" s="13" t="s">
        <v>8689</v>
      </c>
      <c r="F481" s="12">
        <v>16.0</v>
      </c>
      <c r="G481" s="12">
        <v>2008.0</v>
      </c>
      <c r="H481" s="14">
        <v>19.0</v>
      </c>
      <c r="I481" s="15">
        <v>560.0</v>
      </c>
      <c r="J481" s="15">
        <v>29.0</v>
      </c>
      <c r="K481" s="15">
        <v>16.4</v>
      </c>
      <c r="L481" s="15">
        <v>6.2</v>
      </c>
      <c r="M481" s="17">
        <v>0.81</v>
      </c>
      <c r="N481" s="15">
        <v>72.0</v>
      </c>
      <c r="O481" s="18">
        <v>0.16</v>
      </c>
      <c r="P481" s="17">
        <v>2.26</v>
      </c>
      <c r="Q481" s="15">
        <v>14.0</v>
      </c>
      <c r="R481" s="18">
        <v>2.9</v>
      </c>
      <c r="S481" s="14">
        <v>1.21</v>
      </c>
      <c r="T481" s="18">
        <v>2.58</v>
      </c>
      <c r="U481" s="18">
        <v>1.77</v>
      </c>
      <c r="V481" s="54">
        <v>0.81</v>
      </c>
      <c r="W481" s="55">
        <f>+0.8</f>
        <v>0.8</v>
      </c>
      <c r="X481" s="55">
        <f t="shared" si="8"/>
        <v>0.65</v>
      </c>
      <c r="Y481" s="20" t="s">
        <v>8690</v>
      </c>
    </row>
    <row r="482">
      <c r="A482" s="9">
        <v>462.0</v>
      </c>
      <c r="B482" s="10" t="s">
        <v>8691</v>
      </c>
      <c r="C482" s="11" t="s">
        <v>8692</v>
      </c>
      <c r="D482" s="12" t="s">
        <v>31</v>
      </c>
      <c r="E482" s="13" t="s">
        <v>8693</v>
      </c>
      <c r="F482" s="12">
        <v>26.0</v>
      </c>
      <c r="G482" s="12">
        <v>1999.0</v>
      </c>
      <c r="H482" s="14">
        <v>12.0</v>
      </c>
      <c r="I482" s="15">
        <v>424.0</v>
      </c>
      <c r="J482" s="15">
        <v>35.0</v>
      </c>
      <c r="K482" s="15">
        <v>12.4</v>
      </c>
      <c r="L482" s="15">
        <v>4.7</v>
      </c>
      <c r="M482" s="17">
        <v>0.43</v>
      </c>
      <c r="N482" s="15">
        <v>70.0</v>
      </c>
      <c r="O482" s="19">
        <v>0.0</v>
      </c>
      <c r="P482" s="17">
        <v>2.13</v>
      </c>
      <c r="Q482" s="15">
        <v>28.0</v>
      </c>
      <c r="R482" s="19">
        <v>0.0</v>
      </c>
      <c r="S482" s="14">
        <v>1.33</v>
      </c>
      <c r="T482" s="18">
        <v>1.28</v>
      </c>
      <c r="U482" s="18">
        <v>2.55</v>
      </c>
      <c r="V482" s="56">
        <v>-1.28</v>
      </c>
      <c r="W482" s="57">
        <v>-1.27</v>
      </c>
      <c r="X482" s="57">
        <v>-1.15</v>
      </c>
      <c r="Y482" s="20" t="s">
        <v>8694</v>
      </c>
    </row>
    <row r="483">
      <c r="A483" s="9">
        <v>463.0</v>
      </c>
      <c r="B483" s="10" t="s">
        <v>8695</v>
      </c>
      <c r="C483" s="11" t="s">
        <v>8696</v>
      </c>
      <c r="D483" s="12" t="s">
        <v>41</v>
      </c>
      <c r="E483" s="13" t="s">
        <v>8697</v>
      </c>
      <c r="F483" s="12">
        <v>26.0</v>
      </c>
      <c r="G483" s="12">
        <v>1998.0</v>
      </c>
      <c r="H483" s="14">
        <v>31.0</v>
      </c>
      <c r="I483" s="16">
        <v>1083.0</v>
      </c>
      <c r="J483" s="15">
        <v>35.0</v>
      </c>
      <c r="K483" s="15">
        <v>31.7</v>
      </c>
      <c r="L483" s="15">
        <v>12.0</v>
      </c>
      <c r="M483" s="17">
        <v>0.83</v>
      </c>
      <c r="N483" s="15">
        <v>71.0</v>
      </c>
      <c r="O483" s="18">
        <v>0.08</v>
      </c>
      <c r="P483" s="17">
        <v>1.75</v>
      </c>
      <c r="Q483" s="15">
        <v>18.0</v>
      </c>
      <c r="R483" s="18">
        <v>0.25</v>
      </c>
      <c r="S483" s="14">
        <v>1.13</v>
      </c>
      <c r="T483" s="18">
        <v>1.17</v>
      </c>
      <c r="U483" s="18">
        <v>1.92</v>
      </c>
      <c r="V483" s="56">
        <v>-0.75</v>
      </c>
      <c r="W483" s="57">
        <v>-0.75</v>
      </c>
      <c r="X483" s="57">
        <v>-0.82</v>
      </c>
      <c r="Y483" s="20" t="s">
        <v>8698</v>
      </c>
    </row>
    <row r="484">
      <c r="A484" s="9">
        <v>464.0</v>
      </c>
      <c r="B484" s="10" t="s">
        <v>8699</v>
      </c>
      <c r="C484" s="11" t="s">
        <v>8700</v>
      </c>
      <c r="D484" s="12" t="s">
        <v>31</v>
      </c>
      <c r="E484" s="13" t="s">
        <v>8701</v>
      </c>
      <c r="F484" s="12">
        <v>19.0</v>
      </c>
      <c r="G484" s="12">
        <v>2005.0</v>
      </c>
      <c r="H484" s="23">
        <v>0.0</v>
      </c>
      <c r="I484" s="36"/>
      <c r="J484" s="36"/>
      <c r="K484" s="36"/>
      <c r="L484" s="36"/>
      <c r="M484" s="23">
        <v>0.0</v>
      </c>
      <c r="N484" s="36"/>
      <c r="O484" s="21">
        <v>0.0</v>
      </c>
      <c r="P484" s="23">
        <v>0.0</v>
      </c>
      <c r="Q484" s="36"/>
      <c r="R484" s="15">
        <v>2.0</v>
      </c>
      <c r="S484" s="58"/>
      <c r="T484" s="36"/>
      <c r="U484" s="36"/>
      <c r="V484" s="36"/>
      <c r="W484" s="36"/>
      <c r="X484" s="36"/>
      <c r="Y484" s="20" t="s">
        <v>8702</v>
      </c>
    </row>
    <row r="485">
      <c r="A485" s="9">
        <v>465.0</v>
      </c>
      <c r="B485" s="10" t="s">
        <v>8703</v>
      </c>
      <c r="C485" s="11" t="s">
        <v>8704</v>
      </c>
      <c r="D485" s="12" t="s">
        <v>36</v>
      </c>
      <c r="E485" s="13" t="s">
        <v>8705</v>
      </c>
      <c r="F485" s="12">
        <v>26.0</v>
      </c>
      <c r="G485" s="12">
        <v>1998.0</v>
      </c>
      <c r="H485" s="14">
        <v>34.0</v>
      </c>
      <c r="I485" s="16">
        <v>2862.0</v>
      </c>
      <c r="J485" s="15">
        <v>84.0</v>
      </c>
      <c r="K485" s="15">
        <v>83.7</v>
      </c>
      <c r="L485" s="15">
        <v>31.8</v>
      </c>
      <c r="M485" s="17">
        <v>1.01</v>
      </c>
      <c r="N485" s="15">
        <v>87.0</v>
      </c>
      <c r="O485" s="18">
        <v>0.88</v>
      </c>
      <c r="P485" s="17">
        <v>0.06</v>
      </c>
      <c r="Q485" s="15">
        <v>35.0</v>
      </c>
      <c r="R485" s="18">
        <v>0.09</v>
      </c>
      <c r="S485" s="14">
        <v>2.21</v>
      </c>
      <c r="T485" s="18">
        <v>2.14</v>
      </c>
      <c r="U485" s="18">
        <v>0.88</v>
      </c>
      <c r="V485" s="54">
        <v>1.26</v>
      </c>
      <c r="W485" s="55">
        <f>+1.26</f>
        <v>1.26</v>
      </c>
      <c r="X485" s="55">
        <f>+0.94</f>
        <v>0.94</v>
      </c>
      <c r="Y485" s="20" t="s">
        <v>8706</v>
      </c>
    </row>
    <row r="486">
      <c r="A486" s="9">
        <v>466.0</v>
      </c>
      <c r="B486" s="10" t="s">
        <v>8707</v>
      </c>
      <c r="C486" s="11" t="s">
        <v>8708</v>
      </c>
      <c r="D486" s="12" t="s">
        <v>31</v>
      </c>
      <c r="E486" s="13" t="s">
        <v>8709</v>
      </c>
      <c r="F486" s="12">
        <v>18.0</v>
      </c>
      <c r="G486" s="12">
        <v>2007.0</v>
      </c>
      <c r="H486" s="14">
        <v>6.0</v>
      </c>
      <c r="I486" s="15">
        <v>171.0</v>
      </c>
      <c r="J486" s="15">
        <v>29.0</v>
      </c>
      <c r="K486" s="15">
        <v>5.0</v>
      </c>
      <c r="L486" s="15">
        <v>1.9</v>
      </c>
      <c r="M486" s="22">
        <v>0.0</v>
      </c>
      <c r="N486" s="36"/>
      <c r="O486" s="19">
        <v>0.0</v>
      </c>
      <c r="P486" s="17">
        <v>3.16</v>
      </c>
      <c r="Q486" s="15">
        <v>29.0</v>
      </c>
      <c r="R486" s="18">
        <v>5.79</v>
      </c>
      <c r="S486" s="14">
        <v>2.67</v>
      </c>
      <c r="T486" s="18">
        <v>4.21</v>
      </c>
      <c r="U486" s="19">
        <v>0.0</v>
      </c>
      <c r="V486" s="54">
        <v>4.21</v>
      </c>
      <c r="W486" s="55">
        <f>+4.21</f>
        <v>4.21</v>
      </c>
      <c r="X486" s="55">
        <f>+3.21</f>
        <v>3.21</v>
      </c>
      <c r="Y486" s="20" t="s">
        <v>8710</v>
      </c>
    </row>
    <row r="487">
      <c r="A487" s="9">
        <v>467.0</v>
      </c>
      <c r="B487" s="10" t="s">
        <v>8711</v>
      </c>
      <c r="C487" s="11" t="s">
        <v>8712</v>
      </c>
      <c r="D487" s="12" t="s">
        <v>31</v>
      </c>
      <c r="E487" s="13" t="s">
        <v>8713</v>
      </c>
      <c r="F487" s="12">
        <v>18.0</v>
      </c>
      <c r="G487" s="12">
        <v>2007.0</v>
      </c>
      <c r="H487" s="14">
        <v>6.0</v>
      </c>
      <c r="I487" s="15">
        <v>24.0</v>
      </c>
      <c r="J487" s="15">
        <v>4.0</v>
      </c>
      <c r="K487" s="15">
        <v>0.7</v>
      </c>
      <c r="L487" s="15">
        <v>0.3</v>
      </c>
      <c r="M487" s="22">
        <v>0.0</v>
      </c>
      <c r="N487" s="36"/>
      <c r="O487" s="19">
        <v>0.0</v>
      </c>
      <c r="P487" s="17">
        <v>20.0</v>
      </c>
      <c r="Q487" s="15">
        <v>4.0</v>
      </c>
      <c r="R487" s="18">
        <v>76.7</v>
      </c>
      <c r="S487" s="14">
        <v>2.33</v>
      </c>
      <c r="T487" s="19">
        <v>0.0</v>
      </c>
      <c r="U487" s="18">
        <v>3.33</v>
      </c>
      <c r="V487" s="56">
        <v>-3.33</v>
      </c>
      <c r="W487" s="57">
        <v>-3.75</v>
      </c>
      <c r="X487" s="57">
        <v>-4.04</v>
      </c>
      <c r="Y487" s="20" t="s">
        <v>8714</v>
      </c>
    </row>
    <row r="488">
      <c r="A488" s="9">
        <v>468.0</v>
      </c>
      <c r="B488" s="10" t="s">
        <v>8715</v>
      </c>
      <c r="C488" s="11" t="s">
        <v>8716</v>
      </c>
      <c r="D488" s="12" t="s">
        <v>31</v>
      </c>
      <c r="E488" s="13" t="s">
        <v>8717</v>
      </c>
      <c r="F488" s="12">
        <v>31.0</v>
      </c>
      <c r="G488" s="12">
        <v>1994.0</v>
      </c>
      <c r="H488" s="14">
        <v>7.0</v>
      </c>
      <c r="I488" s="15">
        <v>106.0</v>
      </c>
      <c r="J488" s="15">
        <v>15.0</v>
      </c>
      <c r="K488" s="15">
        <v>3.1</v>
      </c>
      <c r="L488" s="15">
        <v>1.2</v>
      </c>
      <c r="M488" s="17">
        <v>0.83</v>
      </c>
      <c r="N488" s="15">
        <v>45.0</v>
      </c>
      <c r="O488" s="19">
        <v>0.0</v>
      </c>
      <c r="P488" s="17">
        <v>5.0</v>
      </c>
      <c r="Q488" s="15">
        <v>10.0</v>
      </c>
      <c r="R488" s="18">
        <v>17.5</v>
      </c>
      <c r="S488" s="14">
        <v>3.0</v>
      </c>
      <c r="T488" s="18">
        <v>2.5</v>
      </c>
      <c r="U488" s="18">
        <v>0.83</v>
      </c>
      <c r="V488" s="54">
        <v>1.67</v>
      </c>
      <c r="W488" s="55">
        <f>+1.7</f>
        <v>1.7</v>
      </c>
      <c r="X488" s="55">
        <f>+0.56</f>
        <v>0.56</v>
      </c>
      <c r="Y488" s="20" t="s">
        <v>8718</v>
      </c>
    </row>
    <row r="489">
      <c r="A489" s="9">
        <v>469.0</v>
      </c>
      <c r="B489" s="10" t="s">
        <v>8719</v>
      </c>
      <c r="C489" s="11" t="s">
        <v>8720</v>
      </c>
      <c r="D489" s="12" t="s">
        <v>36</v>
      </c>
      <c r="E489" s="13" t="s">
        <v>8721</v>
      </c>
      <c r="F489" s="12">
        <v>24.0</v>
      </c>
      <c r="G489" s="12">
        <v>2001.0</v>
      </c>
      <c r="H489" s="14">
        <v>37.0</v>
      </c>
      <c r="I489" s="16">
        <v>3120.0</v>
      </c>
      <c r="J489" s="15">
        <v>84.0</v>
      </c>
      <c r="K489" s="15">
        <v>91.2</v>
      </c>
      <c r="L489" s="15">
        <v>34.7</v>
      </c>
      <c r="M489" s="17">
        <v>1.01</v>
      </c>
      <c r="N489" s="15">
        <v>87.0</v>
      </c>
      <c r="O489" s="18">
        <v>0.84</v>
      </c>
      <c r="P489" s="17">
        <v>0.06</v>
      </c>
      <c r="Q489" s="15">
        <v>42.0</v>
      </c>
      <c r="R489" s="19">
        <v>0.0</v>
      </c>
      <c r="S489" s="14">
        <v>1.32</v>
      </c>
      <c r="T489" s="18">
        <v>1.27</v>
      </c>
      <c r="U489" s="18">
        <v>1.33</v>
      </c>
      <c r="V489" s="56">
        <v>-0.06</v>
      </c>
      <c r="W489" s="57">
        <v>-0.06</v>
      </c>
      <c r="X489" s="55">
        <f>+0.24</f>
        <v>0.24</v>
      </c>
      <c r="Y489" s="20" t="s">
        <v>8722</v>
      </c>
    </row>
    <row r="490">
      <c r="A490" s="9">
        <v>470.0</v>
      </c>
      <c r="B490" s="10" t="s">
        <v>8723</v>
      </c>
      <c r="C490" s="11" t="s">
        <v>8724</v>
      </c>
      <c r="D490" s="12" t="s">
        <v>36</v>
      </c>
      <c r="E490" s="13" t="s">
        <v>8725</v>
      </c>
      <c r="F490" s="12">
        <v>30.0</v>
      </c>
      <c r="G490" s="12">
        <v>1994.0</v>
      </c>
      <c r="H490" s="14">
        <v>12.0</v>
      </c>
      <c r="I490" s="15">
        <v>569.0</v>
      </c>
      <c r="J490" s="15">
        <v>47.0</v>
      </c>
      <c r="K490" s="15">
        <v>16.6</v>
      </c>
      <c r="L490" s="15">
        <v>6.3</v>
      </c>
      <c r="M490" s="17">
        <v>0.79</v>
      </c>
      <c r="N490" s="15">
        <v>90.0</v>
      </c>
      <c r="O490" s="18">
        <v>0.79</v>
      </c>
      <c r="P490" s="17">
        <v>1.11</v>
      </c>
      <c r="Q490" s="15">
        <v>17.0</v>
      </c>
      <c r="R490" s="18">
        <v>2.7</v>
      </c>
      <c r="S490" s="14">
        <v>1.58</v>
      </c>
      <c r="T490" s="18">
        <v>1.9</v>
      </c>
      <c r="U490" s="18">
        <v>1.11</v>
      </c>
      <c r="V490" s="54">
        <v>0.79</v>
      </c>
      <c r="W490" s="55">
        <f>+0.79</f>
        <v>0.79</v>
      </c>
      <c r="X490" s="55">
        <f>+1.14</f>
        <v>1.14</v>
      </c>
      <c r="Y490" s="20" t="s">
        <v>8726</v>
      </c>
    </row>
    <row r="491">
      <c r="A491" s="9">
        <v>471.0</v>
      </c>
      <c r="B491" s="10" t="s">
        <v>8727</v>
      </c>
      <c r="C491" s="11" t="s">
        <v>8728</v>
      </c>
      <c r="D491" s="12" t="s">
        <v>31</v>
      </c>
      <c r="E491" s="13" t="s">
        <v>8729</v>
      </c>
      <c r="F491" s="12">
        <v>24.0</v>
      </c>
      <c r="G491" s="12">
        <v>2000.0</v>
      </c>
      <c r="H491" s="14">
        <v>6.0</v>
      </c>
      <c r="I491" s="15">
        <v>204.0</v>
      </c>
      <c r="J491" s="15">
        <v>34.0</v>
      </c>
      <c r="K491" s="15">
        <v>6.0</v>
      </c>
      <c r="L491" s="15">
        <v>2.3</v>
      </c>
      <c r="M491" s="17">
        <v>0.87</v>
      </c>
      <c r="N491" s="15">
        <v>89.0</v>
      </c>
      <c r="O491" s="18">
        <v>0.43</v>
      </c>
      <c r="P491" s="17">
        <v>1.74</v>
      </c>
      <c r="Q491" s="15">
        <v>7.0</v>
      </c>
      <c r="R491" s="18">
        <v>3.04</v>
      </c>
      <c r="S491" s="14">
        <v>1.33</v>
      </c>
      <c r="T491" s="18">
        <v>0.87</v>
      </c>
      <c r="U491" s="18">
        <v>1.3</v>
      </c>
      <c r="V491" s="56">
        <v>-0.43</v>
      </c>
      <c r="W491" s="57">
        <v>-0.44</v>
      </c>
      <c r="X491" s="57">
        <v>-0.64</v>
      </c>
      <c r="Y491" s="20" t="s">
        <v>8730</v>
      </c>
    </row>
    <row r="492">
      <c r="A492" s="9">
        <v>472.0</v>
      </c>
      <c r="B492" s="10" t="s">
        <v>8731</v>
      </c>
      <c r="C492" s="11" t="s">
        <v>8732</v>
      </c>
      <c r="D492" s="12" t="s">
        <v>41</v>
      </c>
      <c r="E492" s="13" t="s">
        <v>8733</v>
      </c>
      <c r="F492" s="12">
        <v>17.0</v>
      </c>
      <c r="G492" s="12">
        <v>2007.0</v>
      </c>
      <c r="H492" s="23">
        <v>0.0</v>
      </c>
      <c r="I492" s="36"/>
      <c r="J492" s="36"/>
      <c r="K492" s="36"/>
      <c r="L492" s="36"/>
      <c r="M492" s="23">
        <v>0.0</v>
      </c>
      <c r="N492" s="36"/>
      <c r="O492" s="21">
        <v>0.0</v>
      </c>
      <c r="P492" s="23">
        <v>0.0</v>
      </c>
      <c r="Q492" s="36"/>
      <c r="R492" s="15">
        <v>1.0</v>
      </c>
      <c r="S492" s="58"/>
      <c r="T492" s="36"/>
      <c r="U492" s="36"/>
      <c r="V492" s="36"/>
      <c r="W492" s="36"/>
      <c r="X492" s="36"/>
      <c r="Y492" s="20" t="s">
        <v>8734</v>
      </c>
    </row>
    <row r="493">
      <c r="A493" s="9">
        <v>473.0</v>
      </c>
      <c r="B493" s="10" t="s">
        <v>8735</v>
      </c>
      <c r="C493" s="11" t="s">
        <v>8736</v>
      </c>
      <c r="D493" s="12" t="s">
        <v>26</v>
      </c>
      <c r="E493" s="13" t="s">
        <v>8737</v>
      </c>
      <c r="F493" s="12">
        <v>20.0</v>
      </c>
      <c r="G493" s="12">
        <v>2004.0</v>
      </c>
      <c r="H493" s="14">
        <v>24.0</v>
      </c>
      <c r="I493" s="15">
        <v>985.0</v>
      </c>
      <c r="J493" s="15">
        <v>41.0</v>
      </c>
      <c r="K493" s="15">
        <v>28.8</v>
      </c>
      <c r="L493" s="15">
        <v>10.9</v>
      </c>
      <c r="M493" s="17">
        <v>0.92</v>
      </c>
      <c r="N493" s="15">
        <v>68.0</v>
      </c>
      <c r="O493" s="18">
        <v>0.09</v>
      </c>
      <c r="P493" s="17">
        <v>1.28</v>
      </c>
      <c r="Q493" s="15">
        <v>22.0</v>
      </c>
      <c r="R493" s="18">
        <v>0.18</v>
      </c>
      <c r="S493" s="14">
        <v>1.08</v>
      </c>
      <c r="T493" s="18">
        <v>1.47</v>
      </c>
      <c r="U493" s="18">
        <v>1.19</v>
      </c>
      <c r="V493" s="54">
        <v>0.28</v>
      </c>
      <c r="W493" s="55">
        <f>+0.27</f>
        <v>0.27</v>
      </c>
      <c r="X493" s="55">
        <f>+0.72</f>
        <v>0.72</v>
      </c>
      <c r="Y493" s="20" t="s">
        <v>8738</v>
      </c>
    </row>
    <row r="494">
      <c r="A494" s="9">
        <v>474.0</v>
      </c>
      <c r="B494" s="10" t="s">
        <v>8739</v>
      </c>
      <c r="C494" s="11" t="s">
        <v>8740</v>
      </c>
      <c r="D494" s="12" t="s">
        <v>31</v>
      </c>
      <c r="E494" s="13" t="s">
        <v>8741</v>
      </c>
      <c r="F494" s="12">
        <v>20.0</v>
      </c>
      <c r="G494" s="12">
        <v>2005.0</v>
      </c>
      <c r="H494" s="23">
        <v>0.0</v>
      </c>
      <c r="I494" s="36"/>
      <c r="J494" s="36"/>
      <c r="K494" s="36"/>
      <c r="L494" s="36"/>
      <c r="M494" s="23">
        <v>0.0</v>
      </c>
      <c r="N494" s="36"/>
      <c r="O494" s="21">
        <v>0.0</v>
      </c>
      <c r="P494" s="23">
        <v>0.0</v>
      </c>
      <c r="Q494" s="36"/>
      <c r="R494" s="15">
        <v>2.0</v>
      </c>
      <c r="S494" s="58"/>
      <c r="T494" s="36"/>
      <c r="U494" s="36"/>
      <c r="V494" s="36"/>
      <c r="W494" s="36"/>
      <c r="X494" s="36"/>
      <c r="Y494" s="20" t="s">
        <v>8742</v>
      </c>
    </row>
    <row r="495">
      <c r="A495" s="9">
        <v>475.0</v>
      </c>
      <c r="B495" s="10" t="s">
        <v>8743</v>
      </c>
      <c r="C495" s="11" t="s">
        <v>8744</v>
      </c>
      <c r="D495" s="12" t="s">
        <v>107</v>
      </c>
      <c r="E495" s="13" t="s">
        <v>8745</v>
      </c>
      <c r="F495" s="12">
        <v>25.0</v>
      </c>
      <c r="G495" s="12">
        <v>2000.0</v>
      </c>
      <c r="H495" s="14">
        <v>28.0</v>
      </c>
      <c r="I495" s="16">
        <v>1561.0</v>
      </c>
      <c r="J495" s="15">
        <v>56.0</v>
      </c>
      <c r="K495" s="15">
        <v>45.6</v>
      </c>
      <c r="L495" s="15">
        <v>17.3</v>
      </c>
      <c r="M495" s="17">
        <v>1.1</v>
      </c>
      <c r="N495" s="15">
        <v>72.0</v>
      </c>
      <c r="O495" s="18">
        <v>0.06</v>
      </c>
      <c r="P495" s="17">
        <v>0.52</v>
      </c>
      <c r="Q495" s="15">
        <v>22.0</v>
      </c>
      <c r="R495" s="18">
        <v>0.06</v>
      </c>
      <c r="S495" s="14">
        <v>1.32</v>
      </c>
      <c r="T495" s="18">
        <v>1.68</v>
      </c>
      <c r="U495" s="18">
        <v>1.5</v>
      </c>
      <c r="V495" s="54">
        <v>0.17</v>
      </c>
      <c r="W495" s="55">
        <f>+0.17</f>
        <v>0.17</v>
      </c>
      <c r="X495" s="55">
        <f>+0.66</f>
        <v>0.66</v>
      </c>
      <c r="Y495" s="20" t="s">
        <v>8746</v>
      </c>
    </row>
    <row r="496">
      <c r="A496" s="37" t="s">
        <v>3</v>
      </c>
      <c r="B496" s="38" t="s">
        <v>4</v>
      </c>
      <c r="C496" s="39" t="s">
        <v>5</v>
      </c>
      <c r="D496" s="39" t="s">
        <v>6</v>
      </c>
      <c r="E496" s="39" t="s">
        <v>7</v>
      </c>
      <c r="F496" s="39" t="s">
        <v>8</v>
      </c>
      <c r="G496" s="39" t="s">
        <v>9</v>
      </c>
      <c r="H496" s="40" t="s">
        <v>10</v>
      </c>
      <c r="I496" s="39" t="s">
        <v>12</v>
      </c>
      <c r="J496" s="39" t="s">
        <v>6838</v>
      </c>
      <c r="K496" s="39" t="s">
        <v>6839</v>
      </c>
      <c r="L496" s="39" t="s">
        <v>13</v>
      </c>
      <c r="M496" s="40" t="s">
        <v>11</v>
      </c>
      <c r="N496" s="39" t="s">
        <v>6840</v>
      </c>
      <c r="O496" s="39" t="s">
        <v>6841</v>
      </c>
      <c r="P496" s="40" t="s">
        <v>6836</v>
      </c>
      <c r="Q496" s="39" t="s">
        <v>6842</v>
      </c>
      <c r="R496" s="39" t="s">
        <v>6843</v>
      </c>
      <c r="S496" s="40" t="s">
        <v>6844</v>
      </c>
      <c r="T496" s="39" t="s">
        <v>6845</v>
      </c>
      <c r="U496" s="39" t="s">
        <v>6846</v>
      </c>
      <c r="V496" s="59" t="str">
        <f>+/-</f>
        <v>#ERROR!</v>
      </c>
      <c r="W496" s="59" t="str">
        <f>+/-90</f>
        <v>#ERROR!</v>
      </c>
      <c r="X496" s="39" t="s">
        <v>6847</v>
      </c>
      <c r="Y496" s="40" t="s">
        <v>23</v>
      </c>
    </row>
    <row r="497">
      <c r="A497" s="9">
        <v>476.0</v>
      </c>
      <c r="B497" s="10" t="s">
        <v>8747</v>
      </c>
      <c r="C497" s="11" t="s">
        <v>8748</v>
      </c>
      <c r="D497" s="12" t="s">
        <v>36</v>
      </c>
      <c r="E497" s="13" t="s">
        <v>8749</v>
      </c>
      <c r="F497" s="12">
        <v>18.0</v>
      </c>
      <c r="G497" s="12">
        <v>2007.0</v>
      </c>
      <c r="H497" s="23">
        <v>0.0</v>
      </c>
      <c r="I497" s="36"/>
      <c r="J497" s="36"/>
      <c r="K497" s="36"/>
      <c r="L497" s="36"/>
      <c r="M497" s="23">
        <v>0.0</v>
      </c>
      <c r="N497" s="36"/>
      <c r="O497" s="21">
        <v>0.0</v>
      </c>
      <c r="P497" s="23">
        <v>0.0</v>
      </c>
      <c r="Q497" s="36"/>
      <c r="R497" s="15">
        <v>5.0</v>
      </c>
      <c r="S497" s="58"/>
      <c r="T497" s="36"/>
      <c r="U497" s="36"/>
      <c r="V497" s="36"/>
      <c r="W497" s="36"/>
      <c r="X497" s="36"/>
      <c r="Y497" s="20" t="s">
        <v>8750</v>
      </c>
    </row>
    <row r="498">
      <c r="A498" s="9">
        <v>477.0</v>
      </c>
      <c r="B498" s="10" t="s">
        <v>8751</v>
      </c>
      <c r="C498" s="11" t="s">
        <v>8752</v>
      </c>
      <c r="D498" s="12" t="s">
        <v>31</v>
      </c>
      <c r="E498" s="13" t="s">
        <v>8753</v>
      </c>
      <c r="F498" s="12">
        <v>18.0</v>
      </c>
      <c r="G498" s="12">
        <v>2007.0</v>
      </c>
      <c r="H498" s="14">
        <v>1.0</v>
      </c>
      <c r="I498" s="15">
        <v>15.0</v>
      </c>
      <c r="J498" s="15">
        <v>15.0</v>
      </c>
      <c r="K498" s="15">
        <v>0.4</v>
      </c>
      <c r="L498" s="15">
        <v>0.2</v>
      </c>
      <c r="M498" s="22">
        <v>0.0</v>
      </c>
      <c r="N498" s="36"/>
      <c r="O498" s="19">
        <v>0.0</v>
      </c>
      <c r="P498" s="17">
        <v>5.0</v>
      </c>
      <c r="Q498" s="15">
        <v>15.0</v>
      </c>
      <c r="R498" s="18">
        <v>35.0</v>
      </c>
      <c r="S498" s="14">
        <v>1.0</v>
      </c>
      <c r="T498" s="18">
        <v>5.0</v>
      </c>
      <c r="U498" s="19">
        <v>0.0</v>
      </c>
      <c r="V498" s="54">
        <v>5.0</v>
      </c>
      <c r="W498" s="55">
        <f>+6</f>
        <v>6</v>
      </c>
      <c r="X498" s="55">
        <f>+6.26</f>
        <v>6.26</v>
      </c>
      <c r="Y498" s="20" t="s">
        <v>8754</v>
      </c>
    </row>
    <row r="499">
      <c r="A499" s="9">
        <v>478.0</v>
      </c>
      <c r="B499" s="10" t="s">
        <v>8755</v>
      </c>
      <c r="C499" s="11" t="s">
        <v>8756</v>
      </c>
      <c r="D499" s="12" t="s">
        <v>36</v>
      </c>
      <c r="E499" s="13" t="s">
        <v>8757</v>
      </c>
      <c r="F499" s="12">
        <v>19.0</v>
      </c>
      <c r="G499" s="12">
        <v>2006.0</v>
      </c>
      <c r="H499" s="23">
        <v>0.0</v>
      </c>
      <c r="I499" s="36"/>
      <c r="J499" s="36"/>
      <c r="K499" s="36"/>
      <c r="L499" s="36"/>
      <c r="M499" s="23">
        <v>0.0</v>
      </c>
      <c r="N499" s="36"/>
      <c r="O499" s="21">
        <v>0.0</v>
      </c>
      <c r="P499" s="23">
        <v>0.0</v>
      </c>
      <c r="Q499" s="36"/>
      <c r="R499" s="15">
        <v>4.0</v>
      </c>
      <c r="S499" s="58"/>
      <c r="T499" s="36"/>
      <c r="U499" s="36"/>
      <c r="V499" s="36"/>
      <c r="W499" s="36"/>
      <c r="X499" s="36"/>
      <c r="Y499" s="20" t="s">
        <v>8758</v>
      </c>
    </row>
    <row r="500">
      <c r="A500" s="9">
        <v>479.0</v>
      </c>
      <c r="B500" s="10" t="s">
        <v>8759</v>
      </c>
      <c r="C500" s="11" t="s">
        <v>8760</v>
      </c>
      <c r="D500" s="12" t="s">
        <v>31</v>
      </c>
      <c r="E500" s="13" t="s">
        <v>8761</v>
      </c>
      <c r="F500" s="12">
        <v>23.0</v>
      </c>
      <c r="G500" s="12">
        <v>2001.0</v>
      </c>
      <c r="H500" s="14">
        <v>25.0</v>
      </c>
      <c r="I500" s="16">
        <v>1758.0</v>
      </c>
      <c r="J500" s="15">
        <v>70.0</v>
      </c>
      <c r="K500" s="15">
        <v>51.4</v>
      </c>
      <c r="L500" s="15">
        <v>19.5</v>
      </c>
      <c r="M500" s="17">
        <v>1.08</v>
      </c>
      <c r="N500" s="15">
        <v>81.0</v>
      </c>
      <c r="O500" s="18">
        <v>0.56</v>
      </c>
      <c r="P500" s="17">
        <v>0.21</v>
      </c>
      <c r="Q500" s="15">
        <v>17.0</v>
      </c>
      <c r="R500" s="18">
        <v>0.05</v>
      </c>
      <c r="S500" s="14">
        <v>1.96</v>
      </c>
      <c r="T500" s="18">
        <v>1.44</v>
      </c>
      <c r="U500" s="18">
        <v>1.33</v>
      </c>
      <c r="V500" s="54">
        <v>0.1</v>
      </c>
      <c r="W500" s="55">
        <f>+0.1</f>
        <v>0.1</v>
      </c>
      <c r="X500" s="57">
        <v>-0.17</v>
      </c>
      <c r="Y500" s="20" t="s">
        <v>8762</v>
      </c>
    </row>
    <row r="501">
      <c r="A501" s="9">
        <v>480.0</v>
      </c>
      <c r="B501" s="10" t="s">
        <v>8763</v>
      </c>
      <c r="C501" s="11" t="s">
        <v>8764</v>
      </c>
      <c r="D501" s="12" t="s">
        <v>98</v>
      </c>
      <c r="E501" s="13" t="s">
        <v>8765</v>
      </c>
      <c r="F501" s="12">
        <v>29.0</v>
      </c>
      <c r="G501" s="12">
        <v>1996.0</v>
      </c>
      <c r="H501" s="23">
        <v>0.0</v>
      </c>
      <c r="I501" s="36"/>
      <c r="J501" s="36"/>
      <c r="K501" s="36"/>
      <c r="L501" s="36"/>
      <c r="M501" s="23">
        <v>0.0</v>
      </c>
      <c r="N501" s="36"/>
      <c r="O501" s="21">
        <v>0.0</v>
      </c>
      <c r="P501" s="23">
        <v>0.0</v>
      </c>
      <c r="Q501" s="36"/>
      <c r="R501" s="15">
        <v>2.0</v>
      </c>
      <c r="S501" s="58"/>
      <c r="T501" s="36"/>
      <c r="U501" s="36"/>
      <c r="V501" s="36"/>
      <c r="W501" s="36"/>
      <c r="X501" s="36"/>
      <c r="Y501" s="20" t="s">
        <v>8766</v>
      </c>
    </row>
    <row r="502">
      <c r="A502" s="9">
        <v>481.0</v>
      </c>
      <c r="B502" s="10" t="s">
        <v>8767</v>
      </c>
      <c r="C502" s="11" t="s">
        <v>8768</v>
      </c>
      <c r="D502" s="12" t="s">
        <v>31</v>
      </c>
      <c r="E502" s="13" t="s">
        <v>8769</v>
      </c>
      <c r="F502" s="12">
        <v>22.0</v>
      </c>
      <c r="G502" s="12">
        <v>2003.0</v>
      </c>
      <c r="H502" s="23">
        <v>0.0</v>
      </c>
      <c r="I502" s="36"/>
      <c r="J502" s="36"/>
      <c r="K502" s="36"/>
      <c r="L502" s="36"/>
      <c r="M502" s="23">
        <v>0.0</v>
      </c>
      <c r="N502" s="36"/>
      <c r="O502" s="21">
        <v>0.0</v>
      </c>
      <c r="P502" s="23">
        <v>0.0</v>
      </c>
      <c r="Q502" s="36"/>
      <c r="R502" s="15">
        <v>3.0</v>
      </c>
      <c r="S502" s="58"/>
      <c r="T502" s="36"/>
      <c r="U502" s="36"/>
      <c r="V502" s="36"/>
      <c r="W502" s="36"/>
      <c r="X502" s="36"/>
      <c r="Y502" s="20" t="s">
        <v>8770</v>
      </c>
    </row>
    <row r="503">
      <c r="A503" s="9">
        <v>482.0</v>
      </c>
      <c r="B503" s="10" t="s">
        <v>8771</v>
      </c>
      <c r="C503" s="11" t="s">
        <v>8772</v>
      </c>
      <c r="D503" s="12" t="s">
        <v>31</v>
      </c>
      <c r="E503" s="13" t="s">
        <v>8773</v>
      </c>
      <c r="F503" s="12">
        <v>27.0</v>
      </c>
      <c r="G503" s="12">
        <v>1998.0</v>
      </c>
      <c r="H503" s="14">
        <v>6.0</v>
      </c>
      <c r="I503" s="15">
        <v>92.0</v>
      </c>
      <c r="J503" s="15">
        <v>15.0</v>
      </c>
      <c r="K503" s="15">
        <v>2.7</v>
      </c>
      <c r="L503" s="15">
        <v>1.0</v>
      </c>
      <c r="M503" s="22">
        <v>0.0</v>
      </c>
      <c r="N503" s="36"/>
      <c r="O503" s="19">
        <v>0.0</v>
      </c>
      <c r="P503" s="17">
        <v>6.0</v>
      </c>
      <c r="Q503" s="15">
        <v>15.0</v>
      </c>
      <c r="R503" s="18">
        <v>10.0</v>
      </c>
      <c r="S503" s="14">
        <v>1.5</v>
      </c>
      <c r="T503" s="18">
        <v>3.0</v>
      </c>
      <c r="U503" s="18">
        <v>2.0</v>
      </c>
      <c r="V503" s="54">
        <v>1.0</v>
      </c>
      <c r="W503" s="55">
        <f>+0.98</f>
        <v>0.98</v>
      </c>
      <c r="X503" s="55">
        <f>+0.92</f>
        <v>0.92</v>
      </c>
      <c r="Y503" s="20" t="s">
        <v>8774</v>
      </c>
    </row>
    <row r="504">
      <c r="A504" s="9">
        <v>483.0</v>
      </c>
      <c r="B504" s="10" t="s">
        <v>8775</v>
      </c>
      <c r="C504" s="11" t="s">
        <v>8776</v>
      </c>
      <c r="D504" s="12" t="s">
        <v>31</v>
      </c>
      <c r="E504" s="13" t="s">
        <v>8777</v>
      </c>
      <c r="F504" s="12">
        <v>18.0</v>
      </c>
      <c r="G504" s="12">
        <v>2007.0</v>
      </c>
      <c r="H504" s="14">
        <v>1.0</v>
      </c>
      <c r="I504" s="15">
        <v>1.0</v>
      </c>
      <c r="J504" s="15">
        <v>1.0</v>
      </c>
      <c r="K504" s="21">
        <v>0.0</v>
      </c>
      <c r="L504" s="21">
        <v>0.0</v>
      </c>
      <c r="M504" s="23">
        <v>0.0</v>
      </c>
      <c r="N504" s="36"/>
      <c r="O504" s="21">
        <v>0.0</v>
      </c>
      <c r="P504" s="14">
        <v>1.0</v>
      </c>
      <c r="Q504" s="15">
        <v>1.0</v>
      </c>
      <c r="R504" s="15">
        <v>6.0</v>
      </c>
      <c r="S504" s="14">
        <v>3.0</v>
      </c>
      <c r="T504" s="21">
        <v>0.0</v>
      </c>
      <c r="U504" s="21">
        <v>0.0</v>
      </c>
      <c r="V504" s="21">
        <v>0.0</v>
      </c>
      <c r="W504" s="21">
        <v>0.0</v>
      </c>
      <c r="X504" s="57">
        <v>-0.16</v>
      </c>
      <c r="Y504" s="20" t="s">
        <v>8778</v>
      </c>
    </row>
    <row r="505">
      <c r="A505" s="9">
        <v>484.0</v>
      </c>
      <c r="B505" s="10" t="s">
        <v>8779</v>
      </c>
      <c r="C505" s="11" t="s">
        <v>8780</v>
      </c>
      <c r="D505" s="12" t="s">
        <v>98</v>
      </c>
      <c r="E505" s="13" t="s">
        <v>8781</v>
      </c>
      <c r="F505" s="12">
        <v>32.0</v>
      </c>
      <c r="G505" s="12">
        <v>1992.0</v>
      </c>
      <c r="H505" s="14">
        <v>3.0</v>
      </c>
      <c r="I505" s="15">
        <v>270.0</v>
      </c>
      <c r="J505" s="15">
        <v>90.0</v>
      </c>
      <c r="K505" s="15">
        <v>7.9</v>
      </c>
      <c r="L505" s="15">
        <v>3.0</v>
      </c>
      <c r="M505" s="17">
        <v>1.0</v>
      </c>
      <c r="N505" s="15">
        <v>90.0</v>
      </c>
      <c r="O505" s="18">
        <v>1.0</v>
      </c>
      <c r="P505" s="22">
        <v>0.0</v>
      </c>
      <c r="Q505" s="36"/>
      <c r="R505" s="18">
        <v>2.67</v>
      </c>
      <c r="S505" s="14">
        <v>0.33</v>
      </c>
      <c r="T505" s="18">
        <v>0.33</v>
      </c>
      <c r="U505" s="18">
        <v>1.33</v>
      </c>
      <c r="V505" s="56">
        <v>-1.0</v>
      </c>
      <c r="W505" s="57">
        <v>-1.0</v>
      </c>
      <c r="X505" s="57">
        <v>-1.0</v>
      </c>
      <c r="Y505" s="20" t="s">
        <v>8782</v>
      </c>
    </row>
    <row r="506">
      <c r="A506" s="9">
        <v>485.0</v>
      </c>
      <c r="B506" s="10" t="s">
        <v>8783</v>
      </c>
      <c r="C506" s="11" t="s">
        <v>8784</v>
      </c>
      <c r="D506" s="12" t="s">
        <v>98</v>
      </c>
      <c r="E506" s="13" t="s">
        <v>8785</v>
      </c>
      <c r="F506" s="12">
        <v>32.0</v>
      </c>
      <c r="G506" s="12">
        <v>1992.0</v>
      </c>
      <c r="H506" s="23">
        <v>0.0</v>
      </c>
      <c r="I506" s="36"/>
      <c r="J506" s="36"/>
      <c r="K506" s="36"/>
      <c r="L506" s="36"/>
      <c r="M506" s="23">
        <v>0.0</v>
      </c>
      <c r="N506" s="36"/>
      <c r="O506" s="21">
        <v>0.0</v>
      </c>
      <c r="P506" s="23">
        <v>0.0</v>
      </c>
      <c r="Q506" s="36"/>
      <c r="R506" s="15">
        <v>1.0</v>
      </c>
      <c r="S506" s="58"/>
      <c r="T506" s="36"/>
      <c r="U506" s="36"/>
      <c r="V506" s="36"/>
      <c r="W506" s="36"/>
      <c r="X506" s="36"/>
      <c r="Y506" s="20" t="s">
        <v>8786</v>
      </c>
    </row>
    <row r="507">
      <c r="A507" s="9">
        <v>486.0</v>
      </c>
      <c r="B507" s="10" t="s">
        <v>8787</v>
      </c>
      <c r="C507" s="11" t="s">
        <v>8788</v>
      </c>
      <c r="D507" s="12" t="s">
        <v>41</v>
      </c>
      <c r="E507" s="13" t="s">
        <v>8789</v>
      </c>
      <c r="F507" s="12">
        <v>21.0</v>
      </c>
      <c r="G507" s="12">
        <v>2003.0</v>
      </c>
      <c r="H507" s="14">
        <v>24.0</v>
      </c>
      <c r="I507" s="15">
        <v>819.0</v>
      </c>
      <c r="J507" s="15">
        <v>34.0</v>
      </c>
      <c r="K507" s="15">
        <v>23.9</v>
      </c>
      <c r="L507" s="15">
        <v>9.1</v>
      </c>
      <c r="M507" s="17">
        <v>0.88</v>
      </c>
      <c r="N507" s="15">
        <v>77.0</v>
      </c>
      <c r="O507" s="18">
        <v>0.22</v>
      </c>
      <c r="P507" s="17">
        <v>1.76</v>
      </c>
      <c r="Q507" s="15">
        <v>13.0</v>
      </c>
      <c r="R507" s="18">
        <v>0.22</v>
      </c>
      <c r="S507" s="14">
        <v>1.04</v>
      </c>
      <c r="T507" s="18">
        <v>1.21</v>
      </c>
      <c r="U507" s="18">
        <v>1.54</v>
      </c>
      <c r="V507" s="56">
        <v>-0.33</v>
      </c>
      <c r="W507" s="57">
        <v>-0.33</v>
      </c>
      <c r="X507" s="57">
        <v>-0.36</v>
      </c>
      <c r="Y507" s="20" t="s">
        <v>8790</v>
      </c>
    </row>
    <row r="508">
      <c r="A508" s="9">
        <v>487.0</v>
      </c>
      <c r="B508" s="10" t="s">
        <v>8791</v>
      </c>
      <c r="C508" s="11" t="s">
        <v>8792</v>
      </c>
      <c r="D508" s="12" t="s">
        <v>31</v>
      </c>
      <c r="E508" s="13" t="s">
        <v>8793</v>
      </c>
      <c r="F508" s="12">
        <v>23.0</v>
      </c>
      <c r="G508" s="12">
        <v>2002.0</v>
      </c>
      <c r="H508" s="14">
        <v>32.0</v>
      </c>
      <c r="I508" s="16">
        <v>2276.0</v>
      </c>
      <c r="J508" s="15">
        <v>71.0</v>
      </c>
      <c r="K508" s="15">
        <v>66.5</v>
      </c>
      <c r="L508" s="15">
        <v>25.3</v>
      </c>
      <c r="M508" s="17">
        <v>0.99</v>
      </c>
      <c r="N508" s="15">
        <v>84.0</v>
      </c>
      <c r="O508" s="18">
        <v>0.47</v>
      </c>
      <c r="P508" s="17">
        <v>0.28</v>
      </c>
      <c r="Q508" s="15">
        <v>25.0</v>
      </c>
      <c r="R508" s="19">
        <v>0.0</v>
      </c>
      <c r="S508" s="14">
        <v>1.25</v>
      </c>
      <c r="T508" s="18">
        <v>1.38</v>
      </c>
      <c r="U508" s="18">
        <v>1.38</v>
      </c>
      <c r="V508" s="19">
        <v>0.0</v>
      </c>
      <c r="W508" s="21">
        <v>0.0</v>
      </c>
      <c r="X508" s="57">
        <v>-0.24</v>
      </c>
      <c r="Y508" s="20" t="s">
        <v>8794</v>
      </c>
    </row>
    <row r="509">
      <c r="A509" s="9">
        <v>488.0</v>
      </c>
      <c r="B509" s="10" t="s">
        <v>8795</v>
      </c>
      <c r="C509" s="11" t="s">
        <v>8796</v>
      </c>
      <c r="D509" s="12" t="s">
        <v>31</v>
      </c>
      <c r="E509" s="13" t="s">
        <v>8797</v>
      </c>
      <c r="F509" s="12">
        <v>19.0</v>
      </c>
      <c r="G509" s="12">
        <v>2005.0</v>
      </c>
      <c r="H509" s="23">
        <v>0.0</v>
      </c>
      <c r="I509" s="36"/>
      <c r="J509" s="36"/>
      <c r="K509" s="36"/>
      <c r="L509" s="36"/>
      <c r="M509" s="23">
        <v>0.0</v>
      </c>
      <c r="N509" s="36"/>
      <c r="O509" s="21">
        <v>0.0</v>
      </c>
      <c r="P509" s="23">
        <v>0.0</v>
      </c>
      <c r="Q509" s="36"/>
      <c r="R509" s="15">
        <v>1.0</v>
      </c>
      <c r="S509" s="58"/>
      <c r="T509" s="36"/>
      <c r="U509" s="36"/>
      <c r="V509" s="36"/>
      <c r="W509" s="36"/>
      <c r="X509" s="36"/>
      <c r="Y509" s="20" t="s">
        <v>8798</v>
      </c>
    </row>
    <row r="510">
      <c r="A510" s="9">
        <v>489.0</v>
      </c>
      <c r="B510" s="10" t="s">
        <v>8799</v>
      </c>
      <c r="C510" s="11" t="s">
        <v>8800</v>
      </c>
      <c r="D510" s="12" t="s">
        <v>345</v>
      </c>
      <c r="E510" s="13" t="s">
        <v>8801</v>
      </c>
      <c r="F510" s="12">
        <v>20.0</v>
      </c>
      <c r="G510" s="12">
        <v>2005.0</v>
      </c>
      <c r="H510" s="14">
        <v>34.0</v>
      </c>
      <c r="I510" s="16">
        <v>2646.0</v>
      </c>
      <c r="J510" s="15">
        <v>78.0</v>
      </c>
      <c r="K510" s="15">
        <v>77.4</v>
      </c>
      <c r="L510" s="15">
        <v>29.4</v>
      </c>
      <c r="M510" s="17">
        <v>0.99</v>
      </c>
      <c r="N510" s="15">
        <v>87.0</v>
      </c>
      <c r="O510" s="18">
        <v>0.75</v>
      </c>
      <c r="P510" s="17">
        <v>0.17</v>
      </c>
      <c r="Q510" s="15">
        <v>27.0</v>
      </c>
      <c r="R510" s="18">
        <v>0.03</v>
      </c>
      <c r="S510" s="14">
        <v>2.18</v>
      </c>
      <c r="T510" s="18">
        <v>2.14</v>
      </c>
      <c r="U510" s="18">
        <v>0.85</v>
      </c>
      <c r="V510" s="54">
        <v>1.29</v>
      </c>
      <c r="W510" s="55">
        <f>+1.29</f>
        <v>1.29</v>
      </c>
      <c r="X510" s="55">
        <f>+0.83</f>
        <v>0.83</v>
      </c>
      <c r="Y510" s="20" t="s">
        <v>8802</v>
      </c>
    </row>
    <row r="511">
      <c r="A511" s="9">
        <v>490.0</v>
      </c>
      <c r="B511" s="10" t="s">
        <v>8803</v>
      </c>
      <c r="C511" s="11" t="s">
        <v>8804</v>
      </c>
      <c r="D511" s="12" t="s">
        <v>26</v>
      </c>
      <c r="E511" s="13" t="s">
        <v>8805</v>
      </c>
      <c r="F511" s="12">
        <v>21.0</v>
      </c>
      <c r="G511" s="12">
        <v>2004.0</v>
      </c>
      <c r="H511" s="14">
        <v>14.0</v>
      </c>
      <c r="I511" s="15">
        <v>823.0</v>
      </c>
      <c r="J511" s="15">
        <v>59.0</v>
      </c>
      <c r="K511" s="15">
        <v>24.1</v>
      </c>
      <c r="L511" s="15">
        <v>9.1</v>
      </c>
      <c r="M511" s="17">
        <v>1.1</v>
      </c>
      <c r="N511" s="15">
        <v>73.0</v>
      </c>
      <c r="O511" s="18">
        <v>0.22</v>
      </c>
      <c r="P511" s="17">
        <v>0.44</v>
      </c>
      <c r="Q511" s="15">
        <v>23.0</v>
      </c>
      <c r="R511" s="18">
        <v>0.11</v>
      </c>
      <c r="S511" s="14">
        <v>1.43</v>
      </c>
      <c r="T511" s="18">
        <v>1.32</v>
      </c>
      <c r="U511" s="18">
        <v>1.32</v>
      </c>
      <c r="V511" s="19">
        <v>0.0</v>
      </c>
      <c r="W511" s="21">
        <v>0.0</v>
      </c>
      <c r="X511" s="55">
        <f>+0.66</f>
        <v>0.66</v>
      </c>
      <c r="Y511" s="20" t="s">
        <v>8806</v>
      </c>
    </row>
    <row r="512">
      <c r="A512" s="9">
        <v>491.0</v>
      </c>
      <c r="B512" s="10" t="s">
        <v>8807</v>
      </c>
      <c r="C512" s="11" t="s">
        <v>8808</v>
      </c>
      <c r="D512" s="12" t="s">
        <v>31</v>
      </c>
      <c r="E512" s="13" t="s">
        <v>8809</v>
      </c>
      <c r="F512" s="12">
        <v>30.0</v>
      </c>
      <c r="G512" s="12">
        <v>1995.0</v>
      </c>
      <c r="H512" s="14">
        <v>33.0</v>
      </c>
      <c r="I512" s="16">
        <v>2199.0</v>
      </c>
      <c r="J512" s="15">
        <v>67.0</v>
      </c>
      <c r="K512" s="15">
        <v>64.3</v>
      </c>
      <c r="L512" s="15">
        <v>24.4</v>
      </c>
      <c r="M512" s="17">
        <v>0.94</v>
      </c>
      <c r="N512" s="15">
        <v>84.0</v>
      </c>
      <c r="O512" s="18">
        <v>0.61</v>
      </c>
      <c r="P512" s="17">
        <v>0.41</v>
      </c>
      <c r="Q512" s="15">
        <v>26.0</v>
      </c>
      <c r="R512" s="18">
        <v>0.08</v>
      </c>
      <c r="S512" s="14">
        <v>1.15</v>
      </c>
      <c r="T512" s="18">
        <v>1.27</v>
      </c>
      <c r="U512" s="18">
        <v>1.52</v>
      </c>
      <c r="V512" s="56">
        <v>-0.25</v>
      </c>
      <c r="W512" s="57">
        <v>-0.25</v>
      </c>
      <c r="X512" s="57">
        <v>-0.02</v>
      </c>
      <c r="Y512" s="20" t="s">
        <v>8810</v>
      </c>
    </row>
    <row r="513">
      <c r="A513" s="9">
        <v>492.0</v>
      </c>
      <c r="B513" s="10" t="s">
        <v>8811</v>
      </c>
      <c r="C513" s="11" t="s">
        <v>8812</v>
      </c>
      <c r="D513" s="12" t="s">
        <v>31</v>
      </c>
      <c r="E513" s="13" t="s">
        <v>8813</v>
      </c>
      <c r="F513" s="12">
        <v>23.0</v>
      </c>
      <c r="G513" s="12">
        <v>2002.0</v>
      </c>
      <c r="H513" s="14">
        <v>26.0</v>
      </c>
      <c r="I513" s="16">
        <v>1955.0</v>
      </c>
      <c r="J513" s="15">
        <v>75.0</v>
      </c>
      <c r="K513" s="15">
        <v>57.2</v>
      </c>
      <c r="L513" s="15">
        <v>21.7</v>
      </c>
      <c r="M513" s="17">
        <v>1.11</v>
      </c>
      <c r="N513" s="15">
        <v>79.0</v>
      </c>
      <c r="O513" s="18">
        <v>0.55</v>
      </c>
      <c r="P513" s="17">
        <v>0.09</v>
      </c>
      <c r="Q513" s="15">
        <v>33.0</v>
      </c>
      <c r="R513" s="18">
        <v>0.05</v>
      </c>
      <c r="S513" s="14">
        <v>1.04</v>
      </c>
      <c r="T513" s="18">
        <v>1.47</v>
      </c>
      <c r="U513" s="18">
        <v>1.52</v>
      </c>
      <c r="V513" s="56">
        <v>-0.05</v>
      </c>
      <c r="W513" s="57">
        <v>-0.05</v>
      </c>
      <c r="X513" s="57">
        <v>-0.48</v>
      </c>
      <c r="Y513" s="20" t="s">
        <v>8814</v>
      </c>
    </row>
    <row r="514">
      <c r="A514" s="9">
        <v>493.0</v>
      </c>
      <c r="B514" s="10" t="s">
        <v>8815</v>
      </c>
      <c r="C514" s="11" t="s">
        <v>8816</v>
      </c>
      <c r="D514" s="12" t="s">
        <v>26</v>
      </c>
      <c r="E514" s="13" t="s">
        <v>8817</v>
      </c>
      <c r="F514" s="12">
        <v>27.0</v>
      </c>
      <c r="G514" s="12">
        <v>1997.0</v>
      </c>
      <c r="H514" s="14">
        <v>18.0</v>
      </c>
      <c r="I514" s="16">
        <v>1511.0</v>
      </c>
      <c r="J514" s="15">
        <v>84.0</v>
      </c>
      <c r="K514" s="15">
        <v>44.2</v>
      </c>
      <c r="L514" s="15">
        <v>16.8</v>
      </c>
      <c r="M514" s="17">
        <v>1.07</v>
      </c>
      <c r="N514" s="15">
        <v>84.0</v>
      </c>
      <c r="O514" s="18">
        <v>0.48</v>
      </c>
      <c r="P514" s="22">
        <v>0.0</v>
      </c>
      <c r="Q514" s="36"/>
      <c r="R514" s="19">
        <v>0.0</v>
      </c>
      <c r="S514" s="14">
        <v>0.67</v>
      </c>
      <c r="T514" s="18">
        <v>1.07</v>
      </c>
      <c r="U514" s="18">
        <v>1.9</v>
      </c>
      <c r="V514" s="56">
        <v>-0.83</v>
      </c>
      <c r="W514" s="57">
        <v>-0.83</v>
      </c>
      <c r="X514" s="57">
        <v>-0.6</v>
      </c>
      <c r="Y514" s="20" t="s">
        <v>8818</v>
      </c>
    </row>
    <row r="515">
      <c r="A515" s="9">
        <v>494.0</v>
      </c>
      <c r="B515" s="10" t="s">
        <v>8819</v>
      </c>
      <c r="C515" s="11" t="s">
        <v>8820</v>
      </c>
      <c r="D515" s="12" t="s">
        <v>98</v>
      </c>
      <c r="E515" s="13" t="s">
        <v>8821</v>
      </c>
      <c r="F515" s="12">
        <v>25.0</v>
      </c>
      <c r="G515" s="12">
        <v>2000.0</v>
      </c>
      <c r="H515" s="23">
        <v>0.0</v>
      </c>
      <c r="I515" s="36"/>
      <c r="J515" s="36"/>
      <c r="K515" s="36"/>
      <c r="L515" s="36"/>
      <c r="M515" s="23">
        <v>0.0</v>
      </c>
      <c r="N515" s="36"/>
      <c r="O515" s="21">
        <v>0.0</v>
      </c>
      <c r="P515" s="23">
        <v>0.0</v>
      </c>
      <c r="Q515" s="36"/>
      <c r="R515" s="15">
        <v>23.0</v>
      </c>
      <c r="S515" s="58"/>
      <c r="T515" s="36"/>
      <c r="U515" s="36"/>
      <c r="V515" s="36"/>
      <c r="W515" s="36"/>
      <c r="X515" s="36"/>
      <c r="Y515" s="20" t="s">
        <v>8822</v>
      </c>
    </row>
    <row r="516">
      <c r="A516" s="9">
        <v>495.0</v>
      </c>
      <c r="B516" s="10" t="s">
        <v>8823</v>
      </c>
      <c r="C516" s="11" t="s">
        <v>8824</v>
      </c>
      <c r="D516" s="12" t="s">
        <v>36</v>
      </c>
      <c r="E516" s="13" t="s">
        <v>8825</v>
      </c>
      <c r="F516" s="12">
        <v>23.0</v>
      </c>
      <c r="G516" s="12">
        <v>2001.0</v>
      </c>
      <c r="H516" s="14">
        <v>7.0</v>
      </c>
      <c r="I516" s="15">
        <v>241.0</v>
      </c>
      <c r="J516" s="15">
        <v>34.0</v>
      </c>
      <c r="K516" s="15">
        <v>7.0</v>
      </c>
      <c r="L516" s="15">
        <v>2.7</v>
      </c>
      <c r="M516" s="17">
        <v>1.11</v>
      </c>
      <c r="N516" s="15">
        <v>77.0</v>
      </c>
      <c r="O516" s="18">
        <v>0.37</v>
      </c>
      <c r="P516" s="17">
        <v>1.48</v>
      </c>
      <c r="Q516" s="15">
        <v>3.0</v>
      </c>
      <c r="R516" s="18">
        <v>7.78</v>
      </c>
      <c r="S516" s="14">
        <v>1.57</v>
      </c>
      <c r="T516" s="18">
        <v>1.11</v>
      </c>
      <c r="U516" s="18">
        <v>0.74</v>
      </c>
      <c r="V516" s="54">
        <v>0.37</v>
      </c>
      <c r="W516" s="55">
        <f>+0.37</f>
        <v>0.37</v>
      </c>
      <c r="X516" s="55">
        <f>+0.49</f>
        <v>0.49</v>
      </c>
      <c r="Y516" s="20" t="s">
        <v>8826</v>
      </c>
    </row>
    <row r="517">
      <c r="A517" s="9">
        <v>496.0</v>
      </c>
      <c r="B517" s="10" t="s">
        <v>8827</v>
      </c>
      <c r="C517" s="11" t="s">
        <v>8828</v>
      </c>
      <c r="D517" s="12" t="s">
        <v>36</v>
      </c>
      <c r="E517" s="13" t="s">
        <v>8829</v>
      </c>
      <c r="F517" s="12">
        <v>19.0</v>
      </c>
      <c r="G517" s="12">
        <v>2005.0</v>
      </c>
      <c r="H517" s="23">
        <v>0.0</v>
      </c>
      <c r="I517" s="36"/>
      <c r="J517" s="36"/>
      <c r="K517" s="36"/>
      <c r="L517" s="36"/>
      <c r="M517" s="23">
        <v>0.0</v>
      </c>
      <c r="N517" s="36"/>
      <c r="O517" s="21">
        <v>0.0</v>
      </c>
      <c r="P517" s="23">
        <v>0.0</v>
      </c>
      <c r="Q517" s="36"/>
      <c r="R517" s="15">
        <v>1.0</v>
      </c>
      <c r="S517" s="58"/>
      <c r="T517" s="36"/>
      <c r="U517" s="36"/>
      <c r="V517" s="36"/>
      <c r="W517" s="36"/>
      <c r="X517" s="36"/>
      <c r="Y517" s="20" t="s">
        <v>8830</v>
      </c>
    </row>
    <row r="518">
      <c r="A518" s="9">
        <v>497.0</v>
      </c>
      <c r="B518" s="10" t="s">
        <v>8831</v>
      </c>
      <c r="C518" s="11" t="s">
        <v>8832</v>
      </c>
      <c r="D518" s="12" t="s">
        <v>31</v>
      </c>
      <c r="E518" s="13" t="s">
        <v>8833</v>
      </c>
      <c r="F518" s="12">
        <v>22.0</v>
      </c>
      <c r="G518" s="12">
        <v>2002.0</v>
      </c>
      <c r="H518" s="14">
        <v>1.0</v>
      </c>
      <c r="I518" s="15">
        <v>1.0</v>
      </c>
      <c r="J518" s="15">
        <v>1.0</v>
      </c>
      <c r="K518" s="21">
        <v>0.0</v>
      </c>
      <c r="L518" s="21">
        <v>0.0</v>
      </c>
      <c r="M518" s="23">
        <v>0.0</v>
      </c>
      <c r="N518" s="36"/>
      <c r="O518" s="21">
        <v>0.0</v>
      </c>
      <c r="P518" s="14">
        <v>1.0</v>
      </c>
      <c r="Q518" s="15">
        <v>1.0</v>
      </c>
      <c r="R518" s="15">
        <v>4.0</v>
      </c>
      <c r="S518" s="14">
        <v>3.0</v>
      </c>
      <c r="T518" s="21">
        <v>0.0</v>
      </c>
      <c r="U518" s="21">
        <v>0.0</v>
      </c>
      <c r="V518" s="21">
        <v>0.0</v>
      </c>
      <c r="W518" s="21">
        <v>0.0</v>
      </c>
      <c r="X518" s="57">
        <v>-0.08</v>
      </c>
      <c r="Y518" s="20" t="s">
        <v>8834</v>
      </c>
    </row>
    <row r="519">
      <c r="A519" s="9">
        <v>498.0</v>
      </c>
      <c r="B519" s="10" t="s">
        <v>8835</v>
      </c>
      <c r="C519" s="11" t="s">
        <v>8836</v>
      </c>
      <c r="D519" s="12" t="s">
        <v>98</v>
      </c>
      <c r="E519" s="13" t="s">
        <v>8837</v>
      </c>
      <c r="F519" s="12">
        <v>20.0</v>
      </c>
      <c r="G519" s="12">
        <v>2005.0</v>
      </c>
      <c r="H519" s="23">
        <v>0.0</v>
      </c>
      <c r="I519" s="36"/>
      <c r="J519" s="36"/>
      <c r="K519" s="36"/>
      <c r="L519" s="36"/>
      <c r="M519" s="23">
        <v>0.0</v>
      </c>
      <c r="N519" s="36"/>
      <c r="O519" s="21">
        <v>0.0</v>
      </c>
      <c r="P519" s="23">
        <v>0.0</v>
      </c>
      <c r="Q519" s="36"/>
      <c r="R519" s="15">
        <v>4.0</v>
      </c>
      <c r="S519" s="58"/>
      <c r="T519" s="36"/>
      <c r="U519" s="36"/>
      <c r="V519" s="36"/>
      <c r="W519" s="36"/>
      <c r="X519" s="36"/>
      <c r="Y519" s="20" t="s">
        <v>8838</v>
      </c>
    </row>
    <row r="520">
      <c r="A520" s="9">
        <v>499.0</v>
      </c>
      <c r="B520" s="10" t="s">
        <v>8839</v>
      </c>
      <c r="C520" s="11" t="s">
        <v>8840</v>
      </c>
      <c r="D520" s="12" t="s">
        <v>31</v>
      </c>
      <c r="E520" s="13" t="s">
        <v>8841</v>
      </c>
      <c r="F520" s="12">
        <v>29.0</v>
      </c>
      <c r="G520" s="12">
        <v>1996.0</v>
      </c>
      <c r="H520" s="23">
        <v>0.0</v>
      </c>
      <c r="I520" s="36"/>
      <c r="J520" s="36"/>
      <c r="K520" s="36"/>
      <c r="L520" s="36"/>
      <c r="M520" s="23">
        <v>0.0</v>
      </c>
      <c r="N520" s="36"/>
      <c r="O520" s="21">
        <v>0.0</v>
      </c>
      <c r="P520" s="23">
        <v>0.0</v>
      </c>
      <c r="Q520" s="36"/>
      <c r="R520" s="15">
        <v>1.0</v>
      </c>
      <c r="S520" s="58"/>
      <c r="T520" s="36"/>
      <c r="U520" s="36"/>
      <c r="V520" s="36"/>
      <c r="W520" s="36"/>
      <c r="X520" s="36"/>
      <c r="Y520" s="20" t="s">
        <v>8842</v>
      </c>
    </row>
    <row r="521">
      <c r="A521" s="9">
        <v>500.0</v>
      </c>
      <c r="B521" s="10" t="s">
        <v>8843</v>
      </c>
      <c r="C521" s="11" t="s">
        <v>8844</v>
      </c>
      <c r="D521" s="12" t="s">
        <v>98</v>
      </c>
      <c r="E521" s="13" t="s">
        <v>8845</v>
      </c>
      <c r="F521" s="12">
        <v>27.0</v>
      </c>
      <c r="G521" s="12">
        <v>1997.0</v>
      </c>
      <c r="H521" s="14">
        <v>16.0</v>
      </c>
      <c r="I521" s="16">
        <v>1440.0</v>
      </c>
      <c r="J521" s="15">
        <v>90.0</v>
      </c>
      <c r="K521" s="15">
        <v>42.1</v>
      </c>
      <c r="L521" s="15">
        <v>16.0</v>
      </c>
      <c r="M521" s="17">
        <v>1.0</v>
      </c>
      <c r="N521" s="15">
        <v>90.0</v>
      </c>
      <c r="O521" s="18">
        <v>1.0</v>
      </c>
      <c r="P521" s="22">
        <v>0.0</v>
      </c>
      <c r="Q521" s="36"/>
      <c r="R521" s="18">
        <v>1.13</v>
      </c>
      <c r="S521" s="14">
        <v>1.13</v>
      </c>
      <c r="T521" s="18">
        <v>1.44</v>
      </c>
      <c r="U521" s="18">
        <v>1.81</v>
      </c>
      <c r="V521" s="56">
        <v>-0.38</v>
      </c>
      <c r="W521" s="57">
        <v>-0.37</v>
      </c>
      <c r="X521" s="57">
        <v>-0.33</v>
      </c>
      <c r="Y521" s="20" t="s">
        <v>8846</v>
      </c>
    </row>
    <row r="522">
      <c r="A522" s="37" t="s">
        <v>3</v>
      </c>
      <c r="B522" s="38" t="s">
        <v>4</v>
      </c>
      <c r="C522" s="39" t="s">
        <v>5</v>
      </c>
      <c r="D522" s="39" t="s">
        <v>6</v>
      </c>
      <c r="E522" s="39" t="s">
        <v>7</v>
      </c>
      <c r="F522" s="39" t="s">
        <v>8</v>
      </c>
      <c r="G522" s="39" t="s">
        <v>9</v>
      </c>
      <c r="H522" s="40" t="s">
        <v>10</v>
      </c>
      <c r="I522" s="39" t="s">
        <v>12</v>
      </c>
      <c r="J522" s="39" t="s">
        <v>6838</v>
      </c>
      <c r="K522" s="39" t="s">
        <v>6839</v>
      </c>
      <c r="L522" s="39" t="s">
        <v>13</v>
      </c>
      <c r="M522" s="40" t="s">
        <v>11</v>
      </c>
      <c r="N522" s="39" t="s">
        <v>6840</v>
      </c>
      <c r="O522" s="39" t="s">
        <v>6841</v>
      </c>
      <c r="P522" s="40" t="s">
        <v>6836</v>
      </c>
      <c r="Q522" s="39" t="s">
        <v>6842</v>
      </c>
      <c r="R522" s="39" t="s">
        <v>6843</v>
      </c>
      <c r="S522" s="40" t="s">
        <v>6844</v>
      </c>
      <c r="T522" s="39" t="s">
        <v>6845</v>
      </c>
      <c r="U522" s="39" t="s">
        <v>6846</v>
      </c>
      <c r="V522" s="59" t="str">
        <f>+/-</f>
        <v>#ERROR!</v>
      </c>
      <c r="W522" s="59" t="str">
        <f>+/-90</f>
        <v>#ERROR!</v>
      </c>
      <c r="X522" s="39" t="s">
        <v>6847</v>
      </c>
      <c r="Y522" s="40" t="s">
        <v>23</v>
      </c>
    </row>
    <row r="523">
      <c r="A523" s="9">
        <v>501.0</v>
      </c>
      <c r="B523" s="10" t="s">
        <v>8847</v>
      </c>
      <c r="C523" s="11" t="s">
        <v>8848</v>
      </c>
      <c r="D523" s="12" t="s">
        <v>98</v>
      </c>
      <c r="E523" s="13" t="s">
        <v>8849</v>
      </c>
      <c r="F523" s="12">
        <v>25.0</v>
      </c>
      <c r="G523" s="12">
        <v>1999.0</v>
      </c>
      <c r="H523" s="14">
        <v>38.0</v>
      </c>
      <c r="I523" s="16">
        <v>3420.0</v>
      </c>
      <c r="J523" s="15">
        <v>90.0</v>
      </c>
      <c r="K523" s="15">
        <v>100.0</v>
      </c>
      <c r="L523" s="15">
        <v>38.0</v>
      </c>
      <c r="M523" s="17">
        <v>1.0</v>
      </c>
      <c r="N523" s="15">
        <v>90.0</v>
      </c>
      <c r="O523" s="18">
        <v>1.0</v>
      </c>
      <c r="P523" s="22">
        <v>0.0</v>
      </c>
      <c r="Q523" s="36"/>
      <c r="R523" s="19">
        <v>0.0</v>
      </c>
      <c r="S523" s="14">
        <v>1.5</v>
      </c>
      <c r="T523" s="18">
        <v>1.53</v>
      </c>
      <c r="U523" s="18">
        <v>1.42</v>
      </c>
      <c r="V523" s="54">
        <v>0.11</v>
      </c>
      <c r="W523" s="55">
        <f>+0.11</f>
        <v>0.11</v>
      </c>
      <c r="X523" s="36"/>
      <c r="Y523" s="20" t="s">
        <v>8850</v>
      </c>
    </row>
    <row r="524">
      <c r="A524" s="9">
        <v>502.0</v>
      </c>
      <c r="B524" s="10" t="s">
        <v>8851</v>
      </c>
      <c r="C524" s="11" t="s">
        <v>8852</v>
      </c>
      <c r="D524" s="12" t="s">
        <v>98</v>
      </c>
      <c r="E524" s="13" t="s">
        <v>8853</v>
      </c>
      <c r="F524" s="12">
        <v>31.0</v>
      </c>
      <c r="G524" s="12">
        <v>1994.0</v>
      </c>
      <c r="H524" s="14">
        <v>38.0</v>
      </c>
      <c r="I524" s="16">
        <v>3420.0</v>
      </c>
      <c r="J524" s="15">
        <v>90.0</v>
      </c>
      <c r="K524" s="15">
        <v>100.0</v>
      </c>
      <c r="L524" s="15">
        <v>38.0</v>
      </c>
      <c r="M524" s="17">
        <v>1.0</v>
      </c>
      <c r="N524" s="15">
        <v>90.0</v>
      </c>
      <c r="O524" s="18">
        <v>1.0</v>
      </c>
      <c r="P524" s="22">
        <v>0.0</v>
      </c>
      <c r="Q524" s="36"/>
      <c r="R524" s="19">
        <v>0.0</v>
      </c>
      <c r="S524" s="14">
        <v>1.29</v>
      </c>
      <c r="T524" s="18">
        <v>1.24</v>
      </c>
      <c r="U524" s="18">
        <v>1.32</v>
      </c>
      <c r="V524" s="56">
        <v>-0.08</v>
      </c>
      <c r="W524" s="57">
        <v>-0.08</v>
      </c>
      <c r="X524" s="36"/>
      <c r="Y524" s="20" t="s">
        <v>8854</v>
      </c>
    </row>
    <row r="525">
      <c r="A525" s="9">
        <v>503.0</v>
      </c>
      <c r="B525" s="10" t="s">
        <v>8855</v>
      </c>
      <c r="C525" s="11" t="s">
        <v>8856</v>
      </c>
      <c r="D525" s="12" t="s">
        <v>31</v>
      </c>
      <c r="E525" s="13" t="s">
        <v>8857</v>
      </c>
      <c r="F525" s="12">
        <v>18.0</v>
      </c>
      <c r="G525" s="12">
        <v>2007.0</v>
      </c>
      <c r="H525" s="23">
        <v>0.0</v>
      </c>
      <c r="I525" s="36"/>
      <c r="J525" s="36"/>
      <c r="K525" s="36"/>
      <c r="L525" s="36"/>
      <c r="M525" s="23">
        <v>0.0</v>
      </c>
      <c r="N525" s="36"/>
      <c r="O525" s="21">
        <v>0.0</v>
      </c>
      <c r="P525" s="23">
        <v>0.0</v>
      </c>
      <c r="Q525" s="36"/>
      <c r="R525" s="15">
        <v>2.0</v>
      </c>
      <c r="S525" s="58"/>
      <c r="T525" s="36"/>
      <c r="U525" s="36"/>
      <c r="V525" s="36"/>
      <c r="W525" s="36"/>
      <c r="X525" s="36"/>
      <c r="Y525" s="20" t="s">
        <v>8858</v>
      </c>
    </row>
    <row r="526">
      <c r="A526" s="9">
        <v>504.0</v>
      </c>
      <c r="B526" s="10" t="s">
        <v>8859</v>
      </c>
      <c r="C526" s="11" t="s">
        <v>8860</v>
      </c>
      <c r="D526" s="12" t="s">
        <v>36</v>
      </c>
      <c r="E526" s="13" t="s">
        <v>8861</v>
      </c>
      <c r="F526" s="12">
        <v>32.0</v>
      </c>
      <c r="G526" s="12">
        <v>1993.0</v>
      </c>
      <c r="H526" s="14">
        <v>4.0</v>
      </c>
      <c r="I526" s="15">
        <v>318.0</v>
      </c>
      <c r="J526" s="15">
        <v>80.0</v>
      </c>
      <c r="K526" s="15">
        <v>9.3</v>
      </c>
      <c r="L526" s="15">
        <v>3.5</v>
      </c>
      <c r="M526" s="17">
        <v>1.14</v>
      </c>
      <c r="N526" s="15">
        <v>80.0</v>
      </c>
      <c r="O526" s="18">
        <v>0.29</v>
      </c>
      <c r="P526" s="22">
        <v>0.0</v>
      </c>
      <c r="Q526" s="36"/>
      <c r="R526" s="18">
        <v>9.14</v>
      </c>
      <c r="S526" s="14">
        <v>0.5</v>
      </c>
      <c r="T526" s="18">
        <v>0.57</v>
      </c>
      <c r="U526" s="18">
        <v>1.43</v>
      </c>
      <c r="V526" s="56">
        <v>-0.86</v>
      </c>
      <c r="W526" s="57">
        <v>-0.85</v>
      </c>
      <c r="X526" s="57">
        <v>-1.02</v>
      </c>
      <c r="Y526" s="20" t="s">
        <v>8862</v>
      </c>
    </row>
    <row r="527">
      <c r="A527" s="9">
        <v>505.0</v>
      </c>
      <c r="B527" s="10" t="s">
        <v>8863</v>
      </c>
      <c r="C527" s="11" t="s">
        <v>8864</v>
      </c>
      <c r="D527" s="12" t="s">
        <v>26</v>
      </c>
      <c r="E527" s="13" t="s">
        <v>8865</v>
      </c>
      <c r="F527" s="12">
        <v>22.0</v>
      </c>
      <c r="G527" s="12">
        <v>2002.0</v>
      </c>
      <c r="H527" s="14">
        <v>34.0</v>
      </c>
      <c r="I527" s="16">
        <v>2080.0</v>
      </c>
      <c r="J527" s="15">
        <v>61.0</v>
      </c>
      <c r="K527" s="15">
        <v>60.8</v>
      </c>
      <c r="L527" s="15">
        <v>23.1</v>
      </c>
      <c r="M527" s="17">
        <v>1.13</v>
      </c>
      <c r="N527" s="15">
        <v>73.0</v>
      </c>
      <c r="O527" s="18">
        <v>0.17</v>
      </c>
      <c r="P527" s="17">
        <v>0.35</v>
      </c>
      <c r="Q527" s="15">
        <v>23.0</v>
      </c>
      <c r="R527" s="18">
        <v>0.09</v>
      </c>
      <c r="S527" s="14">
        <v>1.15</v>
      </c>
      <c r="T527" s="18">
        <v>0.87</v>
      </c>
      <c r="U527" s="18">
        <v>1.21</v>
      </c>
      <c r="V527" s="56">
        <v>-0.35</v>
      </c>
      <c r="W527" s="57">
        <v>-0.35</v>
      </c>
      <c r="X527" s="57">
        <v>-0.21</v>
      </c>
      <c r="Y527" s="20" t="s">
        <v>8866</v>
      </c>
    </row>
    <row r="528">
      <c r="A528" s="9">
        <v>506.0</v>
      </c>
      <c r="B528" s="10" t="s">
        <v>8867</v>
      </c>
      <c r="C528" s="11" t="s">
        <v>8868</v>
      </c>
      <c r="D528" s="12" t="s">
        <v>41</v>
      </c>
      <c r="E528" s="13" t="s">
        <v>8869</v>
      </c>
      <c r="F528" s="12">
        <v>25.0</v>
      </c>
      <c r="G528" s="12">
        <v>1999.0</v>
      </c>
      <c r="H528" s="14">
        <v>16.0</v>
      </c>
      <c r="I528" s="15">
        <v>258.0</v>
      </c>
      <c r="J528" s="15">
        <v>16.0</v>
      </c>
      <c r="K528" s="15">
        <v>7.5</v>
      </c>
      <c r="L528" s="15">
        <v>2.9</v>
      </c>
      <c r="M528" s="17">
        <v>0.69</v>
      </c>
      <c r="N528" s="15">
        <v>67.0</v>
      </c>
      <c r="O528" s="19">
        <v>0.0</v>
      </c>
      <c r="P528" s="17">
        <v>4.83</v>
      </c>
      <c r="Q528" s="15">
        <v>9.0</v>
      </c>
      <c r="R528" s="18">
        <v>7.24</v>
      </c>
      <c r="S528" s="14">
        <v>0.94</v>
      </c>
      <c r="T528" s="18">
        <v>1.38</v>
      </c>
      <c r="U528" s="18">
        <v>3.1</v>
      </c>
      <c r="V528" s="56">
        <v>-1.72</v>
      </c>
      <c r="W528" s="57">
        <v>-1.74</v>
      </c>
      <c r="X528" s="57">
        <v>-1.69</v>
      </c>
      <c r="Y528" s="20" t="s">
        <v>8870</v>
      </c>
    </row>
    <row r="529">
      <c r="A529" s="9">
        <v>507.0</v>
      </c>
      <c r="B529" s="10" t="s">
        <v>8871</v>
      </c>
      <c r="C529" s="11" t="s">
        <v>8872</v>
      </c>
      <c r="D529" s="12" t="s">
        <v>36</v>
      </c>
      <c r="E529" s="13" t="s">
        <v>8873</v>
      </c>
      <c r="F529" s="12">
        <v>21.0</v>
      </c>
      <c r="G529" s="12">
        <v>2004.0</v>
      </c>
      <c r="H529" s="23">
        <v>0.0</v>
      </c>
      <c r="I529" s="36"/>
      <c r="J529" s="36"/>
      <c r="K529" s="36"/>
      <c r="L529" s="36"/>
      <c r="M529" s="23">
        <v>0.0</v>
      </c>
      <c r="N529" s="36"/>
      <c r="O529" s="21">
        <v>0.0</v>
      </c>
      <c r="P529" s="23">
        <v>0.0</v>
      </c>
      <c r="Q529" s="36"/>
      <c r="R529" s="15">
        <v>1.0</v>
      </c>
      <c r="S529" s="58"/>
      <c r="T529" s="36"/>
      <c r="U529" s="36"/>
      <c r="V529" s="36"/>
      <c r="W529" s="36"/>
      <c r="X529" s="36"/>
      <c r="Y529" s="20" t="s">
        <v>8874</v>
      </c>
    </row>
    <row r="530">
      <c r="A530" s="9">
        <v>508.0</v>
      </c>
      <c r="B530" s="10" t="s">
        <v>8875</v>
      </c>
      <c r="C530" s="11" t="s">
        <v>8876</v>
      </c>
      <c r="D530" s="12" t="s">
        <v>98</v>
      </c>
      <c r="E530" s="13" t="s">
        <v>8877</v>
      </c>
      <c r="F530" s="12">
        <v>33.0</v>
      </c>
      <c r="G530" s="12">
        <v>1992.0</v>
      </c>
      <c r="H530" s="14">
        <v>27.0</v>
      </c>
      <c r="I530" s="16">
        <v>2416.0</v>
      </c>
      <c r="J530" s="15">
        <v>89.0</v>
      </c>
      <c r="K530" s="15">
        <v>70.6</v>
      </c>
      <c r="L530" s="15">
        <v>26.8</v>
      </c>
      <c r="M530" s="17">
        <v>1.01</v>
      </c>
      <c r="N530" s="15">
        <v>89.0</v>
      </c>
      <c r="O530" s="18">
        <v>0.97</v>
      </c>
      <c r="P530" s="22">
        <v>0.0</v>
      </c>
      <c r="Q530" s="36"/>
      <c r="R530" s="18">
        <v>0.22</v>
      </c>
      <c r="S530" s="14">
        <v>1.3</v>
      </c>
      <c r="T530" s="18">
        <v>1.38</v>
      </c>
      <c r="U530" s="18">
        <v>1.42</v>
      </c>
      <c r="V530" s="56">
        <v>-0.04</v>
      </c>
      <c r="W530" s="57">
        <v>-0.04</v>
      </c>
      <c r="X530" s="55">
        <f>+0.05</f>
        <v>0.05</v>
      </c>
      <c r="Y530" s="20" t="s">
        <v>8878</v>
      </c>
    </row>
    <row r="531">
      <c r="A531" s="9">
        <v>509.0</v>
      </c>
      <c r="B531" s="10" t="s">
        <v>8879</v>
      </c>
      <c r="C531" s="11" t="s">
        <v>8880</v>
      </c>
      <c r="D531" s="12" t="s">
        <v>36</v>
      </c>
      <c r="E531" s="13" t="s">
        <v>8881</v>
      </c>
      <c r="F531" s="12">
        <v>25.0</v>
      </c>
      <c r="G531" s="12">
        <v>1999.0</v>
      </c>
      <c r="H531" s="14">
        <v>34.0</v>
      </c>
      <c r="I531" s="16">
        <v>2796.0</v>
      </c>
      <c r="J531" s="15">
        <v>82.0</v>
      </c>
      <c r="K531" s="15">
        <v>81.8</v>
      </c>
      <c r="L531" s="15">
        <v>31.1</v>
      </c>
      <c r="M531" s="17">
        <v>1.03</v>
      </c>
      <c r="N531" s="15">
        <v>86.0</v>
      </c>
      <c r="O531" s="18">
        <v>0.84</v>
      </c>
      <c r="P531" s="17">
        <v>0.06</v>
      </c>
      <c r="Q531" s="15">
        <v>21.0</v>
      </c>
      <c r="R531" s="19">
        <v>0.0</v>
      </c>
      <c r="S531" s="14">
        <v>1.18</v>
      </c>
      <c r="T531" s="18">
        <v>1.29</v>
      </c>
      <c r="U531" s="18">
        <v>1.29</v>
      </c>
      <c r="V531" s="19">
        <v>0.0</v>
      </c>
      <c r="W531" s="21">
        <v>0.0</v>
      </c>
      <c r="X531" s="55">
        <f>+1.3</f>
        <v>1.3</v>
      </c>
      <c r="Y531" s="20" t="s">
        <v>8882</v>
      </c>
    </row>
    <row r="532">
      <c r="A532" s="9">
        <v>510.0</v>
      </c>
      <c r="B532" s="10" t="s">
        <v>8883</v>
      </c>
      <c r="C532" s="11" t="s">
        <v>8884</v>
      </c>
      <c r="D532" s="12" t="s">
        <v>31</v>
      </c>
      <c r="E532" s="13" t="s">
        <v>8885</v>
      </c>
      <c r="F532" s="12">
        <v>21.0</v>
      </c>
      <c r="G532" s="12">
        <v>2003.0</v>
      </c>
      <c r="H532" s="14">
        <v>22.0</v>
      </c>
      <c r="I532" s="16">
        <v>1171.0</v>
      </c>
      <c r="J532" s="15">
        <v>53.0</v>
      </c>
      <c r="K532" s="15">
        <v>34.2</v>
      </c>
      <c r="L532" s="15">
        <v>13.0</v>
      </c>
      <c r="M532" s="17">
        <v>0.92</v>
      </c>
      <c r="N532" s="15">
        <v>77.0</v>
      </c>
      <c r="O532" s="18">
        <v>0.31</v>
      </c>
      <c r="P532" s="17">
        <v>0.77</v>
      </c>
      <c r="Q532" s="15">
        <v>25.0</v>
      </c>
      <c r="R532" s="18">
        <v>0.85</v>
      </c>
      <c r="S532" s="14">
        <v>1.09</v>
      </c>
      <c r="T532" s="18">
        <v>1.31</v>
      </c>
      <c r="U532" s="18">
        <v>1.92</v>
      </c>
      <c r="V532" s="56">
        <v>-0.62</v>
      </c>
      <c r="W532" s="57">
        <v>-0.61</v>
      </c>
      <c r="X532" s="57">
        <v>-0.17</v>
      </c>
      <c r="Y532" s="20" t="s">
        <v>8886</v>
      </c>
    </row>
    <row r="533">
      <c r="A533" s="9">
        <v>511.0</v>
      </c>
      <c r="B533" s="10" t="s">
        <v>8887</v>
      </c>
      <c r="C533" s="11" t="s">
        <v>8888</v>
      </c>
      <c r="D533" s="12" t="s">
        <v>98</v>
      </c>
      <c r="E533" s="13" t="s">
        <v>8889</v>
      </c>
      <c r="F533" s="12">
        <v>18.0</v>
      </c>
      <c r="G533" s="12">
        <v>2006.0</v>
      </c>
      <c r="H533" s="23">
        <v>0.0</v>
      </c>
      <c r="I533" s="36"/>
      <c r="J533" s="36"/>
      <c r="K533" s="36"/>
      <c r="L533" s="36"/>
      <c r="M533" s="23">
        <v>0.0</v>
      </c>
      <c r="N533" s="36"/>
      <c r="O533" s="21">
        <v>0.0</v>
      </c>
      <c r="P533" s="23">
        <v>0.0</v>
      </c>
      <c r="Q533" s="36"/>
      <c r="R533" s="15">
        <v>4.0</v>
      </c>
      <c r="S533" s="58"/>
      <c r="T533" s="36"/>
      <c r="U533" s="36"/>
      <c r="V533" s="36"/>
      <c r="W533" s="36"/>
      <c r="X533" s="36"/>
      <c r="Y533" s="20" t="s">
        <v>8890</v>
      </c>
    </row>
    <row r="534">
      <c r="A534" s="9">
        <v>512.0</v>
      </c>
      <c r="B534" s="10" t="s">
        <v>8891</v>
      </c>
      <c r="C534" s="11" t="s">
        <v>8892</v>
      </c>
      <c r="D534" s="12" t="s">
        <v>107</v>
      </c>
      <c r="E534" s="13" t="s">
        <v>8893</v>
      </c>
      <c r="F534" s="12">
        <v>22.0</v>
      </c>
      <c r="G534" s="12">
        <v>2002.0</v>
      </c>
      <c r="H534" s="23">
        <v>0.0</v>
      </c>
      <c r="I534" s="36"/>
      <c r="J534" s="36"/>
      <c r="K534" s="36"/>
      <c r="L534" s="36"/>
      <c r="M534" s="23">
        <v>0.0</v>
      </c>
      <c r="N534" s="36"/>
      <c r="O534" s="21">
        <v>0.0</v>
      </c>
      <c r="P534" s="23">
        <v>0.0</v>
      </c>
      <c r="Q534" s="36"/>
      <c r="R534" s="15">
        <v>1.0</v>
      </c>
      <c r="S534" s="58"/>
      <c r="T534" s="36"/>
      <c r="U534" s="36"/>
      <c r="V534" s="36"/>
      <c r="W534" s="36"/>
      <c r="X534" s="36"/>
      <c r="Y534" s="20" t="s">
        <v>8894</v>
      </c>
    </row>
    <row r="535">
      <c r="A535" s="9">
        <v>513.0</v>
      </c>
      <c r="B535" s="10" t="s">
        <v>8895</v>
      </c>
      <c r="C535" s="11" t="s">
        <v>8896</v>
      </c>
      <c r="D535" s="12" t="s">
        <v>107</v>
      </c>
      <c r="E535" s="13" t="s">
        <v>8897</v>
      </c>
      <c r="F535" s="12">
        <v>24.0</v>
      </c>
      <c r="G535" s="12">
        <v>2001.0</v>
      </c>
      <c r="H535" s="23">
        <v>0.0</v>
      </c>
      <c r="I535" s="36"/>
      <c r="J535" s="36"/>
      <c r="K535" s="36"/>
      <c r="L535" s="36"/>
      <c r="M535" s="23">
        <v>0.0</v>
      </c>
      <c r="N535" s="36"/>
      <c r="O535" s="21">
        <v>0.0</v>
      </c>
      <c r="P535" s="23">
        <v>0.0</v>
      </c>
      <c r="Q535" s="36"/>
      <c r="R535" s="15">
        <v>1.0</v>
      </c>
      <c r="S535" s="58"/>
      <c r="T535" s="36"/>
      <c r="U535" s="36"/>
      <c r="V535" s="36"/>
      <c r="W535" s="36"/>
      <c r="X535" s="36"/>
      <c r="Y535" s="20" t="s">
        <v>8898</v>
      </c>
    </row>
    <row r="536">
      <c r="A536" s="9">
        <v>514.0</v>
      </c>
      <c r="B536" s="10" t="s">
        <v>8899</v>
      </c>
      <c r="C536" s="11" t="s">
        <v>8900</v>
      </c>
      <c r="D536" s="12" t="s">
        <v>36</v>
      </c>
      <c r="E536" s="13" t="s">
        <v>8901</v>
      </c>
      <c r="F536" s="12">
        <v>22.0</v>
      </c>
      <c r="G536" s="12">
        <v>2003.0</v>
      </c>
      <c r="H536" s="23">
        <v>0.0</v>
      </c>
      <c r="I536" s="36"/>
      <c r="J536" s="36"/>
      <c r="K536" s="36"/>
      <c r="L536" s="36"/>
      <c r="M536" s="23">
        <v>0.0</v>
      </c>
      <c r="N536" s="36"/>
      <c r="O536" s="21">
        <v>0.0</v>
      </c>
      <c r="P536" s="23">
        <v>0.0</v>
      </c>
      <c r="Q536" s="36"/>
      <c r="R536" s="15">
        <v>17.0</v>
      </c>
      <c r="S536" s="58"/>
      <c r="T536" s="36"/>
      <c r="U536" s="36"/>
      <c r="V536" s="36"/>
      <c r="W536" s="36"/>
      <c r="X536" s="36"/>
      <c r="Y536" s="20" t="s">
        <v>8902</v>
      </c>
    </row>
    <row r="537">
      <c r="A537" s="9">
        <v>515.0</v>
      </c>
      <c r="B537" s="10" t="s">
        <v>8903</v>
      </c>
      <c r="C537" s="11" t="s">
        <v>8904</v>
      </c>
      <c r="D537" s="12" t="s">
        <v>98</v>
      </c>
      <c r="E537" s="13" t="s">
        <v>8905</v>
      </c>
      <c r="F537" s="12">
        <v>27.0</v>
      </c>
      <c r="G537" s="12">
        <v>1998.0</v>
      </c>
      <c r="H537" s="14">
        <v>12.0</v>
      </c>
      <c r="I537" s="16">
        <v>1004.0</v>
      </c>
      <c r="J537" s="15">
        <v>84.0</v>
      </c>
      <c r="K537" s="15">
        <v>29.4</v>
      </c>
      <c r="L537" s="15">
        <v>11.2</v>
      </c>
      <c r="M537" s="17">
        <v>0.98</v>
      </c>
      <c r="N537" s="15">
        <v>90.0</v>
      </c>
      <c r="O537" s="18">
        <v>0.98</v>
      </c>
      <c r="P537" s="17">
        <v>0.09</v>
      </c>
      <c r="Q537" s="15">
        <v>14.0</v>
      </c>
      <c r="R537" s="18">
        <v>2.32</v>
      </c>
      <c r="S537" s="14">
        <v>1.17</v>
      </c>
      <c r="T537" s="18">
        <v>1.43</v>
      </c>
      <c r="U537" s="18">
        <v>1.52</v>
      </c>
      <c r="V537" s="56">
        <v>-0.09</v>
      </c>
      <c r="W537" s="57">
        <v>-0.09</v>
      </c>
      <c r="X537" s="57">
        <v>-0.05</v>
      </c>
      <c r="Y537" s="20" t="s">
        <v>8906</v>
      </c>
    </row>
    <row r="538">
      <c r="A538" s="9">
        <v>516.0</v>
      </c>
      <c r="B538" s="10" t="s">
        <v>8907</v>
      </c>
      <c r="C538" s="11" t="s">
        <v>8908</v>
      </c>
      <c r="D538" s="12" t="s">
        <v>31</v>
      </c>
      <c r="E538" s="13" t="s">
        <v>8909</v>
      </c>
      <c r="F538" s="12">
        <v>22.0</v>
      </c>
      <c r="G538" s="12">
        <v>2003.0</v>
      </c>
      <c r="H538" s="23">
        <v>0.0</v>
      </c>
      <c r="I538" s="36"/>
      <c r="J538" s="36"/>
      <c r="K538" s="36"/>
      <c r="L538" s="36"/>
      <c r="M538" s="23">
        <v>0.0</v>
      </c>
      <c r="N538" s="36"/>
      <c r="O538" s="21">
        <v>0.0</v>
      </c>
      <c r="P538" s="23">
        <v>0.0</v>
      </c>
      <c r="Q538" s="36"/>
      <c r="R538" s="15">
        <v>3.0</v>
      </c>
      <c r="S538" s="58"/>
      <c r="T538" s="36"/>
      <c r="U538" s="36"/>
      <c r="V538" s="36"/>
      <c r="W538" s="36"/>
      <c r="X538" s="36"/>
      <c r="Y538" s="20" t="s">
        <v>8910</v>
      </c>
    </row>
    <row r="539">
      <c r="A539" s="9">
        <v>517.0</v>
      </c>
      <c r="B539" s="10" t="s">
        <v>8911</v>
      </c>
      <c r="C539" s="11" t="s">
        <v>8912</v>
      </c>
      <c r="D539" s="12" t="s">
        <v>31</v>
      </c>
      <c r="E539" s="13" t="s">
        <v>8913</v>
      </c>
      <c r="F539" s="12">
        <v>24.0</v>
      </c>
      <c r="G539" s="12">
        <v>2001.0</v>
      </c>
      <c r="H539" s="14">
        <v>28.0</v>
      </c>
      <c r="I539" s="16">
        <v>1450.0</v>
      </c>
      <c r="J539" s="15">
        <v>52.0</v>
      </c>
      <c r="K539" s="15">
        <v>42.4</v>
      </c>
      <c r="L539" s="15">
        <v>16.1</v>
      </c>
      <c r="M539" s="17">
        <v>0.93</v>
      </c>
      <c r="N539" s="15">
        <v>76.0</v>
      </c>
      <c r="O539" s="18">
        <v>0.43</v>
      </c>
      <c r="P539" s="17">
        <v>0.81</v>
      </c>
      <c r="Q539" s="15">
        <v>24.0</v>
      </c>
      <c r="R539" s="18">
        <v>0.31</v>
      </c>
      <c r="S539" s="14">
        <v>1.18</v>
      </c>
      <c r="T539" s="18">
        <v>1.49</v>
      </c>
      <c r="U539" s="18">
        <v>1.8</v>
      </c>
      <c r="V539" s="56">
        <v>-0.31</v>
      </c>
      <c r="W539" s="57">
        <v>-0.31</v>
      </c>
      <c r="X539" s="57">
        <v>-0.45</v>
      </c>
      <c r="Y539" s="20" t="s">
        <v>8914</v>
      </c>
    </row>
    <row r="540">
      <c r="A540" s="9">
        <v>518.0</v>
      </c>
      <c r="B540" s="10" t="s">
        <v>8915</v>
      </c>
      <c r="C540" s="11" t="s">
        <v>8916</v>
      </c>
      <c r="D540" s="12" t="s">
        <v>31</v>
      </c>
      <c r="E540" s="13" t="s">
        <v>8917</v>
      </c>
      <c r="F540" s="12">
        <v>17.0</v>
      </c>
      <c r="G540" s="12">
        <v>2008.0</v>
      </c>
      <c r="H540" s="23">
        <v>0.0</v>
      </c>
      <c r="I540" s="36"/>
      <c r="J540" s="36"/>
      <c r="K540" s="36"/>
      <c r="L540" s="36"/>
      <c r="M540" s="23">
        <v>0.0</v>
      </c>
      <c r="N540" s="36"/>
      <c r="O540" s="21">
        <v>0.0</v>
      </c>
      <c r="P540" s="23">
        <v>0.0</v>
      </c>
      <c r="Q540" s="36"/>
      <c r="R540" s="15">
        <v>5.0</v>
      </c>
      <c r="S540" s="58"/>
      <c r="T540" s="36"/>
      <c r="U540" s="36"/>
      <c r="V540" s="36"/>
      <c r="W540" s="36"/>
      <c r="X540" s="36"/>
      <c r="Y540" s="20" t="s">
        <v>8918</v>
      </c>
    </row>
    <row r="541">
      <c r="A541" s="9">
        <v>519.0</v>
      </c>
      <c r="B541" s="10" t="s">
        <v>8919</v>
      </c>
      <c r="C541" s="11" t="s">
        <v>8920</v>
      </c>
      <c r="D541" s="12" t="s">
        <v>98</v>
      </c>
      <c r="E541" s="13" t="s">
        <v>8921</v>
      </c>
      <c r="F541" s="12">
        <v>29.0</v>
      </c>
      <c r="G541" s="12">
        <v>1995.0</v>
      </c>
      <c r="H541" s="14">
        <v>37.0</v>
      </c>
      <c r="I541" s="16">
        <v>3330.0</v>
      </c>
      <c r="J541" s="15">
        <v>90.0</v>
      </c>
      <c r="K541" s="15">
        <v>97.4</v>
      </c>
      <c r="L541" s="15">
        <v>37.0</v>
      </c>
      <c r="M541" s="17">
        <v>1.0</v>
      </c>
      <c r="N541" s="15">
        <v>90.0</v>
      </c>
      <c r="O541" s="18">
        <v>1.0</v>
      </c>
      <c r="P541" s="22">
        <v>0.0</v>
      </c>
      <c r="Q541" s="36"/>
      <c r="R541" s="19">
        <v>0.0</v>
      </c>
      <c r="S541" s="14">
        <v>2.22</v>
      </c>
      <c r="T541" s="18">
        <v>1.86</v>
      </c>
      <c r="U541" s="18">
        <v>0.7</v>
      </c>
      <c r="V541" s="54">
        <v>1.16</v>
      </c>
      <c r="W541" s="55">
        <f>+1.16</f>
        <v>1.16</v>
      </c>
      <c r="X541" s="55">
        <f>+0.16</f>
        <v>0.16</v>
      </c>
      <c r="Y541" s="20" t="s">
        <v>8922</v>
      </c>
    </row>
    <row r="542">
      <c r="A542" s="9">
        <v>520.0</v>
      </c>
      <c r="B542" s="10" t="s">
        <v>8923</v>
      </c>
      <c r="C542" s="11" t="s">
        <v>8924</v>
      </c>
      <c r="D542" s="12" t="s">
        <v>31</v>
      </c>
      <c r="E542" s="13" t="s">
        <v>8925</v>
      </c>
      <c r="F542" s="12">
        <v>18.0</v>
      </c>
      <c r="G542" s="12">
        <v>2006.0</v>
      </c>
      <c r="H542" s="14">
        <v>15.0</v>
      </c>
      <c r="I542" s="16">
        <v>1111.0</v>
      </c>
      <c r="J542" s="15">
        <v>74.0</v>
      </c>
      <c r="K542" s="15">
        <v>32.5</v>
      </c>
      <c r="L542" s="15">
        <v>12.3</v>
      </c>
      <c r="M542" s="17">
        <v>1.06</v>
      </c>
      <c r="N542" s="15">
        <v>82.0</v>
      </c>
      <c r="O542" s="18">
        <v>0.16</v>
      </c>
      <c r="P542" s="17">
        <v>0.16</v>
      </c>
      <c r="Q542" s="15">
        <v>24.0</v>
      </c>
      <c r="R542" s="19">
        <v>0.0</v>
      </c>
      <c r="S542" s="14">
        <v>1.8</v>
      </c>
      <c r="T542" s="18">
        <v>1.3</v>
      </c>
      <c r="U542" s="18">
        <v>0.81</v>
      </c>
      <c r="V542" s="54">
        <v>0.49</v>
      </c>
      <c r="W542" s="55">
        <f>+0.49</f>
        <v>0.49</v>
      </c>
      <c r="X542" s="55">
        <f>+0.56</f>
        <v>0.56</v>
      </c>
      <c r="Y542" s="20" t="s">
        <v>8926</v>
      </c>
    </row>
    <row r="543">
      <c r="A543" s="9">
        <v>521.0</v>
      </c>
      <c r="B543" s="10" t="s">
        <v>8927</v>
      </c>
      <c r="C543" s="11" t="s">
        <v>8928</v>
      </c>
      <c r="D543" s="12" t="s">
        <v>31</v>
      </c>
      <c r="E543" s="13" t="s">
        <v>8929</v>
      </c>
      <c r="F543" s="12">
        <v>30.0</v>
      </c>
      <c r="G543" s="12">
        <v>1995.0</v>
      </c>
      <c r="H543" s="14">
        <v>7.0</v>
      </c>
      <c r="I543" s="15">
        <v>94.0</v>
      </c>
      <c r="J543" s="15">
        <v>13.0</v>
      </c>
      <c r="K543" s="15">
        <v>2.7</v>
      </c>
      <c r="L543" s="15">
        <v>1.0</v>
      </c>
      <c r="M543" s="17">
        <v>1.0</v>
      </c>
      <c r="N543" s="15">
        <v>63.0</v>
      </c>
      <c r="O543" s="19">
        <v>0.0</v>
      </c>
      <c r="P543" s="17">
        <v>6.0</v>
      </c>
      <c r="Q543" s="15">
        <v>5.0</v>
      </c>
      <c r="R543" s="18">
        <v>22.0</v>
      </c>
      <c r="S543" s="14">
        <v>1.57</v>
      </c>
      <c r="T543" s="18">
        <v>2.0</v>
      </c>
      <c r="U543" s="18">
        <v>4.0</v>
      </c>
      <c r="V543" s="56">
        <v>-2.0</v>
      </c>
      <c r="W543" s="57">
        <v>-1.91</v>
      </c>
      <c r="X543" s="57">
        <v>-1.86</v>
      </c>
      <c r="Y543" s="20" t="s">
        <v>8930</v>
      </c>
    </row>
    <row r="544">
      <c r="A544" s="9">
        <v>522.0</v>
      </c>
      <c r="B544" s="10" t="s">
        <v>8931</v>
      </c>
      <c r="C544" s="11" t="s">
        <v>8932</v>
      </c>
      <c r="D544" s="12" t="s">
        <v>41</v>
      </c>
      <c r="E544" s="13" t="s">
        <v>8933</v>
      </c>
      <c r="F544" s="12">
        <v>19.0</v>
      </c>
      <c r="G544" s="12">
        <v>2006.0</v>
      </c>
      <c r="H544" s="23">
        <v>0.0</v>
      </c>
      <c r="I544" s="36"/>
      <c r="J544" s="36"/>
      <c r="K544" s="36"/>
      <c r="L544" s="36"/>
      <c r="M544" s="23">
        <v>0.0</v>
      </c>
      <c r="N544" s="36"/>
      <c r="O544" s="21">
        <v>0.0</v>
      </c>
      <c r="P544" s="23">
        <v>0.0</v>
      </c>
      <c r="Q544" s="36"/>
      <c r="R544" s="15">
        <v>7.0</v>
      </c>
      <c r="S544" s="58"/>
      <c r="T544" s="36"/>
      <c r="U544" s="36"/>
      <c r="V544" s="36"/>
      <c r="W544" s="36"/>
      <c r="X544" s="36"/>
      <c r="Y544" s="20" t="s">
        <v>8934</v>
      </c>
    </row>
    <row r="545">
      <c r="A545" s="9">
        <v>523.0</v>
      </c>
      <c r="B545" s="10" t="s">
        <v>8935</v>
      </c>
      <c r="C545" s="11" t="s">
        <v>8936</v>
      </c>
      <c r="D545" s="12" t="s">
        <v>31</v>
      </c>
      <c r="E545" s="13" t="s">
        <v>8937</v>
      </c>
      <c r="F545" s="12">
        <v>27.0</v>
      </c>
      <c r="G545" s="12">
        <v>1998.0</v>
      </c>
      <c r="H545" s="14">
        <v>28.0</v>
      </c>
      <c r="I545" s="16">
        <v>1631.0</v>
      </c>
      <c r="J545" s="15">
        <v>58.0</v>
      </c>
      <c r="K545" s="15">
        <v>47.7</v>
      </c>
      <c r="L545" s="15">
        <v>18.1</v>
      </c>
      <c r="M545" s="17">
        <v>1.05</v>
      </c>
      <c r="N545" s="15">
        <v>77.0</v>
      </c>
      <c r="O545" s="18">
        <v>0.33</v>
      </c>
      <c r="P545" s="17">
        <v>0.5</v>
      </c>
      <c r="Q545" s="15">
        <v>18.0</v>
      </c>
      <c r="R545" s="18">
        <v>0.55</v>
      </c>
      <c r="S545" s="14">
        <v>1.93</v>
      </c>
      <c r="T545" s="18">
        <v>1.77</v>
      </c>
      <c r="U545" s="18">
        <v>0.94</v>
      </c>
      <c r="V545" s="54">
        <v>0.83</v>
      </c>
      <c r="W545" s="55">
        <f>+0.83</f>
        <v>0.83</v>
      </c>
      <c r="X545" s="57">
        <v>-0.53</v>
      </c>
      <c r="Y545" s="20" t="s">
        <v>8938</v>
      </c>
    </row>
    <row r="546">
      <c r="A546" s="9">
        <v>524.0</v>
      </c>
      <c r="B546" s="10" t="s">
        <v>8939</v>
      </c>
      <c r="C546" s="11" t="s">
        <v>8940</v>
      </c>
      <c r="D546" s="12" t="s">
        <v>36</v>
      </c>
      <c r="E546" s="13" t="s">
        <v>8941</v>
      </c>
      <c r="F546" s="12">
        <v>22.0</v>
      </c>
      <c r="G546" s="12">
        <v>2003.0</v>
      </c>
      <c r="H546" s="14">
        <v>9.0</v>
      </c>
      <c r="I546" s="15">
        <v>552.0</v>
      </c>
      <c r="J546" s="15">
        <v>61.0</v>
      </c>
      <c r="K546" s="15">
        <v>16.1</v>
      </c>
      <c r="L546" s="15">
        <v>6.1</v>
      </c>
      <c r="M546" s="17">
        <v>0.98</v>
      </c>
      <c r="N546" s="15">
        <v>77.0</v>
      </c>
      <c r="O546" s="18">
        <v>0.33</v>
      </c>
      <c r="P546" s="17">
        <v>0.49</v>
      </c>
      <c r="Q546" s="15">
        <v>31.0</v>
      </c>
      <c r="R546" s="18">
        <v>1.31</v>
      </c>
      <c r="S546" s="14">
        <v>0.89</v>
      </c>
      <c r="T546" s="18">
        <v>1.31</v>
      </c>
      <c r="U546" s="18">
        <v>1.31</v>
      </c>
      <c r="V546" s="19">
        <v>0.0</v>
      </c>
      <c r="W546" s="21">
        <v>0.0</v>
      </c>
      <c r="X546" s="55">
        <f>+0.31</f>
        <v>0.31</v>
      </c>
      <c r="Y546" s="20" t="s">
        <v>8942</v>
      </c>
    </row>
    <row r="547">
      <c r="A547" s="9">
        <v>525.0</v>
      </c>
      <c r="B547" s="10" t="s">
        <v>8943</v>
      </c>
      <c r="C547" s="11" t="s">
        <v>8944</v>
      </c>
      <c r="D547" s="12" t="s">
        <v>31</v>
      </c>
      <c r="E547" s="13" t="s">
        <v>8945</v>
      </c>
      <c r="F547" s="12">
        <v>26.0</v>
      </c>
      <c r="G547" s="12">
        <v>1999.0</v>
      </c>
      <c r="H547" s="14">
        <v>36.0</v>
      </c>
      <c r="I547" s="16">
        <v>3094.0</v>
      </c>
      <c r="J547" s="15">
        <v>86.0</v>
      </c>
      <c r="K547" s="15">
        <v>90.5</v>
      </c>
      <c r="L547" s="15">
        <v>34.4</v>
      </c>
      <c r="M547" s="17">
        <v>1.02</v>
      </c>
      <c r="N547" s="15">
        <v>88.0</v>
      </c>
      <c r="O547" s="18">
        <v>0.84</v>
      </c>
      <c r="P547" s="17">
        <v>0.03</v>
      </c>
      <c r="Q547" s="15">
        <v>23.0</v>
      </c>
      <c r="R547" s="18">
        <v>0.03</v>
      </c>
      <c r="S547" s="14">
        <v>2.19</v>
      </c>
      <c r="T547" s="18">
        <v>1.8</v>
      </c>
      <c r="U547" s="18">
        <v>0.73</v>
      </c>
      <c r="V547" s="54">
        <v>1.08</v>
      </c>
      <c r="W547" s="55">
        <f>+1.08</f>
        <v>1.08</v>
      </c>
      <c r="X547" s="57">
        <v>-0.86</v>
      </c>
      <c r="Y547" s="20" t="s">
        <v>8946</v>
      </c>
    </row>
    <row r="548">
      <c r="A548" s="37" t="s">
        <v>3</v>
      </c>
      <c r="B548" s="38" t="s">
        <v>4</v>
      </c>
      <c r="C548" s="39" t="s">
        <v>5</v>
      </c>
      <c r="D548" s="39" t="s">
        <v>6</v>
      </c>
      <c r="E548" s="39" t="s">
        <v>7</v>
      </c>
      <c r="F548" s="39" t="s">
        <v>8</v>
      </c>
      <c r="G548" s="39" t="s">
        <v>9</v>
      </c>
      <c r="H548" s="40" t="s">
        <v>10</v>
      </c>
      <c r="I548" s="39" t="s">
        <v>12</v>
      </c>
      <c r="J548" s="39" t="s">
        <v>6838</v>
      </c>
      <c r="K548" s="39" t="s">
        <v>6839</v>
      </c>
      <c r="L548" s="39" t="s">
        <v>13</v>
      </c>
      <c r="M548" s="40" t="s">
        <v>11</v>
      </c>
      <c r="N548" s="39" t="s">
        <v>6840</v>
      </c>
      <c r="O548" s="39" t="s">
        <v>6841</v>
      </c>
      <c r="P548" s="40" t="s">
        <v>6836</v>
      </c>
      <c r="Q548" s="39" t="s">
        <v>6842</v>
      </c>
      <c r="R548" s="39" t="s">
        <v>6843</v>
      </c>
      <c r="S548" s="40" t="s">
        <v>6844</v>
      </c>
      <c r="T548" s="39" t="s">
        <v>6845</v>
      </c>
      <c r="U548" s="39" t="s">
        <v>6846</v>
      </c>
      <c r="V548" s="59" t="str">
        <f>+/-</f>
        <v>#ERROR!</v>
      </c>
      <c r="W548" s="59" t="str">
        <f>+/-90</f>
        <v>#ERROR!</v>
      </c>
      <c r="X548" s="39" t="s">
        <v>6847</v>
      </c>
      <c r="Y548" s="40" t="s">
        <v>23</v>
      </c>
    </row>
    <row r="549">
      <c r="A549" s="9">
        <v>526.0</v>
      </c>
      <c r="B549" s="10" t="s">
        <v>8947</v>
      </c>
      <c r="C549" s="11" t="s">
        <v>8948</v>
      </c>
      <c r="D549" s="12" t="s">
        <v>36</v>
      </c>
      <c r="E549" s="13" t="s">
        <v>8949</v>
      </c>
      <c r="F549" s="12">
        <v>25.0</v>
      </c>
      <c r="G549" s="12">
        <v>2000.0</v>
      </c>
      <c r="H549" s="14">
        <v>33.0</v>
      </c>
      <c r="I549" s="16">
        <v>2827.0</v>
      </c>
      <c r="J549" s="15">
        <v>86.0</v>
      </c>
      <c r="K549" s="15">
        <v>82.7</v>
      </c>
      <c r="L549" s="15">
        <v>31.4</v>
      </c>
      <c r="M549" s="17">
        <v>0.99</v>
      </c>
      <c r="N549" s="15">
        <v>90.0</v>
      </c>
      <c r="O549" s="18">
        <v>0.96</v>
      </c>
      <c r="P549" s="17">
        <v>0.06</v>
      </c>
      <c r="Q549" s="15">
        <v>23.0</v>
      </c>
      <c r="R549" s="18">
        <v>0.03</v>
      </c>
      <c r="S549" s="14">
        <v>1.3</v>
      </c>
      <c r="T549" s="18">
        <v>1.18</v>
      </c>
      <c r="U549" s="18">
        <v>1.34</v>
      </c>
      <c r="V549" s="56">
        <v>-0.16</v>
      </c>
      <c r="W549" s="57">
        <v>-0.16</v>
      </c>
      <c r="X549" s="55">
        <f>+0.6</f>
        <v>0.6</v>
      </c>
      <c r="Y549" s="20" t="s">
        <v>8950</v>
      </c>
    </row>
    <row r="550">
      <c r="A550" s="9">
        <v>527.0</v>
      </c>
      <c r="B550" s="10" t="s">
        <v>8951</v>
      </c>
      <c r="C550" s="11" t="s">
        <v>8952</v>
      </c>
      <c r="D550" s="12" t="s">
        <v>107</v>
      </c>
      <c r="E550" s="13" t="s">
        <v>8953</v>
      </c>
      <c r="F550" s="12">
        <v>28.0</v>
      </c>
      <c r="G550" s="12">
        <v>1997.0</v>
      </c>
      <c r="H550" s="14">
        <v>32.0</v>
      </c>
      <c r="I550" s="16">
        <v>1964.0</v>
      </c>
      <c r="J550" s="15">
        <v>61.0</v>
      </c>
      <c r="K550" s="15">
        <v>57.4</v>
      </c>
      <c r="L550" s="15">
        <v>21.8</v>
      </c>
      <c r="M550" s="17">
        <v>0.92</v>
      </c>
      <c r="N550" s="15">
        <v>83.0</v>
      </c>
      <c r="O550" s="18">
        <v>0.55</v>
      </c>
      <c r="P550" s="17">
        <v>0.55</v>
      </c>
      <c r="Q550" s="15">
        <v>25.0</v>
      </c>
      <c r="R550" s="18">
        <v>0.05</v>
      </c>
      <c r="S550" s="14">
        <v>1.19</v>
      </c>
      <c r="T550" s="18">
        <v>1.33</v>
      </c>
      <c r="U550" s="18">
        <v>1.24</v>
      </c>
      <c r="V550" s="54">
        <v>0.09</v>
      </c>
      <c r="W550" s="55">
        <f>+0.09</f>
        <v>0.09</v>
      </c>
      <c r="X550" s="55">
        <f>+0.77</f>
        <v>0.77</v>
      </c>
      <c r="Y550" s="20" t="s">
        <v>8954</v>
      </c>
    </row>
    <row r="551">
      <c r="A551" s="9">
        <v>528.0</v>
      </c>
      <c r="B551" s="10" t="s">
        <v>8955</v>
      </c>
      <c r="C551" s="11" t="s">
        <v>8956</v>
      </c>
      <c r="D551" s="12" t="s">
        <v>31</v>
      </c>
      <c r="E551" s="13" t="s">
        <v>8957</v>
      </c>
      <c r="F551" s="12">
        <v>16.0</v>
      </c>
      <c r="G551" s="12">
        <v>2008.0</v>
      </c>
      <c r="H551" s="23">
        <v>0.0</v>
      </c>
      <c r="I551" s="36"/>
      <c r="J551" s="36"/>
      <c r="K551" s="36"/>
      <c r="L551" s="36"/>
      <c r="M551" s="23">
        <v>0.0</v>
      </c>
      <c r="N551" s="36"/>
      <c r="O551" s="21">
        <v>0.0</v>
      </c>
      <c r="P551" s="23">
        <v>0.0</v>
      </c>
      <c r="Q551" s="36"/>
      <c r="R551" s="15">
        <v>5.0</v>
      </c>
      <c r="S551" s="58"/>
      <c r="T551" s="36"/>
      <c r="U551" s="36"/>
      <c r="V551" s="36"/>
      <c r="W551" s="36"/>
      <c r="X551" s="36"/>
      <c r="Y551" s="20" t="s">
        <v>8958</v>
      </c>
    </row>
    <row r="552">
      <c r="A552" s="9">
        <v>529.0</v>
      </c>
      <c r="B552" s="10" t="s">
        <v>8959</v>
      </c>
      <c r="C552" s="11" t="s">
        <v>8960</v>
      </c>
      <c r="D552" s="12" t="s">
        <v>31</v>
      </c>
      <c r="E552" s="13" t="s">
        <v>8961</v>
      </c>
      <c r="F552" s="12">
        <v>18.0</v>
      </c>
      <c r="G552" s="12">
        <v>2007.0</v>
      </c>
      <c r="H552" s="14">
        <v>18.0</v>
      </c>
      <c r="I552" s="15">
        <v>761.0</v>
      </c>
      <c r="J552" s="15">
        <v>42.0</v>
      </c>
      <c r="K552" s="15">
        <v>22.3</v>
      </c>
      <c r="L552" s="15">
        <v>8.5</v>
      </c>
      <c r="M552" s="17">
        <v>1.29</v>
      </c>
      <c r="N552" s="15">
        <v>65.0</v>
      </c>
      <c r="O552" s="18">
        <v>0.24</v>
      </c>
      <c r="P552" s="17">
        <v>0.82</v>
      </c>
      <c r="Q552" s="15">
        <v>6.0</v>
      </c>
      <c r="R552" s="18">
        <v>2.12</v>
      </c>
      <c r="S552" s="14">
        <v>1.78</v>
      </c>
      <c r="T552" s="18">
        <v>1.18</v>
      </c>
      <c r="U552" s="18">
        <v>1.29</v>
      </c>
      <c r="V552" s="56">
        <v>-0.12</v>
      </c>
      <c r="W552" s="57">
        <v>-0.12</v>
      </c>
      <c r="X552" s="55">
        <f>+0.05</f>
        <v>0.05</v>
      </c>
      <c r="Y552" s="20" t="s">
        <v>8962</v>
      </c>
    </row>
    <row r="553">
      <c r="A553" s="9">
        <v>530.0</v>
      </c>
      <c r="B553" s="10" t="s">
        <v>8963</v>
      </c>
      <c r="C553" s="11" t="s">
        <v>8964</v>
      </c>
      <c r="D553" s="12" t="s">
        <v>345</v>
      </c>
      <c r="E553" s="13" t="s">
        <v>8965</v>
      </c>
      <c r="F553" s="12">
        <v>29.0</v>
      </c>
      <c r="G553" s="12">
        <v>1995.0</v>
      </c>
      <c r="H553" s="23">
        <v>0.0</v>
      </c>
      <c r="I553" s="36"/>
      <c r="J553" s="36"/>
      <c r="K553" s="36"/>
      <c r="L553" s="36"/>
      <c r="M553" s="23">
        <v>0.0</v>
      </c>
      <c r="N553" s="36"/>
      <c r="O553" s="21">
        <v>0.0</v>
      </c>
      <c r="P553" s="23">
        <v>0.0</v>
      </c>
      <c r="Q553" s="36"/>
      <c r="R553" s="15">
        <v>1.0</v>
      </c>
      <c r="S553" s="58"/>
      <c r="T553" s="36"/>
      <c r="U553" s="36"/>
      <c r="V553" s="36"/>
      <c r="W553" s="36"/>
      <c r="X553" s="36"/>
      <c r="Y553" s="20" t="s">
        <v>8966</v>
      </c>
    </row>
    <row r="554">
      <c r="A554" s="9">
        <v>531.0</v>
      </c>
      <c r="B554" s="10" t="s">
        <v>8967</v>
      </c>
      <c r="C554" s="11" t="s">
        <v>8968</v>
      </c>
      <c r="D554" s="12" t="s">
        <v>107</v>
      </c>
      <c r="E554" s="13" t="s">
        <v>8969</v>
      </c>
      <c r="F554" s="12">
        <v>28.0</v>
      </c>
      <c r="G554" s="12">
        <v>1997.0</v>
      </c>
      <c r="H554" s="14">
        <v>1.0</v>
      </c>
      <c r="I554" s="15">
        <v>28.0</v>
      </c>
      <c r="J554" s="15">
        <v>28.0</v>
      </c>
      <c r="K554" s="15">
        <v>0.8</v>
      </c>
      <c r="L554" s="15">
        <v>0.3</v>
      </c>
      <c r="M554" s="22">
        <v>0.0</v>
      </c>
      <c r="N554" s="36"/>
      <c r="O554" s="19">
        <v>0.0</v>
      </c>
      <c r="P554" s="17">
        <v>3.33</v>
      </c>
      <c r="Q554" s="15">
        <v>28.0</v>
      </c>
      <c r="R554" s="18">
        <v>6.67</v>
      </c>
      <c r="S554" s="23">
        <v>0.0</v>
      </c>
      <c r="T554" s="19">
        <v>0.0</v>
      </c>
      <c r="U554" s="18">
        <v>3.33</v>
      </c>
      <c r="V554" s="56">
        <v>-3.33</v>
      </c>
      <c r="W554" s="57">
        <v>-3.21</v>
      </c>
      <c r="X554" s="57">
        <v>-3.08</v>
      </c>
      <c r="Y554" s="20" t="s">
        <v>8970</v>
      </c>
    </row>
    <row r="555">
      <c r="A555" s="9">
        <v>532.0</v>
      </c>
      <c r="B555" s="10" t="s">
        <v>8971</v>
      </c>
      <c r="C555" s="11" t="s">
        <v>8972</v>
      </c>
      <c r="D555" s="12" t="s">
        <v>36</v>
      </c>
      <c r="E555" s="13" t="s">
        <v>8973</v>
      </c>
      <c r="F555" s="12">
        <v>31.0</v>
      </c>
      <c r="G555" s="12">
        <v>1994.0</v>
      </c>
      <c r="H555" s="14">
        <v>24.0</v>
      </c>
      <c r="I555" s="16">
        <v>1176.0</v>
      </c>
      <c r="J555" s="15">
        <v>49.0</v>
      </c>
      <c r="K555" s="15">
        <v>34.4</v>
      </c>
      <c r="L555" s="15">
        <v>13.1</v>
      </c>
      <c r="M555" s="17">
        <v>0.84</v>
      </c>
      <c r="N555" s="15">
        <v>80.0</v>
      </c>
      <c r="O555" s="18">
        <v>0.31</v>
      </c>
      <c r="P555" s="17">
        <v>0.99</v>
      </c>
      <c r="Q555" s="15">
        <v>23.0</v>
      </c>
      <c r="R555" s="18">
        <v>1.07</v>
      </c>
      <c r="S555" s="14">
        <v>1.58</v>
      </c>
      <c r="T555" s="18">
        <v>1.68</v>
      </c>
      <c r="U555" s="18">
        <v>1.22</v>
      </c>
      <c r="V555" s="54">
        <v>0.46</v>
      </c>
      <c r="W555" s="55">
        <f>+0.46</f>
        <v>0.46</v>
      </c>
      <c r="X555" s="55">
        <f>+0.3</f>
        <v>0.3</v>
      </c>
      <c r="Y555" s="20" t="s">
        <v>8974</v>
      </c>
    </row>
    <row r="556">
      <c r="A556" s="9">
        <v>533.0</v>
      </c>
      <c r="B556" s="10" t="s">
        <v>8975</v>
      </c>
      <c r="C556" s="11" t="s">
        <v>8976</v>
      </c>
      <c r="D556" s="12" t="s">
        <v>345</v>
      </c>
      <c r="E556" s="13" t="s">
        <v>8977</v>
      </c>
      <c r="F556" s="12">
        <v>27.0</v>
      </c>
      <c r="G556" s="12">
        <v>1997.0</v>
      </c>
      <c r="H556" s="14">
        <v>22.0</v>
      </c>
      <c r="I556" s="16">
        <v>1492.0</v>
      </c>
      <c r="J556" s="15">
        <v>68.0</v>
      </c>
      <c r="K556" s="15">
        <v>43.6</v>
      </c>
      <c r="L556" s="15">
        <v>16.6</v>
      </c>
      <c r="M556" s="17">
        <v>1.02</v>
      </c>
      <c r="N556" s="15">
        <v>83.0</v>
      </c>
      <c r="O556" s="18">
        <v>0.72</v>
      </c>
      <c r="P556" s="17">
        <v>0.3</v>
      </c>
      <c r="Q556" s="15">
        <v>17.0</v>
      </c>
      <c r="R556" s="18">
        <v>0.3</v>
      </c>
      <c r="S556" s="14">
        <v>1.36</v>
      </c>
      <c r="T556" s="18">
        <v>0.78</v>
      </c>
      <c r="U556" s="18">
        <v>1.14</v>
      </c>
      <c r="V556" s="56">
        <v>-0.36</v>
      </c>
      <c r="W556" s="57">
        <v>-0.36</v>
      </c>
      <c r="X556" s="57">
        <v>-0.46</v>
      </c>
      <c r="Y556" s="20" t="s">
        <v>8978</v>
      </c>
    </row>
    <row r="557">
      <c r="A557" s="9">
        <v>534.0</v>
      </c>
      <c r="B557" s="10" t="s">
        <v>8979</v>
      </c>
      <c r="C557" s="11" t="s">
        <v>8980</v>
      </c>
      <c r="D557" s="12" t="s">
        <v>345</v>
      </c>
      <c r="E557" s="13" t="s">
        <v>8981</v>
      </c>
      <c r="F557" s="12">
        <v>20.0</v>
      </c>
      <c r="G557" s="12">
        <v>2004.0</v>
      </c>
      <c r="H557" s="14">
        <v>1.0</v>
      </c>
      <c r="I557" s="15">
        <v>4.0</v>
      </c>
      <c r="J557" s="15">
        <v>4.0</v>
      </c>
      <c r="K557" s="15">
        <v>0.1</v>
      </c>
      <c r="L557" s="21">
        <v>0.0</v>
      </c>
      <c r="M557" s="23">
        <v>0.0</v>
      </c>
      <c r="N557" s="36"/>
      <c r="O557" s="21">
        <v>0.0</v>
      </c>
      <c r="P557" s="14">
        <v>1.0</v>
      </c>
      <c r="Q557" s="15">
        <v>4.0</v>
      </c>
      <c r="R557" s="15">
        <v>10.0</v>
      </c>
      <c r="S557" s="23">
        <v>0.0</v>
      </c>
      <c r="T557" s="21">
        <v>0.0</v>
      </c>
      <c r="U557" s="21">
        <v>0.0</v>
      </c>
      <c r="V557" s="21">
        <v>0.0</v>
      </c>
      <c r="W557" s="21">
        <v>0.0</v>
      </c>
      <c r="X557" s="55">
        <f>+0.26</f>
        <v>0.26</v>
      </c>
      <c r="Y557" s="20" t="s">
        <v>8982</v>
      </c>
    </row>
    <row r="558">
      <c r="A558" s="9">
        <v>535.0</v>
      </c>
      <c r="B558" s="10" t="s">
        <v>8983</v>
      </c>
      <c r="C558" s="11" t="s">
        <v>8984</v>
      </c>
      <c r="D558" s="12" t="s">
        <v>36</v>
      </c>
      <c r="E558" s="13" t="s">
        <v>8985</v>
      </c>
      <c r="F558" s="12">
        <v>27.0</v>
      </c>
      <c r="G558" s="12">
        <v>1997.0</v>
      </c>
      <c r="H558" s="14">
        <v>35.0</v>
      </c>
      <c r="I558" s="16">
        <v>2951.0</v>
      </c>
      <c r="J558" s="15">
        <v>84.0</v>
      </c>
      <c r="K558" s="15">
        <v>86.3</v>
      </c>
      <c r="L558" s="15">
        <v>32.8</v>
      </c>
      <c r="M558" s="17">
        <v>1.01</v>
      </c>
      <c r="N558" s="15">
        <v>88.0</v>
      </c>
      <c r="O558" s="18">
        <v>0.91</v>
      </c>
      <c r="P558" s="17">
        <v>0.06</v>
      </c>
      <c r="Q558" s="15">
        <v>23.0</v>
      </c>
      <c r="R558" s="19">
        <v>0.0</v>
      </c>
      <c r="S558" s="14">
        <v>1.2</v>
      </c>
      <c r="T558" s="18">
        <v>1.28</v>
      </c>
      <c r="U558" s="18">
        <v>1.59</v>
      </c>
      <c r="V558" s="56">
        <v>-0.3</v>
      </c>
      <c r="W558" s="57">
        <v>-0.3</v>
      </c>
      <c r="X558" s="57">
        <v>-0.88</v>
      </c>
      <c r="Y558" s="20" t="s">
        <v>8986</v>
      </c>
    </row>
    <row r="559">
      <c r="A559" s="9">
        <v>536.0</v>
      </c>
      <c r="B559" s="10" t="s">
        <v>8987</v>
      </c>
      <c r="C559" s="11" t="s">
        <v>8988</v>
      </c>
      <c r="D559" s="12" t="s">
        <v>31</v>
      </c>
      <c r="E559" s="13" t="s">
        <v>8989</v>
      </c>
      <c r="F559" s="12">
        <v>29.0</v>
      </c>
      <c r="G559" s="12">
        <v>1996.0</v>
      </c>
      <c r="H559" s="14">
        <v>21.0</v>
      </c>
      <c r="I559" s="16">
        <v>1511.0</v>
      </c>
      <c r="J559" s="15">
        <v>72.0</v>
      </c>
      <c r="K559" s="15">
        <v>44.2</v>
      </c>
      <c r="L559" s="15">
        <v>16.8</v>
      </c>
      <c r="M559" s="17">
        <v>1.01</v>
      </c>
      <c r="N559" s="15">
        <v>84.0</v>
      </c>
      <c r="O559" s="18">
        <v>0.71</v>
      </c>
      <c r="P559" s="17">
        <v>0.24</v>
      </c>
      <c r="Q559" s="15">
        <v>22.0</v>
      </c>
      <c r="R559" s="18">
        <v>0.06</v>
      </c>
      <c r="S559" s="14">
        <v>1.81</v>
      </c>
      <c r="T559" s="18">
        <v>1.67</v>
      </c>
      <c r="U559" s="18">
        <v>0.89</v>
      </c>
      <c r="V559" s="54">
        <v>0.77</v>
      </c>
      <c r="W559" s="55">
        <f>+0.77</f>
        <v>0.77</v>
      </c>
      <c r="X559" s="57">
        <v>-0.59</v>
      </c>
      <c r="Y559" s="20" t="s">
        <v>8990</v>
      </c>
    </row>
    <row r="560">
      <c r="A560" s="9">
        <v>537.0</v>
      </c>
      <c r="B560" s="10" t="s">
        <v>8991</v>
      </c>
      <c r="C560" s="11" t="s">
        <v>8992</v>
      </c>
      <c r="D560" s="12" t="s">
        <v>31</v>
      </c>
      <c r="E560" s="13" t="s">
        <v>8993</v>
      </c>
      <c r="F560" s="12">
        <v>31.0</v>
      </c>
      <c r="G560" s="12">
        <v>1994.0</v>
      </c>
      <c r="H560" s="14">
        <v>6.0</v>
      </c>
      <c r="I560" s="15">
        <v>180.0</v>
      </c>
      <c r="J560" s="15">
        <v>30.0</v>
      </c>
      <c r="K560" s="15">
        <v>5.3</v>
      </c>
      <c r="L560" s="15">
        <v>2.0</v>
      </c>
      <c r="M560" s="17">
        <v>1.0</v>
      </c>
      <c r="N560" s="15">
        <v>67.0</v>
      </c>
      <c r="O560" s="19">
        <v>0.0</v>
      </c>
      <c r="P560" s="17">
        <v>2.0</v>
      </c>
      <c r="Q560" s="15">
        <v>12.0</v>
      </c>
      <c r="R560" s="18">
        <v>7.5</v>
      </c>
      <c r="S560" s="14">
        <v>0.67</v>
      </c>
      <c r="T560" s="18">
        <v>0.5</v>
      </c>
      <c r="U560" s="18">
        <v>1.0</v>
      </c>
      <c r="V560" s="56">
        <v>-0.5</v>
      </c>
      <c r="W560" s="57">
        <v>-0.5</v>
      </c>
      <c r="X560" s="21">
        <v>0.0</v>
      </c>
      <c r="Y560" s="20" t="s">
        <v>8994</v>
      </c>
    </row>
    <row r="561">
      <c r="A561" s="9">
        <v>538.0</v>
      </c>
      <c r="B561" s="10" t="s">
        <v>8995</v>
      </c>
      <c r="C561" s="11" t="s">
        <v>8996</v>
      </c>
      <c r="D561" s="12" t="s">
        <v>98</v>
      </c>
      <c r="E561" s="13" t="s">
        <v>8997</v>
      </c>
      <c r="F561" s="12">
        <v>22.0</v>
      </c>
      <c r="G561" s="12">
        <v>2003.0</v>
      </c>
      <c r="H561" s="14">
        <v>35.0</v>
      </c>
      <c r="I561" s="16">
        <v>3150.0</v>
      </c>
      <c r="J561" s="15">
        <v>90.0</v>
      </c>
      <c r="K561" s="15">
        <v>92.1</v>
      </c>
      <c r="L561" s="15">
        <v>35.0</v>
      </c>
      <c r="M561" s="17">
        <v>1.0</v>
      </c>
      <c r="N561" s="15">
        <v>90.0</v>
      </c>
      <c r="O561" s="18">
        <v>1.0</v>
      </c>
      <c r="P561" s="22">
        <v>0.0</v>
      </c>
      <c r="Q561" s="36"/>
      <c r="R561" s="19">
        <v>0.0</v>
      </c>
      <c r="S561" s="14">
        <v>1.37</v>
      </c>
      <c r="T561" s="18">
        <v>1.11</v>
      </c>
      <c r="U561" s="18">
        <v>1.31</v>
      </c>
      <c r="V561" s="56">
        <v>-0.2</v>
      </c>
      <c r="W561" s="57">
        <v>-0.2</v>
      </c>
      <c r="X561" s="57">
        <v>-0.53</v>
      </c>
      <c r="Y561" s="20" t="s">
        <v>8998</v>
      </c>
    </row>
    <row r="562">
      <c r="A562" s="9">
        <v>539.0</v>
      </c>
      <c r="B562" s="10" t="s">
        <v>8999</v>
      </c>
      <c r="C562" s="11" t="s">
        <v>9000</v>
      </c>
      <c r="D562" s="12" t="s">
        <v>345</v>
      </c>
      <c r="E562" s="13" t="s">
        <v>9001</v>
      </c>
      <c r="F562" s="12">
        <v>26.0</v>
      </c>
      <c r="G562" s="12">
        <v>1999.0</v>
      </c>
      <c r="H562" s="23">
        <v>0.0</v>
      </c>
      <c r="I562" s="36"/>
      <c r="J562" s="36"/>
      <c r="K562" s="36"/>
      <c r="L562" s="36"/>
      <c r="M562" s="23">
        <v>0.0</v>
      </c>
      <c r="N562" s="36"/>
      <c r="O562" s="21">
        <v>0.0</v>
      </c>
      <c r="P562" s="23">
        <v>0.0</v>
      </c>
      <c r="Q562" s="36"/>
      <c r="R562" s="15">
        <v>1.0</v>
      </c>
      <c r="S562" s="58"/>
      <c r="T562" s="36"/>
      <c r="U562" s="36"/>
      <c r="V562" s="36"/>
      <c r="W562" s="36"/>
      <c r="X562" s="36"/>
      <c r="Y562" s="20" t="s">
        <v>9002</v>
      </c>
    </row>
    <row r="563">
      <c r="A563" s="9">
        <v>540.0</v>
      </c>
      <c r="B563" s="10" t="s">
        <v>9003</v>
      </c>
      <c r="C563" s="11" t="s">
        <v>9004</v>
      </c>
      <c r="D563" s="12" t="s">
        <v>31</v>
      </c>
      <c r="E563" s="13" t="s">
        <v>9005</v>
      </c>
      <c r="F563" s="12">
        <v>23.0</v>
      </c>
      <c r="G563" s="12">
        <v>2002.0</v>
      </c>
      <c r="H563" s="14">
        <v>37.0</v>
      </c>
      <c r="I563" s="16">
        <v>3280.0</v>
      </c>
      <c r="J563" s="15">
        <v>89.0</v>
      </c>
      <c r="K563" s="15">
        <v>95.9</v>
      </c>
      <c r="L563" s="15">
        <v>36.4</v>
      </c>
      <c r="M563" s="17">
        <v>1.02</v>
      </c>
      <c r="N563" s="15">
        <v>89.0</v>
      </c>
      <c r="O563" s="18">
        <v>0.88</v>
      </c>
      <c r="P563" s="22">
        <v>0.0</v>
      </c>
      <c r="Q563" s="36"/>
      <c r="R563" s="19">
        <v>0.0</v>
      </c>
      <c r="S563" s="14">
        <v>1.68</v>
      </c>
      <c r="T563" s="18">
        <v>1.46</v>
      </c>
      <c r="U563" s="18">
        <v>1.32</v>
      </c>
      <c r="V563" s="54">
        <v>0.14</v>
      </c>
      <c r="W563" s="55">
        <f>+0.14</f>
        <v>0.14</v>
      </c>
      <c r="X563" s="57">
        <v>-1.15</v>
      </c>
      <c r="Y563" s="20" t="s">
        <v>9006</v>
      </c>
    </row>
    <row r="564">
      <c r="A564" s="9">
        <v>541.0</v>
      </c>
      <c r="B564" s="10" t="s">
        <v>9007</v>
      </c>
      <c r="C564" s="11" t="s">
        <v>9008</v>
      </c>
      <c r="D564" s="12" t="s">
        <v>31</v>
      </c>
      <c r="E564" s="13" t="s">
        <v>9009</v>
      </c>
      <c r="F564" s="12">
        <v>23.0</v>
      </c>
      <c r="G564" s="12">
        <v>2002.0</v>
      </c>
      <c r="H564" s="14">
        <v>16.0</v>
      </c>
      <c r="I564" s="15">
        <v>682.0</v>
      </c>
      <c r="J564" s="15">
        <v>43.0</v>
      </c>
      <c r="K564" s="15">
        <v>19.9</v>
      </c>
      <c r="L564" s="15">
        <v>7.6</v>
      </c>
      <c r="M564" s="17">
        <v>0.79</v>
      </c>
      <c r="N564" s="15">
        <v>83.0</v>
      </c>
      <c r="O564" s="18">
        <v>0.26</v>
      </c>
      <c r="P564" s="17">
        <v>1.32</v>
      </c>
      <c r="Q564" s="15">
        <v>19.0</v>
      </c>
      <c r="R564" s="18">
        <v>1.45</v>
      </c>
      <c r="S564" s="14">
        <v>1.06</v>
      </c>
      <c r="T564" s="18">
        <v>1.58</v>
      </c>
      <c r="U564" s="18">
        <v>1.71</v>
      </c>
      <c r="V564" s="56">
        <v>-0.13</v>
      </c>
      <c r="W564" s="57">
        <v>-0.13</v>
      </c>
      <c r="X564" s="57">
        <v>-0.07</v>
      </c>
      <c r="Y564" s="20" t="s">
        <v>9010</v>
      </c>
    </row>
    <row r="565">
      <c r="A565" s="9">
        <v>542.0</v>
      </c>
      <c r="B565" s="10" t="s">
        <v>9011</v>
      </c>
      <c r="C565" s="11" t="s">
        <v>9012</v>
      </c>
      <c r="D565" s="12" t="s">
        <v>36</v>
      </c>
      <c r="E565" s="13" t="s">
        <v>9013</v>
      </c>
      <c r="F565" s="12">
        <v>27.0</v>
      </c>
      <c r="G565" s="12">
        <v>1998.0</v>
      </c>
      <c r="H565" s="14">
        <v>23.0</v>
      </c>
      <c r="I565" s="16">
        <v>1868.0</v>
      </c>
      <c r="J565" s="15">
        <v>81.0</v>
      </c>
      <c r="K565" s="15">
        <v>54.6</v>
      </c>
      <c r="L565" s="15">
        <v>20.8</v>
      </c>
      <c r="M565" s="17">
        <v>1.06</v>
      </c>
      <c r="N565" s="15">
        <v>84.0</v>
      </c>
      <c r="O565" s="18">
        <v>0.72</v>
      </c>
      <c r="P565" s="17">
        <v>0.05</v>
      </c>
      <c r="Q565" s="15">
        <v>31.0</v>
      </c>
      <c r="R565" s="19">
        <v>0.0</v>
      </c>
      <c r="S565" s="14">
        <v>1.0</v>
      </c>
      <c r="T565" s="18">
        <v>1.25</v>
      </c>
      <c r="U565" s="18">
        <v>1.49</v>
      </c>
      <c r="V565" s="56">
        <v>-0.24</v>
      </c>
      <c r="W565" s="57">
        <v>-0.24</v>
      </c>
      <c r="X565" s="57">
        <v>-0.01</v>
      </c>
      <c r="Y565" s="20" t="s">
        <v>9014</v>
      </c>
    </row>
    <row r="566">
      <c r="A566" s="9">
        <v>543.0</v>
      </c>
      <c r="B566" s="10" t="s">
        <v>9015</v>
      </c>
      <c r="C566" s="11" t="s">
        <v>9016</v>
      </c>
      <c r="D566" s="12" t="s">
        <v>36</v>
      </c>
      <c r="E566" s="13" t="s">
        <v>9017</v>
      </c>
      <c r="F566" s="12">
        <v>17.0</v>
      </c>
      <c r="G566" s="12">
        <v>2007.0</v>
      </c>
      <c r="H566" s="23">
        <v>0.0</v>
      </c>
      <c r="I566" s="36"/>
      <c r="J566" s="36"/>
      <c r="K566" s="36"/>
      <c r="L566" s="36"/>
      <c r="M566" s="23">
        <v>0.0</v>
      </c>
      <c r="N566" s="36"/>
      <c r="O566" s="21">
        <v>0.0</v>
      </c>
      <c r="P566" s="23">
        <v>0.0</v>
      </c>
      <c r="Q566" s="36"/>
      <c r="R566" s="15">
        <v>2.0</v>
      </c>
      <c r="S566" s="58"/>
      <c r="T566" s="36"/>
      <c r="U566" s="36"/>
      <c r="V566" s="36"/>
      <c r="W566" s="36"/>
      <c r="X566" s="36"/>
      <c r="Y566" s="20" t="s">
        <v>9018</v>
      </c>
    </row>
    <row r="567">
      <c r="A567" s="9">
        <v>544.0</v>
      </c>
      <c r="B567" s="10" t="s">
        <v>9019</v>
      </c>
      <c r="C567" s="11" t="s">
        <v>9020</v>
      </c>
      <c r="D567" s="12" t="s">
        <v>36</v>
      </c>
      <c r="E567" s="13" t="s">
        <v>9021</v>
      </c>
      <c r="F567" s="12">
        <v>19.0</v>
      </c>
      <c r="G567" s="12">
        <v>2006.0</v>
      </c>
      <c r="H567" s="23">
        <v>0.0</v>
      </c>
      <c r="I567" s="36"/>
      <c r="J567" s="36"/>
      <c r="K567" s="36"/>
      <c r="L567" s="36"/>
      <c r="M567" s="23">
        <v>0.0</v>
      </c>
      <c r="N567" s="36"/>
      <c r="O567" s="21">
        <v>0.0</v>
      </c>
      <c r="P567" s="23">
        <v>0.0</v>
      </c>
      <c r="Q567" s="36"/>
      <c r="R567" s="15">
        <v>2.0</v>
      </c>
      <c r="S567" s="58"/>
      <c r="T567" s="36"/>
      <c r="U567" s="36"/>
      <c r="V567" s="36"/>
      <c r="W567" s="36"/>
      <c r="X567" s="36"/>
      <c r="Y567" s="20" t="s">
        <v>9022</v>
      </c>
    </row>
    <row r="568">
      <c r="A568" s="9">
        <v>545.0</v>
      </c>
      <c r="B568" s="10" t="s">
        <v>9023</v>
      </c>
      <c r="C568" s="11" t="s">
        <v>9024</v>
      </c>
      <c r="D568" s="12" t="s">
        <v>36</v>
      </c>
      <c r="E568" s="13" t="s">
        <v>9025</v>
      </c>
      <c r="F568" s="12">
        <v>19.0</v>
      </c>
      <c r="G568" s="12">
        <v>2006.0</v>
      </c>
      <c r="H568" s="14">
        <v>1.0</v>
      </c>
      <c r="I568" s="15">
        <v>1.0</v>
      </c>
      <c r="J568" s="15">
        <v>1.0</v>
      </c>
      <c r="K568" s="21">
        <v>0.0</v>
      </c>
      <c r="L568" s="21">
        <v>0.0</v>
      </c>
      <c r="M568" s="23">
        <v>0.0</v>
      </c>
      <c r="N568" s="36"/>
      <c r="O568" s="21">
        <v>0.0</v>
      </c>
      <c r="P568" s="14">
        <v>1.0</v>
      </c>
      <c r="Q568" s="15">
        <v>1.0</v>
      </c>
      <c r="R568" s="15">
        <v>6.0</v>
      </c>
      <c r="S568" s="14">
        <v>1.0</v>
      </c>
      <c r="T568" s="21">
        <v>0.0</v>
      </c>
      <c r="U568" s="21">
        <v>0.0</v>
      </c>
      <c r="V568" s="21">
        <v>0.0</v>
      </c>
      <c r="W568" s="21">
        <v>0.0</v>
      </c>
      <c r="X568" s="55">
        <f>+0.24</f>
        <v>0.24</v>
      </c>
      <c r="Y568" s="20" t="s">
        <v>9026</v>
      </c>
    </row>
    <row r="569">
      <c r="A569" s="9">
        <v>546.0</v>
      </c>
      <c r="B569" s="10" t="s">
        <v>9027</v>
      </c>
      <c r="C569" s="11" t="s">
        <v>9028</v>
      </c>
      <c r="D569" s="12" t="s">
        <v>98</v>
      </c>
      <c r="E569" s="13" t="s">
        <v>9029</v>
      </c>
      <c r="F569" s="12">
        <v>38.0</v>
      </c>
      <c r="G569" s="12">
        <v>1986.0</v>
      </c>
      <c r="H569" s="23">
        <v>0.0</v>
      </c>
      <c r="I569" s="36"/>
      <c r="J569" s="36"/>
      <c r="K569" s="36"/>
      <c r="L569" s="36"/>
      <c r="M569" s="23">
        <v>0.0</v>
      </c>
      <c r="N569" s="36"/>
      <c r="O569" s="21">
        <v>0.0</v>
      </c>
      <c r="P569" s="23">
        <v>0.0</v>
      </c>
      <c r="Q569" s="36"/>
      <c r="R569" s="15">
        <v>9.0</v>
      </c>
      <c r="S569" s="58"/>
      <c r="T569" s="36"/>
      <c r="U569" s="36"/>
      <c r="V569" s="36"/>
      <c r="W569" s="36"/>
      <c r="X569" s="36"/>
      <c r="Y569" s="20" t="s">
        <v>9030</v>
      </c>
    </row>
    <row r="570">
      <c r="A570" s="9">
        <v>547.0</v>
      </c>
      <c r="B570" s="10" t="s">
        <v>9031</v>
      </c>
      <c r="C570" s="11" t="s">
        <v>9032</v>
      </c>
      <c r="D570" s="12" t="s">
        <v>26</v>
      </c>
      <c r="E570" s="13" t="s">
        <v>9033</v>
      </c>
      <c r="F570" s="12">
        <v>23.0</v>
      </c>
      <c r="G570" s="12">
        <v>2002.0</v>
      </c>
      <c r="H570" s="14">
        <v>32.0</v>
      </c>
      <c r="I570" s="16">
        <v>1786.0</v>
      </c>
      <c r="J570" s="15">
        <v>56.0</v>
      </c>
      <c r="K570" s="15">
        <v>52.2</v>
      </c>
      <c r="L570" s="15">
        <v>19.8</v>
      </c>
      <c r="M570" s="17">
        <v>1.01</v>
      </c>
      <c r="N570" s="15">
        <v>78.0</v>
      </c>
      <c r="O570" s="18">
        <v>0.2</v>
      </c>
      <c r="P570" s="17">
        <v>0.61</v>
      </c>
      <c r="Q570" s="15">
        <v>19.0</v>
      </c>
      <c r="R570" s="18">
        <v>0.2</v>
      </c>
      <c r="S570" s="14">
        <v>1.38</v>
      </c>
      <c r="T570" s="18">
        <v>1.36</v>
      </c>
      <c r="U570" s="18">
        <v>1.01</v>
      </c>
      <c r="V570" s="54">
        <v>0.35</v>
      </c>
      <c r="W570" s="55">
        <f>+0.35</f>
        <v>0.35</v>
      </c>
      <c r="X570" s="55">
        <f>+0.41</f>
        <v>0.41</v>
      </c>
      <c r="Y570" s="20" t="s">
        <v>9034</v>
      </c>
    </row>
    <row r="571">
      <c r="A571" s="9">
        <v>548.0</v>
      </c>
      <c r="B571" s="10" t="s">
        <v>9035</v>
      </c>
      <c r="C571" s="11" t="s">
        <v>9036</v>
      </c>
      <c r="D571" s="12" t="s">
        <v>98</v>
      </c>
      <c r="E571" s="13" t="s">
        <v>9037</v>
      </c>
      <c r="F571" s="12">
        <v>32.0</v>
      </c>
      <c r="G571" s="12">
        <v>1993.0</v>
      </c>
      <c r="H571" s="14">
        <v>23.0</v>
      </c>
      <c r="I571" s="16">
        <v>2070.0</v>
      </c>
      <c r="J571" s="15">
        <v>90.0</v>
      </c>
      <c r="K571" s="15">
        <v>60.5</v>
      </c>
      <c r="L571" s="15">
        <v>23.0</v>
      </c>
      <c r="M571" s="17">
        <v>1.0</v>
      </c>
      <c r="N571" s="15">
        <v>90.0</v>
      </c>
      <c r="O571" s="18">
        <v>1.0</v>
      </c>
      <c r="P571" s="22">
        <v>0.0</v>
      </c>
      <c r="Q571" s="36"/>
      <c r="R571" s="18">
        <v>0.48</v>
      </c>
      <c r="S571" s="14">
        <v>0.74</v>
      </c>
      <c r="T571" s="18">
        <v>0.87</v>
      </c>
      <c r="U571" s="18">
        <v>1.61</v>
      </c>
      <c r="V571" s="56">
        <v>-0.74</v>
      </c>
      <c r="W571" s="57">
        <v>-0.74</v>
      </c>
      <c r="X571" s="55">
        <f>+0.86</f>
        <v>0.86</v>
      </c>
      <c r="Y571" s="20" t="s">
        <v>9038</v>
      </c>
    </row>
    <row r="572">
      <c r="A572" s="9">
        <v>549.0</v>
      </c>
      <c r="B572" s="10" t="s">
        <v>9039</v>
      </c>
      <c r="C572" s="11" t="s">
        <v>9040</v>
      </c>
      <c r="D572" s="12" t="s">
        <v>31</v>
      </c>
      <c r="E572" s="13" t="s">
        <v>9041</v>
      </c>
      <c r="F572" s="12">
        <v>21.0</v>
      </c>
      <c r="G572" s="12">
        <v>2003.0</v>
      </c>
      <c r="H572" s="23">
        <v>0.0</v>
      </c>
      <c r="I572" s="36"/>
      <c r="J572" s="36"/>
      <c r="K572" s="36"/>
      <c r="L572" s="36"/>
      <c r="M572" s="23">
        <v>0.0</v>
      </c>
      <c r="N572" s="36"/>
      <c r="O572" s="21">
        <v>0.0</v>
      </c>
      <c r="P572" s="23">
        <v>0.0</v>
      </c>
      <c r="Q572" s="36"/>
      <c r="R572" s="15">
        <v>2.0</v>
      </c>
      <c r="S572" s="58"/>
      <c r="T572" s="36"/>
      <c r="U572" s="36"/>
      <c r="V572" s="36"/>
      <c r="W572" s="36"/>
      <c r="X572" s="36"/>
      <c r="Y572" s="20" t="s">
        <v>9042</v>
      </c>
    </row>
    <row r="573">
      <c r="A573" s="9">
        <v>550.0</v>
      </c>
      <c r="B573" s="10" t="s">
        <v>9043</v>
      </c>
      <c r="C573" s="11" t="s">
        <v>9044</v>
      </c>
      <c r="D573" s="12" t="s">
        <v>31</v>
      </c>
      <c r="E573" s="13" t="s">
        <v>9045</v>
      </c>
      <c r="F573" s="12">
        <v>20.0</v>
      </c>
      <c r="G573" s="12">
        <v>2004.0</v>
      </c>
      <c r="H573" s="14">
        <v>33.0</v>
      </c>
      <c r="I573" s="16">
        <v>2889.0</v>
      </c>
      <c r="J573" s="15">
        <v>88.0</v>
      </c>
      <c r="K573" s="15">
        <v>84.5</v>
      </c>
      <c r="L573" s="15">
        <v>32.1</v>
      </c>
      <c r="M573" s="17">
        <v>1.03</v>
      </c>
      <c r="N573" s="15">
        <v>88.0</v>
      </c>
      <c r="O573" s="18">
        <v>0.81</v>
      </c>
      <c r="P573" s="22">
        <v>0.0</v>
      </c>
      <c r="Q573" s="36"/>
      <c r="R573" s="19">
        <v>0.0</v>
      </c>
      <c r="S573" s="14">
        <v>1.52</v>
      </c>
      <c r="T573" s="18">
        <v>1.15</v>
      </c>
      <c r="U573" s="18">
        <v>1.31</v>
      </c>
      <c r="V573" s="56">
        <v>-0.16</v>
      </c>
      <c r="W573" s="57">
        <v>-0.16</v>
      </c>
      <c r="X573" s="55">
        <f>+0.01</f>
        <v>0.01</v>
      </c>
      <c r="Y573" s="20" t="s">
        <v>9046</v>
      </c>
    </row>
    <row r="574">
      <c r="A574" s="37" t="s">
        <v>3</v>
      </c>
      <c r="B574" s="38" t="s">
        <v>4</v>
      </c>
      <c r="C574" s="39" t="s">
        <v>5</v>
      </c>
      <c r="D574" s="39" t="s">
        <v>6</v>
      </c>
      <c r="E574" s="39" t="s">
        <v>7</v>
      </c>
      <c r="F574" s="39" t="s">
        <v>8</v>
      </c>
      <c r="G574" s="39" t="s">
        <v>9</v>
      </c>
      <c r="H574" s="40" t="s">
        <v>10</v>
      </c>
      <c r="I574" s="39" t="s">
        <v>12</v>
      </c>
      <c r="J574" s="39" t="s">
        <v>6838</v>
      </c>
      <c r="K574" s="39" t="s">
        <v>6839</v>
      </c>
      <c r="L574" s="39" t="s">
        <v>13</v>
      </c>
      <c r="M574" s="40" t="s">
        <v>11</v>
      </c>
      <c r="N574" s="39" t="s">
        <v>6840</v>
      </c>
      <c r="O574" s="39" t="s">
        <v>6841</v>
      </c>
      <c r="P574" s="40" t="s">
        <v>6836</v>
      </c>
      <c r="Q574" s="39" t="s">
        <v>6842</v>
      </c>
      <c r="R574" s="39" t="s">
        <v>6843</v>
      </c>
      <c r="S574" s="40" t="s">
        <v>6844</v>
      </c>
      <c r="T574" s="39" t="s">
        <v>6845</v>
      </c>
      <c r="U574" s="39" t="s">
        <v>6846</v>
      </c>
      <c r="V574" s="59" t="str">
        <f>+/-</f>
        <v>#ERROR!</v>
      </c>
      <c r="W574" s="59" t="str">
        <f>+/-90</f>
        <v>#ERROR!</v>
      </c>
      <c r="X574" s="39" t="s">
        <v>6847</v>
      </c>
      <c r="Y574" s="40" t="s">
        <v>23</v>
      </c>
    </row>
    <row r="575">
      <c r="A575" s="9">
        <v>551.0</v>
      </c>
      <c r="B575" s="10" t="s">
        <v>9047</v>
      </c>
      <c r="C575" s="11" t="s">
        <v>9048</v>
      </c>
      <c r="D575" s="12" t="s">
        <v>107</v>
      </c>
      <c r="E575" s="13" t="s">
        <v>9049</v>
      </c>
      <c r="F575" s="12">
        <v>23.0</v>
      </c>
      <c r="G575" s="12">
        <v>2001.0</v>
      </c>
      <c r="H575" s="14">
        <v>31.0</v>
      </c>
      <c r="I575" s="16">
        <v>2222.0</v>
      </c>
      <c r="J575" s="15">
        <v>72.0</v>
      </c>
      <c r="K575" s="15">
        <v>65.0</v>
      </c>
      <c r="L575" s="15">
        <v>24.7</v>
      </c>
      <c r="M575" s="17">
        <v>1.01</v>
      </c>
      <c r="N575" s="15">
        <v>82.0</v>
      </c>
      <c r="O575" s="18">
        <v>0.61</v>
      </c>
      <c r="P575" s="17">
        <v>0.24</v>
      </c>
      <c r="Q575" s="15">
        <v>27.0</v>
      </c>
      <c r="R575" s="18">
        <v>0.04</v>
      </c>
      <c r="S575" s="14">
        <v>2.35</v>
      </c>
      <c r="T575" s="18">
        <v>1.86</v>
      </c>
      <c r="U575" s="18">
        <v>0.65</v>
      </c>
      <c r="V575" s="54">
        <v>1.21</v>
      </c>
      <c r="W575" s="55">
        <f>+1.22</f>
        <v>1.22</v>
      </c>
      <c r="X575" s="55">
        <f>+0.16</f>
        <v>0.16</v>
      </c>
      <c r="Y575" s="20" t="s">
        <v>9050</v>
      </c>
    </row>
    <row r="576">
      <c r="A576" s="9">
        <v>552.0</v>
      </c>
      <c r="B576" s="10" t="s">
        <v>9051</v>
      </c>
      <c r="C576" s="11" t="s">
        <v>9052</v>
      </c>
      <c r="D576" s="12" t="s">
        <v>31</v>
      </c>
      <c r="E576" s="13" t="s">
        <v>9053</v>
      </c>
      <c r="F576" s="12">
        <v>33.0</v>
      </c>
      <c r="G576" s="12">
        <v>1992.0</v>
      </c>
      <c r="H576" s="14">
        <v>27.0</v>
      </c>
      <c r="I576" s="16">
        <v>2146.0</v>
      </c>
      <c r="J576" s="15">
        <v>79.0</v>
      </c>
      <c r="K576" s="15">
        <v>62.7</v>
      </c>
      <c r="L576" s="15">
        <v>23.8</v>
      </c>
      <c r="M576" s="17">
        <v>0.97</v>
      </c>
      <c r="N576" s="15">
        <v>87.0</v>
      </c>
      <c r="O576" s="18">
        <v>0.67</v>
      </c>
      <c r="P576" s="17">
        <v>0.17</v>
      </c>
      <c r="Q576" s="15">
        <v>39.0</v>
      </c>
      <c r="R576" s="18">
        <v>0.08</v>
      </c>
      <c r="S576" s="14">
        <v>1.67</v>
      </c>
      <c r="T576" s="18">
        <v>1.68</v>
      </c>
      <c r="U576" s="18">
        <v>1.47</v>
      </c>
      <c r="V576" s="54">
        <v>0.21</v>
      </c>
      <c r="W576" s="55">
        <f>+0.21</f>
        <v>0.21</v>
      </c>
      <c r="X576" s="57">
        <v>-0.14</v>
      </c>
      <c r="Y576" s="20" t="s">
        <v>9054</v>
      </c>
    </row>
    <row r="577">
      <c r="A577" s="9">
        <v>553.0</v>
      </c>
      <c r="B577" s="10" t="s">
        <v>9055</v>
      </c>
      <c r="C577" s="11" t="s">
        <v>9056</v>
      </c>
      <c r="D577" s="12" t="s">
        <v>36</v>
      </c>
      <c r="E577" s="13" t="s">
        <v>9057</v>
      </c>
      <c r="F577" s="12">
        <v>24.0</v>
      </c>
      <c r="G577" s="12">
        <v>2001.0</v>
      </c>
      <c r="H577" s="14">
        <v>31.0</v>
      </c>
      <c r="I577" s="16">
        <v>2614.0</v>
      </c>
      <c r="J577" s="15">
        <v>84.0</v>
      </c>
      <c r="K577" s="15">
        <v>76.4</v>
      </c>
      <c r="L577" s="15">
        <v>29.0</v>
      </c>
      <c r="M577" s="17">
        <v>1.03</v>
      </c>
      <c r="N577" s="15">
        <v>86.0</v>
      </c>
      <c r="O577" s="18">
        <v>0.97</v>
      </c>
      <c r="P577" s="17">
        <v>0.03</v>
      </c>
      <c r="Q577" s="15">
        <v>45.0</v>
      </c>
      <c r="R577" s="19">
        <v>0.0</v>
      </c>
      <c r="S577" s="14">
        <v>2.29</v>
      </c>
      <c r="T577" s="18">
        <v>2.07</v>
      </c>
      <c r="U577" s="18">
        <v>0.69</v>
      </c>
      <c r="V577" s="54">
        <v>1.38</v>
      </c>
      <c r="W577" s="55">
        <f>+1.38</f>
        <v>1.38</v>
      </c>
      <c r="X577" s="55">
        <f>+0.93</f>
        <v>0.93</v>
      </c>
      <c r="Y577" s="20" t="s">
        <v>9058</v>
      </c>
    </row>
    <row r="578">
      <c r="A578" s="9">
        <v>554.0</v>
      </c>
      <c r="B578" s="10" t="s">
        <v>9059</v>
      </c>
      <c r="C578" s="11" t="s">
        <v>9060</v>
      </c>
      <c r="D578" s="12" t="s">
        <v>36</v>
      </c>
      <c r="E578" s="13" t="s">
        <v>9061</v>
      </c>
      <c r="F578" s="12">
        <v>15.0</v>
      </c>
      <c r="G578" s="12">
        <v>2009.0</v>
      </c>
      <c r="H578" s="23">
        <v>0.0</v>
      </c>
      <c r="I578" s="36"/>
      <c r="J578" s="36"/>
      <c r="K578" s="36"/>
      <c r="L578" s="36"/>
      <c r="M578" s="23">
        <v>0.0</v>
      </c>
      <c r="N578" s="36"/>
      <c r="O578" s="21">
        <v>0.0</v>
      </c>
      <c r="P578" s="23">
        <v>0.0</v>
      </c>
      <c r="Q578" s="36"/>
      <c r="R578" s="15">
        <v>3.0</v>
      </c>
      <c r="S578" s="58"/>
      <c r="T578" s="36"/>
      <c r="U578" s="36"/>
      <c r="V578" s="36"/>
      <c r="W578" s="36"/>
      <c r="X578" s="36"/>
      <c r="Y578" s="20" t="s">
        <v>9062</v>
      </c>
    </row>
    <row r="579">
      <c r="A579" s="9">
        <v>555.0</v>
      </c>
      <c r="B579" s="10" t="s">
        <v>9063</v>
      </c>
      <c r="C579" s="11" t="s">
        <v>9064</v>
      </c>
      <c r="D579" s="12" t="s">
        <v>98</v>
      </c>
      <c r="E579" s="13" t="s">
        <v>9065</v>
      </c>
      <c r="F579" s="12">
        <v>27.0</v>
      </c>
      <c r="G579" s="12">
        <v>1997.0</v>
      </c>
      <c r="H579" s="14">
        <v>35.0</v>
      </c>
      <c r="I579" s="16">
        <v>3039.0</v>
      </c>
      <c r="J579" s="15">
        <v>87.0</v>
      </c>
      <c r="K579" s="15">
        <v>88.9</v>
      </c>
      <c r="L579" s="15">
        <v>33.8</v>
      </c>
      <c r="M579" s="17">
        <v>1.04</v>
      </c>
      <c r="N579" s="15">
        <v>87.0</v>
      </c>
      <c r="O579" s="18">
        <v>0.98</v>
      </c>
      <c r="P579" s="22">
        <v>0.0</v>
      </c>
      <c r="Q579" s="36"/>
      <c r="R579" s="18">
        <v>0.03</v>
      </c>
      <c r="S579" s="14">
        <v>1.34</v>
      </c>
      <c r="T579" s="18">
        <v>1.48</v>
      </c>
      <c r="U579" s="18">
        <v>1.39</v>
      </c>
      <c r="V579" s="54">
        <v>0.09</v>
      </c>
      <c r="W579" s="55">
        <f>+0.09</f>
        <v>0.09</v>
      </c>
      <c r="X579" s="57">
        <v>-0.62</v>
      </c>
      <c r="Y579" s="20" t="s">
        <v>9066</v>
      </c>
    </row>
    <row r="580">
      <c r="A580" s="9">
        <v>556.0</v>
      </c>
      <c r="B580" s="10" t="s">
        <v>9067</v>
      </c>
      <c r="C580" s="11" t="s">
        <v>9068</v>
      </c>
      <c r="D580" s="12" t="s">
        <v>31</v>
      </c>
      <c r="E580" s="13" t="s">
        <v>9069</v>
      </c>
      <c r="F580" s="12">
        <v>25.0</v>
      </c>
      <c r="G580" s="12">
        <v>2000.0</v>
      </c>
      <c r="H580" s="14">
        <v>23.0</v>
      </c>
      <c r="I580" s="15">
        <v>876.0</v>
      </c>
      <c r="J580" s="15">
        <v>38.0</v>
      </c>
      <c r="K580" s="15">
        <v>25.6</v>
      </c>
      <c r="L580" s="15">
        <v>9.7</v>
      </c>
      <c r="M580" s="17">
        <v>0.93</v>
      </c>
      <c r="N580" s="15">
        <v>67.0</v>
      </c>
      <c r="O580" s="19">
        <v>0.0</v>
      </c>
      <c r="P580" s="17">
        <v>1.44</v>
      </c>
      <c r="Q580" s="15">
        <v>20.0</v>
      </c>
      <c r="R580" s="18">
        <v>0.62</v>
      </c>
      <c r="S580" s="14">
        <v>1.74</v>
      </c>
      <c r="T580" s="18">
        <v>1.24</v>
      </c>
      <c r="U580" s="18">
        <v>1.03</v>
      </c>
      <c r="V580" s="54">
        <v>0.21</v>
      </c>
      <c r="W580" s="55">
        <f>+0.21</f>
        <v>0.21</v>
      </c>
      <c r="X580" s="55">
        <f>+0.03</f>
        <v>0.03</v>
      </c>
      <c r="Y580" s="20" t="s">
        <v>9070</v>
      </c>
    </row>
    <row r="581">
      <c r="A581" s="9">
        <v>557.0</v>
      </c>
      <c r="B581" s="10" t="s">
        <v>9071</v>
      </c>
      <c r="C581" s="11" t="s">
        <v>9072</v>
      </c>
      <c r="D581" s="12" t="s">
        <v>31</v>
      </c>
      <c r="E581" s="13" t="s">
        <v>9073</v>
      </c>
      <c r="F581" s="12">
        <v>27.0</v>
      </c>
      <c r="G581" s="12">
        <v>1997.0</v>
      </c>
      <c r="H581" s="14">
        <v>28.0</v>
      </c>
      <c r="I581" s="16">
        <v>2075.0</v>
      </c>
      <c r="J581" s="15">
        <v>74.0</v>
      </c>
      <c r="K581" s="15">
        <v>60.7</v>
      </c>
      <c r="L581" s="15">
        <v>23.1</v>
      </c>
      <c r="M581" s="17">
        <v>1.08</v>
      </c>
      <c r="N581" s="15">
        <v>82.0</v>
      </c>
      <c r="O581" s="18">
        <v>0.69</v>
      </c>
      <c r="P581" s="17">
        <v>0.13</v>
      </c>
      <c r="Q581" s="15">
        <v>12.0</v>
      </c>
      <c r="R581" s="18">
        <v>0.13</v>
      </c>
      <c r="S581" s="14">
        <v>1.32</v>
      </c>
      <c r="T581" s="18">
        <v>1.39</v>
      </c>
      <c r="U581" s="18">
        <v>1.13</v>
      </c>
      <c r="V581" s="54">
        <v>0.26</v>
      </c>
      <c r="W581" s="55">
        <f>+0.26</f>
        <v>0.26</v>
      </c>
      <c r="X581" s="55">
        <f>+0.86</f>
        <v>0.86</v>
      </c>
      <c r="Y581" s="20" t="s">
        <v>9074</v>
      </c>
    </row>
    <row r="582">
      <c r="A582" s="9">
        <v>558.0</v>
      </c>
      <c r="B582" s="10" t="s">
        <v>9075</v>
      </c>
      <c r="C582" s="11" t="s">
        <v>9076</v>
      </c>
      <c r="D582" s="12" t="s">
        <v>31</v>
      </c>
      <c r="E582" s="13" t="s">
        <v>9077</v>
      </c>
      <c r="F582" s="12">
        <v>21.0</v>
      </c>
      <c r="G582" s="12">
        <v>2004.0</v>
      </c>
      <c r="H582" s="14">
        <v>27.0</v>
      </c>
      <c r="I582" s="16">
        <v>1260.0</v>
      </c>
      <c r="J582" s="15">
        <v>47.0</v>
      </c>
      <c r="K582" s="15">
        <v>36.8</v>
      </c>
      <c r="L582" s="15">
        <v>14.0</v>
      </c>
      <c r="M582" s="17">
        <v>0.93</v>
      </c>
      <c r="N582" s="15">
        <v>71.0</v>
      </c>
      <c r="O582" s="18">
        <v>0.29</v>
      </c>
      <c r="P582" s="17">
        <v>1.0</v>
      </c>
      <c r="Q582" s="15">
        <v>24.0</v>
      </c>
      <c r="R582" s="18">
        <v>0.71</v>
      </c>
      <c r="S582" s="14">
        <v>1.48</v>
      </c>
      <c r="T582" s="18">
        <v>1.5</v>
      </c>
      <c r="U582" s="18">
        <v>1.29</v>
      </c>
      <c r="V582" s="54">
        <v>0.21</v>
      </c>
      <c r="W582" s="55">
        <f>+0.21</f>
        <v>0.21</v>
      </c>
      <c r="X582" s="55">
        <f>+0.09</f>
        <v>0.09</v>
      </c>
      <c r="Y582" s="20" t="s">
        <v>9078</v>
      </c>
    </row>
    <row r="583">
      <c r="A583" s="9">
        <v>559.0</v>
      </c>
      <c r="B583" s="10" t="s">
        <v>9079</v>
      </c>
      <c r="C583" s="11" t="s">
        <v>9080</v>
      </c>
      <c r="D583" s="12" t="s">
        <v>31</v>
      </c>
      <c r="E583" s="13" t="s">
        <v>9081</v>
      </c>
      <c r="F583" s="12">
        <v>27.0</v>
      </c>
      <c r="G583" s="12">
        <v>1998.0</v>
      </c>
      <c r="H583" s="14">
        <v>28.0</v>
      </c>
      <c r="I583" s="16">
        <v>2174.0</v>
      </c>
      <c r="J583" s="15">
        <v>78.0</v>
      </c>
      <c r="K583" s="15">
        <v>63.6</v>
      </c>
      <c r="L583" s="15">
        <v>24.2</v>
      </c>
      <c r="M583" s="17">
        <v>0.99</v>
      </c>
      <c r="N583" s="15">
        <v>85.0</v>
      </c>
      <c r="O583" s="18">
        <v>0.74</v>
      </c>
      <c r="P583" s="17">
        <v>0.17</v>
      </c>
      <c r="Q583" s="15">
        <v>34.0</v>
      </c>
      <c r="R583" s="19">
        <v>0.0</v>
      </c>
      <c r="S583" s="14">
        <v>1.18</v>
      </c>
      <c r="T583" s="18">
        <v>1.28</v>
      </c>
      <c r="U583" s="18">
        <v>1.2</v>
      </c>
      <c r="V583" s="54">
        <v>0.08</v>
      </c>
      <c r="W583" s="55">
        <f>+0.08</f>
        <v>0.08</v>
      </c>
      <c r="X583" s="55">
        <f>+0.95</f>
        <v>0.95</v>
      </c>
      <c r="Y583" s="20" t="s">
        <v>9082</v>
      </c>
    </row>
    <row r="584">
      <c r="A584" s="9">
        <v>560.0</v>
      </c>
      <c r="B584" s="10" t="s">
        <v>9083</v>
      </c>
      <c r="C584" s="11" t="s">
        <v>9084</v>
      </c>
      <c r="D584" s="12" t="s">
        <v>36</v>
      </c>
      <c r="E584" s="13" t="s">
        <v>9085</v>
      </c>
      <c r="F584" s="12">
        <v>19.0</v>
      </c>
      <c r="G584" s="12">
        <v>2005.0</v>
      </c>
      <c r="H584" s="14">
        <v>3.0</v>
      </c>
      <c r="I584" s="15">
        <v>102.0</v>
      </c>
      <c r="J584" s="15">
        <v>34.0</v>
      </c>
      <c r="K584" s="15">
        <v>3.0</v>
      </c>
      <c r="L584" s="15">
        <v>1.1</v>
      </c>
      <c r="M584" s="17">
        <v>0.91</v>
      </c>
      <c r="N584" s="15">
        <v>89.0</v>
      </c>
      <c r="O584" s="19">
        <v>0.0</v>
      </c>
      <c r="P584" s="17">
        <v>1.82</v>
      </c>
      <c r="Q584" s="15">
        <v>7.0</v>
      </c>
      <c r="R584" s="18">
        <v>6.36</v>
      </c>
      <c r="S584" s="14">
        <v>1.33</v>
      </c>
      <c r="T584" s="18">
        <v>0.91</v>
      </c>
      <c r="U584" s="18">
        <v>2.73</v>
      </c>
      <c r="V584" s="56">
        <v>-1.82</v>
      </c>
      <c r="W584" s="57">
        <v>-1.76</v>
      </c>
      <c r="X584" s="57">
        <v>-1.98</v>
      </c>
      <c r="Y584" s="20" t="s">
        <v>9086</v>
      </c>
    </row>
    <row r="585">
      <c r="A585" s="9">
        <v>561.0</v>
      </c>
      <c r="B585" s="10" t="s">
        <v>9087</v>
      </c>
      <c r="C585" s="11" t="s">
        <v>9088</v>
      </c>
      <c r="D585" s="12" t="s">
        <v>31</v>
      </c>
      <c r="E585" s="13" t="s">
        <v>9089</v>
      </c>
      <c r="F585" s="12">
        <v>21.0</v>
      </c>
      <c r="G585" s="12">
        <v>2004.0</v>
      </c>
      <c r="H585" s="14">
        <v>24.0</v>
      </c>
      <c r="I585" s="15">
        <v>833.0</v>
      </c>
      <c r="J585" s="15">
        <v>35.0</v>
      </c>
      <c r="K585" s="15">
        <v>24.4</v>
      </c>
      <c r="L585" s="15">
        <v>9.3</v>
      </c>
      <c r="M585" s="17">
        <v>0.75</v>
      </c>
      <c r="N585" s="15">
        <v>78.0</v>
      </c>
      <c r="O585" s="18">
        <v>0.32</v>
      </c>
      <c r="P585" s="17">
        <v>1.83</v>
      </c>
      <c r="Q585" s="15">
        <v>17.0</v>
      </c>
      <c r="R585" s="18">
        <v>0.32</v>
      </c>
      <c r="S585" s="14">
        <v>2.29</v>
      </c>
      <c r="T585" s="18">
        <v>1.61</v>
      </c>
      <c r="U585" s="18">
        <v>0.75</v>
      </c>
      <c r="V585" s="54">
        <v>0.86</v>
      </c>
      <c r="W585" s="55">
        <f>+0.86</f>
        <v>0.86</v>
      </c>
      <c r="X585" s="57">
        <v>-0.32</v>
      </c>
      <c r="Y585" s="20" t="s">
        <v>9090</v>
      </c>
    </row>
    <row r="586">
      <c r="A586" s="9">
        <v>562.0</v>
      </c>
      <c r="B586" s="10" t="s">
        <v>9091</v>
      </c>
      <c r="C586" s="11" t="s">
        <v>9092</v>
      </c>
      <c r="D586" s="12" t="s">
        <v>36</v>
      </c>
      <c r="E586" s="13" t="s">
        <v>9093</v>
      </c>
      <c r="F586" s="12">
        <v>22.0</v>
      </c>
      <c r="G586" s="12">
        <v>2003.0</v>
      </c>
      <c r="H586" s="14">
        <v>14.0</v>
      </c>
      <c r="I586" s="16">
        <v>1028.0</v>
      </c>
      <c r="J586" s="15">
        <v>73.0</v>
      </c>
      <c r="K586" s="15">
        <v>30.1</v>
      </c>
      <c r="L586" s="15">
        <v>11.4</v>
      </c>
      <c r="M586" s="17">
        <v>0.96</v>
      </c>
      <c r="N586" s="15">
        <v>85.0</v>
      </c>
      <c r="O586" s="18">
        <v>0.79</v>
      </c>
      <c r="P586" s="17">
        <v>0.26</v>
      </c>
      <c r="Q586" s="15">
        <v>31.0</v>
      </c>
      <c r="R586" s="18">
        <v>0.35</v>
      </c>
      <c r="S586" s="14">
        <v>0.93</v>
      </c>
      <c r="T586" s="18">
        <v>1.14</v>
      </c>
      <c r="U586" s="18">
        <v>1.58</v>
      </c>
      <c r="V586" s="56">
        <v>-0.44</v>
      </c>
      <c r="W586" s="57">
        <v>-0.44</v>
      </c>
      <c r="X586" s="57">
        <v>-0.51</v>
      </c>
      <c r="Y586" s="20" t="s">
        <v>9094</v>
      </c>
    </row>
    <row r="587">
      <c r="A587" s="9">
        <v>563.0</v>
      </c>
      <c r="B587" s="10" t="s">
        <v>9095</v>
      </c>
      <c r="C587" s="11" t="s">
        <v>9096</v>
      </c>
      <c r="D587" s="12" t="s">
        <v>345</v>
      </c>
      <c r="E587" s="13" t="s">
        <v>9097</v>
      </c>
      <c r="F587" s="12">
        <v>19.0</v>
      </c>
      <c r="G587" s="12">
        <v>2005.0</v>
      </c>
      <c r="H587" s="14">
        <v>13.0</v>
      </c>
      <c r="I587" s="15">
        <v>659.0</v>
      </c>
      <c r="J587" s="15">
        <v>51.0</v>
      </c>
      <c r="K587" s="15">
        <v>19.3</v>
      </c>
      <c r="L587" s="15">
        <v>7.3</v>
      </c>
      <c r="M587" s="17">
        <v>1.23</v>
      </c>
      <c r="N587" s="15">
        <v>69.0</v>
      </c>
      <c r="O587" s="18">
        <v>0.55</v>
      </c>
      <c r="P587" s="17">
        <v>0.55</v>
      </c>
      <c r="Q587" s="15">
        <v>9.0</v>
      </c>
      <c r="R587" s="18">
        <v>2.33</v>
      </c>
      <c r="S587" s="14">
        <v>0.85</v>
      </c>
      <c r="T587" s="18">
        <v>1.1</v>
      </c>
      <c r="U587" s="18">
        <v>2.19</v>
      </c>
      <c r="V587" s="56">
        <v>-1.1</v>
      </c>
      <c r="W587" s="57">
        <v>-1.09</v>
      </c>
      <c r="X587" s="57">
        <v>-0.73</v>
      </c>
      <c r="Y587" s="20" t="s">
        <v>9098</v>
      </c>
    </row>
    <row r="588">
      <c r="A588" s="9">
        <v>564.0</v>
      </c>
      <c r="B588" s="10" t="s">
        <v>9099</v>
      </c>
      <c r="C588" s="11" t="s">
        <v>9100</v>
      </c>
      <c r="D588" s="12" t="s">
        <v>41</v>
      </c>
      <c r="E588" s="13" t="s">
        <v>9101</v>
      </c>
      <c r="F588" s="12">
        <v>21.0</v>
      </c>
      <c r="G588" s="12">
        <v>2004.0</v>
      </c>
      <c r="H588" s="14">
        <v>2.0</v>
      </c>
      <c r="I588" s="15">
        <v>9.0</v>
      </c>
      <c r="J588" s="15">
        <v>5.0</v>
      </c>
      <c r="K588" s="15">
        <v>0.3</v>
      </c>
      <c r="L588" s="15">
        <v>0.1</v>
      </c>
      <c r="M588" s="22">
        <v>0.0</v>
      </c>
      <c r="N588" s="36"/>
      <c r="O588" s="19">
        <v>0.0</v>
      </c>
      <c r="P588" s="17">
        <v>20.0</v>
      </c>
      <c r="Q588" s="15">
        <v>5.0</v>
      </c>
      <c r="R588" s="18">
        <v>90.0</v>
      </c>
      <c r="S588" s="14">
        <v>1.0</v>
      </c>
      <c r="T588" s="18">
        <v>10.0</v>
      </c>
      <c r="U588" s="19">
        <v>0.0</v>
      </c>
      <c r="V588" s="54">
        <v>10.0</v>
      </c>
      <c r="W588" s="55">
        <f>+10</f>
        <v>10</v>
      </c>
      <c r="X588" s="55">
        <f>+10.26</f>
        <v>10.26</v>
      </c>
      <c r="Y588" s="20" t="s">
        <v>9102</v>
      </c>
    </row>
    <row r="589">
      <c r="A589" s="9">
        <v>565.0</v>
      </c>
      <c r="B589" s="10" t="s">
        <v>9103</v>
      </c>
      <c r="C589" s="11" t="s">
        <v>9104</v>
      </c>
      <c r="D589" s="12" t="s">
        <v>26</v>
      </c>
      <c r="E589" s="13" t="s">
        <v>9105</v>
      </c>
      <c r="F589" s="12">
        <v>23.0</v>
      </c>
      <c r="G589" s="12">
        <v>2001.0</v>
      </c>
      <c r="H589" s="14">
        <v>35.0</v>
      </c>
      <c r="I589" s="16">
        <v>2745.0</v>
      </c>
      <c r="J589" s="15">
        <v>78.0</v>
      </c>
      <c r="K589" s="15">
        <v>80.3</v>
      </c>
      <c r="L589" s="15">
        <v>30.5</v>
      </c>
      <c r="M589" s="17">
        <v>1.05</v>
      </c>
      <c r="N589" s="15">
        <v>82.0</v>
      </c>
      <c r="O589" s="18">
        <v>0.59</v>
      </c>
      <c r="P589" s="17">
        <v>0.1</v>
      </c>
      <c r="Q589" s="15">
        <v>39.0</v>
      </c>
      <c r="R589" s="19">
        <v>0.0</v>
      </c>
      <c r="S589" s="14">
        <v>1.37</v>
      </c>
      <c r="T589" s="18">
        <v>1.34</v>
      </c>
      <c r="U589" s="18">
        <v>1.11</v>
      </c>
      <c r="V589" s="54">
        <v>0.23</v>
      </c>
      <c r="W589" s="55">
        <f>+0.23</f>
        <v>0.23</v>
      </c>
      <c r="X589" s="55">
        <f>+0.76</f>
        <v>0.76</v>
      </c>
      <c r="Y589" s="20" t="s">
        <v>9106</v>
      </c>
    </row>
    <row r="590">
      <c r="A590" s="9">
        <v>566.0</v>
      </c>
      <c r="B590" s="10" t="s">
        <v>9107</v>
      </c>
      <c r="C590" s="11" t="s">
        <v>9108</v>
      </c>
      <c r="D590" s="12" t="s">
        <v>36</v>
      </c>
      <c r="E590" s="13" t="s">
        <v>9109</v>
      </c>
      <c r="F590" s="12">
        <v>33.0</v>
      </c>
      <c r="G590" s="12">
        <v>1991.0</v>
      </c>
      <c r="H590" s="14">
        <v>16.0</v>
      </c>
      <c r="I590" s="16">
        <v>1091.0</v>
      </c>
      <c r="J590" s="15">
        <v>68.0</v>
      </c>
      <c r="K590" s="15">
        <v>31.9</v>
      </c>
      <c r="L590" s="15">
        <v>12.1</v>
      </c>
      <c r="M590" s="17">
        <v>0.91</v>
      </c>
      <c r="N590" s="15">
        <v>88.0</v>
      </c>
      <c r="O590" s="18">
        <v>0.74</v>
      </c>
      <c r="P590" s="17">
        <v>0.41</v>
      </c>
      <c r="Q590" s="15">
        <v>25.0</v>
      </c>
      <c r="R590" s="18">
        <v>0.25</v>
      </c>
      <c r="S590" s="14">
        <v>1.75</v>
      </c>
      <c r="T590" s="18">
        <v>1.32</v>
      </c>
      <c r="U590" s="18">
        <v>1.07</v>
      </c>
      <c r="V590" s="54">
        <v>0.25</v>
      </c>
      <c r="W590" s="55">
        <f t="shared" ref="W590:W591" si="9">+0.25</f>
        <v>0.25</v>
      </c>
      <c r="X590" s="55">
        <f>+0.44</f>
        <v>0.44</v>
      </c>
      <c r="Y590" s="20" t="s">
        <v>9110</v>
      </c>
    </row>
    <row r="591">
      <c r="A591" s="9">
        <v>567.0</v>
      </c>
      <c r="B591" s="10" t="s">
        <v>9111</v>
      </c>
      <c r="C591" s="11" t="s">
        <v>9112</v>
      </c>
      <c r="D591" s="12" t="s">
        <v>31</v>
      </c>
      <c r="E591" s="13" t="s">
        <v>9113</v>
      </c>
      <c r="F591" s="12">
        <v>21.0</v>
      </c>
      <c r="G591" s="12">
        <v>2003.0</v>
      </c>
      <c r="H591" s="14">
        <v>37.0</v>
      </c>
      <c r="I591" s="16">
        <v>2849.0</v>
      </c>
      <c r="J591" s="15">
        <v>77.0</v>
      </c>
      <c r="K591" s="15">
        <v>83.3</v>
      </c>
      <c r="L591" s="15">
        <v>31.7</v>
      </c>
      <c r="M591" s="17">
        <v>1.07</v>
      </c>
      <c r="N591" s="15">
        <v>80.0</v>
      </c>
      <c r="O591" s="18">
        <v>0.6</v>
      </c>
      <c r="P591" s="17">
        <v>0.09</v>
      </c>
      <c r="Q591" s="15">
        <v>39.0</v>
      </c>
      <c r="R591" s="19">
        <v>0.0</v>
      </c>
      <c r="S591" s="14">
        <v>1.51</v>
      </c>
      <c r="T591" s="18">
        <v>1.58</v>
      </c>
      <c r="U591" s="18">
        <v>1.32</v>
      </c>
      <c r="V591" s="54">
        <v>0.25</v>
      </c>
      <c r="W591" s="55">
        <f t="shared" si="9"/>
        <v>0.25</v>
      </c>
      <c r="X591" s="55">
        <f>+0.88</f>
        <v>0.88</v>
      </c>
      <c r="Y591" s="20" t="s">
        <v>9114</v>
      </c>
    </row>
    <row r="592">
      <c r="A592" s="9">
        <v>568.0</v>
      </c>
      <c r="B592" s="10" t="s">
        <v>9115</v>
      </c>
      <c r="C592" s="11" t="s">
        <v>9116</v>
      </c>
      <c r="D592" s="12" t="s">
        <v>36</v>
      </c>
      <c r="E592" s="13" t="s">
        <v>9117</v>
      </c>
      <c r="F592" s="12">
        <v>22.0</v>
      </c>
      <c r="G592" s="12">
        <v>2003.0</v>
      </c>
      <c r="H592" s="14">
        <v>2.0</v>
      </c>
      <c r="I592" s="15">
        <v>134.0</v>
      </c>
      <c r="J592" s="15">
        <v>67.0</v>
      </c>
      <c r="K592" s="15">
        <v>3.9</v>
      </c>
      <c r="L592" s="15">
        <v>1.5</v>
      </c>
      <c r="M592" s="17">
        <v>0.67</v>
      </c>
      <c r="N592" s="15">
        <v>52.0</v>
      </c>
      <c r="O592" s="19">
        <v>0.0</v>
      </c>
      <c r="P592" s="17">
        <v>0.67</v>
      </c>
      <c r="Q592" s="15">
        <v>82.0</v>
      </c>
      <c r="R592" s="18">
        <v>0.67</v>
      </c>
      <c r="S592" s="14">
        <v>1.5</v>
      </c>
      <c r="T592" s="19">
        <v>0.0</v>
      </c>
      <c r="U592" s="18">
        <v>1.33</v>
      </c>
      <c r="V592" s="56">
        <v>-1.33</v>
      </c>
      <c r="W592" s="57">
        <v>-1.34</v>
      </c>
      <c r="X592" s="57">
        <v>-1.23</v>
      </c>
      <c r="Y592" s="20" t="s">
        <v>9118</v>
      </c>
    </row>
    <row r="593">
      <c r="A593" s="9">
        <v>569.0</v>
      </c>
      <c r="B593" s="10" t="s">
        <v>9119</v>
      </c>
      <c r="C593" s="11" t="s">
        <v>9120</v>
      </c>
      <c r="D593" s="12" t="s">
        <v>98</v>
      </c>
      <c r="E593" s="13" t="s">
        <v>9121</v>
      </c>
      <c r="F593" s="12">
        <v>33.0</v>
      </c>
      <c r="G593" s="12">
        <v>1992.0</v>
      </c>
      <c r="H593" s="14">
        <v>31.0</v>
      </c>
      <c r="I593" s="16">
        <v>2668.0</v>
      </c>
      <c r="J593" s="15">
        <v>86.0</v>
      </c>
      <c r="K593" s="15">
        <v>78.0</v>
      </c>
      <c r="L593" s="15">
        <v>29.6</v>
      </c>
      <c r="M593" s="17">
        <v>1.01</v>
      </c>
      <c r="N593" s="15">
        <v>89.0</v>
      </c>
      <c r="O593" s="18">
        <v>0.98</v>
      </c>
      <c r="P593" s="17">
        <v>0.03</v>
      </c>
      <c r="Q593" s="15">
        <v>13.0</v>
      </c>
      <c r="R593" s="18">
        <v>0.1</v>
      </c>
      <c r="S593" s="14">
        <v>1.29</v>
      </c>
      <c r="T593" s="18">
        <v>1.42</v>
      </c>
      <c r="U593" s="18">
        <v>1.32</v>
      </c>
      <c r="V593" s="54">
        <v>0.1</v>
      </c>
      <c r="W593" s="55">
        <f>+0.1</f>
        <v>0.1</v>
      </c>
      <c r="X593" s="55">
        <f>+0.82</f>
        <v>0.82</v>
      </c>
      <c r="Y593" s="20" t="s">
        <v>9122</v>
      </c>
    </row>
    <row r="594">
      <c r="A594" s="9">
        <v>570.0</v>
      </c>
      <c r="B594" s="10" t="s">
        <v>9123</v>
      </c>
      <c r="C594" s="11" t="s">
        <v>9124</v>
      </c>
      <c r="D594" s="12" t="s">
        <v>26</v>
      </c>
      <c r="E594" s="13" t="s">
        <v>9125</v>
      </c>
      <c r="F594" s="12">
        <v>25.0</v>
      </c>
      <c r="G594" s="12">
        <v>2000.0</v>
      </c>
      <c r="H594" s="14">
        <v>17.0</v>
      </c>
      <c r="I594" s="16">
        <v>1397.0</v>
      </c>
      <c r="J594" s="15">
        <v>82.0</v>
      </c>
      <c r="K594" s="15">
        <v>40.8</v>
      </c>
      <c r="L594" s="15">
        <v>15.5</v>
      </c>
      <c r="M594" s="17">
        <v>1.1</v>
      </c>
      <c r="N594" s="15">
        <v>82.0</v>
      </c>
      <c r="O594" s="18">
        <v>0.58</v>
      </c>
      <c r="P594" s="22">
        <v>0.0</v>
      </c>
      <c r="Q594" s="36"/>
      <c r="R594" s="19">
        <v>0.0</v>
      </c>
      <c r="S594" s="14">
        <v>2.06</v>
      </c>
      <c r="T594" s="18">
        <v>1.81</v>
      </c>
      <c r="U594" s="18">
        <v>0.9</v>
      </c>
      <c r="V594" s="54">
        <v>0.9</v>
      </c>
      <c r="W594" s="55">
        <f>+0.9</f>
        <v>0.9</v>
      </c>
      <c r="X594" s="57">
        <v>-0.34</v>
      </c>
      <c r="Y594" s="20" t="s">
        <v>9126</v>
      </c>
    </row>
    <row r="595">
      <c r="A595" s="9">
        <v>571.0</v>
      </c>
      <c r="B595" s="10" t="s">
        <v>9127</v>
      </c>
      <c r="C595" s="11" t="s">
        <v>9128</v>
      </c>
      <c r="D595" s="12" t="s">
        <v>31</v>
      </c>
      <c r="E595" s="13" t="s">
        <v>9129</v>
      </c>
      <c r="F595" s="12">
        <v>25.0</v>
      </c>
      <c r="G595" s="12">
        <v>2000.0</v>
      </c>
      <c r="H595" s="14">
        <v>20.0</v>
      </c>
      <c r="I595" s="16">
        <v>1798.0</v>
      </c>
      <c r="J595" s="15">
        <v>90.0</v>
      </c>
      <c r="K595" s="15">
        <v>52.6</v>
      </c>
      <c r="L595" s="15">
        <v>20.0</v>
      </c>
      <c r="M595" s="17">
        <v>1.0</v>
      </c>
      <c r="N595" s="15">
        <v>90.0</v>
      </c>
      <c r="O595" s="18">
        <v>0.9</v>
      </c>
      <c r="P595" s="22">
        <v>0.0</v>
      </c>
      <c r="Q595" s="36"/>
      <c r="R595" s="19">
        <v>0.0</v>
      </c>
      <c r="S595" s="14">
        <v>1.25</v>
      </c>
      <c r="T595" s="18">
        <v>1.55</v>
      </c>
      <c r="U595" s="18">
        <v>1.9</v>
      </c>
      <c r="V595" s="56">
        <v>-0.35</v>
      </c>
      <c r="W595" s="57">
        <v>-0.35</v>
      </c>
      <c r="X595" s="57">
        <v>-0.96</v>
      </c>
      <c r="Y595" s="20" t="s">
        <v>9130</v>
      </c>
    </row>
    <row r="596">
      <c r="A596" s="9">
        <v>572.0</v>
      </c>
      <c r="B596" s="10" t="s">
        <v>9131</v>
      </c>
      <c r="C596" s="11" t="s">
        <v>9132</v>
      </c>
      <c r="D596" s="12" t="s">
        <v>36</v>
      </c>
      <c r="E596" s="13" t="s">
        <v>9133</v>
      </c>
      <c r="F596" s="12">
        <v>28.0</v>
      </c>
      <c r="G596" s="12">
        <v>1997.0</v>
      </c>
      <c r="H596" s="14">
        <v>37.0</v>
      </c>
      <c r="I596" s="16">
        <v>3288.0</v>
      </c>
      <c r="J596" s="15">
        <v>89.0</v>
      </c>
      <c r="K596" s="15">
        <v>96.1</v>
      </c>
      <c r="L596" s="15">
        <v>36.5</v>
      </c>
      <c r="M596" s="17">
        <v>1.01</v>
      </c>
      <c r="N596" s="15">
        <v>89.0</v>
      </c>
      <c r="O596" s="18">
        <v>0.96</v>
      </c>
      <c r="P596" s="22">
        <v>0.0</v>
      </c>
      <c r="Q596" s="36"/>
      <c r="R596" s="19">
        <v>0.0</v>
      </c>
      <c r="S596" s="14">
        <v>1.54</v>
      </c>
      <c r="T596" s="18">
        <v>1.53</v>
      </c>
      <c r="U596" s="18">
        <v>1.45</v>
      </c>
      <c r="V596" s="54">
        <v>0.08</v>
      </c>
      <c r="W596" s="55">
        <f>+0.08</f>
        <v>0.08</v>
      </c>
      <c r="X596" s="57">
        <v>-0.6</v>
      </c>
      <c r="Y596" s="20" t="s">
        <v>9134</v>
      </c>
    </row>
    <row r="597">
      <c r="A597" s="9">
        <v>573.0</v>
      </c>
      <c r="B597" s="10" t="s">
        <v>9135</v>
      </c>
      <c r="C597" s="11" t="s">
        <v>9136</v>
      </c>
      <c r="D597" s="12" t="s">
        <v>41</v>
      </c>
      <c r="E597" s="13" t="s">
        <v>9137</v>
      </c>
      <c r="F597" s="12">
        <v>22.0</v>
      </c>
      <c r="G597" s="12">
        <v>2003.0</v>
      </c>
      <c r="H597" s="14">
        <v>30.0</v>
      </c>
      <c r="I597" s="16">
        <v>1643.0</v>
      </c>
      <c r="J597" s="15">
        <v>55.0</v>
      </c>
      <c r="K597" s="15">
        <v>48.0</v>
      </c>
      <c r="L597" s="15">
        <v>18.3</v>
      </c>
      <c r="M597" s="17">
        <v>0.93</v>
      </c>
      <c r="N597" s="15">
        <v>79.0</v>
      </c>
      <c r="O597" s="18">
        <v>0.44</v>
      </c>
      <c r="P597" s="17">
        <v>0.71</v>
      </c>
      <c r="Q597" s="15">
        <v>23.0</v>
      </c>
      <c r="R597" s="18">
        <v>0.05</v>
      </c>
      <c r="S597" s="14">
        <v>1.8</v>
      </c>
      <c r="T597" s="18">
        <v>2.02</v>
      </c>
      <c r="U597" s="18">
        <v>1.64</v>
      </c>
      <c r="V597" s="54">
        <v>0.38</v>
      </c>
      <c r="W597" s="55">
        <f>+0.38</f>
        <v>0.38</v>
      </c>
      <c r="X597" s="57">
        <v>-0.22</v>
      </c>
      <c r="Y597" s="20" t="s">
        <v>9138</v>
      </c>
    </row>
    <row r="598">
      <c r="A598" s="9">
        <v>574.0</v>
      </c>
      <c r="B598" s="10" t="s">
        <v>9139</v>
      </c>
      <c r="C598" s="11" t="s">
        <v>9140</v>
      </c>
      <c r="D598" s="12" t="s">
        <v>345</v>
      </c>
      <c r="E598" s="13" t="s">
        <v>9141</v>
      </c>
      <c r="F598" s="12">
        <v>25.0</v>
      </c>
      <c r="G598" s="12">
        <v>2000.0</v>
      </c>
      <c r="H598" s="14">
        <v>27.0</v>
      </c>
      <c r="I598" s="16">
        <v>1823.0</v>
      </c>
      <c r="J598" s="15">
        <v>68.0</v>
      </c>
      <c r="K598" s="15">
        <v>53.3</v>
      </c>
      <c r="L598" s="15">
        <v>20.3</v>
      </c>
      <c r="M598" s="17">
        <v>0.99</v>
      </c>
      <c r="N598" s="15">
        <v>85.0</v>
      </c>
      <c r="O598" s="18">
        <v>0.69</v>
      </c>
      <c r="P598" s="17">
        <v>0.34</v>
      </c>
      <c r="Q598" s="15">
        <v>19.0</v>
      </c>
      <c r="R598" s="18">
        <v>0.05</v>
      </c>
      <c r="S598" s="14">
        <v>1.33</v>
      </c>
      <c r="T598" s="18">
        <v>1.58</v>
      </c>
      <c r="U598" s="18">
        <v>1.43</v>
      </c>
      <c r="V598" s="54">
        <v>0.15</v>
      </c>
      <c r="W598" s="55">
        <f>+0.15</f>
        <v>0.15</v>
      </c>
      <c r="X598" s="55">
        <f>+0.54</f>
        <v>0.54</v>
      </c>
      <c r="Y598" s="20" t="s">
        <v>9142</v>
      </c>
    </row>
    <row r="599">
      <c r="A599" s="9">
        <v>575.0</v>
      </c>
      <c r="B599" s="10" t="s">
        <v>9143</v>
      </c>
      <c r="C599" s="11" t="s">
        <v>9144</v>
      </c>
      <c r="D599" s="12" t="s">
        <v>98</v>
      </c>
      <c r="E599" s="13" t="s">
        <v>9145</v>
      </c>
      <c r="F599" s="12">
        <v>19.0</v>
      </c>
      <c r="G599" s="12">
        <v>2006.0</v>
      </c>
      <c r="H599" s="23">
        <v>0.0</v>
      </c>
      <c r="I599" s="36"/>
      <c r="J599" s="36"/>
      <c r="K599" s="36"/>
      <c r="L599" s="36"/>
      <c r="M599" s="23">
        <v>0.0</v>
      </c>
      <c r="N599" s="36"/>
      <c r="O599" s="21">
        <v>0.0</v>
      </c>
      <c r="P599" s="23">
        <v>0.0</v>
      </c>
      <c r="Q599" s="36"/>
      <c r="R599" s="15">
        <v>1.0</v>
      </c>
      <c r="S599" s="58"/>
      <c r="T599" s="36"/>
      <c r="U599" s="36"/>
      <c r="V599" s="36"/>
      <c r="W599" s="36"/>
      <c r="X599" s="36"/>
      <c r="Y599" s="20" t="s">
        <v>9146</v>
      </c>
    </row>
    <row r="600">
      <c r="A600" s="37" t="s">
        <v>3</v>
      </c>
      <c r="B600" s="38" t="s">
        <v>4</v>
      </c>
      <c r="C600" s="39" t="s">
        <v>5</v>
      </c>
      <c r="D600" s="39" t="s">
        <v>6</v>
      </c>
      <c r="E600" s="39" t="s">
        <v>7</v>
      </c>
      <c r="F600" s="39" t="s">
        <v>8</v>
      </c>
      <c r="G600" s="39" t="s">
        <v>9</v>
      </c>
      <c r="H600" s="40" t="s">
        <v>10</v>
      </c>
      <c r="I600" s="39" t="s">
        <v>12</v>
      </c>
      <c r="J600" s="39" t="s">
        <v>6838</v>
      </c>
      <c r="K600" s="39" t="s">
        <v>6839</v>
      </c>
      <c r="L600" s="39" t="s">
        <v>13</v>
      </c>
      <c r="M600" s="40" t="s">
        <v>11</v>
      </c>
      <c r="N600" s="39" t="s">
        <v>6840</v>
      </c>
      <c r="O600" s="39" t="s">
        <v>6841</v>
      </c>
      <c r="P600" s="40" t="s">
        <v>6836</v>
      </c>
      <c r="Q600" s="39" t="s">
        <v>6842</v>
      </c>
      <c r="R600" s="39" t="s">
        <v>6843</v>
      </c>
      <c r="S600" s="40" t="s">
        <v>6844</v>
      </c>
      <c r="T600" s="39" t="s">
        <v>6845</v>
      </c>
      <c r="U600" s="39" t="s">
        <v>6846</v>
      </c>
      <c r="V600" s="59" t="str">
        <f>+/-</f>
        <v>#ERROR!</v>
      </c>
      <c r="W600" s="59" t="str">
        <f>+/-90</f>
        <v>#ERROR!</v>
      </c>
      <c r="X600" s="39" t="s">
        <v>6847</v>
      </c>
      <c r="Y600" s="40" t="s">
        <v>23</v>
      </c>
    </row>
    <row r="601">
      <c r="A601" s="9">
        <v>576.0</v>
      </c>
      <c r="B601" s="10" t="s">
        <v>9147</v>
      </c>
      <c r="C601" s="11" t="s">
        <v>9148</v>
      </c>
      <c r="D601" s="12" t="s">
        <v>31</v>
      </c>
      <c r="E601" s="13" t="s">
        <v>9149</v>
      </c>
      <c r="F601" s="12">
        <v>18.0</v>
      </c>
      <c r="G601" s="12">
        <v>2007.0</v>
      </c>
      <c r="H601" s="23">
        <v>0.0</v>
      </c>
      <c r="I601" s="36"/>
      <c r="J601" s="36"/>
      <c r="K601" s="36"/>
      <c r="L601" s="36"/>
      <c r="M601" s="23">
        <v>0.0</v>
      </c>
      <c r="N601" s="36"/>
      <c r="O601" s="21">
        <v>0.0</v>
      </c>
      <c r="P601" s="23">
        <v>0.0</v>
      </c>
      <c r="Q601" s="36"/>
      <c r="R601" s="15">
        <v>1.0</v>
      </c>
      <c r="S601" s="58"/>
      <c r="T601" s="36"/>
      <c r="U601" s="36"/>
      <c r="V601" s="36"/>
      <c r="W601" s="36"/>
      <c r="X601" s="36"/>
      <c r="Y601" s="20" t="s">
        <v>9150</v>
      </c>
    </row>
    <row r="602">
      <c r="A602" s="9">
        <v>577.0</v>
      </c>
      <c r="B602" s="10" t="s">
        <v>9151</v>
      </c>
      <c r="C602" s="11" t="s">
        <v>9152</v>
      </c>
      <c r="D602" s="12" t="s">
        <v>36</v>
      </c>
      <c r="E602" s="13" t="s">
        <v>9153</v>
      </c>
      <c r="F602" s="12">
        <v>18.0</v>
      </c>
      <c r="G602" s="12">
        <v>2007.0</v>
      </c>
      <c r="H602" s="23">
        <v>0.0</v>
      </c>
      <c r="I602" s="36"/>
      <c r="J602" s="36"/>
      <c r="K602" s="36"/>
      <c r="L602" s="36"/>
      <c r="M602" s="23">
        <v>0.0</v>
      </c>
      <c r="N602" s="36"/>
      <c r="O602" s="21">
        <v>0.0</v>
      </c>
      <c r="P602" s="23">
        <v>0.0</v>
      </c>
      <c r="Q602" s="36"/>
      <c r="R602" s="15">
        <v>11.0</v>
      </c>
      <c r="S602" s="58"/>
      <c r="T602" s="36"/>
      <c r="U602" s="36"/>
      <c r="V602" s="36"/>
      <c r="W602" s="36"/>
      <c r="X602" s="36"/>
      <c r="Y602" s="20" t="s">
        <v>9154</v>
      </c>
    </row>
    <row r="603">
      <c r="A603" s="9">
        <v>578.0</v>
      </c>
      <c r="B603" s="10" t="s">
        <v>9155</v>
      </c>
      <c r="C603" s="11" t="s">
        <v>9156</v>
      </c>
      <c r="D603" s="12" t="s">
        <v>98</v>
      </c>
      <c r="E603" s="13" t="s">
        <v>9157</v>
      </c>
      <c r="F603" s="12">
        <v>22.0</v>
      </c>
      <c r="G603" s="12">
        <v>2003.0</v>
      </c>
      <c r="H603" s="23">
        <v>0.0</v>
      </c>
      <c r="I603" s="36"/>
      <c r="J603" s="36"/>
      <c r="K603" s="36"/>
      <c r="L603" s="36"/>
      <c r="M603" s="23">
        <v>0.0</v>
      </c>
      <c r="N603" s="36"/>
      <c r="O603" s="21">
        <v>0.0</v>
      </c>
      <c r="P603" s="23">
        <v>0.0</v>
      </c>
      <c r="Q603" s="36"/>
      <c r="R603" s="15">
        <v>9.0</v>
      </c>
      <c r="S603" s="58"/>
      <c r="T603" s="36"/>
      <c r="U603" s="36"/>
      <c r="V603" s="36"/>
      <c r="W603" s="36"/>
      <c r="X603" s="36"/>
      <c r="Y603" s="20" t="s">
        <v>9158</v>
      </c>
    </row>
    <row r="604">
      <c r="A604" s="9">
        <v>579.0</v>
      </c>
      <c r="B604" s="10" t="s">
        <v>9159</v>
      </c>
      <c r="C604" s="11" t="s">
        <v>9160</v>
      </c>
      <c r="D604" s="12" t="s">
        <v>36</v>
      </c>
      <c r="E604" s="13" t="s">
        <v>9161</v>
      </c>
      <c r="F604" s="12">
        <v>30.0</v>
      </c>
      <c r="G604" s="12">
        <v>1995.0</v>
      </c>
      <c r="H604" s="14">
        <v>38.0</v>
      </c>
      <c r="I604" s="16">
        <v>3219.0</v>
      </c>
      <c r="J604" s="15">
        <v>85.0</v>
      </c>
      <c r="K604" s="15">
        <v>94.1</v>
      </c>
      <c r="L604" s="15">
        <v>35.8</v>
      </c>
      <c r="M604" s="17">
        <v>1.06</v>
      </c>
      <c r="N604" s="15">
        <v>85.0</v>
      </c>
      <c r="O604" s="18">
        <v>0.64</v>
      </c>
      <c r="P604" s="22">
        <v>0.0</v>
      </c>
      <c r="Q604" s="36"/>
      <c r="R604" s="19">
        <v>0.0</v>
      </c>
      <c r="S604" s="14">
        <v>1.87</v>
      </c>
      <c r="T604" s="18">
        <v>1.84</v>
      </c>
      <c r="U604" s="18">
        <v>1.26</v>
      </c>
      <c r="V604" s="54">
        <v>0.59</v>
      </c>
      <c r="W604" s="55">
        <f>+0.59</f>
        <v>0.59</v>
      </c>
      <c r="X604" s="55">
        <f>+1.48</f>
        <v>1.48</v>
      </c>
      <c r="Y604" s="20" t="s">
        <v>9162</v>
      </c>
    </row>
    <row r="605">
      <c r="A605" s="9">
        <v>580.0</v>
      </c>
      <c r="B605" s="10" t="s">
        <v>9163</v>
      </c>
      <c r="C605" s="11" t="s">
        <v>9164</v>
      </c>
      <c r="D605" s="12" t="s">
        <v>31</v>
      </c>
      <c r="E605" s="13" t="s">
        <v>9165</v>
      </c>
      <c r="F605" s="12">
        <v>18.0</v>
      </c>
      <c r="G605" s="12">
        <v>2006.0</v>
      </c>
      <c r="H605" s="23">
        <v>0.0</v>
      </c>
      <c r="I605" s="36"/>
      <c r="J605" s="36"/>
      <c r="K605" s="36"/>
      <c r="L605" s="36"/>
      <c r="M605" s="23">
        <v>0.0</v>
      </c>
      <c r="N605" s="36"/>
      <c r="O605" s="21">
        <v>0.0</v>
      </c>
      <c r="P605" s="23">
        <v>0.0</v>
      </c>
      <c r="Q605" s="36"/>
      <c r="R605" s="15">
        <v>7.0</v>
      </c>
      <c r="S605" s="58"/>
      <c r="T605" s="36"/>
      <c r="U605" s="36"/>
      <c r="V605" s="36"/>
      <c r="W605" s="36"/>
      <c r="X605" s="36"/>
      <c r="Y605" s="20" t="s">
        <v>9166</v>
      </c>
    </row>
    <row r="606">
      <c r="A606" s="9">
        <v>581.0</v>
      </c>
      <c r="B606" s="10" t="s">
        <v>9167</v>
      </c>
      <c r="C606" s="11" t="s">
        <v>9168</v>
      </c>
      <c r="D606" s="12" t="s">
        <v>41</v>
      </c>
      <c r="E606" s="13" t="s">
        <v>9169</v>
      </c>
      <c r="F606" s="12">
        <v>19.0</v>
      </c>
      <c r="G606" s="12">
        <v>2006.0</v>
      </c>
      <c r="H606" s="23">
        <v>0.0</v>
      </c>
      <c r="I606" s="36"/>
      <c r="J606" s="36"/>
      <c r="K606" s="36"/>
      <c r="L606" s="36"/>
      <c r="M606" s="23">
        <v>0.0</v>
      </c>
      <c r="N606" s="36"/>
      <c r="O606" s="21">
        <v>0.0</v>
      </c>
      <c r="P606" s="23">
        <v>0.0</v>
      </c>
      <c r="Q606" s="36"/>
      <c r="R606" s="15">
        <v>1.0</v>
      </c>
      <c r="S606" s="58"/>
      <c r="T606" s="36"/>
      <c r="U606" s="36"/>
      <c r="V606" s="36"/>
      <c r="W606" s="36"/>
      <c r="X606" s="36"/>
      <c r="Y606" s="20" t="s">
        <v>9170</v>
      </c>
    </row>
    <row r="607">
      <c r="A607" s="9">
        <v>582.0</v>
      </c>
      <c r="B607" s="10" t="s">
        <v>9171</v>
      </c>
      <c r="C607" s="11" t="s">
        <v>9172</v>
      </c>
      <c r="D607" s="12" t="s">
        <v>31</v>
      </c>
      <c r="E607" s="13" t="s">
        <v>9173</v>
      </c>
      <c r="F607" s="12">
        <v>30.0</v>
      </c>
      <c r="G607" s="12">
        <v>1994.0</v>
      </c>
      <c r="H607" s="14">
        <v>38.0</v>
      </c>
      <c r="I607" s="16">
        <v>2872.0</v>
      </c>
      <c r="J607" s="15">
        <v>76.0</v>
      </c>
      <c r="K607" s="15">
        <v>84.0</v>
      </c>
      <c r="L607" s="15">
        <v>31.9</v>
      </c>
      <c r="M607" s="17">
        <v>1.07</v>
      </c>
      <c r="N607" s="15">
        <v>82.0</v>
      </c>
      <c r="O607" s="18">
        <v>0.44</v>
      </c>
      <c r="P607" s="17">
        <v>0.13</v>
      </c>
      <c r="Q607" s="15">
        <v>23.0</v>
      </c>
      <c r="R607" s="19">
        <v>0.0</v>
      </c>
      <c r="S607" s="14">
        <v>2.05</v>
      </c>
      <c r="T607" s="18">
        <v>2.1</v>
      </c>
      <c r="U607" s="18">
        <v>0.94</v>
      </c>
      <c r="V607" s="54">
        <v>1.16</v>
      </c>
      <c r="W607" s="55">
        <f>+1.16</f>
        <v>1.16</v>
      </c>
      <c r="X607" s="55">
        <f>+0.34</f>
        <v>0.34</v>
      </c>
      <c r="Y607" s="20" t="s">
        <v>9174</v>
      </c>
    </row>
    <row r="608">
      <c r="A608" s="9">
        <v>583.0</v>
      </c>
      <c r="B608" s="10" t="s">
        <v>9175</v>
      </c>
      <c r="C608" s="11" t="s">
        <v>9176</v>
      </c>
      <c r="D608" s="12" t="s">
        <v>41</v>
      </c>
      <c r="E608" s="13" t="s">
        <v>9177</v>
      </c>
      <c r="F608" s="12">
        <v>25.0</v>
      </c>
      <c r="G608" s="12">
        <v>1999.0</v>
      </c>
      <c r="H608" s="14">
        <v>1.0</v>
      </c>
      <c r="I608" s="15">
        <v>12.0</v>
      </c>
      <c r="J608" s="15">
        <v>12.0</v>
      </c>
      <c r="K608" s="15">
        <v>0.4</v>
      </c>
      <c r="L608" s="15">
        <v>0.1</v>
      </c>
      <c r="M608" s="22">
        <v>0.0</v>
      </c>
      <c r="N608" s="36"/>
      <c r="O608" s="19">
        <v>0.0</v>
      </c>
      <c r="P608" s="17">
        <v>10.0</v>
      </c>
      <c r="Q608" s="15">
        <v>12.0</v>
      </c>
      <c r="R608" s="19">
        <v>0.0</v>
      </c>
      <c r="S608" s="14">
        <v>3.0</v>
      </c>
      <c r="T608" s="19">
        <v>0.0</v>
      </c>
      <c r="U608" s="19">
        <v>0.0</v>
      </c>
      <c r="V608" s="19">
        <v>0.0</v>
      </c>
      <c r="W608" s="21">
        <v>0.0</v>
      </c>
      <c r="X608" s="55">
        <f>+0.08</f>
        <v>0.08</v>
      </c>
      <c r="Y608" s="20" t="s">
        <v>9178</v>
      </c>
    </row>
    <row r="609">
      <c r="A609" s="9">
        <v>584.0</v>
      </c>
      <c r="B609" s="10" t="s">
        <v>9179</v>
      </c>
      <c r="C609" s="11" t="s">
        <v>9180</v>
      </c>
      <c r="D609" s="12" t="s">
        <v>36</v>
      </c>
      <c r="E609" s="13" t="s">
        <v>9181</v>
      </c>
      <c r="F609" s="12">
        <v>19.0</v>
      </c>
      <c r="G609" s="12">
        <v>2006.0</v>
      </c>
      <c r="H609" s="23">
        <v>0.0</v>
      </c>
      <c r="I609" s="36"/>
      <c r="J609" s="36"/>
      <c r="K609" s="36"/>
      <c r="L609" s="36"/>
      <c r="M609" s="23">
        <v>0.0</v>
      </c>
      <c r="N609" s="36"/>
      <c r="O609" s="21">
        <v>0.0</v>
      </c>
      <c r="P609" s="23">
        <v>0.0</v>
      </c>
      <c r="Q609" s="36"/>
      <c r="R609" s="15">
        <v>2.0</v>
      </c>
      <c r="S609" s="58"/>
      <c r="T609" s="36"/>
      <c r="U609" s="36"/>
      <c r="V609" s="36"/>
      <c r="W609" s="36"/>
      <c r="X609" s="36"/>
      <c r="Y609" s="20" t="s">
        <v>9182</v>
      </c>
    </row>
    <row r="610">
      <c r="A610" s="9">
        <v>585.0</v>
      </c>
      <c r="B610" s="10" t="s">
        <v>9183</v>
      </c>
      <c r="C610" s="11" t="s">
        <v>9184</v>
      </c>
      <c r="D610" s="12" t="s">
        <v>36</v>
      </c>
      <c r="E610" s="13" t="s">
        <v>9185</v>
      </c>
      <c r="F610" s="12">
        <v>17.0</v>
      </c>
      <c r="G610" s="12">
        <v>2008.0</v>
      </c>
      <c r="H610" s="23">
        <v>0.0</v>
      </c>
      <c r="I610" s="36"/>
      <c r="J610" s="36"/>
      <c r="K610" s="36"/>
      <c r="L610" s="36"/>
      <c r="M610" s="23">
        <v>0.0</v>
      </c>
      <c r="N610" s="36"/>
      <c r="O610" s="21">
        <v>0.0</v>
      </c>
      <c r="P610" s="23">
        <v>0.0</v>
      </c>
      <c r="Q610" s="36"/>
      <c r="R610" s="15">
        <v>1.0</v>
      </c>
      <c r="S610" s="58"/>
      <c r="T610" s="36"/>
      <c r="U610" s="36"/>
      <c r="V610" s="36"/>
      <c r="W610" s="36"/>
      <c r="X610" s="36"/>
      <c r="Y610" s="20" t="s">
        <v>9186</v>
      </c>
    </row>
    <row r="611">
      <c r="A611" s="9">
        <v>586.0</v>
      </c>
      <c r="B611" s="10" t="s">
        <v>9187</v>
      </c>
      <c r="C611" s="11" t="s">
        <v>9188</v>
      </c>
      <c r="D611" s="12" t="s">
        <v>26</v>
      </c>
      <c r="E611" s="13" t="s">
        <v>9189</v>
      </c>
      <c r="F611" s="12">
        <v>22.0</v>
      </c>
      <c r="G611" s="12">
        <v>2003.0</v>
      </c>
      <c r="H611" s="14">
        <v>28.0</v>
      </c>
      <c r="I611" s="16">
        <v>1755.0</v>
      </c>
      <c r="J611" s="15">
        <v>63.0</v>
      </c>
      <c r="K611" s="15">
        <v>51.3</v>
      </c>
      <c r="L611" s="15">
        <v>19.5</v>
      </c>
      <c r="M611" s="17">
        <v>0.97</v>
      </c>
      <c r="N611" s="15">
        <v>78.0</v>
      </c>
      <c r="O611" s="18">
        <v>0.51</v>
      </c>
      <c r="P611" s="17">
        <v>0.46</v>
      </c>
      <c r="Q611" s="15">
        <v>30.0</v>
      </c>
      <c r="R611" s="19">
        <v>0.0</v>
      </c>
      <c r="S611" s="14">
        <v>0.82</v>
      </c>
      <c r="T611" s="18">
        <v>1.33</v>
      </c>
      <c r="U611" s="18">
        <v>1.69</v>
      </c>
      <c r="V611" s="56">
        <v>-0.36</v>
      </c>
      <c r="W611" s="57">
        <v>-0.36</v>
      </c>
      <c r="X611" s="57">
        <v>-0.25</v>
      </c>
      <c r="Y611" s="20" t="s">
        <v>9190</v>
      </c>
    </row>
    <row r="612">
      <c r="A612" s="9">
        <v>587.0</v>
      </c>
      <c r="B612" s="10" t="s">
        <v>9191</v>
      </c>
      <c r="C612" s="11" t="s">
        <v>9192</v>
      </c>
      <c r="D612" s="12" t="s">
        <v>31</v>
      </c>
      <c r="E612" s="13" t="s">
        <v>9193</v>
      </c>
      <c r="F612" s="12">
        <v>18.0</v>
      </c>
      <c r="G612" s="12">
        <v>2006.0</v>
      </c>
      <c r="H612" s="23">
        <v>0.0</v>
      </c>
      <c r="I612" s="36"/>
      <c r="J612" s="36"/>
      <c r="K612" s="36"/>
      <c r="L612" s="36"/>
      <c r="M612" s="23">
        <v>0.0</v>
      </c>
      <c r="N612" s="36"/>
      <c r="O612" s="21">
        <v>0.0</v>
      </c>
      <c r="P612" s="23">
        <v>0.0</v>
      </c>
      <c r="Q612" s="36"/>
      <c r="R612" s="15">
        <v>1.0</v>
      </c>
      <c r="S612" s="58"/>
      <c r="T612" s="36"/>
      <c r="U612" s="36"/>
      <c r="V612" s="36"/>
      <c r="W612" s="36"/>
      <c r="X612" s="36"/>
      <c r="Y612" s="20" t="s">
        <v>9194</v>
      </c>
    </row>
    <row r="613">
      <c r="A613" s="9">
        <v>588.0</v>
      </c>
      <c r="B613" s="10" t="s">
        <v>9195</v>
      </c>
      <c r="C613" s="11" t="s">
        <v>9196</v>
      </c>
      <c r="D613" s="12" t="s">
        <v>98</v>
      </c>
      <c r="E613" s="13" t="s">
        <v>9197</v>
      </c>
      <c r="F613" s="12">
        <v>21.0</v>
      </c>
      <c r="G613" s="12">
        <v>2004.0</v>
      </c>
      <c r="H613" s="23">
        <v>0.0</v>
      </c>
      <c r="I613" s="36"/>
      <c r="J613" s="36"/>
      <c r="K613" s="36"/>
      <c r="L613" s="36"/>
      <c r="M613" s="23">
        <v>0.0</v>
      </c>
      <c r="N613" s="36"/>
      <c r="O613" s="21">
        <v>0.0</v>
      </c>
      <c r="P613" s="23">
        <v>0.0</v>
      </c>
      <c r="Q613" s="36"/>
      <c r="R613" s="15">
        <v>5.0</v>
      </c>
      <c r="S613" s="58"/>
      <c r="T613" s="36"/>
      <c r="U613" s="36"/>
      <c r="V613" s="36"/>
      <c r="W613" s="36"/>
      <c r="X613" s="36"/>
      <c r="Y613" s="20" t="s">
        <v>9198</v>
      </c>
    </row>
    <row r="614">
      <c r="A614" s="9">
        <v>589.0</v>
      </c>
      <c r="B614" s="10" t="s">
        <v>9199</v>
      </c>
      <c r="C614" s="11" t="s">
        <v>9200</v>
      </c>
      <c r="D614" s="12" t="s">
        <v>36</v>
      </c>
      <c r="E614" s="13" t="s">
        <v>9201</v>
      </c>
      <c r="F614" s="12">
        <v>34.0</v>
      </c>
      <c r="G614" s="12">
        <v>1991.0</v>
      </c>
      <c r="H614" s="14">
        <v>22.0</v>
      </c>
      <c r="I614" s="16">
        <v>1077.0</v>
      </c>
      <c r="J614" s="15">
        <v>49.0</v>
      </c>
      <c r="K614" s="15">
        <v>31.5</v>
      </c>
      <c r="L614" s="15">
        <v>12.0</v>
      </c>
      <c r="M614" s="17">
        <v>1.17</v>
      </c>
      <c r="N614" s="15">
        <v>73.0</v>
      </c>
      <c r="O614" s="18">
        <v>0.42</v>
      </c>
      <c r="P614" s="17">
        <v>0.67</v>
      </c>
      <c r="Q614" s="15">
        <v>7.0</v>
      </c>
      <c r="R614" s="18">
        <v>0.92</v>
      </c>
      <c r="S614" s="14">
        <v>1.45</v>
      </c>
      <c r="T614" s="18">
        <v>1.5</v>
      </c>
      <c r="U614" s="18">
        <v>1.33</v>
      </c>
      <c r="V614" s="54">
        <v>0.17</v>
      </c>
      <c r="W614" s="55">
        <f>+0.17</f>
        <v>0.17</v>
      </c>
      <c r="X614" s="55">
        <f>+0.09</f>
        <v>0.09</v>
      </c>
      <c r="Y614" s="20" t="s">
        <v>9202</v>
      </c>
    </row>
    <row r="615">
      <c r="A615" s="9">
        <v>590.0</v>
      </c>
      <c r="B615" s="10" t="s">
        <v>9203</v>
      </c>
      <c r="C615" s="11" t="s">
        <v>9204</v>
      </c>
      <c r="D615" s="12" t="s">
        <v>31</v>
      </c>
      <c r="E615" s="13" t="s">
        <v>9205</v>
      </c>
      <c r="F615" s="12">
        <v>25.0</v>
      </c>
      <c r="G615" s="12">
        <v>2000.0</v>
      </c>
      <c r="H615" s="14">
        <v>37.0</v>
      </c>
      <c r="I615" s="16">
        <v>1923.0</v>
      </c>
      <c r="J615" s="15">
        <v>52.0</v>
      </c>
      <c r="K615" s="15">
        <v>56.2</v>
      </c>
      <c r="L615" s="15">
        <v>21.4</v>
      </c>
      <c r="M615" s="17">
        <v>1.03</v>
      </c>
      <c r="N615" s="15">
        <v>73.0</v>
      </c>
      <c r="O615" s="18">
        <v>0.05</v>
      </c>
      <c r="P615" s="17">
        <v>0.7</v>
      </c>
      <c r="Q615" s="15">
        <v>21.0</v>
      </c>
      <c r="R615" s="19">
        <v>0.0</v>
      </c>
      <c r="S615" s="14">
        <v>1.38</v>
      </c>
      <c r="T615" s="18">
        <v>1.26</v>
      </c>
      <c r="U615" s="18">
        <v>1.31</v>
      </c>
      <c r="V615" s="56">
        <v>-0.05</v>
      </c>
      <c r="W615" s="57">
        <v>-0.05</v>
      </c>
      <c r="X615" s="55">
        <f>+0.13</f>
        <v>0.13</v>
      </c>
      <c r="Y615" s="20" t="s">
        <v>9206</v>
      </c>
    </row>
    <row r="616">
      <c r="A616" s="9">
        <v>591.0</v>
      </c>
      <c r="B616" s="10" t="s">
        <v>9207</v>
      </c>
      <c r="C616" s="11" t="s">
        <v>9208</v>
      </c>
      <c r="D616" s="12" t="s">
        <v>41</v>
      </c>
      <c r="E616" s="13" t="s">
        <v>9209</v>
      </c>
      <c r="F616" s="12">
        <v>27.0</v>
      </c>
      <c r="G616" s="12">
        <v>1997.0</v>
      </c>
      <c r="H616" s="14">
        <v>15.0</v>
      </c>
      <c r="I616" s="16">
        <v>1001.0</v>
      </c>
      <c r="J616" s="15">
        <v>67.0</v>
      </c>
      <c r="K616" s="15">
        <v>29.3</v>
      </c>
      <c r="L616" s="15">
        <v>11.1</v>
      </c>
      <c r="M616" s="17">
        <v>0.99</v>
      </c>
      <c r="N616" s="15">
        <v>83.0</v>
      </c>
      <c r="O616" s="18">
        <v>0.63</v>
      </c>
      <c r="P616" s="17">
        <v>0.36</v>
      </c>
      <c r="Q616" s="15">
        <v>23.0</v>
      </c>
      <c r="R616" s="18">
        <v>0.09</v>
      </c>
      <c r="S616" s="14">
        <v>0.87</v>
      </c>
      <c r="T616" s="18">
        <v>0.99</v>
      </c>
      <c r="U616" s="18">
        <v>1.89</v>
      </c>
      <c r="V616" s="56">
        <v>-0.9</v>
      </c>
      <c r="W616" s="57">
        <v>-0.9</v>
      </c>
      <c r="X616" s="57">
        <v>-0.94</v>
      </c>
      <c r="Y616" s="20" t="s">
        <v>9210</v>
      </c>
    </row>
    <row r="617">
      <c r="A617" s="9">
        <v>592.0</v>
      </c>
      <c r="B617" s="10" t="s">
        <v>9211</v>
      </c>
      <c r="C617" s="11" t="s">
        <v>9212</v>
      </c>
      <c r="D617" s="12" t="s">
        <v>36</v>
      </c>
      <c r="E617" s="13" t="s">
        <v>9213</v>
      </c>
      <c r="F617" s="12">
        <v>20.0</v>
      </c>
      <c r="G617" s="12">
        <v>2005.0</v>
      </c>
      <c r="H617" s="14">
        <v>3.0</v>
      </c>
      <c r="I617" s="15">
        <v>35.0</v>
      </c>
      <c r="J617" s="15">
        <v>12.0</v>
      </c>
      <c r="K617" s="15">
        <v>1.0</v>
      </c>
      <c r="L617" s="15">
        <v>0.4</v>
      </c>
      <c r="M617" s="22">
        <v>0.0</v>
      </c>
      <c r="N617" s="36"/>
      <c r="O617" s="19">
        <v>0.0</v>
      </c>
      <c r="P617" s="17">
        <v>7.5</v>
      </c>
      <c r="Q617" s="15">
        <v>12.0</v>
      </c>
      <c r="R617" s="18">
        <v>35.0</v>
      </c>
      <c r="S617" s="14">
        <v>1.0</v>
      </c>
      <c r="T617" s="19">
        <v>0.0</v>
      </c>
      <c r="U617" s="18">
        <v>5.0</v>
      </c>
      <c r="V617" s="56">
        <v>-5.0</v>
      </c>
      <c r="W617" s="57">
        <v>-5.14</v>
      </c>
      <c r="X617" s="57">
        <v>-5.3</v>
      </c>
      <c r="Y617" s="20" t="s">
        <v>9214</v>
      </c>
    </row>
    <row r="618">
      <c r="A618" s="9">
        <v>593.0</v>
      </c>
      <c r="B618" s="10" t="s">
        <v>9215</v>
      </c>
      <c r="C618" s="11" t="s">
        <v>9216</v>
      </c>
      <c r="D618" s="12" t="s">
        <v>107</v>
      </c>
      <c r="E618" s="13" t="s">
        <v>9217</v>
      </c>
      <c r="F618" s="12">
        <v>26.0</v>
      </c>
      <c r="G618" s="12">
        <v>1999.0</v>
      </c>
      <c r="H618" s="23">
        <v>0.0</v>
      </c>
      <c r="I618" s="36"/>
      <c r="J618" s="36"/>
      <c r="K618" s="36"/>
      <c r="L618" s="36"/>
      <c r="M618" s="23">
        <v>0.0</v>
      </c>
      <c r="N618" s="36"/>
      <c r="O618" s="21">
        <v>0.0</v>
      </c>
      <c r="P618" s="23">
        <v>0.0</v>
      </c>
      <c r="Q618" s="36"/>
      <c r="R618" s="15">
        <v>1.0</v>
      </c>
      <c r="S618" s="58"/>
      <c r="T618" s="36"/>
      <c r="U618" s="36"/>
      <c r="V618" s="36"/>
      <c r="W618" s="36"/>
      <c r="X618" s="36"/>
      <c r="Y618" s="20" t="s">
        <v>9218</v>
      </c>
    </row>
    <row r="619">
      <c r="A619" s="9">
        <v>594.0</v>
      </c>
      <c r="B619" s="10" t="s">
        <v>9219</v>
      </c>
      <c r="C619" s="11" t="s">
        <v>9220</v>
      </c>
      <c r="D619" s="12" t="s">
        <v>36</v>
      </c>
      <c r="E619" s="13" t="s">
        <v>9221</v>
      </c>
      <c r="F619" s="12">
        <v>24.0</v>
      </c>
      <c r="G619" s="12">
        <v>2000.0</v>
      </c>
      <c r="H619" s="14">
        <v>7.0</v>
      </c>
      <c r="I619" s="15">
        <v>169.0</v>
      </c>
      <c r="J619" s="15">
        <v>24.0</v>
      </c>
      <c r="K619" s="15">
        <v>4.9</v>
      </c>
      <c r="L619" s="15">
        <v>1.9</v>
      </c>
      <c r="M619" s="17">
        <v>0.53</v>
      </c>
      <c r="N619" s="15">
        <v>73.0</v>
      </c>
      <c r="O619" s="19">
        <v>0.0</v>
      </c>
      <c r="P619" s="17">
        <v>3.16</v>
      </c>
      <c r="Q619" s="15">
        <v>16.0</v>
      </c>
      <c r="R619" s="18">
        <v>1.58</v>
      </c>
      <c r="S619" s="14">
        <v>0.71</v>
      </c>
      <c r="T619" s="18">
        <v>1.58</v>
      </c>
      <c r="U619" s="18">
        <v>2.11</v>
      </c>
      <c r="V619" s="56">
        <v>-0.53</v>
      </c>
      <c r="W619" s="57">
        <v>-0.53</v>
      </c>
      <c r="X619" s="55">
        <f>+0.46</f>
        <v>0.46</v>
      </c>
      <c r="Y619" s="20" t="s">
        <v>9222</v>
      </c>
    </row>
    <row r="620">
      <c r="A620" s="9">
        <v>595.0</v>
      </c>
      <c r="B620" s="10" t="s">
        <v>9223</v>
      </c>
      <c r="C620" s="11" t="s">
        <v>9224</v>
      </c>
      <c r="D620" s="12" t="s">
        <v>345</v>
      </c>
      <c r="E620" s="13" t="s">
        <v>9225</v>
      </c>
      <c r="F620" s="12">
        <v>27.0</v>
      </c>
      <c r="G620" s="12">
        <v>1998.0</v>
      </c>
      <c r="H620" s="14">
        <v>7.0</v>
      </c>
      <c r="I620" s="15">
        <v>101.0</v>
      </c>
      <c r="J620" s="15">
        <v>14.0</v>
      </c>
      <c r="K620" s="15">
        <v>3.0</v>
      </c>
      <c r="L620" s="15">
        <v>1.1</v>
      </c>
      <c r="M620" s="22">
        <v>0.0</v>
      </c>
      <c r="N620" s="36"/>
      <c r="O620" s="19">
        <v>0.0</v>
      </c>
      <c r="P620" s="17">
        <v>6.36</v>
      </c>
      <c r="Q620" s="15">
        <v>14.0</v>
      </c>
      <c r="R620" s="18">
        <v>20.9</v>
      </c>
      <c r="S620" s="14">
        <v>0.71</v>
      </c>
      <c r="T620" s="18">
        <v>2.73</v>
      </c>
      <c r="U620" s="18">
        <v>1.82</v>
      </c>
      <c r="V620" s="54">
        <v>0.91</v>
      </c>
      <c r="W620" s="55">
        <f>+0.89</f>
        <v>0.89</v>
      </c>
      <c r="X620" s="55">
        <f>+1.19</f>
        <v>1.19</v>
      </c>
      <c r="Y620" s="20" t="s">
        <v>9226</v>
      </c>
    </row>
    <row r="621">
      <c r="A621" s="9">
        <v>596.0</v>
      </c>
      <c r="B621" s="10" t="s">
        <v>9227</v>
      </c>
      <c r="C621" s="11" t="s">
        <v>9228</v>
      </c>
      <c r="D621" s="12" t="s">
        <v>31</v>
      </c>
      <c r="E621" s="13" t="s">
        <v>9229</v>
      </c>
      <c r="F621" s="12">
        <v>30.0</v>
      </c>
      <c r="G621" s="12">
        <v>1995.0</v>
      </c>
      <c r="H621" s="14">
        <v>35.0</v>
      </c>
      <c r="I621" s="16">
        <v>2200.0</v>
      </c>
      <c r="J621" s="15">
        <v>63.0</v>
      </c>
      <c r="K621" s="15">
        <v>64.3</v>
      </c>
      <c r="L621" s="15">
        <v>24.4</v>
      </c>
      <c r="M621" s="17">
        <v>0.98</v>
      </c>
      <c r="N621" s="15">
        <v>83.0</v>
      </c>
      <c r="O621" s="18">
        <v>0.61</v>
      </c>
      <c r="P621" s="17">
        <v>0.45</v>
      </c>
      <c r="Q621" s="15">
        <v>19.0</v>
      </c>
      <c r="R621" s="19">
        <v>0.0</v>
      </c>
      <c r="S621" s="14">
        <v>1.09</v>
      </c>
      <c r="T621" s="18">
        <v>1.31</v>
      </c>
      <c r="U621" s="18">
        <v>1.68</v>
      </c>
      <c r="V621" s="56">
        <v>-0.37</v>
      </c>
      <c r="W621" s="57">
        <v>-0.37</v>
      </c>
      <c r="X621" s="55">
        <f>+0.37</f>
        <v>0.37</v>
      </c>
      <c r="Y621" s="20" t="s">
        <v>9230</v>
      </c>
    </row>
    <row r="622">
      <c r="A622" s="9">
        <v>597.0</v>
      </c>
      <c r="B622" s="10" t="s">
        <v>9231</v>
      </c>
      <c r="C622" s="11" t="s">
        <v>9232</v>
      </c>
      <c r="D622" s="12" t="s">
        <v>31</v>
      </c>
      <c r="E622" s="13" t="s">
        <v>9233</v>
      </c>
      <c r="F622" s="12">
        <v>19.0</v>
      </c>
      <c r="G622" s="12">
        <v>2006.0</v>
      </c>
      <c r="H622" s="14">
        <v>4.0</v>
      </c>
      <c r="I622" s="15">
        <v>144.0</v>
      </c>
      <c r="J622" s="15">
        <v>36.0</v>
      </c>
      <c r="K622" s="15">
        <v>4.2</v>
      </c>
      <c r="L622" s="15">
        <v>1.6</v>
      </c>
      <c r="M622" s="17">
        <v>1.25</v>
      </c>
      <c r="N622" s="15">
        <v>49.0</v>
      </c>
      <c r="O622" s="19">
        <v>0.0</v>
      </c>
      <c r="P622" s="17">
        <v>1.25</v>
      </c>
      <c r="Q622" s="15">
        <v>24.0</v>
      </c>
      <c r="R622" s="18">
        <v>5.0</v>
      </c>
      <c r="S622" s="14">
        <v>0.25</v>
      </c>
      <c r="T622" s="18">
        <v>0.63</v>
      </c>
      <c r="U622" s="18">
        <v>1.88</v>
      </c>
      <c r="V622" s="56">
        <v>-1.25</v>
      </c>
      <c r="W622" s="57">
        <v>-1.25</v>
      </c>
      <c r="X622" s="57">
        <v>-1.06</v>
      </c>
      <c r="Y622" s="20" t="s">
        <v>9234</v>
      </c>
    </row>
    <row r="623">
      <c r="A623" s="9">
        <v>598.0</v>
      </c>
      <c r="B623" s="10" t="s">
        <v>9235</v>
      </c>
      <c r="C623" s="11" t="s">
        <v>9236</v>
      </c>
      <c r="D623" s="12" t="s">
        <v>345</v>
      </c>
      <c r="E623" s="13" t="s">
        <v>9237</v>
      </c>
      <c r="F623" s="12">
        <v>24.0</v>
      </c>
      <c r="G623" s="12">
        <v>2000.0</v>
      </c>
      <c r="H623" s="14">
        <v>30.0</v>
      </c>
      <c r="I623" s="16">
        <v>2055.0</v>
      </c>
      <c r="J623" s="15">
        <v>69.0</v>
      </c>
      <c r="K623" s="15">
        <v>60.1</v>
      </c>
      <c r="L623" s="15">
        <v>22.8</v>
      </c>
      <c r="M623" s="17">
        <v>1.01</v>
      </c>
      <c r="N623" s="15">
        <v>83.0</v>
      </c>
      <c r="O623" s="18">
        <v>0.7</v>
      </c>
      <c r="P623" s="17">
        <v>0.31</v>
      </c>
      <c r="Q623" s="15">
        <v>21.0</v>
      </c>
      <c r="R623" s="18">
        <v>0.18</v>
      </c>
      <c r="S623" s="14">
        <v>1.2</v>
      </c>
      <c r="T623" s="18">
        <v>1.32</v>
      </c>
      <c r="U623" s="18">
        <v>1.36</v>
      </c>
      <c r="V623" s="56">
        <v>-0.04</v>
      </c>
      <c r="W623" s="57">
        <v>-0.04</v>
      </c>
      <c r="X623" s="55">
        <f>+0.48</f>
        <v>0.48</v>
      </c>
      <c r="Y623" s="20" t="s">
        <v>9238</v>
      </c>
    </row>
    <row r="624">
      <c r="A624" s="9">
        <v>599.0</v>
      </c>
      <c r="B624" s="10" t="s">
        <v>9239</v>
      </c>
      <c r="C624" s="11" t="s">
        <v>9240</v>
      </c>
      <c r="D624" s="12" t="s">
        <v>31</v>
      </c>
      <c r="E624" s="13" t="s">
        <v>9241</v>
      </c>
      <c r="F624" s="12">
        <v>26.0</v>
      </c>
      <c r="G624" s="12">
        <v>1998.0</v>
      </c>
      <c r="H624" s="14">
        <v>29.0</v>
      </c>
      <c r="I624" s="16">
        <v>2370.0</v>
      </c>
      <c r="J624" s="15">
        <v>82.0</v>
      </c>
      <c r="K624" s="15">
        <v>69.3</v>
      </c>
      <c r="L624" s="15">
        <v>26.3</v>
      </c>
      <c r="M624" s="17">
        <v>1.06</v>
      </c>
      <c r="N624" s="15">
        <v>84.0</v>
      </c>
      <c r="O624" s="18">
        <v>0.72</v>
      </c>
      <c r="P624" s="17">
        <v>0.04</v>
      </c>
      <c r="Q624" s="15">
        <v>31.0</v>
      </c>
      <c r="R624" s="18">
        <v>0.04</v>
      </c>
      <c r="S624" s="14">
        <v>1.03</v>
      </c>
      <c r="T624" s="18">
        <v>1.18</v>
      </c>
      <c r="U624" s="18">
        <v>1.37</v>
      </c>
      <c r="V624" s="56">
        <v>-0.19</v>
      </c>
      <c r="W624" s="57">
        <v>-0.19</v>
      </c>
      <c r="X624" s="57">
        <v>-0.02</v>
      </c>
      <c r="Y624" s="20" t="s">
        <v>9242</v>
      </c>
    </row>
    <row r="625">
      <c r="A625" s="9">
        <v>600.0</v>
      </c>
      <c r="B625" s="10" t="s">
        <v>9243</v>
      </c>
      <c r="C625" s="11" t="s">
        <v>9244</v>
      </c>
      <c r="D625" s="12" t="s">
        <v>98</v>
      </c>
      <c r="E625" s="13" t="s">
        <v>9245</v>
      </c>
      <c r="F625" s="12">
        <v>34.0</v>
      </c>
      <c r="G625" s="12">
        <v>1990.0</v>
      </c>
      <c r="H625" s="23">
        <v>0.0</v>
      </c>
      <c r="I625" s="36"/>
      <c r="J625" s="36"/>
      <c r="K625" s="36"/>
      <c r="L625" s="36"/>
      <c r="M625" s="23">
        <v>0.0</v>
      </c>
      <c r="N625" s="36"/>
      <c r="O625" s="21">
        <v>0.0</v>
      </c>
      <c r="P625" s="23">
        <v>0.0</v>
      </c>
      <c r="Q625" s="36"/>
      <c r="R625" s="15">
        <v>38.0</v>
      </c>
      <c r="S625" s="58"/>
      <c r="T625" s="36"/>
      <c r="U625" s="36"/>
      <c r="V625" s="36"/>
      <c r="W625" s="36"/>
      <c r="X625" s="36"/>
      <c r="Y625" s="20" t="s">
        <v>9246</v>
      </c>
    </row>
    <row r="626">
      <c r="A626" s="37" t="s">
        <v>3</v>
      </c>
      <c r="B626" s="38" t="s">
        <v>4</v>
      </c>
      <c r="C626" s="39" t="s">
        <v>5</v>
      </c>
      <c r="D626" s="39" t="s">
        <v>6</v>
      </c>
      <c r="E626" s="39" t="s">
        <v>7</v>
      </c>
      <c r="F626" s="39" t="s">
        <v>8</v>
      </c>
      <c r="G626" s="39" t="s">
        <v>9</v>
      </c>
      <c r="H626" s="40" t="s">
        <v>10</v>
      </c>
      <c r="I626" s="39" t="s">
        <v>12</v>
      </c>
      <c r="J626" s="39" t="s">
        <v>6838</v>
      </c>
      <c r="K626" s="39" t="s">
        <v>6839</v>
      </c>
      <c r="L626" s="39" t="s">
        <v>13</v>
      </c>
      <c r="M626" s="40" t="s">
        <v>11</v>
      </c>
      <c r="N626" s="39" t="s">
        <v>6840</v>
      </c>
      <c r="O626" s="39" t="s">
        <v>6841</v>
      </c>
      <c r="P626" s="40" t="s">
        <v>6836</v>
      </c>
      <c r="Q626" s="39" t="s">
        <v>6842</v>
      </c>
      <c r="R626" s="39" t="s">
        <v>6843</v>
      </c>
      <c r="S626" s="40" t="s">
        <v>6844</v>
      </c>
      <c r="T626" s="39" t="s">
        <v>6845</v>
      </c>
      <c r="U626" s="39" t="s">
        <v>6846</v>
      </c>
      <c r="V626" s="59" t="str">
        <f>+/-</f>
        <v>#ERROR!</v>
      </c>
      <c r="W626" s="59" t="str">
        <f>+/-90</f>
        <v>#ERROR!</v>
      </c>
      <c r="X626" s="39" t="s">
        <v>6847</v>
      </c>
      <c r="Y626" s="40" t="s">
        <v>23</v>
      </c>
    </row>
    <row r="627">
      <c r="A627" s="9">
        <v>601.0</v>
      </c>
      <c r="B627" s="10" t="s">
        <v>9247</v>
      </c>
      <c r="C627" s="67"/>
      <c r="D627" s="12" t="s">
        <v>31</v>
      </c>
      <c r="E627" s="13" t="s">
        <v>9248</v>
      </c>
      <c r="F627" s="68"/>
      <c r="G627" s="68"/>
      <c r="H627" s="23">
        <v>0.0</v>
      </c>
      <c r="I627" s="36"/>
      <c r="J627" s="36"/>
      <c r="K627" s="36"/>
      <c r="L627" s="36"/>
      <c r="M627" s="23">
        <v>0.0</v>
      </c>
      <c r="N627" s="36"/>
      <c r="O627" s="21">
        <v>0.0</v>
      </c>
      <c r="P627" s="23">
        <v>0.0</v>
      </c>
      <c r="Q627" s="36"/>
      <c r="R627" s="15">
        <v>3.0</v>
      </c>
      <c r="S627" s="58"/>
      <c r="T627" s="36"/>
      <c r="U627" s="36"/>
      <c r="V627" s="36"/>
      <c r="W627" s="36"/>
      <c r="X627" s="36"/>
      <c r="Y627" s="20" t="s">
        <v>9249</v>
      </c>
    </row>
    <row r="628">
      <c r="A628" s="9">
        <v>602.0</v>
      </c>
      <c r="B628" s="10" t="s">
        <v>9250</v>
      </c>
      <c r="C628" s="11" t="s">
        <v>9251</v>
      </c>
      <c r="D628" s="12" t="s">
        <v>31</v>
      </c>
      <c r="E628" s="13" t="s">
        <v>9252</v>
      </c>
      <c r="F628" s="12">
        <v>18.0</v>
      </c>
      <c r="G628" s="12">
        <v>2007.0</v>
      </c>
      <c r="H628" s="23">
        <v>0.0</v>
      </c>
      <c r="I628" s="36"/>
      <c r="J628" s="36"/>
      <c r="K628" s="36"/>
      <c r="L628" s="36"/>
      <c r="M628" s="23">
        <v>0.0</v>
      </c>
      <c r="N628" s="36"/>
      <c r="O628" s="21">
        <v>0.0</v>
      </c>
      <c r="P628" s="23">
        <v>0.0</v>
      </c>
      <c r="Q628" s="36"/>
      <c r="R628" s="15">
        <v>1.0</v>
      </c>
      <c r="S628" s="58"/>
      <c r="T628" s="36"/>
      <c r="U628" s="36"/>
      <c r="V628" s="36"/>
      <c r="W628" s="36"/>
      <c r="X628" s="36"/>
      <c r="Y628" s="20" t="s">
        <v>9253</v>
      </c>
    </row>
    <row r="629">
      <c r="A629" s="9">
        <v>603.0</v>
      </c>
      <c r="B629" s="10" t="s">
        <v>9254</v>
      </c>
      <c r="C629" s="11" t="s">
        <v>9255</v>
      </c>
      <c r="D629" s="12" t="s">
        <v>36</v>
      </c>
      <c r="E629" s="13" t="s">
        <v>9256</v>
      </c>
      <c r="F629" s="12">
        <v>31.0</v>
      </c>
      <c r="G629" s="12">
        <v>1994.0</v>
      </c>
      <c r="H629" s="14">
        <v>9.0</v>
      </c>
      <c r="I629" s="15">
        <v>439.0</v>
      </c>
      <c r="J629" s="15">
        <v>49.0</v>
      </c>
      <c r="K629" s="15">
        <v>12.8</v>
      </c>
      <c r="L629" s="15">
        <v>4.9</v>
      </c>
      <c r="M629" s="17">
        <v>1.02</v>
      </c>
      <c r="N629" s="15">
        <v>80.0</v>
      </c>
      <c r="O629" s="18">
        <v>0.41</v>
      </c>
      <c r="P629" s="17">
        <v>0.82</v>
      </c>
      <c r="Q629" s="15">
        <v>10.0</v>
      </c>
      <c r="R629" s="18">
        <v>3.06</v>
      </c>
      <c r="S629" s="14">
        <v>1.44</v>
      </c>
      <c r="T629" s="18">
        <v>1.43</v>
      </c>
      <c r="U629" s="18">
        <v>2.04</v>
      </c>
      <c r="V629" s="56">
        <v>-0.61</v>
      </c>
      <c r="W629" s="57">
        <v>-0.62</v>
      </c>
      <c r="X629" s="57">
        <v>-1.97</v>
      </c>
      <c r="Y629" s="20" t="s">
        <v>9257</v>
      </c>
    </row>
    <row r="630">
      <c r="A630" s="9">
        <v>604.0</v>
      </c>
      <c r="B630" s="10" t="s">
        <v>9258</v>
      </c>
      <c r="C630" s="11" t="s">
        <v>9259</v>
      </c>
      <c r="D630" s="12" t="s">
        <v>41</v>
      </c>
      <c r="E630" s="13" t="s">
        <v>9260</v>
      </c>
      <c r="F630" s="12">
        <v>25.0</v>
      </c>
      <c r="G630" s="12">
        <v>2000.0</v>
      </c>
      <c r="H630" s="14">
        <v>22.0</v>
      </c>
      <c r="I630" s="16">
        <v>1404.0</v>
      </c>
      <c r="J630" s="15">
        <v>64.0</v>
      </c>
      <c r="K630" s="15">
        <v>41.1</v>
      </c>
      <c r="L630" s="15">
        <v>15.6</v>
      </c>
      <c r="M630" s="17">
        <v>0.9</v>
      </c>
      <c r="N630" s="15">
        <v>83.0</v>
      </c>
      <c r="O630" s="18">
        <v>0.45</v>
      </c>
      <c r="P630" s="17">
        <v>0.51</v>
      </c>
      <c r="Q630" s="15">
        <v>31.0</v>
      </c>
      <c r="R630" s="19">
        <v>0.0</v>
      </c>
      <c r="S630" s="14">
        <v>0.36</v>
      </c>
      <c r="T630" s="18">
        <v>0.38</v>
      </c>
      <c r="U630" s="18">
        <v>1.67</v>
      </c>
      <c r="V630" s="56">
        <v>-1.28</v>
      </c>
      <c r="W630" s="57">
        <v>-1.28</v>
      </c>
      <c r="X630" s="57">
        <v>-0.34</v>
      </c>
      <c r="Y630" s="20" t="s">
        <v>9261</v>
      </c>
    </row>
    <row r="631">
      <c r="A631" s="9">
        <v>605.0</v>
      </c>
      <c r="B631" s="10" t="s">
        <v>9262</v>
      </c>
      <c r="C631" s="11" t="s">
        <v>9263</v>
      </c>
      <c r="D631" s="12" t="s">
        <v>41</v>
      </c>
      <c r="E631" s="13" t="s">
        <v>9264</v>
      </c>
      <c r="F631" s="12">
        <v>25.0</v>
      </c>
      <c r="G631" s="12">
        <v>2000.0</v>
      </c>
      <c r="H631" s="14">
        <v>14.0</v>
      </c>
      <c r="I631" s="15">
        <v>903.0</v>
      </c>
      <c r="J631" s="15">
        <v>65.0</v>
      </c>
      <c r="K631" s="15">
        <v>26.4</v>
      </c>
      <c r="L631" s="15">
        <v>10.0</v>
      </c>
      <c r="M631" s="17">
        <v>1.2</v>
      </c>
      <c r="N631" s="15">
        <v>71.0</v>
      </c>
      <c r="O631" s="18">
        <v>0.3</v>
      </c>
      <c r="P631" s="17">
        <v>0.2</v>
      </c>
      <c r="Q631" s="15">
        <v>26.0</v>
      </c>
      <c r="R631" s="19">
        <v>0.0</v>
      </c>
      <c r="S631" s="14">
        <v>1.14</v>
      </c>
      <c r="T631" s="18">
        <v>1.2</v>
      </c>
      <c r="U631" s="18">
        <v>1.5</v>
      </c>
      <c r="V631" s="56">
        <v>-0.3</v>
      </c>
      <c r="W631" s="57">
        <v>-0.3</v>
      </c>
      <c r="X631" s="57">
        <v>-0.05</v>
      </c>
      <c r="Y631" s="20" t="s">
        <v>9265</v>
      </c>
    </row>
    <row r="632">
      <c r="A632" s="9">
        <v>606.0</v>
      </c>
      <c r="B632" s="10" t="s">
        <v>9266</v>
      </c>
      <c r="C632" s="11" t="s">
        <v>9267</v>
      </c>
      <c r="D632" s="12" t="s">
        <v>36</v>
      </c>
      <c r="E632" s="13" t="s">
        <v>9268</v>
      </c>
      <c r="F632" s="12">
        <v>25.0</v>
      </c>
      <c r="G632" s="12">
        <v>1999.0</v>
      </c>
      <c r="H632" s="14">
        <v>34.0</v>
      </c>
      <c r="I632" s="16">
        <v>2936.0</v>
      </c>
      <c r="J632" s="15">
        <v>86.0</v>
      </c>
      <c r="K632" s="15">
        <v>85.8</v>
      </c>
      <c r="L632" s="15">
        <v>32.6</v>
      </c>
      <c r="M632" s="17">
        <v>1.01</v>
      </c>
      <c r="N632" s="15">
        <v>89.0</v>
      </c>
      <c r="O632" s="18">
        <v>0.95</v>
      </c>
      <c r="P632" s="17">
        <v>0.03</v>
      </c>
      <c r="Q632" s="15">
        <v>9.0</v>
      </c>
      <c r="R632" s="18">
        <v>0.06</v>
      </c>
      <c r="S632" s="14">
        <v>1.18</v>
      </c>
      <c r="T632" s="18">
        <v>1.29</v>
      </c>
      <c r="U632" s="18">
        <v>1.47</v>
      </c>
      <c r="V632" s="56">
        <v>-0.18</v>
      </c>
      <c r="W632" s="57">
        <v>-0.18</v>
      </c>
      <c r="X632" s="21">
        <v>0.0</v>
      </c>
      <c r="Y632" s="20" t="s">
        <v>9269</v>
      </c>
    </row>
    <row r="633">
      <c r="A633" s="9">
        <v>607.0</v>
      </c>
      <c r="B633" s="10" t="s">
        <v>9270</v>
      </c>
      <c r="C633" s="11" t="s">
        <v>9271</v>
      </c>
      <c r="D633" s="12" t="s">
        <v>26</v>
      </c>
      <c r="E633" s="13" t="s">
        <v>9272</v>
      </c>
      <c r="F633" s="12">
        <v>23.0</v>
      </c>
      <c r="G633" s="12">
        <v>2001.0</v>
      </c>
      <c r="H633" s="14">
        <v>31.0</v>
      </c>
      <c r="I633" s="16">
        <v>2470.0</v>
      </c>
      <c r="J633" s="15">
        <v>80.0</v>
      </c>
      <c r="K633" s="15">
        <v>72.2</v>
      </c>
      <c r="L633" s="15">
        <v>27.4</v>
      </c>
      <c r="M633" s="17">
        <v>1.06</v>
      </c>
      <c r="N633" s="15">
        <v>84.0</v>
      </c>
      <c r="O633" s="18">
        <v>0.51</v>
      </c>
      <c r="P633" s="17">
        <v>0.07</v>
      </c>
      <c r="Q633" s="15">
        <v>19.0</v>
      </c>
      <c r="R633" s="19">
        <v>0.0</v>
      </c>
      <c r="S633" s="14">
        <v>1.16</v>
      </c>
      <c r="T633" s="18">
        <v>1.24</v>
      </c>
      <c r="U633" s="18">
        <v>1.53</v>
      </c>
      <c r="V633" s="56">
        <v>-0.29</v>
      </c>
      <c r="W633" s="57">
        <v>-0.29</v>
      </c>
      <c r="X633" s="55">
        <f>+0.75</f>
        <v>0.75</v>
      </c>
      <c r="Y633" s="20" t="s">
        <v>9273</v>
      </c>
    </row>
    <row r="634">
      <c r="A634" s="9">
        <v>608.0</v>
      </c>
      <c r="B634" s="10" t="s">
        <v>9274</v>
      </c>
      <c r="C634" s="11" t="s">
        <v>9275</v>
      </c>
      <c r="D634" s="12" t="s">
        <v>41</v>
      </c>
      <c r="E634" s="13" t="s">
        <v>9276</v>
      </c>
      <c r="F634" s="12">
        <v>19.0</v>
      </c>
      <c r="G634" s="12">
        <v>2006.0</v>
      </c>
      <c r="H634" s="23">
        <v>0.0</v>
      </c>
      <c r="I634" s="36"/>
      <c r="J634" s="36"/>
      <c r="K634" s="36"/>
      <c r="L634" s="36"/>
      <c r="M634" s="23">
        <v>0.0</v>
      </c>
      <c r="N634" s="36"/>
      <c r="O634" s="21">
        <v>0.0</v>
      </c>
      <c r="P634" s="23">
        <v>0.0</v>
      </c>
      <c r="Q634" s="36"/>
      <c r="R634" s="15">
        <v>3.0</v>
      </c>
      <c r="S634" s="58"/>
      <c r="T634" s="36"/>
      <c r="U634" s="36"/>
      <c r="V634" s="36"/>
      <c r="W634" s="36"/>
      <c r="X634" s="36"/>
      <c r="Y634" s="20" t="s">
        <v>9277</v>
      </c>
    </row>
    <row r="635">
      <c r="A635" s="9">
        <v>609.0</v>
      </c>
      <c r="B635" s="10" t="s">
        <v>9278</v>
      </c>
      <c r="C635" s="11" t="s">
        <v>9279</v>
      </c>
      <c r="D635" s="12" t="s">
        <v>264</v>
      </c>
      <c r="E635" s="13" t="s">
        <v>9280</v>
      </c>
      <c r="F635" s="12">
        <v>24.0</v>
      </c>
      <c r="G635" s="12">
        <v>2000.0</v>
      </c>
      <c r="H635" s="14">
        <v>36.0</v>
      </c>
      <c r="I635" s="16">
        <v>3231.0</v>
      </c>
      <c r="J635" s="15">
        <v>90.0</v>
      </c>
      <c r="K635" s="15">
        <v>94.5</v>
      </c>
      <c r="L635" s="15">
        <v>35.9</v>
      </c>
      <c r="M635" s="17">
        <v>1.0</v>
      </c>
      <c r="N635" s="15">
        <v>90.0</v>
      </c>
      <c r="O635" s="18">
        <v>0.95</v>
      </c>
      <c r="P635" s="22">
        <v>0.0</v>
      </c>
      <c r="Q635" s="36"/>
      <c r="R635" s="19">
        <v>0.0</v>
      </c>
      <c r="S635" s="14">
        <v>1.5</v>
      </c>
      <c r="T635" s="18">
        <v>1.67</v>
      </c>
      <c r="U635" s="18">
        <v>1.42</v>
      </c>
      <c r="V635" s="54">
        <v>0.25</v>
      </c>
      <c r="W635" s="55">
        <f>+0.25</f>
        <v>0.25</v>
      </c>
      <c r="X635" s="57">
        <v>-0.23</v>
      </c>
      <c r="Y635" s="20" t="s">
        <v>9281</v>
      </c>
    </row>
    <row r="636">
      <c r="A636" s="9">
        <v>610.0</v>
      </c>
      <c r="B636" s="10" t="s">
        <v>9282</v>
      </c>
      <c r="C636" s="11" t="s">
        <v>9283</v>
      </c>
      <c r="D636" s="12" t="s">
        <v>31</v>
      </c>
      <c r="E636" s="13" t="s">
        <v>9284</v>
      </c>
      <c r="F636" s="12">
        <v>20.0</v>
      </c>
      <c r="G636" s="12">
        <v>2005.0</v>
      </c>
      <c r="H636" s="14">
        <v>1.0</v>
      </c>
      <c r="I636" s="15">
        <v>38.0</v>
      </c>
      <c r="J636" s="15">
        <v>38.0</v>
      </c>
      <c r="K636" s="15">
        <v>1.1</v>
      </c>
      <c r="L636" s="15">
        <v>0.4</v>
      </c>
      <c r="M636" s="17">
        <v>2.5</v>
      </c>
      <c r="N636" s="15">
        <v>38.0</v>
      </c>
      <c r="O636" s="19">
        <v>0.0</v>
      </c>
      <c r="P636" s="22">
        <v>0.0</v>
      </c>
      <c r="Q636" s="36"/>
      <c r="R636" s="18">
        <v>10.0</v>
      </c>
      <c r="S636" s="23">
        <v>0.0</v>
      </c>
      <c r="T636" s="19">
        <v>0.0</v>
      </c>
      <c r="U636" s="19">
        <v>0.0</v>
      </c>
      <c r="V636" s="19">
        <v>0.0</v>
      </c>
      <c r="W636" s="21">
        <v>0.0</v>
      </c>
      <c r="X636" s="55">
        <f>+0.16</f>
        <v>0.16</v>
      </c>
      <c r="Y636" s="20" t="s">
        <v>9285</v>
      </c>
    </row>
    <row r="637">
      <c r="A637" s="9">
        <v>611.0</v>
      </c>
      <c r="B637" s="10" t="s">
        <v>9286</v>
      </c>
      <c r="C637" s="11" t="s">
        <v>9287</v>
      </c>
      <c r="D637" s="12" t="s">
        <v>36</v>
      </c>
      <c r="E637" s="13" t="s">
        <v>9288</v>
      </c>
      <c r="F637" s="12">
        <v>20.0</v>
      </c>
      <c r="G637" s="12">
        <v>2004.0</v>
      </c>
      <c r="H637" s="23">
        <v>0.0</v>
      </c>
      <c r="I637" s="36"/>
      <c r="J637" s="36"/>
      <c r="K637" s="36"/>
      <c r="L637" s="36"/>
      <c r="M637" s="23">
        <v>0.0</v>
      </c>
      <c r="N637" s="36"/>
      <c r="O637" s="21">
        <v>0.0</v>
      </c>
      <c r="P637" s="23">
        <v>0.0</v>
      </c>
      <c r="Q637" s="36"/>
      <c r="R637" s="15">
        <v>1.0</v>
      </c>
      <c r="S637" s="58"/>
      <c r="T637" s="36"/>
      <c r="U637" s="36"/>
      <c r="V637" s="36"/>
      <c r="W637" s="36"/>
      <c r="X637" s="36"/>
      <c r="Y637" s="20" t="s">
        <v>9289</v>
      </c>
    </row>
    <row r="638">
      <c r="A638" s="9">
        <v>612.0</v>
      </c>
      <c r="B638" s="10" t="s">
        <v>9290</v>
      </c>
      <c r="C638" s="11" t="s">
        <v>9291</v>
      </c>
      <c r="D638" s="12" t="s">
        <v>26</v>
      </c>
      <c r="E638" s="13" t="s">
        <v>9292</v>
      </c>
      <c r="F638" s="12">
        <v>20.0</v>
      </c>
      <c r="G638" s="12">
        <v>2005.0</v>
      </c>
      <c r="H638" s="14">
        <v>28.0</v>
      </c>
      <c r="I638" s="16">
        <v>1561.0</v>
      </c>
      <c r="J638" s="15">
        <v>56.0</v>
      </c>
      <c r="K638" s="15">
        <v>45.6</v>
      </c>
      <c r="L638" s="15">
        <v>17.3</v>
      </c>
      <c r="M638" s="17">
        <v>0.92</v>
      </c>
      <c r="N638" s="15">
        <v>78.0</v>
      </c>
      <c r="O638" s="18">
        <v>0.12</v>
      </c>
      <c r="P638" s="17">
        <v>0.69</v>
      </c>
      <c r="Q638" s="15">
        <v>26.0</v>
      </c>
      <c r="R638" s="18">
        <v>0.17</v>
      </c>
      <c r="S638" s="14">
        <v>1.46</v>
      </c>
      <c r="T638" s="18">
        <v>1.33</v>
      </c>
      <c r="U638" s="18">
        <v>0.81</v>
      </c>
      <c r="V638" s="54">
        <v>0.52</v>
      </c>
      <c r="W638" s="55">
        <f>+0.52</f>
        <v>0.52</v>
      </c>
      <c r="X638" s="55">
        <f>+1.25</f>
        <v>1.25</v>
      </c>
      <c r="Y638" s="20" t="s">
        <v>9293</v>
      </c>
    </row>
    <row r="639">
      <c r="A639" s="9">
        <v>613.0</v>
      </c>
      <c r="B639" s="10" t="s">
        <v>9294</v>
      </c>
      <c r="C639" s="11" t="s">
        <v>9295</v>
      </c>
      <c r="D639" s="12" t="s">
        <v>31</v>
      </c>
      <c r="E639" s="13" t="s">
        <v>9296</v>
      </c>
      <c r="F639" s="12">
        <v>26.0</v>
      </c>
      <c r="G639" s="12">
        <v>1998.0</v>
      </c>
      <c r="H639" s="14">
        <v>28.0</v>
      </c>
      <c r="I639" s="16">
        <v>1315.0</v>
      </c>
      <c r="J639" s="15">
        <v>47.0</v>
      </c>
      <c r="K639" s="15">
        <v>38.5</v>
      </c>
      <c r="L639" s="15">
        <v>14.6</v>
      </c>
      <c r="M639" s="17">
        <v>0.96</v>
      </c>
      <c r="N639" s="15">
        <v>75.0</v>
      </c>
      <c r="O639" s="19">
        <v>0.0</v>
      </c>
      <c r="P639" s="17">
        <v>0.96</v>
      </c>
      <c r="Q639" s="15">
        <v>19.0</v>
      </c>
      <c r="R639" s="18">
        <v>0.62</v>
      </c>
      <c r="S639" s="14">
        <v>1.43</v>
      </c>
      <c r="T639" s="18">
        <v>1.51</v>
      </c>
      <c r="U639" s="18">
        <v>1.44</v>
      </c>
      <c r="V639" s="54">
        <v>0.07</v>
      </c>
      <c r="W639" s="55">
        <f>+0.07</f>
        <v>0.07</v>
      </c>
      <c r="X639" s="55">
        <f>+0.41</f>
        <v>0.41</v>
      </c>
      <c r="Y639" s="20" t="s">
        <v>9297</v>
      </c>
    </row>
    <row r="640">
      <c r="A640" s="9">
        <v>614.0</v>
      </c>
      <c r="B640" s="10" t="s">
        <v>9298</v>
      </c>
      <c r="C640" s="11" t="s">
        <v>9299</v>
      </c>
      <c r="D640" s="12" t="s">
        <v>36</v>
      </c>
      <c r="E640" s="13" t="s">
        <v>9300</v>
      </c>
      <c r="F640" s="12">
        <v>32.0</v>
      </c>
      <c r="G640" s="12">
        <v>1992.0</v>
      </c>
      <c r="H640" s="14">
        <v>37.0</v>
      </c>
      <c r="I640" s="16">
        <v>3330.0</v>
      </c>
      <c r="J640" s="15">
        <v>90.0</v>
      </c>
      <c r="K640" s="15">
        <v>97.4</v>
      </c>
      <c r="L640" s="15">
        <v>37.0</v>
      </c>
      <c r="M640" s="17">
        <v>1.0</v>
      </c>
      <c r="N640" s="15">
        <v>90.0</v>
      </c>
      <c r="O640" s="18">
        <v>1.0</v>
      </c>
      <c r="P640" s="22">
        <v>0.0</v>
      </c>
      <c r="Q640" s="36"/>
      <c r="R640" s="19">
        <v>0.0</v>
      </c>
      <c r="S640" s="14">
        <v>1.32</v>
      </c>
      <c r="T640" s="18">
        <v>1.27</v>
      </c>
      <c r="U640" s="18">
        <v>1.3</v>
      </c>
      <c r="V640" s="56">
        <v>-0.03</v>
      </c>
      <c r="W640" s="57">
        <v>-0.03</v>
      </c>
      <c r="X640" s="55">
        <f>+1.97</f>
        <v>1.97</v>
      </c>
      <c r="Y640" s="20" t="s">
        <v>9301</v>
      </c>
    </row>
    <row r="641">
      <c r="A641" s="9">
        <v>615.0</v>
      </c>
      <c r="B641" s="10" t="s">
        <v>9302</v>
      </c>
      <c r="C641" s="11" t="s">
        <v>9303</v>
      </c>
      <c r="D641" s="12" t="s">
        <v>36</v>
      </c>
      <c r="E641" s="13" t="s">
        <v>9304</v>
      </c>
      <c r="F641" s="12">
        <v>19.0</v>
      </c>
      <c r="G641" s="12">
        <v>2006.0</v>
      </c>
      <c r="H641" s="23">
        <v>0.0</v>
      </c>
      <c r="I641" s="36"/>
      <c r="J641" s="36"/>
      <c r="K641" s="36"/>
      <c r="L641" s="36"/>
      <c r="M641" s="23">
        <v>0.0</v>
      </c>
      <c r="N641" s="36"/>
      <c r="O641" s="21">
        <v>0.0</v>
      </c>
      <c r="P641" s="23">
        <v>0.0</v>
      </c>
      <c r="Q641" s="36"/>
      <c r="R641" s="15">
        <v>1.0</v>
      </c>
      <c r="S641" s="58"/>
      <c r="T641" s="36"/>
      <c r="U641" s="36"/>
      <c r="V641" s="36"/>
      <c r="W641" s="36"/>
      <c r="X641" s="36"/>
      <c r="Y641" s="20" t="s">
        <v>9305</v>
      </c>
    </row>
    <row r="642">
      <c r="A642" s="9">
        <v>616.0</v>
      </c>
      <c r="B642" s="10" t="s">
        <v>9306</v>
      </c>
      <c r="C642" s="11" t="s">
        <v>9307</v>
      </c>
      <c r="D642" s="12" t="s">
        <v>31</v>
      </c>
      <c r="E642" s="13" t="s">
        <v>9308</v>
      </c>
      <c r="F642" s="12">
        <v>26.0</v>
      </c>
      <c r="G642" s="12">
        <v>1999.0</v>
      </c>
      <c r="H642" s="14">
        <v>34.0</v>
      </c>
      <c r="I642" s="16">
        <v>2732.0</v>
      </c>
      <c r="J642" s="15">
        <v>80.0</v>
      </c>
      <c r="K642" s="15">
        <v>79.9</v>
      </c>
      <c r="L642" s="15">
        <v>30.4</v>
      </c>
      <c r="M642" s="17">
        <v>1.02</v>
      </c>
      <c r="N642" s="15">
        <v>86.0</v>
      </c>
      <c r="O642" s="18">
        <v>0.49</v>
      </c>
      <c r="P642" s="17">
        <v>0.1</v>
      </c>
      <c r="Q642" s="15">
        <v>24.0</v>
      </c>
      <c r="R642" s="19">
        <v>0.0</v>
      </c>
      <c r="S642" s="14">
        <v>1.38</v>
      </c>
      <c r="T642" s="18">
        <v>1.48</v>
      </c>
      <c r="U642" s="18">
        <v>1.45</v>
      </c>
      <c r="V642" s="54">
        <v>0.03</v>
      </c>
      <c r="W642" s="55">
        <f>+0.03</f>
        <v>0.03</v>
      </c>
      <c r="X642" s="57">
        <v>-0.36</v>
      </c>
      <c r="Y642" s="20" t="s">
        <v>9309</v>
      </c>
    </row>
    <row r="643">
      <c r="A643" s="9">
        <v>617.0</v>
      </c>
      <c r="B643" s="10" t="s">
        <v>9310</v>
      </c>
      <c r="C643" s="11" t="s">
        <v>9311</v>
      </c>
      <c r="D643" s="12" t="s">
        <v>26</v>
      </c>
      <c r="E643" s="13" t="s">
        <v>9312</v>
      </c>
      <c r="F643" s="12">
        <v>21.0</v>
      </c>
      <c r="G643" s="12">
        <v>2003.0</v>
      </c>
      <c r="H643" s="14">
        <v>29.0</v>
      </c>
      <c r="I643" s="16">
        <v>1272.0</v>
      </c>
      <c r="J643" s="15">
        <v>44.0</v>
      </c>
      <c r="K643" s="15">
        <v>37.2</v>
      </c>
      <c r="L643" s="15">
        <v>14.1</v>
      </c>
      <c r="M643" s="17">
        <v>0.99</v>
      </c>
      <c r="N643" s="15">
        <v>71.0</v>
      </c>
      <c r="O643" s="18">
        <v>0.14</v>
      </c>
      <c r="P643" s="17">
        <v>1.06</v>
      </c>
      <c r="Q643" s="15">
        <v>18.0</v>
      </c>
      <c r="R643" s="18">
        <v>0.64</v>
      </c>
      <c r="S643" s="14">
        <v>0.41</v>
      </c>
      <c r="T643" s="18">
        <v>0.92</v>
      </c>
      <c r="U643" s="18">
        <v>1.7</v>
      </c>
      <c r="V643" s="56">
        <v>-0.78</v>
      </c>
      <c r="W643" s="57">
        <v>-0.78</v>
      </c>
      <c r="X643" s="55">
        <f>+0.31</f>
        <v>0.31</v>
      </c>
      <c r="Y643" s="20" t="s">
        <v>9313</v>
      </c>
    </row>
    <row r="644">
      <c r="A644" s="9">
        <v>618.0</v>
      </c>
      <c r="B644" s="10" t="s">
        <v>9314</v>
      </c>
      <c r="C644" s="11" t="s">
        <v>9315</v>
      </c>
      <c r="D644" s="12" t="s">
        <v>264</v>
      </c>
      <c r="E644" s="13" t="s">
        <v>9316</v>
      </c>
      <c r="F644" s="12">
        <v>23.0</v>
      </c>
      <c r="G644" s="12">
        <v>2001.0</v>
      </c>
      <c r="H644" s="14">
        <v>31.0</v>
      </c>
      <c r="I644" s="16">
        <v>1845.0</v>
      </c>
      <c r="J644" s="15">
        <v>60.0</v>
      </c>
      <c r="K644" s="15">
        <v>53.9</v>
      </c>
      <c r="L644" s="15">
        <v>20.5</v>
      </c>
      <c r="M644" s="17">
        <v>0.93</v>
      </c>
      <c r="N644" s="15">
        <v>82.0</v>
      </c>
      <c r="O644" s="18">
        <v>0.68</v>
      </c>
      <c r="P644" s="17">
        <v>0.59</v>
      </c>
      <c r="Q644" s="15">
        <v>24.0</v>
      </c>
      <c r="R644" s="18">
        <v>0.29</v>
      </c>
      <c r="S644" s="14">
        <v>0.55</v>
      </c>
      <c r="T644" s="18">
        <v>0.83</v>
      </c>
      <c r="U644" s="18">
        <v>1.8</v>
      </c>
      <c r="V644" s="56">
        <v>-0.98</v>
      </c>
      <c r="W644" s="57">
        <v>-0.98</v>
      </c>
      <c r="X644" s="55">
        <f>+0.22</f>
        <v>0.22</v>
      </c>
      <c r="Y644" s="20" t="s">
        <v>9317</v>
      </c>
    </row>
    <row r="645">
      <c r="A645" s="9">
        <v>619.0</v>
      </c>
      <c r="B645" s="10" t="s">
        <v>9318</v>
      </c>
      <c r="C645" s="11" t="s">
        <v>9319</v>
      </c>
      <c r="D645" s="12" t="s">
        <v>26</v>
      </c>
      <c r="E645" s="13" t="s">
        <v>9320</v>
      </c>
      <c r="F645" s="12">
        <v>20.0</v>
      </c>
      <c r="G645" s="12">
        <v>2005.0</v>
      </c>
      <c r="H645" s="14">
        <v>31.0</v>
      </c>
      <c r="I645" s="16">
        <v>1349.0</v>
      </c>
      <c r="J645" s="15">
        <v>44.0</v>
      </c>
      <c r="K645" s="15">
        <v>39.4</v>
      </c>
      <c r="L645" s="15">
        <v>15.0</v>
      </c>
      <c r="M645" s="17">
        <v>0.87</v>
      </c>
      <c r="N645" s="15">
        <v>78.0</v>
      </c>
      <c r="O645" s="18">
        <v>0.2</v>
      </c>
      <c r="P645" s="17">
        <v>1.2</v>
      </c>
      <c r="Q645" s="15">
        <v>19.0</v>
      </c>
      <c r="R645" s="18">
        <v>0.47</v>
      </c>
      <c r="S645" s="14">
        <v>1.0</v>
      </c>
      <c r="T645" s="18">
        <v>1.73</v>
      </c>
      <c r="U645" s="18">
        <v>1.53</v>
      </c>
      <c r="V645" s="54">
        <v>0.2</v>
      </c>
      <c r="W645" s="55">
        <f>+0.2</f>
        <v>0.2</v>
      </c>
      <c r="X645" s="55">
        <f>+0.72</f>
        <v>0.72</v>
      </c>
      <c r="Y645" s="20" t="s">
        <v>9321</v>
      </c>
    </row>
    <row r="646">
      <c r="A646" s="9">
        <v>620.0</v>
      </c>
      <c r="B646" s="10" t="s">
        <v>9322</v>
      </c>
      <c r="C646" s="11" t="s">
        <v>9323</v>
      </c>
      <c r="D646" s="12" t="s">
        <v>36</v>
      </c>
      <c r="E646" s="13" t="s">
        <v>9324</v>
      </c>
      <c r="F646" s="12">
        <v>29.0</v>
      </c>
      <c r="G646" s="12">
        <v>1995.0</v>
      </c>
      <c r="H646" s="14">
        <v>22.0</v>
      </c>
      <c r="I646" s="16">
        <v>1791.0</v>
      </c>
      <c r="J646" s="15">
        <v>81.0</v>
      </c>
      <c r="K646" s="15">
        <v>52.4</v>
      </c>
      <c r="L646" s="15">
        <v>19.9</v>
      </c>
      <c r="M646" s="17">
        <v>1.06</v>
      </c>
      <c r="N646" s="15">
        <v>85.0</v>
      </c>
      <c r="O646" s="18">
        <v>0.75</v>
      </c>
      <c r="P646" s="17">
        <v>0.05</v>
      </c>
      <c r="Q646" s="15">
        <v>8.0</v>
      </c>
      <c r="R646" s="18">
        <v>0.3</v>
      </c>
      <c r="S646" s="14">
        <v>1.55</v>
      </c>
      <c r="T646" s="18">
        <v>1.21</v>
      </c>
      <c r="U646" s="18">
        <v>1.21</v>
      </c>
      <c r="V646" s="19">
        <v>0.0</v>
      </c>
      <c r="W646" s="21">
        <v>0.0</v>
      </c>
      <c r="X646" s="55">
        <f>+0.22</f>
        <v>0.22</v>
      </c>
      <c r="Y646" s="20" t="s">
        <v>9325</v>
      </c>
    </row>
    <row r="647">
      <c r="A647" s="9">
        <v>621.0</v>
      </c>
      <c r="B647" s="10" t="s">
        <v>9326</v>
      </c>
      <c r="C647" s="11" t="s">
        <v>9327</v>
      </c>
      <c r="D647" s="12" t="s">
        <v>41</v>
      </c>
      <c r="E647" s="13" t="s">
        <v>9328</v>
      </c>
      <c r="F647" s="12">
        <v>24.0</v>
      </c>
      <c r="G647" s="12">
        <v>2001.0</v>
      </c>
      <c r="H647" s="14">
        <v>38.0</v>
      </c>
      <c r="I647" s="16">
        <v>3282.0</v>
      </c>
      <c r="J647" s="15">
        <v>86.0</v>
      </c>
      <c r="K647" s="15">
        <v>96.0</v>
      </c>
      <c r="L647" s="15">
        <v>36.5</v>
      </c>
      <c r="M647" s="17">
        <v>1.01</v>
      </c>
      <c r="N647" s="15">
        <v>88.0</v>
      </c>
      <c r="O647" s="18">
        <v>0.82</v>
      </c>
      <c r="P647" s="17">
        <v>0.03</v>
      </c>
      <c r="Q647" s="15">
        <v>31.0</v>
      </c>
      <c r="R647" s="19">
        <v>0.0</v>
      </c>
      <c r="S647" s="14">
        <v>1.39</v>
      </c>
      <c r="T647" s="18">
        <v>1.42</v>
      </c>
      <c r="U647" s="18">
        <v>1.34</v>
      </c>
      <c r="V647" s="54">
        <v>0.08</v>
      </c>
      <c r="W647" s="55">
        <f t="shared" ref="W647:X647" si="10">+0.08</f>
        <v>0.08</v>
      </c>
      <c r="X647" s="55">
        <f t="shared" si="10"/>
        <v>0.08</v>
      </c>
      <c r="Y647" s="20" t="s">
        <v>9329</v>
      </c>
    </row>
    <row r="648">
      <c r="A648" s="9">
        <v>622.0</v>
      </c>
      <c r="B648" s="10" t="s">
        <v>9330</v>
      </c>
      <c r="C648" s="11" t="s">
        <v>9331</v>
      </c>
      <c r="D648" s="12" t="s">
        <v>36</v>
      </c>
      <c r="E648" s="13" t="s">
        <v>9332</v>
      </c>
      <c r="F648" s="12">
        <v>23.0</v>
      </c>
      <c r="G648" s="12">
        <v>2001.0</v>
      </c>
      <c r="H648" s="14">
        <v>35.0</v>
      </c>
      <c r="I648" s="16">
        <v>2965.0</v>
      </c>
      <c r="J648" s="15">
        <v>85.0</v>
      </c>
      <c r="K648" s="15">
        <v>86.7</v>
      </c>
      <c r="L648" s="15">
        <v>32.9</v>
      </c>
      <c r="M648" s="17">
        <v>1.0</v>
      </c>
      <c r="N648" s="15">
        <v>88.0</v>
      </c>
      <c r="O648" s="18">
        <v>0.94</v>
      </c>
      <c r="P648" s="17">
        <v>0.06</v>
      </c>
      <c r="Q648" s="15">
        <v>24.0</v>
      </c>
      <c r="R648" s="18">
        <v>0.09</v>
      </c>
      <c r="S648" s="14">
        <v>1.26</v>
      </c>
      <c r="T648" s="18">
        <v>1.43</v>
      </c>
      <c r="U648" s="18">
        <v>1.58</v>
      </c>
      <c r="V648" s="56">
        <v>-0.15</v>
      </c>
      <c r="W648" s="57">
        <v>-0.15</v>
      </c>
      <c r="X648" s="57">
        <v>-0.75</v>
      </c>
      <c r="Y648" s="20" t="s">
        <v>9333</v>
      </c>
    </row>
    <row r="649">
      <c r="A649" s="9">
        <v>623.0</v>
      </c>
      <c r="B649" s="10" t="s">
        <v>9334</v>
      </c>
      <c r="C649" s="11" t="s">
        <v>9335</v>
      </c>
      <c r="D649" s="12" t="s">
        <v>31</v>
      </c>
      <c r="E649" s="13" t="s">
        <v>9336</v>
      </c>
      <c r="F649" s="12">
        <v>17.0</v>
      </c>
      <c r="G649" s="12">
        <v>2007.0</v>
      </c>
      <c r="H649" s="23">
        <v>0.0</v>
      </c>
      <c r="I649" s="36"/>
      <c r="J649" s="36"/>
      <c r="K649" s="36"/>
      <c r="L649" s="36"/>
      <c r="M649" s="23">
        <v>0.0</v>
      </c>
      <c r="N649" s="36"/>
      <c r="O649" s="21">
        <v>0.0</v>
      </c>
      <c r="P649" s="23">
        <v>0.0</v>
      </c>
      <c r="Q649" s="36"/>
      <c r="R649" s="15">
        <v>1.0</v>
      </c>
      <c r="S649" s="58"/>
      <c r="T649" s="36"/>
      <c r="U649" s="36"/>
      <c r="V649" s="36"/>
      <c r="W649" s="36"/>
      <c r="X649" s="36"/>
      <c r="Y649" s="20" t="s">
        <v>9337</v>
      </c>
    </row>
    <row r="650">
      <c r="A650" s="9">
        <v>624.0</v>
      </c>
      <c r="B650" s="10" t="s">
        <v>9338</v>
      </c>
      <c r="C650" s="11" t="s">
        <v>9339</v>
      </c>
      <c r="D650" s="12" t="s">
        <v>31</v>
      </c>
      <c r="E650" s="13" t="s">
        <v>9340</v>
      </c>
      <c r="F650" s="12">
        <v>28.0</v>
      </c>
      <c r="G650" s="12">
        <v>1997.0</v>
      </c>
      <c r="H650" s="14">
        <v>25.0</v>
      </c>
      <c r="I650" s="16">
        <v>1862.0</v>
      </c>
      <c r="J650" s="15">
        <v>74.0</v>
      </c>
      <c r="K650" s="15">
        <v>54.4</v>
      </c>
      <c r="L650" s="15">
        <v>20.7</v>
      </c>
      <c r="M650" s="17">
        <v>1.01</v>
      </c>
      <c r="N650" s="15">
        <v>85.0</v>
      </c>
      <c r="O650" s="18">
        <v>0.68</v>
      </c>
      <c r="P650" s="17">
        <v>0.19</v>
      </c>
      <c r="Q650" s="15">
        <v>21.0</v>
      </c>
      <c r="R650" s="19">
        <v>0.0</v>
      </c>
      <c r="S650" s="14">
        <v>1.88</v>
      </c>
      <c r="T650" s="18">
        <v>1.55</v>
      </c>
      <c r="U650" s="18">
        <v>1.3</v>
      </c>
      <c r="V650" s="54">
        <v>0.24</v>
      </c>
      <c r="W650" s="55">
        <f>+0.24</f>
        <v>0.24</v>
      </c>
      <c r="X650" s="55">
        <f>+0.13</f>
        <v>0.13</v>
      </c>
      <c r="Y650" s="20" t="s">
        <v>9341</v>
      </c>
    </row>
    <row r="651">
      <c r="A651" s="9">
        <v>625.0</v>
      </c>
      <c r="B651" s="10" t="s">
        <v>9342</v>
      </c>
      <c r="C651" s="11" t="s">
        <v>9343</v>
      </c>
      <c r="D651" s="12" t="s">
        <v>36</v>
      </c>
      <c r="E651" s="13" t="s">
        <v>9344</v>
      </c>
      <c r="F651" s="12">
        <v>24.0</v>
      </c>
      <c r="G651" s="12">
        <v>2001.0</v>
      </c>
      <c r="H651" s="14">
        <v>30.0</v>
      </c>
      <c r="I651" s="16">
        <v>2454.0</v>
      </c>
      <c r="J651" s="15">
        <v>82.0</v>
      </c>
      <c r="K651" s="15">
        <v>71.8</v>
      </c>
      <c r="L651" s="15">
        <v>27.3</v>
      </c>
      <c r="M651" s="17">
        <v>1.03</v>
      </c>
      <c r="N651" s="15">
        <v>85.0</v>
      </c>
      <c r="O651" s="18">
        <v>0.84</v>
      </c>
      <c r="P651" s="17">
        <v>0.07</v>
      </c>
      <c r="Q651" s="15">
        <v>34.0</v>
      </c>
      <c r="R651" s="19">
        <v>0.0</v>
      </c>
      <c r="S651" s="14">
        <v>2.23</v>
      </c>
      <c r="T651" s="18">
        <v>1.87</v>
      </c>
      <c r="U651" s="18">
        <v>0.73</v>
      </c>
      <c r="V651" s="54">
        <v>1.14</v>
      </c>
      <c r="W651" s="55">
        <f>+1.14</f>
        <v>1.14</v>
      </c>
      <c r="X651" s="57">
        <v>-0.07</v>
      </c>
      <c r="Y651" s="20" t="s">
        <v>9345</v>
      </c>
    </row>
    <row r="652">
      <c r="A652" s="37" t="s">
        <v>3</v>
      </c>
      <c r="B652" s="38" t="s">
        <v>4</v>
      </c>
      <c r="C652" s="39" t="s">
        <v>5</v>
      </c>
      <c r="D652" s="39" t="s">
        <v>6</v>
      </c>
      <c r="E652" s="39" t="s">
        <v>7</v>
      </c>
      <c r="F652" s="39" t="s">
        <v>8</v>
      </c>
      <c r="G652" s="39" t="s">
        <v>9</v>
      </c>
      <c r="H652" s="40" t="s">
        <v>10</v>
      </c>
      <c r="I652" s="39" t="s">
        <v>12</v>
      </c>
      <c r="J652" s="39" t="s">
        <v>6838</v>
      </c>
      <c r="K652" s="39" t="s">
        <v>6839</v>
      </c>
      <c r="L652" s="39" t="s">
        <v>13</v>
      </c>
      <c r="M652" s="40" t="s">
        <v>11</v>
      </c>
      <c r="N652" s="39" t="s">
        <v>6840</v>
      </c>
      <c r="O652" s="39" t="s">
        <v>6841</v>
      </c>
      <c r="P652" s="40" t="s">
        <v>6836</v>
      </c>
      <c r="Q652" s="39" t="s">
        <v>6842</v>
      </c>
      <c r="R652" s="39" t="s">
        <v>6843</v>
      </c>
      <c r="S652" s="40" t="s">
        <v>6844</v>
      </c>
      <c r="T652" s="39" t="s">
        <v>6845</v>
      </c>
      <c r="U652" s="39" t="s">
        <v>6846</v>
      </c>
      <c r="V652" s="59" t="str">
        <f>+/-</f>
        <v>#ERROR!</v>
      </c>
      <c r="W652" s="59" t="str">
        <f>+/-90</f>
        <v>#ERROR!</v>
      </c>
      <c r="X652" s="39" t="s">
        <v>6847</v>
      </c>
      <c r="Y652" s="40" t="s">
        <v>23</v>
      </c>
    </row>
    <row r="653">
      <c r="A653" s="9">
        <v>626.0</v>
      </c>
      <c r="B653" s="10" t="s">
        <v>9346</v>
      </c>
      <c r="C653" s="11" t="s">
        <v>9347</v>
      </c>
      <c r="D653" s="12" t="s">
        <v>36</v>
      </c>
      <c r="E653" s="13" t="s">
        <v>9348</v>
      </c>
      <c r="F653" s="12">
        <v>25.0</v>
      </c>
      <c r="G653" s="12">
        <v>1999.0</v>
      </c>
      <c r="H653" s="14">
        <v>23.0</v>
      </c>
      <c r="I653" s="16">
        <v>1814.0</v>
      </c>
      <c r="J653" s="15">
        <v>79.0</v>
      </c>
      <c r="K653" s="15">
        <v>53.0</v>
      </c>
      <c r="L653" s="15">
        <v>20.2</v>
      </c>
      <c r="M653" s="17">
        <v>1.09</v>
      </c>
      <c r="N653" s="15">
        <v>82.0</v>
      </c>
      <c r="O653" s="18">
        <v>0.79</v>
      </c>
      <c r="P653" s="17">
        <v>0.05</v>
      </c>
      <c r="Q653" s="15">
        <v>1.0</v>
      </c>
      <c r="R653" s="18">
        <v>0.35</v>
      </c>
      <c r="S653" s="14">
        <v>1.0</v>
      </c>
      <c r="T653" s="18">
        <v>1.24</v>
      </c>
      <c r="U653" s="18">
        <v>1.78</v>
      </c>
      <c r="V653" s="56">
        <v>-0.54</v>
      </c>
      <c r="W653" s="57">
        <v>-0.55</v>
      </c>
      <c r="X653" s="57">
        <v>-0.1</v>
      </c>
      <c r="Y653" s="20" t="s">
        <v>9349</v>
      </c>
    </row>
    <row r="654">
      <c r="A654" s="9">
        <v>627.0</v>
      </c>
      <c r="B654" s="10" t="s">
        <v>9350</v>
      </c>
      <c r="C654" s="11" t="s">
        <v>9351</v>
      </c>
      <c r="D654" s="12" t="s">
        <v>31</v>
      </c>
      <c r="E654" s="13" t="s">
        <v>9352</v>
      </c>
      <c r="F654" s="12">
        <v>25.0</v>
      </c>
      <c r="G654" s="12">
        <v>2000.0</v>
      </c>
      <c r="H654" s="14">
        <v>35.0</v>
      </c>
      <c r="I654" s="16">
        <v>2534.0</v>
      </c>
      <c r="J654" s="15">
        <v>72.0</v>
      </c>
      <c r="K654" s="15">
        <v>74.1</v>
      </c>
      <c r="L654" s="15">
        <v>28.2</v>
      </c>
      <c r="M654" s="17">
        <v>1.1</v>
      </c>
      <c r="N654" s="15">
        <v>80.0</v>
      </c>
      <c r="O654" s="18">
        <v>0.57</v>
      </c>
      <c r="P654" s="17">
        <v>0.14</v>
      </c>
      <c r="Q654" s="15">
        <v>12.0</v>
      </c>
      <c r="R654" s="19">
        <v>0.0</v>
      </c>
      <c r="S654" s="14">
        <v>1.31</v>
      </c>
      <c r="T654" s="18">
        <v>1.13</v>
      </c>
      <c r="U654" s="18">
        <v>1.31</v>
      </c>
      <c r="V654" s="56">
        <v>-0.18</v>
      </c>
      <c r="W654" s="57">
        <v>-0.18</v>
      </c>
      <c r="X654" s="57">
        <v>-0.48</v>
      </c>
      <c r="Y654" s="20" t="s">
        <v>9353</v>
      </c>
    </row>
    <row r="655">
      <c r="A655" s="9">
        <v>628.0</v>
      </c>
      <c r="B655" s="10" t="s">
        <v>9354</v>
      </c>
      <c r="C655" s="11" t="s">
        <v>9355</v>
      </c>
      <c r="D655" s="12" t="s">
        <v>36</v>
      </c>
      <c r="E655" s="13" t="s">
        <v>9356</v>
      </c>
      <c r="F655" s="12">
        <v>28.0</v>
      </c>
      <c r="G655" s="12">
        <v>1997.0</v>
      </c>
      <c r="H655" s="14">
        <v>21.0</v>
      </c>
      <c r="I655" s="16">
        <v>1676.0</v>
      </c>
      <c r="J655" s="15">
        <v>80.0</v>
      </c>
      <c r="K655" s="15">
        <v>49.0</v>
      </c>
      <c r="L655" s="15">
        <v>18.6</v>
      </c>
      <c r="M655" s="17">
        <v>0.97</v>
      </c>
      <c r="N655" s="15">
        <v>88.0</v>
      </c>
      <c r="O655" s="18">
        <v>0.81</v>
      </c>
      <c r="P655" s="17">
        <v>0.16</v>
      </c>
      <c r="Q655" s="15">
        <v>31.0</v>
      </c>
      <c r="R655" s="18">
        <v>0.59</v>
      </c>
      <c r="S655" s="14">
        <v>1.9</v>
      </c>
      <c r="T655" s="18">
        <v>1.51</v>
      </c>
      <c r="U655" s="18">
        <v>1.02</v>
      </c>
      <c r="V655" s="54">
        <v>0.48</v>
      </c>
      <c r="W655" s="55">
        <f>+0.48</f>
        <v>0.48</v>
      </c>
      <c r="X655" s="55">
        <f>+0.59</f>
        <v>0.59</v>
      </c>
      <c r="Y655" s="20" t="s">
        <v>9357</v>
      </c>
    </row>
    <row r="656">
      <c r="A656" s="9">
        <v>629.0</v>
      </c>
      <c r="B656" s="10" t="s">
        <v>9358</v>
      </c>
      <c r="C656" s="11" t="s">
        <v>9359</v>
      </c>
      <c r="D656" s="12" t="s">
        <v>31</v>
      </c>
      <c r="E656" s="13" t="s">
        <v>9360</v>
      </c>
      <c r="F656" s="12">
        <v>19.0</v>
      </c>
      <c r="G656" s="12">
        <v>2005.0</v>
      </c>
      <c r="H656" s="14">
        <v>9.0</v>
      </c>
      <c r="I656" s="15">
        <v>140.0</v>
      </c>
      <c r="J656" s="15">
        <v>16.0</v>
      </c>
      <c r="K656" s="15">
        <v>4.1</v>
      </c>
      <c r="L656" s="15">
        <v>1.6</v>
      </c>
      <c r="M656" s="17">
        <v>1.25</v>
      </c>
      <c r="N656" s="15">
        <v>57.0</v>
      </c>
      <c r="O656" s="19">
        <v>0.0</v>
      </c>
      <c r="P656" s="17">
        <v>4.38</v>
      </c>
      <c r="Q656" s="15">
        <v>4.0</v>
      </c>
      <c r="R656" s="18">
        <v>4.38</v>
      </c>
      <c r="S656" s="14">
        <v>2.33</v>
      </c>
      <c r="T656" s="18">
        <v>1.88</v>
      </c>
      <c r="U656" s="18">
        <v>1.88</v>
      </c>
      <c r="V656" s="19">
        <v>0.0</v>
      </c>
      <c r="W656" s="21">
        <v>0.0</v>
      </c>
      <c r="X656" s="57">
        <v>-0.11</v>
      </c>
      <c r="Y656" s="20" t="s">
        <v>9361</v>
      </c>
    </row>
    <row r="657">
      <c r="A657" s="9">
        <v>630.0</v>
      </c>
      <c r="B657" s="10" t="s">
        <v>9362</v>
      </c>
      <c r="C657" s="11" t="s">
        <v>9363</v>
      </c>
      <c r="D657" s="12" t="s">
        <v>98</v>
      </c>
      <c r="E657" s="13" t="s">
        <v>9364</v>
      </c>
      <c r="F657" s="12">
        <v>22.0</v>
      </c>
      <c r="G657" s="12">
        <v>2002.0</v>
      </c>
      <c r="H657" s="14">
        <v>4.0</v>
      </c>
      <c r="I657" s="15">
        <v>360.0</v>
      </c>
      <c r="J657" s="15">
        <v>90.0</v>
      </c>
      <c r="K657" s="15">
        <v>10.5</v>
      </c>
      <c r="L657" s="15">
        <v>4.0</v>
      </c>
      <c r="M657" s="17">
        <v>1.0</v>
      </c>
      <c r="N657" s="15">
        <v>90.0</v>
      </c>
      <c r="O657" s="18">
        <v>1.0</v>
      </c>
      <c r="P657" s="22">
        <v>0.0</v>
      </c>
      <c r="Q657" s="36"/>
      <c r="R657" s="18">
        <v>8.5</v>
      </c>
      <c r="S657" s="14">
        <v>0.75</v>
      </c>
      <c r="T657" s="18">
        <v>1.5</v>
      </c>
      <c r="U657" s="18">
        <v>1.5</v>
      </c>
      <c r="V657" s="19">
        <v>0.0</v>
      </c>
      <c r="W657" s="21">
        <v>0.0</v>
      </c>
      <c r="X657" s="57">
        <v>-1.24</v>
      </c>
      <c r="Y657" s="20" t="s">
        <v>9365</v>
      </c>
    </row>
    <row r="658">
      <c r="A658" s="9">
        <v>631.0</v>
      </c>
      <c r="B658" s="10" t="s">
        <v>9366</v>
      </c>
      <c r="C658" s="11" t="s">
        <v>9367</v>
      </c>
      <c r="D658" s="12" t="s">
        <v>31</v>
      </c>
      <c r="E658" s="13" t="s">
        <v>9368</v>
      </c>
      <c r="F658" s="12">
        <v>29.0</v>
      </c>
      <c r="G658" s="12">
        <v>1996.0</v>
      </c>
      <c r="H658" s="14">
        <v>15.0</v>
      </c>
      <c r="I658" s="15">
        <v>274.0</v>
      </c>
      <c r="J658" s="15">
        <v>18.0</v>
      </c>
      <c r="K658" s="15">
        <v>8.0</v>
      </c>
      <c r="L658" s="15">
        <v>3.0</v>
      </c>
      <c r="M658" s="17">
        <v>0.33</v>
      </c>
      <c r="N658" s="15">
        <v>75.0</v>
      </c>
      <c r="O658" s="19">
        <v>0.0</v>
      </c>
      <c r="P658" s="17">
        <v>4.67</v>
      </c>
      <c r="Q658" s="15">
        <v>14.0</v>
      </c>
      <c r="R658" s="18">
        <v>2.0</v>
      </c>
      <c r="S658" s="14">
        <v>1.2</v>
      </c>
      <c r="T658" s="18">
        <v>1.33</v>
      </c>
      <c r="U658" s="18">
        <v>2.33</v>
      </c>
      <c r="V658" s="56">
        <v>-1.0</v>
      </c>
      <c r="W658" s="57">
        <v>-0.99</v>
      </c>
      <c r="X658" s="57">
        <v>-0.96</v>
      </c>
      <c r="Y658" s="20" t="s">
        <v>9369</v>
      </c>
    </row>
    <row r="659">
      <c r="A659" s="9">
        <v>632.0</v>
      </c>
      <c r="B659" s="10" t="s">
        <v>9370</v>
      </c>
      <c r="C659" s="11" t="s">
        <v>9371</v>
      </c>
      <c r="D659" s="12" t="s">
        <v>107</v>
      </c>
      <c r="E659" s="13" t="s">
        <v>9372</v>
      </c>
      <c r="F659" s="12">
        <v>29.0</v>
      </c>
      <c r="G659" s="12">
        <v>1996.0</v>
      </c>
      <c r="H659" s="14">
        <v>9.0</v>
      </c>
      <c r="I659" s="15">
        <v>121.0</v>
      </c>
      <c r="J659" s="15">
        <v>13.0</v>
      </c>
      <c r="K659" s="15">
        <v>3.5</v>
      </c>
      <c r="L659" s="15">
        <v>1.3</v>
      </c>
      <c r="M659" s="22">
        <v>0.0</v>
      </c>
      <c r="N659" s="36"/>
      <c r="O659" s="19">
        <v>0.0</v>
      </c>
      <c r="P659" s="17">
        <v>6.92</v>
      </c>
      <c r="Q659" s="15">
        <v>13.0</v>
      </c>
      <c r="R659" s="18">
        <v>2.31</v>
      </c>
      <c r="S659" s="14">
        <v>1.22</v>
      </c>
      <c r="T659" s="18">
        <v>0.77</v>
      </c>
      <c r="U659" s="18">
        <v>3.85</v>
      </c>
      <c r="V659" s="56">
        <v>-3.08</v>
      </c>
      <c r="W659" s="57">
        <v>-2.98</v>
      </c>
      <c r="X659" s="57">
        <v>-2.57</v>
      </c>
      <c r="Y659" s="20" t="s">
        <v>9373</v>
      </c>
    </row>
    <row r="660">
      <c r="A660" s="9">
        <v>633.0</v>
      </c>
      <c r="B660" s="10" t="s">
        <v>9374</v>
      </c>
      <c r="C660" s="11" t="s">
        <v>9375</v>
      </c>
      <c r="D660" s="12" t="s">
        <v>26</v>
      </c>
      <c r="E660" s="13" t="s">
        <v>9376</v>
      </c>
      <c r="F660" s="12">
        <v>29.0</v>
      </c>
      <c r="G660" s="12">
        <v>1995.0</v>
      </c>
      <c r="H660" s="14">
        <v>12.0</v>
      </c>
      <c r="I660" s="15">
        <v>632.0</v>
      </c>
      <c r="J660" s="15">
        <v>53.0</v>
      </c>
      <c r="K660" s="15">
        <v>18.5</v>
      </c>
      <c r="L660" s="15">
        <v>7.0</v>
      </c>
      <c r="M660" s="17">
        <v>1.29</v>
      </c>
      <c r="N660" s="15">
        <v>64.0</v>
      </c>
      <c r="O660" s="19">
        <v>0.0</v>
      </c>
      <c r="P660" s="17">
        <v>0.43</v>
      </c>
      <c r="Q660" s="15">
        <v>19.0</v>
      </c>
      <c r="R660" s="18">
        <v>0.57</v>
      </c>
      <c r="S660" s="14">
        <v>1.75</v>
      </c>
      <c r="T660" s="18">
        <v>1.0</v>
      </c>
      <c r="U660" s="18">
        <v>1.29</v>
      </c>
      <c r="V660" s="56">
        <v>-0.29</v>
      </c>
      <c r="W660" s="57">
        <v>-0.28</v>
      </c>
      <c r="X660" s="57">
        <v>-0.16</v>
      </c>
      <c r="Y660" s="20" t="s">
        <v>9377</v>
      </c>
    </row>
    <row r="661">
      <c r="A661" s="9">
        <v>634.0</v>
      </c>
      <c r="B661" s="10" t="s">
        <v>9378</v>
      </c>
      <c r="C661" s="11" t="s">
        <v>9379</v>
      </c>
      <c r="D661" s="12" t="s">
        <v>98</v>
      </c>
      <c r="E661" s="13" t="s">
        <v>9380</v>
      </c>
      <c r="F661" s="12">
        <v>26.0</v>
      </c>
      <c r="G661" s="12">
        <v>1999.0</v>
      </c>
      <c r="H661" s="23">
        <v>0.0</v>
      </c>
      <c r="I661" s="36"/>
      <c r="J661" s="36"/>
      <c r="K661" s="36"/>
      <c r="L661" s="36"/>
      <c r="M661" s="23">
        <v>0.0</v>
      </c>
      <c r="N661" s="36"/>
      <c r="O661" s="21">
        <v>0.0</v>
      </c>
      <c r="P661" s="23">
        <v>0.0</v>
      </c>
      <c r="Q661" s="36"/>
      <c r="R661" s="15">
        <v>37.0</v>
      </c>
      <c r="S661" s="58"/>
      <c r="T661" s="36"/>
      <c r="U661" s="36"/>
      <c r="V661" s="36"/>
      <c r="W661" s="36"/>
      <c r="X661" s="36"/>
      <c r="Y661" s="20" t="s">
        <v>9381</v>
      </c>
    </row>
    <row r="662">
      <c r="A662" s="9">
        <v>635.0</v>
      </c>
      <c r="B662" s="10" t="s">
        <v>9382</v>
      </c>
      <c r="C662" s="11" t="s">
        <v>9383</v>
      </c>
      <c r="D662" s="12" t="s">
        <v>107</v>
      </c>
      <c r="E662" s="13" t="s">
        <v>9384</v>
      </c>
      <c r="F662" s="12">
        <v>26.0</v>
      </c>
      <c r="G662" s="12">
        <v>1999.0</v>
      </c>
      <c r="H662" s="14">
        <v>6.0</v>
      </c>
      <c r="I662" s="15">
        <v>43.0</v>
      </c>
      <c r="J662" s="15">
        <v>7.0</v>
      </c>
      <c r="K662" s="15">
        <v>1.3</v>
      </c>
      <c r="L662" s="15">
        <v>0.5</v>
      </c>
      <c r="M662" s="22">
        <v>0.0</v>
      </c>
      <c r="N662" s="36"/>
      <c r="O662" s="19">
        <v>0.0</v>
      </c>
      <c r="P662" s="17">
        <v>12.0</v>
      </c>
      <c r="Q662" s="15">
        <v>7.0</v>
      </c>
      <c r="R662" s="18">
        <v>4.0</v>
      </c>
      <c r="S662" s="14">
        <v>0.33</v>
      </c>
      <c r="T662" s="18">
        <v>4.0</v>
      </c>
      <c r="U662" s="18">
        <v>4.0</v>
      </c>
      <c r="V662" s="19">
        <v>0.0</v>
      </c>
      <c r="W662" s="21">
        <v>0.0</v>
      </c>
      <c r="X662" s="55">
        <f>+0.99</f>
        <v>0.99</v>
      </c>
      <c r="Y662" s="20" t="s">
        <v>9385</v>
      </c>
    </row>
    <row r="663">
      <c r="A663" s="9">
        <v>636.0</v>
      </c>
      <c r="B663" s="10" t="s">
        <v>9386</v>
      </c>
      <c r="C663" s="11" t="s">
        <v>9387</v>
      </c>
      <c r="D663" s="12" t="s">
        <v>36</v>
      </c>
      <c r="E663" s="13" t="s">
        <v>9388</v>
      </c>
      <c r="F663" s="12">
        <v>34.0</v>
      </c>
      <c r="G663" s="12">
        <v>1990.0</v>
      </c>
      <c r="H663" s="14">
        <v>21.0</v>
      </c>
      <c r="I663" s="16">
        <v>1586.0</v>
      </c>
      <c r="J663" s="15">
        <v>76.0</v>
      </c>
      <c r="K663" s="15">
        <v>46.4</v>
      </c>
      <c r="L663" s="15">
        <v>17.6</v>
      </c>
      <c r="M663" s="17">
        <v>1.02</v>
      </c>
      <c r="N663" s="15">
        <v>84.0</v>
      </c>
      <c r="O663" s="18">
        <v>0.63</v>
      </c>
      <c r="P663" s="17">
        <v>0.17</v>
      </c>
      <c r="Q663" s="15">
        <v>23.0</v>
      </c>
      <c r="R663" s="18">
        <v>0.45</v>
      </c>
      <c r="S663" s="14">
        <v>1.05</v>
      </c>
      <c r="T663" s="18">
        <v>1.25</v>
      </c>
      <c r="U663" s="18">
        <v>1.53</v>
      </c>
      <c r="V663" s="56">
        <v>-0.28</v>
      </c>
      <c r="W663" s="57">
        <v>-0.28</v>
      </c>
      <c r="X663" s="57">
        <v>-0.43</v>
      </c>
      <c r="Y663" s="20" t="s">
        <v>9389</v>
      </c>
    </row>
    <row r="664">
      <c r="A664" s="9">
        <v>637.0</v>
      </c>
      <c r="B664" s="10" t="s">
        <v>9390</v>
      </c>
      <c r="C664" s="11" t="s">
        <v>9391</v>
      </c>
      <c r="D664" s="12" t="s">
        <v>107</v>
      </c>
      <c r="E664" s="13" t="s">
        <v>9392</v>
      </c>
      <c r="F664" s="12">
        <v>30.0</v>
      </c>
      <c r="G664" s="12">
        <v>1994.0</v>
      </c>
      <c r="H664" s="14">
        <v>31.0</v>
      </c>
      <c r="I664" s="16">
        <v>2000.0</v>
      </c>
      <c r="J664" s="15">
        <v>65.0</v>
      </c>
      <c r="K664" s="15">
        <v>58.5</v>
      </c>
      <c r="L664" s="15">
        <v>22.2</v>
      </c>
      <c r="M664" s="17">
        <v>0.95</v>
      </c>
      <c r="N664" s="15">
        <v>81.0</v>
      </c>
      <c r="O664" s="18">
        <v>0.23</v>
      </c>
      <c r="P664" s="17">
        <v>0.45</v>
      </c>
      <c r="Q664" s="15">
        <v>30.0</v>
      </c>
      <c r="R664" s="18">
        <v>0.14</v>
      </c>
      <c r="S664" s="14">
        <v>2.23</v>
      </c>
      <c r="T664" s="18">
        <v>1.89</v>
      </c>
      <c r="U664" s="18">
        <v>0.68</v>
      </c>
      <c r="V664" s="54">
        <v>1.22</v>
      </c>
      <c r="W664" s="55">
        <f>+1.22</f>
        <v>1.22</v>
      </c>
      <c r="X664" s="55">
        <f>+0.14</f>
        <v>0.14</v>
      </c>
      <c r="Y664" s="20" t="s">
        <v>9393</v>
      </c>
    </row>
    <row r="665">
      <c r="A665" s="9">
        <v>638.0</v>
      </c>
      <c r="B665" s="10" t="s">
        <v>9394</v>
      </c>
      <c r="C665" s="11" t="s">
        <v>9395</v>
      </c>
      <c r="D665" s="12" t="s">
        <v>36</v>
      </c>
      <c r="E665" s="13" t="s">
        <v>9396</v>
      </c>
      <c r="F665" s="12">
        <v>23.0</v>
      </c>
      <c r="G665" s="12">
        <v>2001.0</v>
      </c>
      <c r="H665" s="14">
        <v>38.0</v>
      </c>
      <c r="I665" s="16">
        <v>3379.0</v>
      </c>
      <c r="J665" s="15">
        <v>89.0</v>
      </c>
      <c r="K665" s="15">
        <v>98.8</v>
      </c>
      <c r="L665" s="15">
        <v>37.5</v>
      </c>
      <c r="M665" s="17">
        <v>1.01</v>
      </c>
      <c r="N665" s="15">
        <v>89.0</v>
      </c>
      <c r="O665" s="18">
        <v>0.96</v>
      </c>
      <c r="P665" s="22">
        <v>0.0</v>
      </c>
      <c r="Q665" s="36"/>
      <c r="R665" s="19">
        <v>0.0</v>
      </c>
      <c r="S665" s="14">
        <v>1.5</v>
      </c>
      <c r="T665" s="18">
        <v>1.55</v>
      </c>
      <c r="U665" s="18">
        <v>1.36</v>
      </c>
      <c r="V665" s="54">
        <v>0.19</v>
      </c>
      <c r="W665" s="55">
        <f>+0.19</f>
        <v>0.19</v>
      </c>
      <c r="X665" s="55">
        <f>+6.77</f>
        <v>6.77</v>
      </c>
      <c r="Y665" s="20" t="s">
        <v>9397</v>
      </c>
    </row>
    <row r="666">
      <c r="A666" s="9">
        <v>639.0</v>
      </c>
      <c r="B666" s="10" t="s">
        <v>9398</v>
      </c>
      <c r="C666" s="11" t="s">
        <v>9399</v>
      </c>
      <c r="D666" s="12" t="s">
        <v>36</v>
      </c>
      <c r="E666" s="13" t="s">
        <v>9400</v>
      </c>
      <c r="F666" s="12">
        <v>27.0</v>
      </c>
      <c r="G666" s="12">
        <v>1997.0</v>
      </c>
      <c r="H666" s="14">
        <v>14.0</v>
      </c>
      <c r="I666" s="16">
        <v>1201.0</v>
      </c>
      <c r="J666" s="15">
        <v>86.0</v>
      </c>
      <c r="K666" s="15">
        <v>35.1</v>
      </c>
      <c r="L666" s="15">
        <v>13.3</v>
      </c>
      <c r="M666" s="17">
        <v>1.05</v>
      </c>
      <c r="N666" s="15">
        <v>86.0</v>
      </c>
      <c r="O666" s="18">
        <v>0.9</v>
      </c>
      <c r="P666" s="22">
        <v>0.0</v>
      </c>
      <c r="Q666" s="36"/>
      <c r="R666" s="19">
        <v>0.0</v>
      </c>
      <c r="S666" s="14">
        <v>0.71</v>
      </c>
      <c r="T666" s="18">
        <v>1.2</v>
      </c>
      <c r="U666" s="18">
        <v>1.95</v>
      </c>
      <c r="V666" s="56">
        <v>-0.75</v>
      </c>
      <c r="W666" s="57">
        <v>-0.75</v>
      </c>
      <c r="X666" s="55">
        <f>+0.35</f>
        <v>0.35</v>
      </c>
      <c r="Y666" s="20" t="s">
        <v>9401</v>
      </c>
    </row>
    <row r="667">
      <c r="A667" s="9">
        <v>640.0</v>
      </c>
      <c r="B667" s="10" t="s">
        <v>9402</v>
      </c>
      <c r="C667" s="11" t="s">
        <v>9403</v>
      </c>
      <c r="D667" s="12" t="s">
        <v>31</v>
      </c>
      <c r="E667" s="13" t="s">
        <v>9404</v>
      </c>
      <c r="F667" s="12">
        <v>20.0</v>
      </c>
      <c r="G667" s="12">
        <v>2005.0</v>
      </c>
      <c r="H667" s="23">
        <v>0.0</v>
      </c>
      <c r="I667" s="36"/>
      <c r="J667" s="36"/>
      <c r="K667" s="36"/>
      <c r="L667" s="36"/>
      <c r="M667" s="23">
        <v>0.0</v>
      </c>
      <c r="N667" s="36"/>
      <c r="O667" s="21">
        <v>0.0</v>
      </c>
      <c r="P667" s="23">
        <v>0.0</v>
      </c>
      <c r="Q667" s="36"/>
      <c r="R667" s="15">
        <v>4.0</v>
      </c>
      <c r="S667" s="58"/>
      <c r="T667" s="36"/>
      <c r="U667" s="36"/>
      <c r="V667" s="36"/>
      <c r="W667" s="36"/>
      <c r="X667" s="36"/>
      <c r="Y667" s="20" t="s">
        <v>9405</v>
      </c>
    </row>
    <row r="668">
      <c r="A668" s="9">
        <v>641.0</v>
      </c>
      <c r="B668" s="10" t="s">
        <v>9406</v>
      </c>
      <c r="C668" s="11" t="s">
        <v>9407</v>
      </c>
      <c r="D668" s="12" t="s">
        <v>98</v>
      </c>
      <c r="E668" s="13" t="s">
        <v>9408</v>
      </c>
      <c r="F668" s="12">
        <v>23.0</v>
      </c>
      <c r="G668" s="12">
        <v>2001.0</v>
      </c>
      <c r="H668" s="23">
        <v>0.0</v>
      </c>
      <c r="I668" s="36"/>
      <c r="J668" s="36"/>
      <c r="K668" s="36"/>
      <c r="L668" s="36"/>
      <c r="M668" s="23">
        <v>0.0</v>
      </c>
      <c r="N668" s="36"/>
      <c r="O668" s="21">
        <v>0.0</v>
      </c>
      <c r="P668" s="23">
        <v>0.0</v>
      </c>
      <c r="Q668" s="36"/>
      <c r="R668" s="15">
        <v>1.0</v>
      </c>
      <c r="S668" s="58"/>
      <c r="T668" s="36"/>
      <c r="U668" s="36"/>
      <c r="V668" s="36"/>
      <c r="W668" s="36"/>
      <c r="X668" s="36"/>
      <c r="Y668" s="20" t="s">
        <v>9409</v>
      </c>
    </row>
    <row r="669">
      <c r="A669" s="9">
        <v>642.0</v>
      </c>
      <c r="B669" s="10" t="s">
        <v>9410</v>
      </c>
      <c r="C669" s="11" t="s">
        <v>9411</v>
      </c>
      <c r="D669" s="12" t="s">
        <v>41</v>
      </c>
      <c r="E669" s="13" t="s">
        <v>9412</v>
      </c>
      <c r="F669" s="12">
        <v>19.0</v>
      </c>
      <c r="G669" s="12">
        <v>2006.0</v>
      </c>
      <c r="H669" s="14">
        <v>9.0</v>
      </c>
      <c r="I669" s="15">
        <v>139.0</v>
      </c>
      <c r="J669" s="15">
        <v>15.0</v>
      </c>
      <c r="K669" s="15">
        <v>4.1</v>
      </c>
      <c r="L669" s="15">
        <v>1.5</v>
      </c>
      <c r="M669" s="17">
        <v>0.67</v>
      </c>
      <c r="N669" s="15">
        <v>23.0</v>
      </c>
      <c r="O669" s="19">
        <v>0.0</v>
      </c>
      <c r="P669" s="17">
        <v>5.33</v>
      </c>
      <c r="Q669" s="15">
        <v>15.0</v>
      </c>
      <c r="R669" s="18">
        <v>1.33</v>
      </c>
      <c r="S669" s="14">
        <v>1.56</v>
      </c>
      <c r="T669" s="18">
        <v>4.67</v>
      </c>
      <c r="U669" s="18">
        <v>1.33</v>
      </c>
      <c r="V669" s="54">
        <v>3.33</v>
      </c>
      <c r="W669" s="55">
        <f>+3.24</f>
        <v>3.24</v>
      </c>
      <c r="X669" s="55">
        <f>+3.21</f>
        <v>3.21</v>
      </c>
      <c r="Y669" s="20" t="s">
        <v>9413</v>
      </c>
    </row>
    <row r="670">
      <c r="A670" s="9">
        <v>643.0</v>
      </c>
      <c r="B670" s="10" t="s">
        <v>9414</v>
      </c>
      <c r="C670" s="11" t="s">
        <v>9415</v>
      </c>
      <c r="D670" s="12" t="s">
        <v>41</v>
      </c>
      <c r="E670" s="13" t="s">
        <v>9416</v>
      </c>
      <c r="F670" s="12">
        <v>22.0</v>
      </c>
      <c r="G670" s="12">
        <v>2003.0</v>
      </c>
      <c r="H670" s="14">
        <v>14.0</v>
      </c>
      <c r="I670" s="15">
        <v>173.0</v>
      </c>
      <c r="J670" s="15">
        <v>12.0</v>
      </c>
      <c r="K670" s="15">
        <v>5.1</v>
      </c>
      <c r="L670" s="15">
        <v>1.9</v>
      </c>
      <c r="M670" s="22">
        <v>0.0</v>
      </c>
      <c r="N670" s="36"/>
      <c r="O670" s="19">
        <v>0.0</v>
      </c>
      <c r="P670" s="17">
        <v>7.37</v>
      </c>
      <c r="Q670" s="15">
        <v>12.0</v>
      </c>
      <c r="R670" s="18">
        <v>5.79</v>
      </c>
      <c r="S670" s="14">
        <v>0.64</v>
      </c>
      <c r="T670" s="18">
        <v>1.58</v>
      </c>
      <c r="U670" s="18">
        <v>2.11</v>
      </c>
      <c r="V670" s="56">
        <v>-0.53</v>
      </c>
      <c r="W670" s="57">
        <v>-0.52</v>
      </c>
      <c r="X670" s="57">
        <v>-0.27</v>
      </c>
      <c r="Y670" s="20" t="s">
        <v>9417</v>
      </c>
    </row>
    <row r="671">
      <c r="A671" s="9">
        <v>644.0</v>
      </c>
      <c r="B671" s="10" t="s">
        <v>9418</v>
      </c>
      <c r="C671" s="11" t="s">
        <v>9419</v>
      </c>
      <c r="D671" s="12" t="s">
        <v>345</v>
      </c>
      <c r="E671" s="13" t="s">
        <v>9420</v>
      </c>
      <c r="F671" s="12">
        <v>22.0</v>
      </c>
      <c r="G671" s="12">
        <v>2002.0</v>
      </c>
      <c r="H671" s="14">
        <v>20.0</v>
      </c>
      <c r="I671" s="16">
        <v>1339.0</v>
      </c>
      <c r="J671" s="15">
        <v>67.0</v>
      </c>
      <c r="K671" s="15">
        <v>39.2</v>
      </c>
      <c r="L671" s="15">
        <v>14.9</v>
      </c>
      <c r="M671" s="17">
        <v>0.94</v>
      </c>
      <c r="N671" s="15">
        <v>83.0</v>
      </c>
      <c r="O671" s="18">
        <v>0.47</v>
      </c>
      <c r="P671" s="17">
        <v>0.4</v>
      </c>
      <c r="Q671" s="15">
        <v>29.0</v>
      </c>
      <c r="R671" s="18">
        <v>0.07</v>
      </c>
      <c r="S671" s="14">
        <v>1.0</v>
      </c>
      <c r="T671" s="18">
        <v>1.21</v>
      </c>
      <c r="U671" s="18">
        <v>1.68</v>
      </c>
      <c r="V671" s="56">
        <v>-0.47</v>
      </c>
      <c r="W671" s="57">
        <v>-0.47</v>
      </c>
      <c r="X671" s="57">
        <v>-0.38</v>
      </c>
      <c r="Y671" s="20" t="s">
        <v>9421</v>
      </c>
    </row>
    <row r="672">
      <c r="A672" s="9">
        <v>645.0</v>
      </c>
      <c r="B672" s="10" t="s">
        <v>9422</v>
      </c>
      <c r="C672" s="11" t="s">
        <v>9423</v>
      </c>
      <c r="D672" s="12" t="s">
        <v>31</v>
      </c>
      <c r="E672" s="13" t="s">
        <v>9424</v>
      </c>
      <c r="F672" s="12">
        <v>24.0</v>
      </c>
      <c r="G672" s="12">
        <v>2001.0</v>
      </c>
      <c r="H672" s="14">
        <v>22.0</v>
      </c>
      <c r="I672" s="15">
        <v>887.0</v>
      </c>
      <c r="J672" s="15">
        <v>40.0</v>
      </c>
      <c r="K672" s="15">
        <v>25.9</v>
      </c>
      <c r="L672" s="15">
        <v>9.9</v>
      </c>
      <c r="M672" s="17">
        <v>0.81</v>
      </c>
      <c r="N672" s="15">
        <v>80.0</v>
      </c>
      <c r="O672" s="18">
        <v>0.3</v>
      </c>
      <c r="P672" s="17">
        <v>1.41</v>
      </c>
      <c r="Q672" s="15">
        <v>17.0</v>
      </c>
      <c r="R672" s="18">
        <v>1.52</v>
      </c>
      <c r="S672" s="14">
        <v>1.55</v>
      </c>
      <c r="T672" s="18">
        <v>1.21</v>
      </c>
      <c r="U672" s="18">
        <v>2.32</v>
      </c>
      <c r="V672" s="56">
        <v>-1.11</v>
      </c>
      <c r="W672" s="57">
        <v>-1.12</v>
      </c>
      <c r="X672" s="57">
        <v>-2.18</v>
      </c>
      <c r="Y672" s="20" t="s">
        <v>9425</v>
      </c>
    </row>
    <row r="673">
      <c r="A673" s="9">
        <v>646.0</v>
      </c>
      <c r="B673" s="10" t="s">
        <v>9426</v>
      </c>
      <c r="C673" s="11" t="s">
        <v>9427</v>
      </c>
      <c r="D673" s="12" t="s">
        <v>31</v>
      </c>
      <c r="E673" s="13" t="s">
        <v>9428</v>
      </c>
      <c r="F673" s="12">
        <v>21.0</v>
      </c>
      <c r="G673" s="12">
        <v>2004.0</v>
      </c>
      <c r="H673" s="14">
        <v>35.0</v>
      </c>
      <c r="I673" s="16">
        <v>2336.0</v>
      </c>
      <c r="J673" s="15">
        <v>67.0</v>
      </c>
      <c r="K673" s="15">
        <v>68.3</v>
      </c>
      <c r="L673" s="15">
        <v>26.0</v>
      </c>
      <c r="M673" s="17">
        <v>1.04</v>
      </c>
      <c r="N673" s="15">
        <v>78.0</v>
      </c>
      <c r="O673" s="18">
        <v>0.19</v>
      </c>
      <c r="P673" s="17">
        <v>0.31</v>
      </c>
      <c r="Q673" s="15">
        <v>29.0</v>
      </c>
      <c r="R673" s="18">
        <v>0.08</v>
      </c>
      <c r="S673" s="14">
        <v>0.6</v>
      </c>
      <c r="T673" s="18">
        <v>1.08</v>
      </c>
      <c r="U673" s="18">
        <v>1.92</v>
      </c>
      <c r="V673" s="56">
        <v>-0.85</v>
      </c>
      <c r="W673" s="57">
        <v>-0.85</v>
      </c>
      <c r="X673" s="55">
        <f>+0.4</f>
        <v>0.4</v>
      </c>
      <c r="Y673" s="20" t="s">
        <v>9429</v>
      </c>
    </row>
    <row r="674">
      <c r="A674" s="9">
        <v>647.0</v>
      </c>
      <c r="B674" s="10" t="s">
        <v>9430</v>
      </c>
      <c r="C674" s="11" t="s">
        <v>9431</v>
      </c>
      <c r="D674" s="12" t="s">
        <v>41</v>
      </c>
      <c r="E674" s="13" t="s">
        <v>9432</v>
      </c>
      <c r="F674" s="12">
        <v>28.0</v>
      </c>
      <c r="G674" s="12">
        <v>1997.0</v>
      </c>
      <c r="H674" s="14">
        <v>23.0</v>
      </c>
      <c r="I674" s="15">
        <v>232.0</v>
      </c>
      <c r="J674" s="15">
        <v>10.0</v>
      </c>
      <c r="K674" s="15">
        <v>6.8</v>
      </c>
      <c r="L674" s="15">
        <v>2.6</v>
      </c>
      <c r="M674" s="22">
        <v>0.0</v>
      </c>
      <c r="N674" s="36"/>
      <c r="O674" s="19">
        <v>0.0</v>
      </c>
      <c r="P674" s="17">
        <v>8.85</v>
      </c>
      <c r="Q674" s="15">
        <v>10.0</v>
      </c>
      <c r="R674" s="18">
        <v>1.54</v>
      </c>
      <c r="S674" s="14">
        <v>1.65</v>
      </c>
      <c r="T674" s="18">
        <v>3.08</v>
      </c>
      <c r="U674" s="18">
        <v>1.15</v>
      </c>
      <c r="V674" s="54">
        <v>1.92</v>
      </c>
      <c r="W674" s="55">
        <f>+1.94</f>
        <v>1.94</v>
      </c>
      <c r="X674" s="55">
        <f>+1.97</f>
        <v>1.97</v>
      </c>
      <c r="Y674" s="20" t="s">
        <v>9433</v>
      </c>
    </row>
    <row r="675">
      <c r="A675" s="9">
        <v>648.0</v>
      </c>
      <c r="B675" s="10" t="s">
        <v>9434</v>
      </c>
      <c r="C675" s="11" t="s">
        <v>9435</v>
      </c>
      <c r="D675" s="12" t="s">
        <v>98</v>
      </c>
      <c r="E675" s="13" t="s">
        <v>9436</v>
      </c>
      <c r="F675" s="12">
        <v>23.0</v>
      </c>
      <c r="G675" s="12">
        <v>2001.0</v>
      </c>
      <c r="H675" s="14">
        <v>1.0</v>
      </c>
      <c r="I675" s="15">
        <v>90.0</v>
      </c>
      <c r="J675" s="15">
        <v>90.0</v>
      </c>
      <c r="K675" s="15">
        <v>2.6</v>
      </c>
      <c r="L675" s="15">
        <v>1.0</v>
      </c>
      <c r="M675" s="17">
        <v>1.0</v>
      </c>
      <c r="N675" s="15">
        <v>90.0</v>
      </c>
      <c r="O675" s="18">
        <v>1.0</v>
      </c>
      <c r="P675" s="22">
        <v>0.0</v>
      </c>
      <c r="Q675" s="36"/>
      <c r="R675" s="18">
        <v>37.0</v>
      </c>
      <c r="S675" s="14">
        <v>3.0</v>
      </c>
      <c r="T675" s="18">
        <v>4.0</v>
      </c>
      <c r="U675" s="18">
        <v>3.0</v>
      </c>
      <c r="V675" s="54">
        <v>1.0</v>
      </c>
      <c r="W675" s="55">
        <f>+1</f>
        <v>1</v>
      </c>
      <c r="X675" s="55">
        <f>+0.95</f>
        <v>0.95</v>
      </c>
      <c r="Y675" s="20" t="s">
        <v>9437</v>
      </c>
    </row>
    <row r="676">
      <c r="A676" s="9">
        <v>649.0</v>
      </c>
      <c r="B676" s="10" t="s">
        <v>9438</v>
      </c>
      <c r="C676" s="11" t="s">
        <v>9439</v>
      </c>
      <c r="D676" s="12" t="s">
        <v>36</v>
      </c>
      <c r="E676" s="13" t="s">
        <v>9440</v>
      </c>
      <c r="F676" s="12">
        <v>34.0</v>
      </c>
      <c r="G676" s="12">
        <v>1991.0</v>
      </c>
      <c r="H676" s="14">
        <v>38.0</v>
      </c>
      <c r="I676" s="16">
        <v>3420.0</v>
      </c>
      <c r="J676" s="15">
        <v>90.0</v>
      </c>
      <c r="K676" s="15">
        <v>100.0</v>
      </c>
      <c r="L676" s="15">
        <v>38.0</v>
      </c>
      <c r="M676" s="17">
        <v>1.0</v>
      </c>
      <c r="N676" s="15">
        <v>90.0</v>
      </c>
      <c r="O676" s="18">
        <v>1.0</v>
      </c>
      <c r="P676" s="22">
        <v>0.0</v>
      </c>
      <c r="Q676" s="36"/>
      <c r="R676" s="19">
        <v>0.0</v>
      </c>
      <c r="S676" s="14">
        <v>1.58</v>
      </c>
      <c r="T676" s="18">
        <v>1.66</v>
      </c>
      <c r="U676" s="18">
        <v>1.39</v>
      </c>
      <c r="V676" s="54">
        <v>0.26</v>
      </c>
      <c r="W676" s="55">
        <f>+0.26</f>
        <v>0.26</v>
      </c>
      <c r="X676" s="36"/>
      <c r="Y676" s="20" t="s">
        <v>9441</v>
      </c>
    </row>
    <row r="677">
      <c r="A677" s="9">
        <v>650.0</v>
      </c>
      <c r="B677" s="10" t="s">
        <v>9442</v>
      </c>
      <c r="C677" s="11" t="s">
        <v>9443</v>
      </c>
      <c r="D677" s="12" t="s">
        <v>36</v>
      </c>
      <c r="E677" s="13" t="s">
        <v>9444</v>
      </c>
      <c r="F677" s="12">
        <v>33.0</v>
      </c>
      <c r="G677" s="12">
        <v>1992.0</v>
      </c>
      <c r="H677" s="14">
        <v>24.0</v>
      </c>
      <c r="I677" s="16">
        <v>1057.0</v>
      </c>
      <c r="J677" s="15">
        <v>44.0</v>
      </c>
      <c r="K677" s="15">
        <v>30.9</v>
      </c>
      <c r="L677" s="15">
        <v>11.7</v>
      </c>
      <c r="M677" s="17">
        <v>0.77</v>
      </c>
      <c r="N677" s="15">
        <v>83.0</v>
      </c>
      <c r="O677" s="18">
        <v>0.6</v>
      </c>
      <c r="P677" s="17">
        <v>1.28</v>
      </c>
      <c r="Q677" s="15">
        <v>21.0</v>
      </c>
      <c r="R677" s="18">
        <v>0.77</v>
      </c>
      <c r="S677" s="14">
        <v>1.75</v>
      </c>
      <c r="T677" s="18">
        <v>1.54</v>
      </c>
      <c r="U677" s="18">
        <v>1.03</v>
      </c>
      <c r="V677" s="54">
        <v>0.51</v>
      </c>
      <c r="W677" s="55">
        <f t="shared" ref="W677:X677" si="11">+0.51</f>
        <v>0.51</v>
      </c>
      <c r="X677" s="55">
        <f t="shared" si="11"/>
        <v>0.51</v>
      </c>
      <c r="Y677" s="20" t="s">
        <v>9445</v>
      </c>
    </row>
    <row r="678">
      <c r="A678" s="37" t="s">
        <v>3</v>
      </c>
      <c r="B678" s="38" t="s">
        <v>4</v>
      </c>
      <c r="C678" s="39" t="s">
        <v>5</v>
      </c>
      <c r="D678" s="39" t="s">
        <v>6</v>
      </c>
      <c r="E678" s="39" t="s">
        <v>7</v>
      </c>
      <c r="F678" s="39" t="s">
        <v>8</v>
      </c>
      <c r="G678" s="39" t="s">
        <v>9</v>
      </c>
      <c r="H678" s="40" t="s">
        <v>10</v>
      </c>
      <c r="I678" s="39" t="s">
        <v>12</v>
      </c>
      <c r="J678" s="39" t="s">
        <v>6838</v>
      </c>
      <c r="K678" s="39" t="s">
        <v>6839</v>
      </c>
      <c r="L678" s="39" t="s">
        <v>13</v>
      </c>
      <c r="M678" s="40" t="s">
        <v>11</v>
      </c>
      <c r="N678" s="39" t="s">
        <v>6840</v>
      </c>
      <c r="O678" s="39" t="s">
        <v>6841</v>
      </c>
      <c r="P678" s="40" t="s">
        <v>6836</v>
      </c>
      <c r="Q678" s="39" t="s">
        <v>6842</v>
      </c>
      <c r="R678" s="39" t="s">
        <v>6843</v>
      </c>
      <c r="S678" s="40" t="s">
        <v>6844</v>
      </c>
      <c r="T678" s="39" t="s">
        <v>6845</v>
      </c>
      <c r="U678" s="39" t="s">
        <v>6846</v>
      </c>
      <c r="V678" s="59" t="str">
        <f>+/-</f>
        <v>#ERROR!</v>
      </c>
      <c r="W678" s="59" t="str">
        <f>+/-90</f>
        <v>#ERROR!</v>
      </c>
      <c r="X678" s="39" t="s">
        <v>6847</v>
      </c>
      <c r="Y678" s="40" t="s">
        <v>23</v>
      </c>
    </row>
    <row r="679">
      <c r="A679" s="9">
        <v>651.0</v>
      </c>
      <c r="B679" s="10" t="s">
        <v>9446</v>
      </c>
      <c r="C679" s="11" t="s">
        <v>9447</v>
      </c>
      <c r="D679" s="12" t="s">
        <v>36</v>
      </c>
      <c r="E679" s="13" t="s">
        <v>9448</v>
      </c>
      <c r="F679" s="12">
        <v>24.0</v>
      </c>
      <c r="G679" s="12">
        <v>2001.0</v>
      </c>
      <c r="H679" s="14">
        <v>35.0</v>
      </c>
      <c r="I679" s="16">
        <v>3041.0</v>
      </c>
      <c r="J679" s="15">
        <v>87.0</v>
      </c>
      <c r="K679" s="15">
        <v>88.9</v>
      </c>
      <c r="L679" s="15">
        <v>33.8</v>
      </c>
      <c r="M679" s="17">
        <v>1.04</v>
      </c>
      <c r="N679" s="15">
        <v>87.0</v>
      </c>
      <c r="O679" s="18">
        <v>0.95</v>
      </c>
      <c r="P679" s="22">
        <v>0.0</v>
      </c>
      <c r="Q679" s="36"/>
      <c r="R679" s="18">
        <v>0.03</v>
      </c>
      <c r="S679" s="14">
        <v>1.09</v>
      </c>
      <c r="T679" s="18">
        <v>1.27</v>
      </c>
      <c r="U679" s="18">
        <v>1.39</v>
      </c>
      <c r="V679" s="56">
        <v>-0.12</v>
      </c>
      <c r="W679" s="57">
        <v>-0.12</v>
      </c>
      <c r="X679" s="55">
        <f>+1.07</f>
        <v>1.07</v>
      </c>
      <c r="Y679" s="20" t="s">
        <v>9449</v>
      </c>
    </row>
    <row r="680">
      <c r="A680" s="9">
        <v>652.0</v>
      </c>
      <c r="B680" s="10" t="s">
        <v>9450</v>
      </c>
      <c r="C680" s="11" t="s">
        <v>9451</v>
      </c>
      <c r="D680" s="12" t="s">
        <v>98</v>
      </c>
      <c r="E680" s="13" t="s">
        <v>9452</v>
      </c>
      <c r="F680" s="12">
        <v>22.0</v>
      </c>
      <c r="G680" s="12">
        <v>2002.0</v>
      </c>
      <c r="H680" s="14">
        <v>38.0</v>
      </c>
      <c r="I680" s="16">
        <v>3420.0</v>
      </c>
      <c r="J680" s="15">
        <v>90.0</v>
      </c>
      <c r="K680" s="15">
        <v>100.0</v>
      </c>
      <c r="L680" s="15">
        <v>38.0</v>
      </c>
      <c r="M680" s="17">
        <v>1.0</v>
      </c>
      <c r="N680" s="15">
        <v>90.0</v>
      </c>
      <c r="O680" s="18">
        <v>1.0</v>
      </c>
      <c r="P680" s="22">
        <v>0.0</v>
      </c>
      <c r="Q680" s="36"/>
      <c r="R680" s="19">
        <v>0.0</v>
      </c>
      <c r="S680" s="14">
        <v>1.39</v>
      </c>
      <c r="T680" s="18">
        <v>1.37</v>
      </c>
      <c r="U680" s="18">
        <v>1.21</v>
      </c>
      <c r="V680" s="54">
        <v>0.16</v>
      </c>
      <c r="W680" s="55">
        <f>+0.16</f>
        <v>0.16</v>
      </c>
      <c r="X680" s="36"/>
      <c r="Y680" s="20" t="s">
        <v>9453</v>
      </c>
    </row>
    <row r="681">
      <c r="A681" s="9">
        <v>653.0</v>
      </c>
      <c r="B681" s="10" t="s">
        <v>9454</v>
      </c>
      <c r="C681" s="11" t="s">
        <v>9455</v>
      </c>
      <c r="D681" s="12" t="s">
        <v>98</v>
      </c>
      <c r="E681" s="13" t="s">
        <v>9456</v>
      </c>
      <c r="F681" s="12">
        <v>28.0</v>
      </c>
      <c r="G681" s="12">
        <v>1996.0</v>
      </c>
      <c r="H681" s="14">
        <v>31.0</v>
      </c>
      <c r="I681" s="16">
        <v>2790.0</v>
      </c>
      <c r="J681" s="15">
        <v>90.0</v>
      </c>
      <c r="K681" s="15">
        <v>81.6</v>
      </c>
      <c r="L681" s="15">
        <v>31.0</v>
      </c>
      <c r="M681" s="17">
        <v>1.0</v>
      </c>
      <c r="N681" s="15">
        <v>90.0</v>
      </c>
      <c r="O681" s="18">
        <v>1.0</v>
      </c>
      <c r="P681" s="22">
        <v>0.0</v>
      </c>
      <c r="Q681" s="36"/>
      <c r="R681" s="18">
        <v>0.06</v>
      </c>
      <c r="S681" s="14">
        <v>0.97</v>
      </c>
      <c r="T681" s="18">
        <v>1.29</v>
      </c>
      <c r="U681" s="18">
        <v>1.61</v>
      </c>
      <c r="V681" s="56">
        <v>-0.32</v>
      </c>
      <c r="W681" s="57">
        <v>-0.32</v>
      </c>
      <c r="X681" s="57">
        <v>-0.47</v>
      </c>
      <c r="Y681" s="20" t="s">
        <v>9457</v>
      </c>
    </row>
    <row r="682">
      <c r="A682" s="9">
        <v>654.0</v>
      </c>
      <c r="B682" s="10" t="s">
        <v>9458</v>
      </c>
      <c r="C682" s="11" t="s">
        <v>9459</v>
      </c>
      <c r="D682" s="12" t="s">
        <v>36</v>
      </c>
      <c r="E682" s="13" t="s">
        <v>9460</v>
      </c>
      <c r="F682" s="12">
        <v>18.0</v>
      </c>
      <c r="G682" s="12">
        <v>2007.0</v>
      </c>
      <c r="H682" s="23">
        <v>0.0</v>
      </c>
      <c r="I682" s="36"/>
      <c r="J682" s="36"/>
      <c r="K682" s="36"/>
      <c r="L682" s="36"/>
      <c r="M682" s="23">
        <v>0.0</v>
      </c>
      <c r="N682" s="36"/>
      <c r="O682" s="21">
        <v>0.0</v>
      </c>
      <c r="P682" s="23">
        <v>0.0</v>
      </c>
      <c r="Q682" s="36"/>
      <c r="R682" s="15">
        <v>2.0</v>
      </c>
      <c r="S682" s="58"/>
      <c r="T682" s="36"/>
      <c r="U682" s="36"/>
      <c r="V682" s="36"/>
      <c r="W682" s="36"/>
      <c r="X682" s="36"/>
      <c r="Y682" s="20" t="s">
        <v>9461</v>
      </c>
    </row>
    <row r="683">
      <c r="A683" s="9">
        <v>655.0</v>
      </c>
      <c r="B683" s="10" t="s">
        <v>9462</v>
      </c>
      <c r="C683" s="11" t="s">
        <v>9463</v>
      </c>
      <c r="D683" s="12" t="s">
        <v>345</v>
      </c>
      <c r="E683" s="13" t="s">
        <v>9464</v>
      </c>
      <c r="F683" s="12">
        <v>35.0</v>
      </c>
      <c r="G683" s="12">
        <v>1990.0</v>
      </c>
      <c r="H683" s="14">
        <v>36.0</v>
      </c>
      <c r="I683" s="16">
        <v>3096.0</v>
      </c>
      <c r="J683" s="15">
        <v>86.0</v>
      </c>
      <c r="K683" s="15">
        <v>90.5</v>
      </c>
      <c r="L683" s="15">
        <v>34.4</v>
      </c>
      <c r="M683" s="17">
        <v>1.02</v>
      </c>
      <c r="N683" s="15">
        <v>88.0</v>
      </c>
      <c r="O683" s="18">
        <v>0.93</v>
      </c>
      <c r="P683" s="17">
        <v>0.03</v>
      </c>
      <c r="Q683" s="15">
        <v>9.0</v>
      </c>
      <c r="R683" s="18">
        <v>0.03</v>
      </c>
      <c r="S683" s="14">
        <v>0.61</v>
      </c>
      <c r="T683" s="18">
        <v>0.9</v>
      </c>
      <c r="U683" s="18">
        <v>1.92</v>
      </c>
      <c r="V683" s="56">
        <v>-1.02</v>
      </c>
      <c r="W683" s="57">
        <v>-1.02</v>
      </c>
      <c r="X683" s="57">
        <v>-0.46</v>
      </c>
      <c r="Y683" s="20" t="s">
        <v>9465</v>
      </c>
    </row>
    <row r="684">
      <c r="A684" s="9">
        <v>656.0</v>
      </c>
      <c r="B684" s="10" t="s">
        <v>9466</v>
      </c>
      <c r="C684" s="11" t="s">
        <v>9467</v>
      </c>
      <c r="D684" s="12" t="s">
        <v>36</v>
      </c>
      <c r="E684" s="13" t="s">
        <v>9468</v>
      </c>
      <c r="F684" s="12">
        <v>28.0</v>
      </c>
      <c r="G684" s="12">
        <v>1997.0</v>
      </c>
      <c r="H684" s="14">
        <v>23.0</v>
      </c>
      <c r="I684" s="16">
        <v>1383.0</v>
      </c>
      <c r="J684" s="15">
        <v>60.0</v>
      </c>
      <c r="K684" s="15">
        <v>40.4</v>
      </c>
      <c r="L684" s="15">
        <v>15.4</v>
      </c>
      <c r="M684" s="17">
        <v>0.97</v>
      </c>
      <c r="N684" s="15">
        <v>85.0</v>
      </c>
      <c r="O684" s="18">
        <v>0.78</v>
      </c>
      <c r="P684" s="17">
        <v>0.52</v>
      </c>
      <c r="Q684" s="15">
        <v>14.0</v>
      </c>
      <c r="R684" s="18">
        <v>0.97</v>
      </c>
      <c r="S684" s="14">
        <v>1.13</v>
      </c>
      <c r="T684" s="18">
        <v>1.3</v>
      </c>
      <c r="U684" s="18">
        <v>1.62</v>
      </c>
      <c r="V684" s="56">
        <v>-0.32</v>
      </c>
      <c r="W684" s="57">
        <v>-0.33</v>
      </c>
      <c r="X684" s="55">
        <f>+0.29</f>
        <v>0.29</v>
      </c>
      <c r="Y684" s="20" t="s">
        <v>9469</v>
      </c>
    </row>
    <row r="685">
      <c r="A685" s="9">
        <v>657.0</v>
      </c>
      <c r="B685" s="10" t="s">
        <v>9470</v>
      </c>
      <c r="C685" s="11" t="s">
        <v>9471</v>
      </c>
      <c r="D685" s="12" t="s">
        <v>345</v>
      </c>
      <c r="E685" s="13" t="s">
        <v>9472</v>
      </c>
      <c r="F685" s="12">
        <v>27.0</v>
      </c>
      <c r="G685" s="12">
        <v>1997.0</v>
      </c>
      <c r="H685" s="14">
        <v>25.0</v>
      </c>
      <c r="I685" s="16">
        <v>2081.0</v>
      </c>
      <c r="J685" s="15">
        <v>83.0</v>
      </c>
      <c r="K685" s="15">
        <v>60.8</v>
      </c>
      <c r="L685" s="15">
        <v>23.1</v>
      </c>
      <c r="M685" s="17">
        <v>1.0</v>
      </c>
      <c r="N685" s="15">
        <v>87.0</v>
      </c>
      <c r="O685" s="18">
        <v>0.82</v>
      </c>
      <c r="P685" s="17">
        <v>0.09</v>
      </c>
      <c r="Q685" s="15">
        <v>36.0</v>
      </c>
      <c r="R685" s="18">
        <v>0.22</v>
      </c>
      <c r="S685" s="14">
        <v>0.96</v>
      </c>
      <c r="T685" s="18">
        <v>1.17</v>
      </c>
      <c r="U685" s="18">
        <v>1.86</v>
      </c>
      <c r="V685" s="56">
        <v>-0.69</v>
      </c>
      <c r="W685" s="57">
        <v>-0.69</v>
      </c>
      <c r="X685" s="57">
        <v>-0.49</v>
      </c>
      <c r="Y685" s="20" t="s">
        <v>9473</v>
      </c>
    </row>
    <row r="686">
      <c r="A686" s="9">
        <v>658.0</v>
      </c>
      <c r="B686" s="10" t="s">
        <v>9474</v>
      </c>
      <c r="C686" s="11" t="s">
        <v>9475</v>
      </c>
      <c r="D686" s="12" t="s">
        <v>31</v>
      </c>
      <c r="E686" s="13" t="s">
        <v>9476</v>
      </c>
      <c r="F686" s="12">
        <v>30.0</v>
      </c>
      <c r="G686" s="12">
        <v>1994.0</v>
      </c>
      <c r="H686" s="14">
        <v>5.0</v>
      </c>
      <c r="I686" s="15">
        <v>413.0</v>
      </c>
      <c r="J686" s="15">
        <v>83.0</v>
      </c>
      <c r="K686" s="15">
        <v>12.1</v>
      </c>
      <c r="L686" s="15">
        <v>4.6</v>
      </c>
      <c r="M686" s="17">
        <v>1.09</v>
      </c>
      <c r="N686" s="15">
        <v>83.0</v>
      </c>
      <c r="O686" s="18">
        <v>0.43</v>
      </c>
      <c r="P686" s="22">
        <v>0.0</v>
      </c>
      <c r="Q686" s="36"/>
      <c r="R686" s="18">
        <v>0.22</v>
      </c>
      <c r="S686" s="14">
        <v>0.6</v>
      </c>
      <c r="T686" s="18">
        <v>0.43</v>
      </c>
      <c r="U686" s="18">
        <v>2.39</v>
      </c>
      <c r="V686" s="56">
        <v>-1.96</v>
      </c>
      <c r="W686" s="57">
        <v>-1.96</v>
      </c>
      <c r="X686" s="57">
        <v>-1.66</v>
      </c>
      <c r="Y686" s="20" t="s">
        <v>9477</v>
      </c>
    </row>
    <row r="687">
      <c r="A687" s="9">
        <v>659.0</v>
      </c>
      <c r="B687" s="10" t="s">
        <v>9478</v>
      </c>
      <c r="C687" s="11" t="s">
        <v>9479</v>
      </c>
      <c r="D687" s="12" t="s">
        <v>31</v>
      </c>
      <c r="E687" s="13" t="s">
        <v>9480</v>
      </c>
      <c r="F687" s="12">
        <v>30.0</v>
      </c>
      <c r="G687" s="12">
        <v>1994.0</v>
      </c>
      <c r="H687" s="14">
        <v>13.0</v>
      </c>
      <c r="I687" s="15">
        <v>684.0</v>
      </c>
      <c r="J687" s="15">
        <v>53.0</v>
      </c>
      <c r="K687" s="15">
        <v>20.0</v>
      </c>
      <c r="L687" s="15">
        <v>7.6</v>
      </c>
      <c r="M687" s="17">
        <v>0.92</v>
      </c>
      <c r="N687" s="15">
        <v>82.0</v>
      </c>
      <c r="O687" s="18">
        <v>0.53</v>
      </c>
      <c r="P687" s="17">
        <v>0.79</v>
      </c>
      <c r="Q687" s="15">
        <v>18.0</v>
      </c>
      <c r="R687" s="18">
        <v>0.13</v>
      </c>
      <c r="S687" s="14">
        <v>0.54</v>
      </c>
      <c r="T687" s="18">
        <v>0.79</v>
      </c>
      <c r="U687" s="18">
        <v>2.11</v>
      </c>
      <c r="V687" s="56">
        <v>-1.32</v>
      </c>
      <c r="W687" s="57">
        <v>-1.32</v>
      </c>
      <c r="X687" s="57">
        <v>-0.43</v>
      </c>
      <c r="Y687" s="20" t="s">
        <v>9481</v>
      </c>
    </row>
    <row r="688">
      <c r="A688" s="9">
        <v>660.0</v>
      </c>
      <c r="B688" s="10" t="s">
        <v>9482</v>
      </c>
      <c r="C688" s="11" t="s">
        <v>9483</v>
      </c>
      <c r="D688" s="12" t="s">
        <v>41</v>
      </c>
      <c r="E688" s="13" t="s">
        <v>9484</v>
      </c>
      <c r="F688" s="12">
        <v>29.0</v>
      </c>
      <c r="G688" s="12">
        <v>1995.0</v>
      </c>
      <c r="H688" s="14">
        <v>37.0</v>
      </c>
      <c r="I688" s="16">
        <v>2839.0</v>
      </c>
      <c r="J688" s="15">
        <v>77.0</v>
      </c>
      <c r="K688" s="15">
        <v>83.0</v>
      </c>
      <c r="L688" s="15">
        <v>31.5</v>
      </c>
      <c r="M688" s="17">
        <v>1.05</v>
      </c>
      <c r="N688" s="15">
        <v>82.0</v>
      </c>
      <c r="O688" s="18">
        <v>0.41</v>
      </c>
      <c r="P688" s="17">
        <v>0.13</v>
      </c>
      <c r="Q688" s="15">
        <v>33.0</v>
      </c>
      <c r="R688" s="19">
        <v>0.0</v>
      </c>
      <c r="S688" s="14">
        <v>1.76</v>
      </c>
      <c r="T688" s="18">
        <v>1.52</v>
      </c>
      <c r="U688" s="18">
        <v>1.21</v>
      </c>
      <c r="V688" s="54">
        <v>0.32</v>
      </c>
      <c r="W688" s="55">
        <f>+0.32</f>
        <v>0.32</v>
      </c>
      <c r="X688" s="55">
        <f>+0.78</f>
        <v>0.78</v>
      </c>
      <c r="Y688" s="20" t="s">
        <v>9485</v>
      </c>
    </row>
    <row r="689">
      <c r="A689" s="9">
        <v>661.0</v>
      </c>
      <c r="B689" s="10" t="s">
        <v>9486</v>
      </c>
      <c r="C689" s="11" t="s">
        <v>9487</v>
      </c>
      <c r="D689" s="12" t="s">
        <v>31</v>
      </c>
      <c r="E689" s="13" t="s">
        <v>9488</v>
      </c>
      <c r="F689" s="12">
        <v>19.0</v>
      </c>
      <c r="G689" s="12">
        <v>2006.0</v>
      </c>
      <c r="H689" s="14">
        <v>6.0</v>
      </c>
      <c r="I689" s="15">
        <v>62.0</v>
      </c>
      <c r="J689" s="15">
        <v>10.0</v>
      </c>
      <c r="K689" s="15">
        <v>1.8</v>
      </c>
      <c r="L689" s="15">
        <v>0.7</v>
      </c>
      <c r="M689" s="22">
        <v>0.0</v>
      </c>
      <c r="N689" s="36"/>
      <c r="O689" s="19">
        <v>0.0</v>
      </c>
      <c r="P689" s="17">
        <v>8.57</v>
      </c>
      <c r="Q689" s="15">
        <v>10.0</v>
      </c>
      <c r="R689" s="18">
        <v>7.14</v>
      </c>
      <c r="S689" s="14">
        <v>1.33</v>
      </c>
      <c r="T689" s="18">
        <v>2.86</v>
      </c>
      <c r="U689" s="18">
        <v>2.86</v>
      </c>
      <c r="V689" s="19">
        <v>0.0</v>
      </c>
      <c r="W689" s="21">
        <v>0.0</v>
      </c>
      <c r="X689" s="57">
        <v>-0.16</v>
      </c>
      <c r="Y689" s="20" t="s">
        <v>9489</v>
      </c>
    </row>
    <row r="690">
      <c r="A690" s="9">
        <v>662.0</v>
      </c>
      <c r="B690" s="10" t="s">
        <v>9490</v>
      </c>
      <c r="C690" s="11" t="s">
        <v>9491</v>
      </c>
      <c r="D690" s="12" t="s">
        <v>98</v>
      </c>
      <c r="E690" s="13" t="s">
        <v>9492</v>
      </c>
      <c r="F690" s="12">
        <v>21.0</v>
      </c>
      <c r="G690" s="12">
        <v>2004.0</v>
      </c>
      <c r="H690" s="14">
        <v>3.0</v>
      </c>
      <c r="I690" s="15">
        <v>270.0</v>
      </c>
      <c r="J690" s="15">
        <v>90.0</v>
      </c>
      <c r="K690" s="15">
        <v>7.9</v>
      </c>
      <c r="L690" s="15">
        <v>3.0</v>
      </c>
      <c r="M690" s="17">
        <v>1.0</v>
      </c>
      <c r="N690" s="15">
        <v>90.0</v>
      </c>
      <c r="O690" s="18">
        <v>1.0</v>
      </c>
      <c r="P690" s="22">
        <v>0.0</v>
      </c>
      <c r="Q690" s="36"/>
      <c r="R690" s="18">
        <v>11.7</v>
      </c>
      <c r="S690" s="14">
        <v>0.67</v>
      </c>
      <c r="T690" s="18">
        <v>1.0</v>
      </c>
      <c r="U690" s="18">
        <v>1.33</v>
      </c>
      <c r="V690" s="56">
        <v>-0.33</v>
      </c>
      <c r="W690" s="57">
        <v>-0.33</v>
      </c>
      <c r="X690" s="55">
        <f>+0.7</f>
        <v>0.7</v>
      </c>
      <c r="Y690" s="20" t="s">
        <v>9493</v>
      </c>
    </row>
    <row r="691">
      <c r="A691" s="9">
        <v>663.0</v>
      </c>
      <c r="B691" s="10" t="s">
        <v>9494</v>
      </c>
      <c r="C691" s="11" t="s">
        <v>9495</v>
      </c>
      <c r="D691" s="12" t="s">
        <v>41</v>
      </c>
      <c r="E691" s="13" t="s">
        <v>9496</v>
      </c>
      <c r="F691" s="12">
        <v>34.0</v>
      </c>
      <c r="G691" s="12">
        <v>1990.0</v>
      </c>
      <c r="H691" s="14">
        <v>37.0</v>
      </c>
      <c r="I691" s="16">
        <v>2258.0</v>
      </c>
      <c r="J691" s="15">
        <v>61.0</v>
      </c>
      <c r="K691" s="15">
        <v>66.0</v>
      </c>
      <c r="L691" s="15">
        <v>25.1</v>
      </c>
      <c r="M691" s="17">
        <v>1.04</v>
      </c>
      <c r="N691" s="15">
        <v>79.0</v>
      </c>
      <c r="O691" s="18">
        <v>0.28</v>
      </c>
      <c r="P691" s="17">
        <v>0.44</v>
      </c>
      <c r="Q691" s="15">
        <v>18.0</v>
      </c>
      <c r="R691" s="19">
        <v>0.0</v>
      </c>
      <c r="S691" s="14">
        <v>1.41</v>
      </c>
      <c r="T691" s="18">
        <v>1.31</v>
      </c>
      <c r="U691" s="18">
        <v>1.12</v>
      </c>
      <c r="V691" s="54">
        <v>0.2</v>
      </c>
      <c r="W691" s="55">
        <f>+0.2</f>
        <v>0.2</v>
      </c>
      <c r="X691" s="55">
        <f>+0.12</f>
        <v>0.12</v>
      </c>
      <c r="Y691" s="20" t="s">
        <v>9497</v>
      </c>
    </row>
    <row r="692">
      <c r="A692" s="9">
        <v>664.0</v>
      </c>
      <c r="B692" s="10" t="s">
        <v>9498</v>
      </c>
      <c r="C692" s="11" t="s">
        <v>9499</v>
      </c>
      <c r="D692" s="12" t="s">
        <v>36</v>
      </c>
      <c r="E692" s="13" t="s">
        <v>9500</v>
      </c>
      <c r="F692" s="12">
        <v>21.0</v>
      </c>
      <c r="G692" s="12">
        <v>2003.0</v>
      </c>
      <c r="H692" s="23">
        <v>0.0</v>
      </c>
      <c r="I692" s="36"/>
      <c r="J692" s="36"/>
      <c r="K692" s="36"/>
      <c r="L692" s="36"/>
      <c r="M692" s="23">
        <v>0.0</v>
      </c>
      <c r="N692" s="36"/>
      <c r="O692" s="21">
        <v>0.0</v>
      </c>
      <c r="P692" s="23">
        <v>0.0</v>
      </c>
      <c r="Q692" s="36"/>
      <c r="R692" s="15">
        <v>8.0</v>
      </c>
      <c r="S692" s="58"/>
      <c r="T692" s="36"/>
      <c r="U692" s="36"/>
      <c r="V692" s="36"/>
      <c r="W692" s="36"/>
      <c r="X692" s="36"/>
      <c r="Y692" s="20" t="s">
        <v>9501</v>
      </c>
    </row>
    <row r="693">
      <c r="A693" s="9">
        <v>665.0</v>
      </c>
      <c r="B693" s="10" t="s">
        <v>9502</v>
      </c>
      <c r="C693" s="11" t="s">
        <v>9503</v>
      </c>
      <c r="D693" s="12" t="s">
        <v>31</v>
      </c>
      <c r="E693" s="13" t="s">
        <v>9504</v>
      </c>
      <c r="F693" s="12">
        <v>21.0</v>
      </c>
      <c r="G693" s="12">
        <v>2004.0</v>
      </c>
      <c r="H693" s="14">
        <v>34.0</v>
      </c>
      <c r="I693" s="16">
        <v>2552.0</v>
      </c>
      <c r="J693" s="15">
        <v>75.0</v>
      </c>
      <c r="K693" s="15">
        <v>74.6</v>
      </c>
      <c r="L693" s="15">
        <v>28.4</v>
      </c>
      <c r="M693" s="17">
        <v>1.02</v>
      </c>
      <c r="N693" s="15">
        <v>83.0</v>
      </c>
      <c r="O693" s="18">
        <v>0.53</v>
      </c>
      <c r="P693" s="17">
        <v>0.18</v>
      </c>
      <c r="Q693" s="15">
        <v>30.0</v>
      </c>
      <c r="R693" s="19">
        <v>0.0</v>
      </c>
      <c r="S693" s="14">
        <v>1.15</v>
      </c>
      <c r="T693" s="18">
        <v>1.16</v>
      </c>
      <c r="U693" s="18">
        <v>1.51</v>
      </c>
      <c r="V693" s="56">
        <v>-0.35</v>
      </c>
      <c r="W693" s="57">
        <v>-0.35</v>
      </c>
      <c r="X693" s="57">
        <v>-0.35</v>
      </c>
      <c r="Y693" s="20" t="s">
        <v>9505</v>
      </c>
    </row>
    <row r="694">
      <c r="A694" s="9">
        <v>666.0</v>
      </c>
      <c r="B694" s="10" t="s">
        <v>9506</v>
      </c>
      <c r="C694" s="11" t="s">
        <v>9507</v>
      </c>
      <c r="D694" s="12" t="s">
        <v>36</v>
      </c>
      <c r="E694" s="13" t="s">
        <v>9508</v>
      </c>
      <c r="F694" s="12">
        <v>27.0</v>
      </c>
      <c r="G694" s="12">
        <v>1997.0</v>
      </c>
      <c r="H694" s="14">
        <v>12.0</v>
      </c>
      <c r="I694" s="15">
        <v>702.0</v>
      </c>
      <c r="J694" s="15">
        <v>59.0</v>
      </c>
      <c r="K694" s="15">
        <v>20.5</v>
      </c>
      <c r="L694" s="15">
        <v>7.8</v>
      </c>
      <c r="M694" s="17">
        <v>1.15</v>
      </c>
      <c r="N694" s="15">
        <v>72.0</v>
      </c>
      <c r="O694" s="18">
        <v>0.51</v>
      </c>
      <c r="P694" s="17">
        <v>0.38</v>
      </c>
      <c r="Q694" s="15">
        <v>19.0</v>
      </c>
      <c r="R694" s="18">
        <v>2.18</v>
      </c>
      <c r="S694" s="14">
        <v>1.83</v>
      </c>
      <c r="T694" s="18">
        <v>1.28</v>
      </c>
      <c r="U694" s="18">
        <v>0.77</v>
      </c>
      <c r="V694" s="54">
        <v>0.51</v>
      </c>
      <c r="W694" s="55">
        <f>+0.51</f>
        <v>0.51</v>
      </c>
      <c r="X694" s="57">
        <v>-0.81</v>
      </c>
      <c r="Y694" s="20" t="s">
        <v>9509</v>
      </c>
    </row>
    <row r="695">
      <c r="A695" s="9">
        <v>667.0</v>
      </c>
      <c r="B695" s="10" t="s">
        <v>9510</v>
      </c>
      <c r="C695" s="11" t="s">
        <v>9511</v>
      </c>
      <c r="D695" s="12" t="s">
        <v>31</v>
      </c>
      <c r="E695" s="13" t="s">
        <v>9512</v>
      </c>
      <c r="F695" s="12">
        <v>19.0</v>
      </c>
      <c r="G695" s="12">
        <v>2006.0</v>
      </c>
      <c r="H695" s="23">
        <v>0.0</v>
      </c>
      <c r="I695" s="36"/>
      <c r="J695" s="36"/>
      <c r="K695" s="36"/>
      <c r="L695" s="36"/>
      <c r="M695" s="23">
        <v>0.0</v>
      </c>
      <c r="N695" s="36"/>
      <c r="O695" s="21">
        <v>0.0</v>
      </c>
      <c r="P695" s="23">
        <v>0.0</v>
      </c>
      <c r="Q695" s="36"/>
      <c r="R695" s="15">
        <v>1.0</v>
      </c>
      <c r="S695" s="58"/>
      <c r="T695" s="36"/>
      <c r="U695" s="36"/>
      <c r="V695" s="36"/>
      <c r="W695" s="36"/>
      <c r="X695" s="36"/>
      <c r="Y695" s="20" t="s">
        <v>9513</v>
      </c>
    </row>
    <row r="696">
      <c r="A696" s="9">
        <v>668.0</v>
      </c>
      <c r="B696" s="10" t="s">
        <v>9514</v>
      </c>
      <c r="C696" s="11" t="s">
        <v>9515</v>
      </c>
      <c r="D696" s="12" t="s">
        <v>31</v>
      </c>
      <c r="E696" s="13" t="s">
        <v>9516</v>
      </c>
      <c r="F696" s="12">
        <v>18.0</v>
      </c>
      <c r="G696" s="12">
        <v>2006.0</v>
      </c>
      <c r="H696" s="23">
        <v>0.0</v>
      </c>
      <c r="I696" s="36"/>
      <c r="J696" s="36"/>
      <c r="K696" s="36"/>
      <c r="L696" s="36"/>
      <c r="M696" s="23">
        <v>0.0</v>
      </c>
      <c r="N696" s="36"/>
      <c r="O696" s="21">
        <v>0.0</v>
      </c>
      <c r="P696" s="23">
        <v>0.0</v>
      </c>
      <c r="Q696" s="36"/>
      <c r="R696" s="15">
        <v>1.0</v>
      </c>
      <c r="S696" s="58"/>
      <c r="T696" s="36"/>
      <c r="U696" s="36"/>
      <c r="V696" s="36"/>
      <c r="W696" s="36"/>
      <c r="X696" s="36"/>
      <c r="Y696" s="20" t="s">
        <v>9517</v>
      </c>
    </row>
    <row r="697">
      <c r="A697" s="9">
        <v>669.0</v>
      </c>
      <c r="B697" s="10" t="s">
        <v>9518</v>
      </c>
      <c r="C697" s="11" t="s">
        <v>9519</v>
      </c>
      <c r="D697" s="12" t="s">
        <v>36</v>
      </c>
      <c r="E697" s="13" t="s">
        <v>9520</v>
      </c>
      <c r="F697" s="12">
        <v>25.0</v>
      </c>
      <c r="G697" s="12">
        <v>1999.0</v>
      </c>
      <c r="H697" s="14">
        <v>26.0</v>
      </c>
      <c r="I697" s="16">
        <v>1903.0</v>
      </c>
      <c r="J697" s="15">
        <v>73.0</v>
      </c>
      <c r="K697" s="15">
        <v>55.6</v>
      </c>
      <c r="L697" s="15">
        <v>21.1</v>
      </c>
      <c r="M697" s="17">
        <v>1.09</v>
      </c>
      <c r="N697" s="15">
        <v>79.0</v>
      </c>
      <c r="O697" s="18">
        <v>0.66</v>
      </c>
      <c r="P697" s="17">
        <v>0.14</v>
      </c>
      <c r="Q697" s="15">
        <v>29.0</v>
      </c>
      <c r="R697" s="19">
        <v>0.0</v>
      </c>
      <c r="S697" s="14">
        <v>1.54</v>
      </c>
      <c r="T697" s="18">
        <v>1.47</v>
      </c>
      <c r="U697" s="18">
        <v>1.23</v>
      </c>
      <c r="V697" s="54">
        <v>0.24</v>
      </c>
      <c r="W697" s="55">
        <f>+0.24</f>
        <v>0.24</v>
      </c>
      <c r="X697" s="55">
        <f>+0.18</f>
        <v>0.18</v>
      </c>
      <c r="Y697" s="20" t="s">
        <v>9521</v>
      </c>
    </row>
    <row r="698">
      <c r="A698" s="9">
        <v>670.0</v>
      </c>
      <c r="B698" s="10" t="s">
        <v>9522</v>
      </c>
      <c r="C698" s="11" t="s">
        <v>9523</v>
      </c>
      <c r="D698" s="12" t="s">
        <v>41</v>
      </c>
      <c r="E698" s="13" t="s">
        <v>9524</v>
      </c>
      <c r="F698" s="12">
        <v>16.0</v>
      </c>
      <c r="G698" s="12">
        <v>2008.0</v>
      </c>
      <c r="H698" s="23">
        <v>0.0</v>
      </c>
      <c r="I698" s="36"/>
      <c r="J698" s="36"/>
      <c r="K698" s="36"/>
      <c r="L698" s="36"/>
      <c r="M698" s="23">
        <v>0.0</v>
      </c>
      <c r="N698" s="36"/>
      <c r="O698" s="21">
        <v>0.0</v>
      </c>
      <c r="P698" s="23">
        <v>0.0</v>
      </c>
      <c r="Q698" s="36"/>
      <c r="R698" s="15">
        <v>6.0</v>
      </c>
      <c r="S698" s="58"/>
      <c r="T698" s="36"/>
      <c r="U698" s="36"/>
      <c r="V698" s="36"/>
      <c r="W698" s="36"/>
      <c r="X698" s="36"/>
      <c r="Y698" s="20" t="s">
        <v>9525</v>
      </c>
    </row>
    <row r="699">
      <c r="A699" s="9">
        <v>671.0</v>
      </c>
      <c r="B699" s="10" t="s">
        <v>9526</v>
      </c>
      <c r="C699" s="11" t="s">
        <v>9527</v>
      </c>
      <c r="D699" s="12" t="s">
        <v>36</v>
      </c>
      <c r="E699" s="13" t="s">
        <v>9528</v>
      </c>
      <c r="F699" s="12">
        <v>24.0</v>
      </c>
      <c r="G699" s="12">
        <v>2001.0</v>
      </c>
      <c r="H699" s="14">
        <v>37.0</v>
      </c>
      <c r="I699" s="16">
        <v>3204.0</v>
      </c>
      <c r="J699" s="15">
        <v>87.0</v>
      </c>
      <c r="K699" s="15">
        <v>93.7</v>
      </c>
      <c r="L699" s="15">
        <v>35.6</v>
      </c>
      <c r="M699" s="17">
        <v>1.01</v>
      </c>
      <c r="N699" s="15">
        <v>88.0</v>
      </c>
      <c r="O699" s="18">
        <v>0.93</v>
      </c>
      <c r="P699" s="17">
        <v>0.03</v>
      </c>
      <c r="Q699" s="15">
        <v>46.0</v>
      </c>
      <c r="R699" s="19">
        <v>0.0</v>
      </c>
      <c r="S699" s="14">
        <v>1.19</v>
      </c>
      <c r="T699" s="18">
        <v>1.26</v>
      </c>
      <c r="U699" s="18">
        <v>1.32</v>
      </c>
      <c r="V699" s="56">
        <v>-0.06</v>
      </c>
      <c r="W699" s="57">
        <v>-0.06</v>
      </c>
      <c r="X699" s="55">
        <f>+0.36</f>
        <v>0.36</v>
      </c>
      <c r="Y699" s="20" t="s">
        <v>9529</v>
      </c>
    </row>
    <row r="700">
      <c r="A700" s="9">
        <v>672.0</v>
      </c>
      <c r="B700" s="10" t="s">
        <v>9530</v>
      </c>
      <c r="C700" s="11" t="s">
        <v>9531</v>
      </c>
      <c r="D700" s="12" t="s">
        <v>31</v>
      </c>
      <c r="E700" s="13" t="s">
        <v>9532</v>
      </c>
      <c r="F700" s="12">
        <v>18.0</v>
      </c>
      <c r="G700" s="12">
        <v>2007.0</v>
      </c>
      <c r="H700" s="14">
        <v>22.0</v>
      </c>
      <c r="I700" s="15">
        <v>848.0</v>
      </c>
      <c r="J700" s="15">
        <v>39.0</v>
      </c>
      <c r="K700" s="15">
        <v>24.8</v>
      </c>
      <c r="L700" s="15">
        <v>9.4</v>
      </c>
      <c r="M700" s="17">
        <v>1.28</v>
      </c>
      <c r="N700" s="15">
        <v>54.0</v>
      </c>
      <c r="O700" s="19">
        <v>0.0</v>
      </c>
      <c r="P700" s="17">
        <v>1.06</v>
      </c>
      <c r="Q700" s="15">
        <v>20.0</v>
      </c>
      <c r="R700" s="18">
        <v>0.32</v>
      </c>
      <c r="S700" s="14">
        <v>1.36</v>
      </c>
      <c r="T700" s="18">
        <v>2.02</v>
      </c>
      <c r="U700" s="18">
        <v>1.17</v>
      </c>
      <c r="V700" s="54">
        <v>0.85</v>
      </c>
      <c r="W700" s="55">
        <f>+0.85</f>
        <v>0.85</v>
      </c>
      <c r="X700" s="55">
        <f>+0.92</f>
        <v>0.92</v>
      </c>
      <c r="Y700" s="20" t="s">
        <v>9533</v>
      </c>
    </row>
    <row r="701">
      <c r="A701" s="9">
        <v>673.0</v>
      </c>
      <c r="B701" s="10" t="s">
        <v>9534</v>
      </c>
      <c r="C701" s="11" t="s">
        <v>9535</v>
      </c>
      <c r="D701" s="12" t="s">
        <v>31</v>
      </c>
      <c r="E701" s="13" t="s">
        <v>9536</v>
      </c>
      <c r="F701" s="12">
        <v>25.0</v>
      </c>
      <c r="G701" s="12">
        <v>1999.0</v>
      </c>
      <c r="H701" s="14">
        <v>24.0</v>
      </c>
      <c r="I701" s="15">
        <v>983.0</v>
      </c>
      <c r="J701" s="15">
        <v>41.0</v>
      </c>
      <c r="K701" s="15">
        <v>28.7</v>
      </c>
      <c r="L701" s="15">
        <v>10.9</v>
      </c>
      <c r="M701" s="17">
        <v>0.92</v>
      </c>
      <c r="N701" s="15">
        <v>70.0</v>
      </c>
      <c r="O701" s="18">
        <v>0.09</v>
      </c>
      <c r="P701" s="17">
        <v>1.28</v>
      </c>
      <c r="Q701" s="15">
        <v>20.0</v>
      </c>
      <c r="R701" s="18">
        <v>1.19</v>
      </c>
      <c r="S701" s="14">
        <v>1.46</v>
      </c>
      <c r="T701" s="18">
        <v>1.19</v>
      </c>
      <c r="U701" s="18">
        <v>1.65</v>
      </c>
      <c r="V701" s="56">
        <v>-0.46</v>
      </c>
      <c r="W701" s="57">
        <v>-0.46</v>
      </c>
      <c r="X701" s="57">
        <v>-0.57</v>
      </c>
      <c r="Y701" s="20" t="s">
        <v>9537</v>
      </c>
    </row>
    <row r="702">
      <c r="A702" s="9">
        <v>674.0</v>
      </c>
      <c r="B702" s="10" t="s">
        <v>9538</v>
      </c>
      <c r="C702" s="11" t="s">
        <v>9539</v>
      </c>
      <c r="D702" s="12" t="s">
        <v>41</v>
      </c>
      <c r="E702" s="13" t="s">
        <v>9540</v>
      </c>
      <c r="F702" s="12">
        <v>33.0</v>
      </c>
      <c r="G702" s="12">
        <v>1992.0</v>
      </c>
      <c r="H702" s="14">
        <v>32.0</v>
      </c>
      <c r="I702" s="16">
        <v>1251.0</v>
      </c>
      <c r="J702" s="15">
        <v>39.0</v>
      </c>
      <c r="K702" s="15">
        <v>36.6</v>
      </c>
      <c r="L702" s="15">
        <v>13.9</v>
      </c>
      <c r="M702" s="17">
        <v>0.79</v>
      </c>
      <c r="N702" s="15">
        <v>69.0</v>
      </c>
      <c r="O702" s="18">
        <v>0.14</v>
      </c>
      <c r="P702" s="17">
        <v>1.51</v>
      </c>
      <c r="Q702" s="15">
        <v>23.0</v>
      </c>
      <c r="R702" s="18">
        <v>0.36</v>
      </c>
      <c r="S702" s="14">
        <v>1.16</v>
      </c>
      <c r="T702" s="18">
        <v>1.65</v>
      </c>
      <c r="U702" s="18">
        <v>1.73</v>
      </c>
      <c r="V702" s="56">
        <v>-0.07</v>
      </c>
      <c r="W702" s="57">
        <v>-0.07</v>
      </c>
      <c r="X702" s="55">
        <f>+0.67</f>
        <v>0.67</v>
      </c>
      <c r="Y702" s="20" t="s">
        <v>9541</v>
      </c>
    </row>
    <row r="703">
      <c r="A703" s="9">
        <v>675.0</v>
      </c>
      <c r="B703" s="10" t="s">
        <v>9542</v>
      </c>
      <c r="C703" s="11" t="s">
        <v>9543</v>
      </c>
      <c r="D703" s="12" t="s">
        <v>31</v>
      </c>
      <c r="E703" s="13" t="s">
        <v>9544</v>
      </c>
      <c r="F703" s="12">
        <v>28.0</v>
      </c>
      <c r="G703" s="12">
        <v>1997.0</v>
      </c>
      <c r="H703" s="14">
        <v>36.0</v>
      </c>
      <c r="I703" s="16">
        <v>2673.0</v>
      </c>
      <c r="J703" s="15">
        <v>74.0</v>
      </c>
      <c r="K703" s="15">
        <v>78.2</v>
      </c>
      <c r="L703" s="15">
        <v>29.7</v>
      </c>
      <c r="M703" s="17">
        <v>1.08</v>
      </c>
      <c r="N703" s="15">
        <v>81.0</v>
      </c>
      <c r="O703" s="18">
        <v>0.27</v>
      </c>
      <c r="P703" s="17">
        <v>0.13</v>
      </c>
      <c r="Q703" s="15">
        <v>23.0</v>
      </c>
      <c r="R703" s="19">
        <v>0.0</v>
      </c>
      <c r="S703" s="14">
        <v>1.44</v>
      </c>
      <c r="T703" s="18">
        <v>1.35</v>
      </c>
      <c r="U703" s="18">
        <v>1.28</v>
      </c>
      <c r="V703" s="54">
        <v>0.07</v>
      </c>
      <c r="W703" s="55">
        <f>+0.07</f>
        <v>0.07</v>
      </c>
      <c r="X703" s="55">
        <f>+0.79</f>
        <v>0.79</v>
      </c>
      <c r="Y703" s="20" t="s">
        <v>9545</v>
      </c>
    </row>
    <row r="704">
      <c r="A704" s="37" t="s">
        <v>3</v>
      </c>
      <c r="B704" s="38" t="s">
        <v>4</v>
      </c>
      <c r="C704" s="39" t="s">
        <v>5</v>
      </c>
      <c r="D704" s="39" t="s">
        <v>6</v>
      </c>
      <c r="E704" s="39" t="s">
        <v>7</v>
      </c>
      <c r="F704" s="39" t="s">
        <v>8</v>
      </c>
      <c r="G704" s="39" t="s">
        <v>9</v>
      </c>
      <c r="H704" s="40" t="s">
        <v>10</v>
      </c>
      <c r="I704" s="39" t="s">
        <v>12</v>
      </c>
      <c r="J704" s="39" t="s">
        <v>6838</v>
      </c>
      <c r="K704" s="39" t="s">
        <v>6839</v>
      </c>
      <c r="L704" s="39" t="s">
        <v>13</v>
      </c>
      <c r="M704" s="40" t="s">
        <v>11</v>
      </c>
      <c r="N704" s="39" t="s">
        <v>6840</v>
      </c>
      <c r="O704" s="39" t="s">
        <v>6841</v>
      </c>
      <c r="P704" s="40" t="s">
        <v>6836</v>
      </c>
      <c r="Q704" s="39" t="s">
        <v>6842</v>
      </c>
      <c r="R704" s="39" t="s">
        <v>6843</v>
      </c>
      <c r="S704" s="40" t="s">
        <v>6844</v>
      </c>
      <c r="T704" s="39" t="s">
        <v>6845</v>
      </c>
      <c r="U704" s="39" t="s">
        <v>6846</v>
      </c>
      <c r="V704" s="59" t="str">
        <f>+/-</f>
        <v>#ERROR!</v>
      </c>
      <c r="W704" s="59" t="str">
        <f>+/-90</f>
        <v>#ERROR!</v>
      </c>
      <c r="X704" s="39" t="s">
        <v>6847</v>
      </c>
      <c r="Y704" s="40" t="s">
        <v>23</v>
      </c>
    </row>
    <row r="705">
      <c r="A705" s="9">
        <v>676.0</v>
      </c>
      <c r="B705" s="10" t="s">
        <v>9546</v>
      </c>
      <c r="C705" s="11" t="s">
        <v>9547</v>
      </c>
      <c r="D705" s="12" t="s">
        <v>41</v>
      </c>
      <c r="E705" s="13" t="s">
        <v>9548</v>
      </c>
      <c r="F705" s="12">
        <v>18.0</v>
      </c>
      <c r="G705" s="12">
        <v>2007.0</v>
      </c>
      <c r="H705" s="23">
        <v>0.0</v>
      </c>
      <c r="I705" s="36"/>
      <c r="J705" s="36"/>
      <c r="K705" s="36"/>
      <c r="L705" s="36"/>
      <c r="M705" s="23">
        <v>0.0</v>
      </c>
      <c r="N705" s="36"/>
      <c r="O705" s="21">
        <v>0.0</v>
      </c>
      <c r="P705" s="23">
        <v>0.0</v>
      </c>
      <c r="Q705" s="36"/>
      <c r="R705" s="15">
        <v>2.0</v>
      </c>
      <c r="S705" s="58"/>
      <c r="T705" s="36"/>
      <c r="U705" s="36"/>
      <c r="V705" s="36"/>
      <c r="W705" s="36"/>
      <c r="X705" s="36"/>
      <c r="Y705" s="20" t="s">
        <v>9549</v>
      </c>
    </row>
    <row r="706">
      <c r="A706" s="9">
        <v>677.0</v>
      </c>
      <c r="B706" s="10" t="s">
        <v>9550</v>
      </c>
      <c r="C706" s="11" t="s">
        <v>9551</v>
      </c>
      <c r="D706" s="12" t="s">
        <v>31</v>
      </c>
      <c r="E706" s="13" t="s">
        <v>9552</v>
      </c>
      <c r="F706" s="12">
        <v>20.0</v>
      </c>
      <c r="G706" s="12">
        <v>2004.0</v>
      </c>
      <c r="H706" s="14">
        <v>1.0</v>
      </c>
      <c r="I706" s="15">
        <v>7.0</v>
      </c>
      <c r="J706" s="15">
        <v>7.0</v>
      </c>
      <c r="K706" s="15">
        <v>0.2</v>
      </c>
      <c r="L706" s="15">
        <v>0.1</v>
      </c>
      <c r="M706" s="22">
        <v>0.0</v>
      </c>
      <c r="N706" s="36"/>
      <c r="O706" s="19">
        <v>0.0</v>
      </c>
      <c r="P706" s="17">
        <v>10.0</v>
      </c>
      <c r="Q706" s="15">
        <v>7.0</v>
      </c>
      <c r="R706" s="19">
        <v>0.0</v>
      </c>
      <c r="S706" s="23">
        <v>0.0</v>
      </c>
      <c r="T706" s="19">
        <v>0.0</v>
      </c>
      <c r="U706" s="18">
        <v>20.0</v>
      </c>
      <c r="V706" s="56">
        <v>-20.0</v>
      </c>
      <c r="W706" s="57">
        <v>-25.71</v>
      </c>
      <c r="X706" s="57">
        <v>-25.87</v>
      </c>
      <c r="Y706" s="20" t="s">
        <v>9553</v>
      </c>
    </row>
    <row r="707">
      <c r="A707" s="9">
        <v>678.0</v>
      </c>
      <c r="B707" s="10" t="s">
        <v>9554</v>
      </c>
      <c r="C707" s="11" t="s">
        <v>9555</v>
      </c>
      <c r="D707" s="12" t="s">
        <v>31</v>
      </c>
      <c r="E707" s="13" t="s">
        <v>9556</v>
      </c>
      <c r="F707" s="12">
        <v>22.0</v>
      </c>
      <c r="G707" s="12">
        <v>2003.0</v>
      </c>
      <c r="H707" s="14">
        <v>33.0</v>
      </c>
      <c r="I707" s="16">
        <v>2378.0</v>
      </c>
      <c r="J707" s="15">
        <v>72.0</v>
      </c>
      <c r="K707" s="15">
        <v>69.5</v>
      </c>
      <c r="L707" s="15">
        <v>26.4</v>
      </c>
      <c r="M707" s="17">
        <v>1.02</v>
      </c>
      <c r="N707" s="15">
        <v>82.0</v>
      </c>
      <c r="O707" s="18">
        <v>0.34</v>
      </c>
      <c r="P707" s="17">
        <v>0.23</v>
      </c>
      <c r="Q707" s="15">
        <v>27.0</v>
      </c>
      <c r="R707" s="19">
        <v>0.0</v>
      </c>
      <c r="S707" s="14">
        <v>1.61</v>
      </c>
      <c r="T707" s="18">
        <v>1.44</v>
      </c>
      <c r="U707" s="18">
        <v>1.21</v>
      </c>
      <c r="V707" s="54">
        <v>0.23</v>
      </c>
      <c r="W707" s="55">
        <f>+0.23</f>
        <v>0.23</v>
      </c>
      <c r="X707" s="57">
        <v>-0.12</v>
      </c>
      <c r="Y707" s="20" t="s">
        <v>9557</v>
      </c>
    </row>
    <row r="708">
      <c r="A708" s="9">
        <v>679.0</v>
      </c>
      <c r="B708" s="10" t="s">
        <v>9558</v>
      </c>
      <c r="C708" s="11" t="s">
        <v>9559</v>
      </c>
      <c r="D708" s="12" t="s">
        <v>41</v>
      </c>
      <c r="E708" s="13" t="s">
        <v>9560</v>
      </c>
      <c r="F708" s="12">
        <v>28.0</v>
      </c>
      <c r="G708" s="12">
        <v>1996.0</v>
      </c>
      <c r="H708" s="14">
        <v>19.0</v>
      </c>
      <c r="I708" s="15">
        <v>531.0</v>
      </c>
      <c r="J708" s="15">
        <v>28.0</v>
      </c>
      <c r="K708" s="15">
        <v>15.5</v>
      </c>
      <c r="L708" s="15">
        <v>5.9</v>
      </c>
      <c r="M708" s="17">
        <v>0.68</v>
      </c>
      <c r="N708" s="15">
        <v>70.0</v>
      </c>
      <c r="O708" s="19">
        <v>0.0</v>
      </c>
      <c r="P708" s="17">
        <v>2.54</v>
      </c>
      <c r="Q708" s="15">
        <v>17.0</v>
      </c>
      <c r="R708" s="18">
        <v>0.68</v>
      </c>
      <c r="S708" s="14">
        <v>1.11</v>
      </c>
      <c r="T708" s="18">
        <v>1.69</v>
      </c>
      <c r="U708" s="18">
        <v>1.86</v>
      </c>
      <c r="V708" s="56">
        <v>-0.17</v>
      </c>
      <c r="W708" s="57">
        <v>-0.17</v>
      </c>
      <c r="X708" s="57">
        <v>-0.14</v>
      </c>
      <c r="Y708" s="20" t="s">
        <v>9561</v>
      </c>
    </row>
    <row r="709">
      <c r="A709" s="9">
        <v>680.0</v>
      </c>
      <c r="B709" s="10" t="s">
        <v>9562</v>
      </c>
      <c r="C709" s="11" t="s">
        <v>9563</v>
      </c>
      <c r="D709" s="12" t="s">
        <v>107</v>
      </c>
      <c r="E709" s="13" t="s">
        <v>9564</v>
      </c>
      <c r="F709" s="12">
        <v>23.0</v>
      </c>
      <c r="G709" s="12">
        <v>2002.0</v>
      </c>
      <c r="H709" s="14">
        <v>33.0</v>
      </c>
      <c r="I709" s="16">
        <v>1902.0</v>
      </c>
      <c r="J709" s="15">
        <v>58.0</v>
      </c>
      <c r="K709" s="15">
        <v>55.6</v>
      </c>
      <c r="L709" s="15">
        <v>21.1</v>
      </c>
      <c r="M709" s="17">
        <v>1.14</v>
      </c>
      <c r="N709" s="15">
        <v>73.0</v>
      </c>
      <c r="O709" s="18">
        <v>0.14</v>
      </c>
      <c r="P709" s="17">
        <v>0.43</v>
      </c>
      <c r="Q709" s="15">
        <v>16.0</v>
      </c>
      <c r="R709" s="18">
        <v>0.05</v>
      </c>
      <c r="S709" s="14">
        <v>1.24</v>
      </c>
      <c r="T709" s="18">
        <v>1.47</v>
      </c>
      <c r="U709" s="18">
        <v>1.37</v>
      </c>
      <c r="V709" s="54">
        <v>0.09</v>
      </c>
      <c r="W709" s="55">
        <f>+0.09</f>
        <v>0.09</v>
      </c>
      <c r="X709" s="55">
        <f>+0.33</f>
        <v>0.33</v>
      </c>
      <c r="Y709" s="20" t="s">
        <v>9565</v>
      </c>
    </row>
    <row r="710">
      <c r="A710" s="9">
        <v>681.0</v>
      </c>
      <c r="B710" s="10" t="s">
        <v>9566</v>
      </c>
      <c r="C710" s="11" t="s">
        <v>9567</v>
      </c>
      <c r="D710" s="12" t="s">
        <v>41</v>
      </c>
      <c r="E710" s="13" t="s">
        <v>9568</v>
      </c>
      <c r="F710" s="12">
        <v>33.0</v>
      </c>
      <c r="G710" s="12">
        <v>1991.0</v>
      </c>
      <c r="H710" s="14">
        <v>15.0</v>
      </c>
      <c r="I710" s="15">
        <v>901.0</v>
      </c>
      <c r="J710" s="15">
        <v>60.0</v>
      </c>
      <c r="K710" s="15">
        <v>26.3</v>
      </c>
      <c r="L710" s="15">
        <v>10.0</v>
      </c>
      <c r="M710" s="17">
        <v>1.1</v>
      </c>
      <c r="N710" s="15">
        <v>74.0</v>
      </c>
      <c r="O710" s="19">
        <v>0.0</v>
      </c>
      <c r="P710" s="17">
        <v>0.4</v>
      </c>
      <c r="Q710" s="15">
        <v>22.0</v>
      </c>
      <c r="R710" s="19">
        <v>0.0</v>
      </c>
      <c r="S710" s="14">
        <v>1.13</v>
      </c>
      <c r="T710" s="18">
        <v>1.4</v>
      </c>
      <c r="U710" s="18">
        <v>1.4</v>
      </c>
      <c r="V710" s="19">
        <v>0.0</v>
      </c>
      <c r="W710" s="21">
        <v>0.0</v>
      </c>
      <c r="X710" s="55">
        <f>+0.11</f>
        <v>0.11</v>
      </c>
      <c r="Y710" s="20" t="s">
        <v>9569</v>
      </c>
    </row>
    <row r="711">
      <c r="A711" s="9">
        <v>682.0</v>
      </c>
      <c r="B711" s="10" t="s">
        <v>9570</v>
      </c>
      <c r="C711" s="11" t="s">
        <v>9571</v>
      </c>
      <c r="D711" s="12" t="s">
        <v>98</v>
      </c>
      <c r="E711" s="13" t="s">
        <v>9572</v>
      </c>
      <c r="F711" s="12">
        <v>28.0</v>
      </c>
      <c r="G711" s="12">
        <v>1997.0</v>
      </c>
      <c r="H711" s="14">
        <v>3.0</v>
      </c>
      <c r="I711" s="15">
        <v>213.0</v>
      </c>
      <c r="J711" s="15">
        <v>71.0</v>
      </c>
      <c r="K711" s="15">
        <v>6.2</v>
      </c>
      <c r="L711" s="15">
        <v>2.4</v>
      </c>
      <c r="M711" s="17">
        <v>0.83</v>
      </c>
      <c r="N711" s="15">
        <v>90.0</v>
      </c>
      <c r="O711" s="18">
        <v>0.83</v>
      </c>
      <c r="P711" s="17">
        <v>0.42</v>
      </c>
      <c r="Q711" s="15">
        <v>33.0</v>
      </c>
      <c r="R711" s="18">
        <v>6.67</v>
      </c>
      <c r="S711" s="14">
        <v>2.0</v>
      </c>
      <c r="T711" s="18">
        <v>2.5</v>
      </c>
      <c r="U711" s="18">
        <v>1.67</v>
      </c>
      <c r="V711" s="54">
        <v>0.83</v>
      </c>
      <c r="W711" s="55">
        <f>+0.85</f>
        <v>0.85</v>
      </c>
      <c r="X711" s="55">
        <f>+0.62</f>
        <v>0.62</v>
      </c>
      <c r="Y711" s="20" t="s">
        <v>9573</v>
      </c>
    </row>
    <row r="712">
      <c r="A712" s="9">
        <v>683.0</v>
      </c>
      <c r="B712" s="10" t="s">
        <v>9574</v>
      </c>
      <c r="C712" s="11" t="s">
        <v>9575</v>
      </c>
      <c r="D712" s="12" t="s">
        <v>36</v>
      </c>
      <c r="E712" s="13" t="s">
        <v>9576</v>
      </c>
      <c r="F712" s="12">
        <v>28.0</v>
      </c>
      <c r="G712" s="12">
        <v>1997.0</v>
      </c>
      <c r="H712" s="14">
        <v>11.0</v>
      </c>
      <c r="I712" s="15">
        <v>500.0</v>
      </c>
      <c r="J712" s="15">
        <v>45.0</v>
      </c>
      <c r="K712" s="15">
        <v>14.6</v>
      </c>
      <c r="L712" s="15">
        <v>5.6</v>
      </c>
      <c r="M712" s="17">
        <v>0.89</v>
      </c>
      <c r="N712" s="15">
        <v>83.0</v>
      </c>
      <c r="O712" s="18">
        <v>0.71</v>
      </c>
      <c r="P712" s="17">
        <v>1.07</v>
      </c>
      <c r="Q712" s="15">
        <v>14.0</v>
      </c>
      <c r="R712" s="18">
        <v>2.32</v>
      </c>
      <c r="S712" s="14">
        <v>0.82</v>
      </c>
      <c r="T712" s="18">
        <v>1.79</v>
      </c>
      <c r="U712" s="18">
        <v>1.96</v>
      </c>
      <c r="V712" s="56">
        <v>-0.18</v>
      </c>
      <c r="W712" s="57">
        <v>-0.18</v>
      </c>
      <c r="X712" s="55">
        <f>+0.93</f>
        <v>0.93</v>
      </c>
      <c r="Y712" s="20" t="s">
        <v>9577</v>
      </c>
    </row>
    <row r="713">
      <c r="A713" s="9">
        <v>684.0</v>
      </c>
      <c r="B713" s="10" t="s">
        <v>9578</v>
      </c>
      <c r="C713" s="11" t="s">
        <v>9579</v>
      </c>
      <c r="D713" s="12" t="s">
        <v>98</v>
      </c>
      <c r="E713" s="13" t="s">
        <v>9580</v>
      </c>
      <c r="F713" s="12">
        <v>20.0</v>
      </c>
      <c r="G713" s="12">
        <v>2004.0</v>
      </c>
      <c r="H713" s="23">
        <v>0.0</v>
      </c>
      <c r="I713" s="36"/>
      <c r="J713" s="36"/>
      <c r="K713" s="36"/>
      <c r="L713" s="36"/>
      <c r="M713" s="23">
        <v>0.0</v>
      </c>
      <c r="N713" s="36"/>
      <c r="O713" s="21">
        <v>0.0</v>
      </c>
      <c r="P713" s="23">
        <v>0.0</v>
      </c>
      <c r="Q713" s="36"/>
      <c r="R713" s="15">
        <v>8.0</v>
      </c>
      <c r="S713" s="58"/>
      <c r="T713" s="36"/>
      <c r="U713" s="36"/>
      <c r="V713" s="36"/>
      <c r="W713" s="36"/>
      <c r="X713" s="36"/>
      <c r="Y713" s="20" t="s">
        <v>9581</v>
      </c>
    </row>
    <row r="714">
      <c r="A714" s="9">
        <v>685.0</v>
      </c>
      <c r="B714" s="10" t="s">
        <v>9582</v>
      </c>
      <c r="C714" s="67"/>
      <c r="D714" s="12" t="s">
        <v>41</v>
      </c>
      <c r="E714" s="13" t="s">
        <v>9583</v>
      </c>
      <c r="F714" s="68"/>
      <c r="G714" s="68"/>
      <c r="H714" s="23">
        <v>0.0</v>
      </c>
      <c r="I714" s="36"/>
      <c r="J714" s="36"/>
      <c r="K714" s="36"/>
      <c r="L714" s="36"/>
      <c r="M714" s="23">
        <v>0.0</v>
      </c>
      <c r="N714" s="36"/>
      <c r="O714" s="21">
        <v>0.0</v>
      </c>
      <c r="P714" s="23">
        <v>0.0</v>
      </c>
      <c r="Q714" s="36"/>
      <c r="R714" s="15">
        <v>4.0</v>
      </c>
      <c r="S714" s="58"/>
      <c r="T714" s="36"/>
      <c r="U714" s="36"/>
      <c r="V714" s="36"/>
      <c r="W714" s="36"/>
      <c r="X714" s="36"/>
      <c r="Y714" s="20" t="s">
        <v>9584</v>
      </c>
    </row>
    <row r="715">
      <c r="A715" s="9">
        <v>686.0</v>
      </c>
      <c r="B715" s="10" t="s">
        <v>9585</v>
      </c>
      <c r="C715" s="11" t="s">
        <v>9586</v>
      </c>
      <c r="D715" s="12" t="s">
        <v>31</v>
      </c>
      <c r="E715" s="13" t="s">
        <v>9587</v>
      </c>
      <c r="F715" s="12">
        <v>32.0</v>
      </c>
      <c r="G715" s="12">
        <v>1992.0</v>
      </c>
      <c r="H715" s="14">
        <v>34.0</v>
      </c>
      <c r="I715" s="16">
        <v>2904.0</v>
      </c>
      <c r="J715" s="15">
        <v>85.0</v>
      </c>
      <c r="K715" s="15">
        <v>84.9</v>
      </c>
      <c r="L715" s="15">
        <v>32.3</v>
      </c>
      <c r="M715" s="17">
        <v>0.99</v>
      </c>
      <c r="N715" s="15">
        <v>89.0</v>
      </c>
      <c r="O715" s="18">
        <v>0.93</v>
      </c>
      <c r="P715" s="17">
        <v>0.06</v>
      </c>
      <c r="Q715" s="15">
        <v>29.0</v>
      </c>
      <c r="R715" s="19">
        <v>0.0</v>
      </c>
      <c r="S715" s="14">
        <v>1.5</v>
      </c>
      <c r="T715" s="18">
        <v>1.18</v>
      </c>
      <c r="U715" s="18">
        <v>1.21</v>
      </c>
      <c r="V715" s="56">
        <v>-0.03</v>
      </c>
      <c r="W715" s="57">
        <v>-0.03</v>
      </c>
      <c r="X715" s="55">
        <f>+0.84</f>
        <v>0.84</v>
      </c>
      <c r="Y715" s="20" t="s">
        <v>9588</v>
      </c>
    </row>
    <row r="716">
      <c r="A716" s="9">
        <v>687.0</v>
      </c>
      <c r="B716" s="10" t="s">
        <v>9589</v>
      </c>
      <c r="C716" s="11" t="s">
        <v>9590</v>
      </c>
      <c r="D716" s="12" t="s">
        <v>31</v>
      </c>
      <c r="E716" s="13" t="s">
        <v>9591</v>
      </c>
      <c r="F716" s="12">
        <v>21.0</v>
      </c>
      <c r="G716" s="12">
        <v>2004.0</v>
      </c>
      <c r="H716" s="14">
        <v>37.0</v>
      </c>
      <c r="I716" s="16">
        <v>2659.0</v>
      </c>
      <c r="J716" s="15">
        <v>72.0</v>
      </c>
      <c r="K716" s="15">
        <v>77.7</v>
      </c>
      <c r="L716" s="15">
        <v>29.5</v>
      </c>
      <c r="M716" s="17">
        <v>1.02</v>
      </c>
      <c r="N716" s="15">
        <v>83.0</v>
      </c>
      <c r="O716" s="18">
        <v>0.51</v>
      </c>
      <c r="P716" s="17">
        <v>0.24</v>
      </c>
      <c r="Q716" s="15">
        <v>26.0</v>
      </c>
      <c r="R716" s="19">
        <v>0.0</v>
      </c>
      <c r="S716" s="14">
        <v>1.41</v>
      </c>
      <c r="T716" s="18">
        <v>1.42</v>
      </c>
      <c r="U716" s="18">
        <v>1.42</v>
      </c>
      <c r="V716" s="19">
        <v>0.0</v>
      </c>
      <c r="W716" s="21">
        <v>0.0</v>
      </c>
      <c r="X716" s="57">
        <v>-0.35</v>
      </c>
      <c r="Y716" s="20" t="s">
        <v>9592</v>
      </c>
    </row>
    <row r="717">
      <c r="A717" s="9">
        <v>688.0</v>
      </c>
      <c r="B717" s="10" t="s">
        <v>9593</v>
      </c>
      <c r="C717" s="11" t="s">
        <v>9594</v>
      </c>
      <c r="D717" s="12" t="s">
        <v>31</v>
      </c>
      <c r="E717" s="13" t="s">
        <v>9595</v>
      </c>
      <c r="F717" s="12">
        <v>27.0</v>
      </c>
      <c r="G717" s="12">
        <v>1997.0</v>
      </c>
      <c r="H717" s="14">
        <v>22.0</v>
      </c>
      <c r="I717" s="15">
        <v>617.0</v>
      </c>
      <c r="J717" s="15">
        <v>28.0</v>
      </c>
      <c r="K717" s="15">
        <v>18.0</v>
      </c>
      <c r="L717" s="15">
        <v>6.9</v>
      </c>
      <c r="M717" s="17">
        <v>0.29</v>
      </c>
      <c r="N717" s="15">
        <v>77.0</v>
      </c>
      <c r="O717" s="18">
        <v>0.14</v>
      </c>
      <c r="P717" s="17">
        <v>2.9</v>
      </c>
      <c r="Q717" s="15">
        <v>23.0</v>
      </c>
      <c r="R717" s="18">
        <v>1.45</v>
      </c>
      <c r="S717" s="14">
        <v>1.45</v>
      </c>
      <c r="T717" s="18">
        <v>2.03</v>
      </c>
      <c r="U717" s="18">
        <v>1.01</v>
      </c>
      <c r="V717" s="54">
        <v>1.01</v>
      </c>
      <c r="W717" s="55">
        <f>+1.02</f>
        <v>1.02</v>
      </c>
      <c r="X717" s="55">
        <f>+1.34</f>
        <v>1.34</v>
      </c>
      <c r="Y717" s="20" t="s">
        <v>9596</v>
      </c>
    </row>
    <row r="718">
      <c r="A718" s="9">
        <v>689.0</v>
      </c>
      <c r="B718" s="10" t="s">
        <v>9597</v>
      </c>
      <c r="C718" s="11" t="s">
        <v>9598</v>
      </c>
      <c r="D718" s="12" t="s">
        <v>36</v>
      </c>
      <c r="E718" s="13" t="s">
        <v>9599</v>
      </c>
      <c r="F718" s="12">
        <v>19.0</v>
      </c>
      <c r="G718" s="12">
        <v>2005.0</v>
      </c>
      <c r="H718" s="14">
        <v>32.0</v>
      </c>
      <c r="I718" s="16">
        <v>1740.0</v>
      </c>
      <c r="J718" s="15">
        <v>54.0</v>
      </c>
      <c r="K718" s="15">
        <v>50.9</v>
      </c>
      <c r="L718" s="15">
        <v>19.3</v>
      </c>
      <c r="M718" s="17">
        <v>0.93</v>
      </c>
      <c r="N718" s="15">
        <v>82.0</v>
      </c>
      <c r="O718" s="18">
        <v>0.47</v>
      </c>
      <c r="P718" s="17">
        <v>0.73</v>
      </c>
      <c r="Q718" s="15">
        <v>20.0</v>
      </c>
      <c r="R718" s="18">
        <v>0.26</v>
      </c>
      <c r="S718" s="14">
        <v>1.72</v>
      </c>
      <c r="T718" s="18">
        <v>1.45</v>
      </c>
      <c r="U718" s="18">
        <v>1.71</v>
      </c>
      <c r="V718" s="56">
        <v>-0.26</v>
      </c>
      <c r="W718" s="57">
        <v>-0.26</v>
      </c>
      <c r="X718" s="57">
        <v>-1.54</v>
      </c>
      <c r="Y718" s="20" t="s">
        <v>9600</v>
      </c>
    </row>
    <row r="719">
      <c r="A719" s="9">
        <v>690.0</v>
      </c>
      <c r="B719" s="10" t="s">
        <v>9601</v>
      </c>
      <c r="C719" s="11" t="s">
        <v>9602</v>
      </c>
      <c r="D719" s="12" t="s">
        <v>36</v>
      </c>
      <c r="E719" s="13" t="s">
        <v>9603</v>
      </c>
      <c r="F719" s="12">
        <v>28.0</v>
      </c>
      <c r="G719" s="12">
        <v>1996.0</v>
      </c>
      <c r="H719" s="14">
        <v>5.0</v>
      </c>
      <c r="I719" s="15">
        <v>353.0</v>
      </c>
      <c r="J719" s="15">
        <v>71.0</v>
      </c>
      <c r="K719" s="15">
        <v>10.3</v>
      </c>
      <c r="L719" s="15">
        <v>3.9</v>
      </c>
      <c r="M719" s="17">
        <v>1.03</v>
      </c>
      <c r="N719" s="15">
        <v>86.0</v>
      </c>
      <c r="O719" s="18">
        <v>0.77</v>
      </c>
      <c r="P719" s="17">
        <v>0.26</v>
      </c>
      <c r="Q719" s="15">
        <v>10.0</v>
      </c>
      <c r="R719" s="18">
        <v>0.77</v>
      </c>
      <c r="S719" s="14">
        <v>0.2</v>
      </c>
      <c r="T719" s="18">
        <v>0.26</v>
      </c>
      <c r="U719" s="18">
        <v>1.54</v>
      </c>
      <c r="V719" s="56">
        <v>-1.28</v>
      </c>
      <c r="W719" s="57">
        <v>-1.27</v>
      </c>
      <c r="X719" s="57">
        <v>-1.33</v>
      </c>
      <c r="Y719" s="20" t="s">
        <v>9604</v>
      </c>
    </row>
    <row r="720">
      <c r="A720" s="9">
        <v>691.0</v>
      </c>
      <c r="B720" s="10" t="s">
        <v>9605</v>
      </c>
      <c r="C720" s="11" t="s">
        <v>9606</v>
      </c>
      <c r="D720" s="12" t="s">
        <v>107</v>
      </c>
      <c r="E720" s="13" t="s">
        <v>9607</v>
      </c>
      <c r="F720" s="12">
        <v>24.0</v>
      </c>
      <c r="G720" s="12">
        <v>2001.0</v>
      </c>
      <c r="H720" s="14">
        <v>24.0</v>
      </c>
      <c r="I720" s="15">
        <v>626.0</v>
      </c>
      <c r="J720" s="15">
        <v>26.0</v>
      </c>
      <c r="K720" s="15">
        <v>18.3</v>
      </c>
      <c r="L720" s="15">
        <v>7.0</v>
      </c>
      <c r="M720" s="17">
        <v>0.71</v>
      </c>
      <c r="N720" s="15">
        <v>73.0</v>
      </c>
      <c r="O720" s="18">
        <v>0.29</v>
      </c>
      <c r="P720" s="17">
        <v>2.71</v>
      </c>
      <c r="Q720" s="15">
        <v>14.0</v>
      </c>
      <c r="R720" s="18">
        <v>1.71</v>
      </c>
      <c r="S720" s="14">
        <v>1.79</v>
      </c>
      <c r="T720" s="18">
        <v>1.29</v>
      </c>
      <c r="U720" s="18">
        <v>1.14</v>
      </c>
      <c r="V720" s="54">
        <v>0.14</v>
      </c>
      <c r="W720" s="55">
        <f>+0.14</f>
        <v>0.14</v>
      </c>
      <c r="X720" s="57">
        <v>-0.44</v>
      </c>
      <c r="Y720" s="20" t="s">
        <v>9608</v>
      </c>
    </row>
    <row r="721">
      <c r="A721" s="9">
        <v>692.0</v>
      </c>
      <c r="B721" s="10" t="s">
        <v>9609</v>
      </c>
      <c r="C721" s="11" t="s">
        <v>9610</v>
      </c>
      <c r="D721" s="12" t="s">
        <v>31</v>
      </c>
      <c r="E721" s="13" t="s">
        <v>9611</v>
      </c>
      <c r="F721" s="12">
        <v>26.0</v>
      </c>
      <c r="G721" s="12">
        <v>1999.0</v>
      </c>
      <c r="H721" s="14">
        <v>38.0</v>
      </c>
      <c r="I721" s="16">
        <v>2992.0</v>
      </c>
      <c r="J721" s="15">
        <v>79.0</v>
      </c>
      <c r="K721" s="15">
        <v>87.5</v>
      </c>
      <c r="L721" s="15">
        <v>33.2</v>
      </c>
      <c r="M721" s="17">
        <v>1.02</v>
      </c>
      <c r="N721" s="15">
        <v>84.0</v>
      </c>
      <c r="O721" s="18">
        <v>0.66</v>
      </c>
      <c r="P721" s="17">
        <v>0.12</v>
      </c>
      <c r="Q721" s="15">
        <v>32.0</v>
      </c>
      <c r="R721" s="19">
        <v>0.0</v>
      </c>
      <c r="S721" s="14">
        <v>2.24</v>
      </c>
      <c r="T721" s="18">
        <v>1.72</v>
      </c>
      <c r="U721" s="18">
        <v>0.75</v>
      </c>
      <c r="V721" s="54">
        <v>0.96</v>
      </c>
      <c r="W721" s="55">
        <f>+0.96</f>
        <v>0.96</v>
      </c>
      <c r="X721" s="57">
        <v>-1.56</v>
      </c>
      <c r="Y721" s="20" t="s">
        <v>9612</v>
      </c>
    </row>
    <row r="722">
      <c r="A722" s="24">
        <v>693.0</v>
      </c>
      <c r="B722" s="25" t="s">
        <v>9613</v>
      </c>
      <c r="C722" s="26" t="s">
        <v>9614</v>
      </c>
      <c r="D722" s="27" t="s">
        <v>31</v>
      </c>
      <c r="E722" s="28" t="s">
        <v>9615</v>
      </c>
      <c r="F722" s="27">
        <v>26.0</v>
      </c>
      <c r="G722" s="27">
        <v>1998.0</v>
      </c>
      <c r="H722" s="29">
        <v>24.0</v>
      </c>
      <c r="I722" s="31">
        <v>1369.0</v>
      </c>
      <c r="J722" s="30">
        <v>57.0</v>
      </c>
      <c r="K722" s="30">
        <v>40.0</v>
      </c>
      <c r="L722" s="30">
        <v>15.2</v>
      </c>
      <c r="M722" s="32">
        <v>1.05</v>
      </c>
      <c r="N722" s="30">
        <v>72.0</v>
      </c>
      <c r="O722" s="33">
        <v>0.46</v>
      </c>
      <c r="P722" s="32">
        <v>0.53</v>
      </c>
      <c r="Q722" s="30">
        <v>26.0</v>
      </c>
      <c r="R722" s="33">
        <v>0.07</v>
      </c>
      <c r="S722" s="29">
        <v>2.17</v>
      </c>
      <c r="T722" s="33">
        <v>1.91</v>
      </c>
      <c r="U722" s="33">
        <v>0.86</v>
      </c>
      <c r="V722" s="69">
        <v>1.05</v>
      </c>
      <c r="W722" s="70">
        <f>+1.05</f>
        <v>1.05</v>
      </c>
      <c r="X722" s="71">
        <v>-0.18</v>
      </c>
      <c r="Y722" s="35" t="s">
        <v>9616</v>
      </c>
    </row>
  </sheetData>
  <mergeCells count="4">
    <mergeCell ref="A1:E1"/>
    <mergeCell ref="F1:H1"/>
    <mergeCell ref="I1:K1"/>
    <mergeCell ref="L1:Q1"/>
  </mergeCells>
  <hyperlinks>
    <hyperlink r:id="rId1" ref="B3"/>
    <hyperlink r:id="rId2" ref="C3"/>
    <hyperlink r:id="rId3" ref="E3"/>
    <hyperlink r:id="rId4" ref="Y3"/>
    <hyperlink r:id="rId5" ref="B4"/>
    <hyperlink r:id="rId6" ref="C4"/>
    <hyperlink r:id="rId7" ref="E4"/>
    <hyperlink r:id="rId8" ref="Y4"/>
    <hyperlink r:id="rId9" ref="B5"/>
    <hyperlink r:id="rId10" ref="C5"/>
    <hyperlink r:id="rId11" ref="E5"/>
    <hyperlink r:id="rId12" ref="Y5"/>
    <hyperlink r:id="rId13" ref="B6"/>
    <hyperlink r:id="rId14" ref="C6"/>
    <hyperlink r:id="rId15" ref="E6"/>
    <hyperlink r:id="rId16" ref="Y6"/>
    <hyperlink r:id="rId17" ref="B7"/>
    <hyperlink r:id="rId18" ref="C7"/>
    <hyperlink r:id="rId19" ref="E7"/>
    <hyperlink r:id="rId20" ref="Y7"/>
    <hyperlink r:id="rId21" ref="B8"/>
    <hyperlink r:id="rId22" ref="C8"/>
    <hyperlink r:id="rId23" ref="E8"/>
    <hyperlink r:id="rId24" ref="Y8"/>
    <hyperlink r:id="rId25" ref="B9"/>
    <hyperlink r:id="rId26" ref="C9"/>
    <hyperlink r:id="rId27" ref="E9"/>
    <hyperlink r:id="rId28" ref="Y9"/>
    <hyperlink r:id="rId29" ref="B10"/>
    <hyperlink r:id="rId30" ref="C10"/>
    <hyperlink r:id="rId31" ref="E10"/>
    <hyperlink r:id="rId32" ref="Y10"/>
    <hyperlink r:id="rId33" ref="B11"/>
    <hyperlink r:id="rId34" ref="C11"/>
    <hyperlink r:id="rId35" ref="E11"/>
    <hyperlink r:id="rId36" ref="Y11"/>
    <hyperlink r:id="rId37" ref="B12"/>
    <hyperlink r:id="rId38" ref="C12"/>
    <hyperlink r:id="rId39" ref="E12"/>
    <hyperlink r:id="rId40" ref="Y12"/>
    <hyperlink r:id="rId41" ref="B13"/>
    <hyperlink r:id="rId42" ref="C13"/>
    <hyperlink r:id="rId43" ref="E13"/>
    <hyperlink r:id="rId44" ref="Y13"/>
    <hyperlink r:id="rId45" ref="B14"/>
    <hyperlink r:id="rId46" ref="C14"/>
    <hyperlink r:id="rId47" ref="E14"/>
    <hyperlink r:id="rId48" ref="Y14"/>
    <hyperlink r:id="rId49" ref="B15"/>
    <hyperlink r:id="rId50" ref="C15"/>
    <hyperlink r:id="rId51" ref="E15"/>
    <hyperlink r:id="rId52" ref="Y15"/>
    <hyperlink r:id="rId53" ref="B16"/>
    <hyperlink r:id="rId54" ref="C16"/>
    <hyperlink r:id="rId55" ref="E16"/>
    <hyperlink r:id="rId56" ref="Y16"/>
    <hyperlink r:id="rId57" ref="B17"/>
    <hyperlink r:id="rId58" ref="C17"/>
    <hyperlink r:id="rId59" ref="E17"/>
    <hyperlink r:id="rId60" ref="Y17"/>
    <hyperlink r:id="rId61" ref="B18"/>
    <hyperlink r:id="rId62" ref="C18"/>
    <hyperlink r:id="rId63" ref="E18"/>
    <hyperlink r:id="rId64" ref="Y18"/>
    <hyperlink r:id="rId65" ref="B19"/>
    <hyperlink r:id="rId66" ref="C19"/>
    <hyperlink r:id="rId67" ref="E19"/>
    <hyperlink r:id="rId68" ref="Y19"/>
    <hyperlink r:id="rId69" ref="B20"/>
    <hyperlink r:id="rId70" ref="C20"/>
    <hyperlink r:id="rId71" ref="E20"/>
    <hyperlink r:id="rId72" ref="Y20"/>
    <hyperlink r:id="rId73" ref="B21"/>
    <hyperlink r:id="rId74" ref="C21"/>
    <hyperlink r:id="rId75" ref="E21"/>
    <hyperlink r:id="rId76" ref="Y21"/>
    <hyperlink r:id="rId77" ref="B22"/>
    <hyperlink r:id="rId78" ref="C22"/>
    <hyperlink r:id="rId79" ref="E22"/>
    <hyperlink r:id="rId80" ref="Y22"/>
    <hyperlink r:id="rId81" ref="B23"/>
    <hyperlink r:id="rId82" ref="C23"/>
    <hyperlink r:id="rId83" ref="E23"/>
    <hyperlink r:id="rId84" ref="Y23"/>
    <hyperlink r:id="rId85" ref="B24"/>
    <hyperlink r:id="rId86" ref="C24"/>
    <hyperlink r:id="rId87" ref="E24"/>
    <hyperlink r:id="rId88" ref="Y24"/>
    <hyperlink r:id="rId89" ref="B25"/>
    <hyperlink r:id="rId90" ref="C25"/>
    <hyperlink r:id="rId91" ref="E25"/>
    <hyperlink r:id="rId92" ref="Y25"/>
    <hyperlink r:id="rId93" ref="B26"/>
    <hyperlink r:id="rId94" ref="C26"/>
    <hyperlink r:id="rId95" ref="E26"/>
    <hyperlink r:id="rId96" ref="Y26"/>
    <hyperlink r:id="rId97" ref="B27"/>
    <hyperlink r:id="rId98" ref="C27"/>
    <hyperlink r:id="rId99" ref="E27"/>
    <hyperlink r:id="rId100" ref="Y27"/>
    <hyperlink r:id="rId101" ref="B29"/>
    <hyperlink r:id="rId102" ref="C29"/>
    <hyperlink r:id="rId103" ref="E29"/>
    <hyperlink r:id="rId104" ref="Y29"/>
    <hyperlink r:id="rId105" ref="B30"/>
    <hyperlink r:id="rId106" ref="C30"/>
    <hyperlink r:id="rId107" ref="E30"/>
    <hyperlink r:id="rId108" ref="Y30"/>
    <hyperlink r:id="rId109" ref="B31"/>
    <hyperlink r:id="rId110" ref="C31"/>
    <hyperlink r:id="rId111" ref="E31"/>
    <hyperlink r:id="rId112" ref="Y31"/>
    <hyperlink r:id="rId113" ref="B32"/>
    <hyperlink r:id="rId114" ref="C32"/>
    <hyperlink r:id="rId115" ref="E32"/>
    <hyperlink r:id="rId116" ref="Y32"/>
    <hyperlink r:id="rId117" ref="B33"/>
    <hyperlink r:id="rId118" ref="C33"/>
    <hyperlink r:id="rId119" ref="E33"/>
    <hyperlink r:id="rId120" ref="Y33"/>
    <hyperlink r:id="rId121" ref="B34"/>
    <hyperlink r:id="rId122" ref="C34"/>
    <hyperlink r:id="rId123" ref="E34"/>
    <hyperlink r:id="rId124" ref="Y34"/>
    <hyperlink r:id="rId125" ref="B35"/>
    <hyperlink r:id="rId126" ref="C35"/>
    <hyperlink r:id="rId127" ref="E35"/>
    <hyperlink r:id="rId128" ref="Y35"/>
    <hyperlink r:id="rId129" ref="B36"/>
    <hyperlink r:id="rId130" ref="C36"/>
    <hyperlink r:id="rId131" ref="E36"/>
    <hyperlink r:id="rId132" ref="Y36"/>
    <hyperlink r:id="rId133" ref="B37"/>
    <hyperlink r:id="rId134" ref="C37"/>
    <hyperlink r:id="rId135" ref="E37"/>
    <hyperlink r:id="rId136" ref="Y37"/>
    <hyperlink r:id="rId137" ref="B38"/>
    <hyperlink r:id="rId138" ref="C38"/>
    <hyperlink r:id="rId139" ref="E38"/>
    <hyperlink r:id="rId140" ref="Y38"/>
    <hyperlink r:id="rId141" ref="B39"/>
    <hyperlink r:id="rId142" ref="C39"/>
    <hyperlink r:id="rId143" ref="E39"/>
    <hyperlink r:id="rId144" ref="Y39"/>
    <hyperlink r:id="rId145" ref="B40"/>
    <hyperlink r:id="rId146" ref="C40"/>
    <hyperlink r:id="rId147" ref="E40"/>
    <hyperlink r:id="rId148" ref="Y40"/>
    <hyperlink r:id="rId149" ref="B41"/>
    <hyperlink r:id="rId150" ref="C41"/>
    <hyperlink r:id="rId151" ref="E41"/>
    <hyperlink r:id="rId152" ref="Y41"/>
    <hyperlink r:id="rId153" ref="B42"/>
    <hyperlink r:id="rId154" ref="C42"/>
    <hyperlink r:id="rId155" ref="E42"/>
    <hyperlink r:id="rId156" ref="Y42"/>
    <hyperlink r:id="rId157" ref="B43"/>
    <hyperlink r:id="rId158" ref="C43"/>
    <hyperlink r:id="rId159" ref="E43"/>
    <hyperlink r:id="rId160" ref="Y43"/>
    <hyperlink r:id="rId161" ref="B44"/>
    <hyperlink r:id="rId162" ref="C44"/>
    <hyperlink r:id="rId163" ref="E44"/>
    <hyperlink r:id="rId164" ref="Y44"/>
    <hyperlink r:id="rId165" ref="B45"/>
    <hyperlink r:id="rId166" ref="C45"/>
    <hyperlink r:id="rId167" ref="E45"/>
    <hyperlink r:id="rId168" ref="Y45"/>
    <hyperlink r:id="rId169" ref="B46"/>
    <hyperlink r:id="rId170" ref="C46"/>
    <hyperlink r:id="rId171" ref="E46"/>
    <hyperlink r:id="rId172" ref="Y46"/>
    <hyperlink r:id="rId173" ref="B47"/>
    <hyperlink r:id="rId174" ref="C47"/>
    <hyperlink r:id="rId175" ref="E47"/>
    <hyperlink r:id="rId176" ref="Y47"/>
    <hyperlink r:id="rId177" ref="B48"/>
    <hyperlink r:id="rId178" ref="C48"/>
    <hyperlink r:id="rId179" ref="E48"/>
    <hyperlink r:id="rId180" ref="Y48"/>
    <hyperlink r:id="rId181" ref="B49"/>
    <hyperlink r:id="rId182" ref="C49"/>
    <hyperlink r:id="rId183" ref="E49"/>
    <hyperlink r:id="rId184" ref="Y49"/>
    <hyperlink r:id="rId185" ref="B50"/>
    <hyperlink r:id="rId186" ref="C50"/>
    <hyperlink r:id="rId187" ref="E50"/>
    <hyperlink r:id="rId188" ref="Y50"/>
    <hyperlink r:id="rId189" ref="B51"/>
    <hyperlink r:id="rId190" ref="C51"/>
    <hyperlink r:id="rId191" ref="E51"/>
    <hyperlink r:id="rId192" ref="Y51"/>
    <hyperlink r:id="rId193" ref="B52"/>
    <hyperlink r:id="rId194" ref="C52"/>
    <hyperlink r:id="rId195" ref="E52"/>
    <hyperlink r:id="rId196" ref="Y52"/>
    <hyperlink r:id="rId197" ref="B53"/>
    <hyperlink r:id="rId198" ref="C53"/>
    <hyperlink r:id="rId199" ref="E53"/>
    <hyperlink r:id="rId200" ref="Y53"/>
    <hyperlink r:id="rId201" ref="B55"/>
    <hyperlink r:id="rId202" ref="C55"/>
    <hyperlink r:id="rId203" ref="E55"/>
    <hyperlink r:id="rId204" ref="Y55"/>
    <hyperlink r:id="rId205" ref="B56"/>
    <hyperlink r:id="rId206" ref="C56"/>
    <hyperlink r:id="rId207" ref="E56"/>
    <hyperlink r:id="rId208" ref="Y56"/>
    <hyperlink r:id="rId209" ref="B57"/>
    <hyperlink r:id="rId210" ref="C57"/>
    <hyperlink r:id="rId211" ref="E57"/>
    <hyperlink r:id="rId212" ref="Y57"/>
    <hyperlink r:id="rId213" ref="B58"/>
    <hyperlink r:id="rId214" ref="C58"/>
    <hyperlink r:id="rId215" ref="E58"/>
    <hyperlink r:id="rId216" ref="Y58"/>
    <hyperlink r:id="rId217" ref="B59"/>
    <hyperlink r:id="rId218" ref="C59"/>
    <hyperlink r:id="rId219" ref="E59"/>
    <hyperlink r:id="rId220" ref="Y59"/>
    <hyperlink r:id="rId221" ref="B60"/>
    <hyperlink r:id="rId222" ref="C60"/>
    <hyperlink r:id="rId223" ref="E60"/>
    <hyperlink r:id="rId224" ref="Y60"/>
    <hyperlink r:id="rId225" ref="B61"/>
    <hyperlink r:id="rId226" ref="C61"/>
    <hyperlink r:id="rId227" ref="E61"/>
    <hyperlink r:id="rId228" ref="Y61"/>
    <hyperlink r:id="rId229" ref="B62"/>
    <hyperlink r:id="rId230" ref="C62"/>
    <hyperlink r:id="rId231" ref="E62"/>
    <hyperlink r:id="rId232" ref="Y62"/>
    <hyperlink r:id="rId233" ref="B63"/>
    <hyperlink r:id="rId234" ref="C63"/>
    <hyperlink r:id="rId235" ref="E63"/>
    <hyperlink r:id="rId236" ref="Y63"/>
    <hyperlink r:id="rId237" ref="B64"/>
    <hyperlink r:id="rId238" ref="C64"/>
    <hyperlink r:id="rId239" ref="E64"/>
    <hyperlink r:id="rId240" ref="Y64"/>
    <hyperlink r:id="rId241" ref="B65"/>
    <hyperlink r:id="rId242" ref="C65"/>
    <hyperlink r:id="rId243" ref="E65"/>
    <hyperlink r:id="rId244" ref="Y65"/>
    <hyperlink r:id="rId245" ref="B66"/>
    <hyperlink r:id="rId246" ref="C66"/>
    <hyperlink r:id="rId247" ref="E66"/>
    <hyperlink r:id="rId248" ref="Y66"/>
    <hyperlink r:id="rId249" ref="B67"/>
    <hyperlink r:id="rId250" ref="C67"/>
    <hyperlink r:id="rId251" ref="E67"/>
    <hyperlink r:id="rId252" ref="Y67"/>
    <hyperlink r:id="rId253" ref="B68"/>
    <hyperlink r:id="rId254" ref="C68"/>
    <hyperlink r:id="rId255" ref="E68"/>
    <hyperlink r:id="rId256" ref="Y68"/>
    <hyperlink r:id="rId257" ref="B69"/>
    <hyperlink r:id="rId258" ref="C69"/>
    <hyperlink r:id="rId259" ref="E69"/>
    <hyperlink r:id="rId260" ref="Y69"/>
    <hyperlink r:id="rId261" ref="B70"/>
    <hyperlink r:id="rId262" ref="C70"/>
    <hyperlink r:id="rId263" ref="E70"/>
    <hyperlink r:id="rId264" ref="Y70"/>
    <hyperlink r:id="rId265" ref="B71"/>
    <hyperlink r:id="rId266" ref="C71"/>
    <hyperlink r:id="rId267" ref="E71"/>
    <hyperlink r:id="rId268" ref="Y71"/>
    <hyperlink r:id="rId269" ref="B72"/>
    <hyperlink r:id="rId270" ref="C72"/>
    <hyperlink r:id="rId271" ref="E72"/>
    <hyperlink r:id="rId272" ref="Y72"/>
    <hyperlink r:id="rId273" ref="B73"/>
    <hyperlink r:id="rId274" ref="C73"/>
    <hyperlink r:id="rId275" ref="E73"/>
    <hyperlink r:id="rId276" ref="Y73"/>
    <hyperlink r:id="rId277" ref="B74"/>
    <hyperlink r:id="rId278" ref="C74"/>
    <hyperlink r:id="rId279" ref="E74"/>
    <hyperlink r:id="rId280" ref="Y74"/>
    <hyperlink r:id="rId281" ref="B75"/>
    <hyperlink r:id="rId282" ref="C75"/>
    <hyperlink r:id="rId283" ref="E75"/>
    <hyperlink r:id="rId284" ref="Y75"/>
    <hyperlink r:id="rId285" ref="B76"/>
    <hyperlink r:id="rId286" ref="C76"/>
    <hyperlink r:id="rId287" ref="E76"/>
    <hyperlink r:id="rId288" ref="Y76"/>
    <hyperlink r:id="rId289" ref="B77"/>
    <hyperlink r:id="rId290" ref="C77"/>
    <hyperlink r:id="rId291" ref="E77"/>
    <hyperlink r:id="rId292" ref="Y77"/>
    <hyperlink r:id="rId293" ref="B78"/>
    <hyperlink r:id="rId294" ref="C78"/>
    <hyperlink r:id="rId295" ref="E78"/>
    <hyperlink r:id="rId296" ref="Y78"/>
    <hyperlink r:id="rId297" ref="B79"/>
    <hyperlink r:id="rId298" ref="C79"/>
    <hyperlink r:id="rId299" ref="E79"/>
    <hyperlink r:id="rId300" ref="Y79"/>
    <hyperlink r:id="rId301" ref="B81"/>
    <hyperlink r:id="rId302" ref="C81"/>
    <hyperlink r:id="rId303" ref="E81"/>
    <hyperlink r:id="rId304" ref="Y81"/>
    <hyperlink r:id="rId305" ref="B82"/>
    <hyperlink r:id="rId306" ref="C82"/>
    <hyperlink r:id="rId307" ref="E82"/>
    <hyperlink r:id="rId308" ref="Y82"/>
    <hyperlink r:id="rId309" ref="B83"/>
    <hyperlink r:id="rId310" ref="C83"/>
    <hyperlink r:id="rId311" ref="E83"/>
    <hyperlink r:id="rId312" ref="Y83"/>
    <hyperlink r:id="rId313" ref="B84"/>
    <hyperlink r:id="rId314" ref="C84"/>
    <hyperlink r:id="rId315" ref="E84"/>
    <hyperlink r:id="rId316" ref="Y84"/>
    <hyperlink r:id="rId317" ref="B85"/>
    <hyperlink r:id="rId318" ref="C85"/>
    <hyperlink r:id="rId319" ref="E85"/>
    <hyperlink r:id="rId320" ref="Y85"/>
    <hyperlink r:id="rId321" ref="B86"/>
    <hyperlink r:id="rId322" ref="C86"/>
    <hyperlink r:id="rId323" ref="E86"/>
    <hyperlink r:id="rId324" ref="Y86"/>
    <hyperlink r:id="rId325" ref="B87"/>
    <hyperlink r:id="rId326" ref="C87"/>
    <hyperlink r:id="rId327" ref="E87"/>
    <hyperlink r:id="rId328" ref="Y87"/>
    <hyperlink r:id="rId329" ref="B88"/>
    <hyperlink r:id="rId330" ref="C88"/>
    <hyperlink r:id="rId331" ref="E88"/>
    <hyperlink r:id="rId332" ref="Y88"/>
    <hyperlink r:id="rId333" ref="B89"/>
    <hyperlink r:id="rId334" ref="C89"/>
    <hyperlink r:id="rId335" ref="E89"/>
    <hyperlink r:id="rId336" ref="Y89"/>
    <hyperlink r:id="rId337" ref="B90"/>
    <hyperlink r:id="rId338" ref="C90"/>
    <hyperlink r:id="rId339" ref="E90"/>
    <hyperlink r:id="rId340" ref="Y90"/>
    <hyperlink r:id="rId341" ref="B91"/>
    <hyperlink r:id="rId342" ref="C91"/>
    <hyperlink r:id="rId343" ref="E91"/>
    <hyperlink r:id="rId344" ref="Y91"/>
    <hyperlink r:id="rId345" ref="B92"/>
    <hyperlink r:id="rId346" ref="C92"/>
    <hyperlink r:id="rId347" ref="E92"/>
    <hyperlink r:id="rId348" ref="Y92"/>
    <hyperlink r:id="rId349" ref="B93"/>
    <hyperlink r:id="rId350" ref="C93"/>
    <hyperlink r:id="rId351" ref="E93"/>
    <hyperlink r:id="rId352" ref="Y93"/>
    <hyperlink r:id="rId353" ref="B94"/>
    <hyperlink r:id="rId354" ref="C94"/>
    <hyperlink r:id="rId355" ref="E94"/>
    <hyperlink r:id="rId356" ref="Y94"/>
    <hyperlink r:id="rId357" ref="B95"/>
    <hyperlink r:id="rId358" ref="C95"/>
    <hyperlink r:id="rId359" ref="E95"/>
    <hyperlink r:id="rId360" ref="Y95"/>
    <hyperlink r:id="rId361" ref="B96"/>
    <hyperlink r:id="rId362" ref="C96"/>
    <hyperlink r:id="rId363" ref="E96"/>
    <hyperlink r:id="rId364" ref="Y96"/>
    <hyperlink r:id="rId365" ref="B97"/>
    <hyperlink r:id="rId366" ref="C97"/>
    <hyperlink r:id="rId367" ref="E97"/>
    <hyperlink r:id="rId368" ref="Y97"/>
    <hyperlink r:id="rId369" ref="B98"/>
    <hyperlink r:id="rId370" ref="C98"/>
    <hyperlink r:id="rId371" ref="E98"/>
    <hyperlink r:id="rId372" ref="Y98"/>
    <hyperlink r:id="rId373" ref="B99"/>
    <hyperlink r:id="rId374" ref="C99"/>
    <hyperlink r:id="rId375" ref="E99"/>
    <hyperlink r:id="rId376" ref="Y99"/>
    <hyperlink r:id="rId377" ref="B100"/>
    <hyperlink r:id="rId378" ref="C100"/>
    <hyperlink r:id="rId379" ref="E100"/>
    <hyperlink r:id="rId380" ref="Y100"/>
    <hyperlink r:id="rId381" ref="B101"/>
    <hyperlink r:id="rId382" ref="C101"/>
    <hyperlink r:id="rId383" ref="E101"/>
    <hyperlink r:id="rId384" ref="Y101"/>
    <hyperlink r:id="rId385" ref="B102"/>
    <hyperlink r:id="rId386" ref="C102"/>
    <hyperlink r:id="rId387" ref="E102"/>
    <hyperlink r:id="rId388" ref="Y102"/>
    <hyperlink r:id="rId389" ref="B103"/>
    <hyperlink r:id="rId390" ref="C103"/>
    <hyperlink r:id="rId391" ref="E103"/>
    <hyperlink r:id="rId392" ref="Y103"/>
    <hyperlink r:id="rId393" ref="B104"/>
    <hyperlink r:id="rId394" ref="C104"/>
    <hyperlink r:id="rId395" ref="E104"/>
    <hyperlink r:id="rId396" ref="Y104"/>
    <hyperlink r:id="rId397" ref="B105"/>
    <hyperlink r:id="rId398" ref="C105"/>
    <hyperlink r:id="rId399" ref="E105"/>
    <hyperlink r:id="rId400" ref="Y105"/>
    <hyperlink r:id="rId401" ref="B107"/>
    <hyperlink r:id="rId402" ref="C107"/>
    <hyperlink r:id="rId403" ref="E107"/>
    <hyperlink r:id="rId404" ref="Y107"/>
    <hyperlink r:id="rId405" ref="B108"/>
    <hyperlink r:id="rId406" ref="C108"/>
    <hyperlink r:id="rId407" ref="E108"/>
    <hyperlink r:id="rId408" ref="Y108"/>
    <hyperlink r:id="rId409" ref="B109"/>
    <hyperlink r:id="rId410" ref="C109"/>
    <hyperlink r:id="rId411" ref="E109"/>
    <hyperlink r:id="rId412" ref="Y109"/>
    <hyperlink r:id="rId413" ref="B110"/>
    <hyperlink r:id="rId414" ref="C110"/>
    <hyperlink r:id="rId415" ref="E110"/>
    <hyperlink r:id="rId416" ref="Y110"/>
    <hyperlink r:id="rId417" ref="B111"/>
    <hyperlink r:id="rId418" ref="C111"/>
    <hyperlink r:id="rId419" ref="E111"/>
    <hyperlink r:id="rId420" ref="Y111"/>
    <hyperlink r:id="rId421" ref="B112"/>
    <hyperlink r:id="rId422" ref="C112"/>
    <hyperlink r:id="rId423" ref="E112"/>
    <hyperlink r:id="rId424" ref="Y112"/>
    <hyperlink r:id="rId425" ref="B113"/>
    <hyperlink r:id="rId426" ref="C113"/>
    <hyperlink r:id="rId427" ref="E113"/>
    <hyperlink r:id="rId428" ref="Y113"/>
    <hyperlink r:id="rId429" ref="B114"/>
    <hyperlink r:id="rId430" ref="C114"/>
    <hyperlink r:id="rId431" ref="E114"/>
    <hyperlink r:id="rId432" ref="Y114"/>
    <hyperlink r:id="rId433" ref="B115"/>
    <hyperlink r:id="rId434" ref="C115"/>
    <hyperlink r:id="rId435" ref="E115"/>
    <hyperlink r:id="rId436" ref="Y115"/>
    <hyperlink r:id="rId437" ref="B116"/>
    <hyperlink r:id="rId438" ref="C116"/>
    <hyperlink r:id="rId439" ref="E116"/>
    <hyperlink r:id="rId440" ref="Y116"/>
    <hyperlink r:id="rId441" ref="B117"/>
    <hyperlink r:id="rId442" ref="C117"/>
    <hyperlink r:id="rId443" ref="E117"/>
    <hyperlink r:id="rId444" ref="Y117"/>
    <hyperlink r:id="rId445" ref="B118"/>
    <hyperlink r:id="rId446" ref="C118"/>
    <hyperlink r:id="rId447" ref="E118"/>
    <hyperlink r:id="rId448" ref="Y118"/>
    <hyperlink r:id="rId449" ref="B119"/>
    <hyperlink r:id="rId450" ref="C119"/>
    <hyperlink r:id="rId451" ref="E119"/>
    <hyperlink r:id="rId452" ref="Y119"/>
    <hyperlink r:id="rId453" ref="B120"/>
    <hyperlink r:id="rId454" ref="C120"/>
    <hyperlink r:id="rId455" ref="E120"/>
    <hyperlink r:id="rId456" ref="Y120"/>
    <hyperlink r:id="rId457" ref="B121"/>
    <hyperlink r:id="rId458" ref="C121"/>
    <hyperlink r:id="rId459" ref="E121"/>
    <hyperlink r:id="rId460" ref="Y121"/>
    <hyperlink r:id="rId461" ref="B122"/>
    <hyperlink r:id="rId462" ref="C122"/>
    <hyperlink r:id="rId463" ref="E122"/>
    <hyperlink r:id="rId464" ref="Y122"/>
    <hyperlink r:id="rId465" ref="B123"/>
    <hyperlink r:id="rId466" ref="C123"/>
    <hyperlink r:id="rId467" ref="E123"/>
    <hyperlink r:id="rId468" ref="Y123"/>
    <hyperlink r:id="rId469" ref="B124"/>
    <hyperlink r:id="rId470" ref="C124"/>
    <hyperlink r:id="rId471" ref="E124"/>
    <hyperlink r:id="rId472" ref="Y124"/>
    <hyperlink r:id="rId473" ref="B125"/>
    <hyperlink r:id="rId474" ref="C125"/>
    <hyperlink r:id="rId475" ref="E125"/>
    <hyperlink r:id="rId476" ref="Y125"/>
    <hyperlink r:id="rId477" ref="B126"/>
    <hyperlink r:id="rId478" ref="C126"/>
    <hyperlink r:id="rId479" ref="E126"/>
    <hyperlink r:id="rId480" ref="Y126"/>
    <hyperlink r:id="rId481" ref="B127"/>
    <hyperlink r:id="rId482" ref="C127"/>
    <hyperlink r:id="rId483" ref="E127"/>
    <hyperlink r:id="rId484" ref="Y127"/>
    <hyperlink r:id="rId485" ref="B128"/>
    <hyperlink r:id="rId486" ref="C128"/>
    <hyperlink r:id="rId487" ref="E128"/>
    <hyperlink r:id="rId488" ref="Y128"/>
    <hyperlink r:id="rId489" ref="B129"/>
    <hyperlink r:id="rId490" ref="C129"/>
    <hyperlink r:id="rId491" ref="E129"/>
    <hyperlink r:id="rId492" ref="Y129"/>
    <hyperlink r:id="rId493" ref="B130"/>
    <hyperlink r:id="rId494" ref="C130"/>
    <hyperlink r:id="rId495" ref="E130"/>
    <hyperlink r:id="rId496" ref="Y130"/>
    <hyperlink r:id="rId497" ref="B131"/>
    <hyperlink r:id="rId498" ref="C131"/>
    <hyperlink r:id="rId499" ref="E131"/>
    <hyperlink r:id="rId500" ref="Y131"/>
    <hyperlink r:id="rId501" ref="B133"/>
    <hyperlink r:id="rId502" ref="C133"/>
    <hyperlink r:id="rId503" ref="E133"/>
    <hyperlink r:id="rId504" ref="Y133"/>
    <hyperlink r:id="rId505" ref="B134"/>
    <hyperlink r:id="rId506" ref="C134"/>
    <hyperlink r:id="rId507" ref="E134"/>
    <hyperlink r:id="rId508" ref="Y134"/>
    <hyperlink r:id="rId509" ref="B135"/>
    <hyperlink r:id="rId510" ref="C135"/>
    <hyperlink r:id="rId511" ref="E135"/>
    <hyperlink r:id="rId512" ref="Y135"/>
    <hyperlink r:id="rId513" ref="B136"/>
    <hyperlink r:id="rId514" ref="C136"/>
    <hyperlink r:id="rId515" ref="E136"/>
    <hyperlink r:id="rId516" ref="Y136"/>
    <hyperlink r:id="rId517" ref="B137"/>
    <hyperlink r:id="rId518" ref="C137"/>
    <hyperlink r:id="rId519" ref="E137"/>
    <hyperlink r:id="rId520" ref="Y137"/>
    <hyperlink r:id="rId521" ref="B138"/>
    <hyperlink r:id="rId522" ref="C138"/>
    <hyperlink r:id="rId523" ref="E138"/>
    <hyperlink r:id="rId524" ref="Y138"/>
    <hyperlink r:id="rId525" ref="B139"/>
    <hyperlink r:id="rId526" ref="C139"/>
    <hyperlink r:id="rId527" ref="E139"/>
    <hyperlink r:id="rId528" ref="Y139"/>
    <hyperlink r:id="rId529" ref="B140"/>
    <hyperlink r:id="rId530" ref="C140"/>
    <hyperlink r:id="rId531" ref="E140"/>
    <hyperlink r:id="rId532" ref="Y140"/>
    <hyperlink r:id="rId533" ref="B141"/>
    <hyperlink r:id="rId534" ref="C141"/>
    <hyperlink r:id="rId535" ref="E141"/>
    <hyperlink r:id="rId536" ref="Y141"/>
    <hyperlink r:id="rId537" ref="B142"/>
    <hyperlink r:id="rId538" ref="C142"/>
    <hyperlink r:id="rId539" ref="E142"/>
    <hyperlink r:id="rId540" ref="Y142"/>
    <hyperlink r:id="rId541" ref="B143"/>
    <hyperlink r:id="rId542" ref="C143"/>
    <hyperlink r:id="rId543" ref="E143"/>
    <hyperlink r:id="rId544" ref="Y143"/>
    <hyperlink r:id="rId545" ref="B144"/>
    <hyperlink r:id="rId546" ref="C144"/>
    <hyperlink r:id="rId547" ref="E144"/>
    <hyperlink r:id="rId548" ref="Y144"/>
    <hyperlink r:id="rId549" ref="B145"/>
    <hyperlink r:id="rId550" ref="C145"/>
    <hyperlink r:id="rId551" ref="E145"/>
    <hyperlink r:id="rId552" ref="Y145"/>
    <hyperlink r:id="rId553" ref="B146"/>
    <hyperlink r:id="rId554" ref="C146"/>
    <hyperlink r:id="rId555" ref="E146"/>
    <hyperlink r:id="rId556" ref="Y146"/>
    <hyperlink r:id="rId557" ref="B147"/>
    <hyperlink r:id="rId558" ref="C147"/>
    <hyperlink r:id="rId559" ref="E147"/>
    <hyperlink r:id="rId560" ref="Y147"/>
    <hyperlink r:id="rId561" ref="B148"/>
    <hyperlink r:id="rId562" ref="C148"/>
    <hyperlink r:id="rId563" ref="E148"/>
    <hyperlink r:id="rId564" ref="Y148"/>
    <hyperlink r:id="rId565" ref="B149"/>
    <hyperlink r:id="rId566" ref="C149"/>
    <hyperlink r:id="rId567" ref="E149"/>
    <hyperlink r:id="rId568" ref="Y149"/>
    <hyperlink r:id="rId569" ref="B150"/>
    <hyperlink r:id="rId570" ref="C150"/>
    <hyperlink r:id="rId571" ref="E150"/>
    <hyperlink r:id="rId572" ref="Y150"/>
    <hyperlink r:id="rId573" ref="B151"/>
    <hyperlink r:id="rId574" ref="C151"/>
    <hyperlink r:id="rId575" ref="E151"/>
    <hyperlink r:id="rId576" ref="Y151"/>
    <hyperlink r:id="rId577" ref="B152"/>
    <hyperlink r:id="rId578" ref="C152"/>
    <hyperlink r:id="rId579" ref="E152"/>
    <hyperlink r:id="rId580" ref="Y152"/>
    <hyperlink r:id="rId581" ref="B153"/>
    <hyperlink r:id="rId582" ref="C153"/>
    <hyperlink r:id="rId583" ref="E153"/>
    <hyperlink r:id="rId584" ref="Y153"/>
    <hyperlink r:id="rId585" ref="B154"/>
    <hyperlink r:id="rId586" ref="C154"/>
    <hyperlink r:id="rId587" ref="E154"/>
    <hyperlink r:id="rId588" ref="Y154"/>
    <hyperlink r:id="rId589" ref="B155"/>
    <hyperlink r:id="rId590" ref="C155"/>
    <hyperlink r:id="rId591" ref="E155"/>
    <hyperlink r:id="rId592" ref="Y155"/>
    <hyperlink r:id="rId593" ref="B156"/>
    <hyperlink r:id="rId594" ref="C156"/>
    <hyperlink r:id="rId595" ref="E156"/>
    <hyperlink r:id="rId596" ref="Y156"/>
    <hyperlink r:id="rId597" ref="B157"/>
    <hyperlink r:id="rId598" ref="C157"/>
    <hyperlink r:id="rId599" ref="E157"/>
    <hyperlink r:id="rId600" ref="Y157"/>
    <hyperlink r:id="rId601" ref="B159"/>
    <hyperlink r:id="rId602" ref="C159"/>
    <hyperlink r:id="rId603" ref="E159"/>
    <hyperlink r:id="rId604" ref="Y159"/>
    <hyperlink r:id="rId605" ref="B160"/>
    <hyperlink r:id="rId606" ref="C160"/>
    <hyperlink r:id="rId607" ref="E160"/>
    <hyperlink r:id="rId608" ref="Y160"/>
    <hyperlink r:id="rId609" ref="B161"/>
    <hyperlink r:id="rId610" ref="C161"/>
    <hyperlink r:id="rId611" ref="E161"/>
    <hyperlink r:id="rId612" ref="Y161"/>
    <hyperlink r:id="rId613" ref="B162"/>
    <hyperlink r:id="rId614" ref="C162"/>
    <hyperlink r:id="rId615" ref="E162"/>
    <hyperlink r:id="rId616" ref="Y162"/>
    <hyperlink r:id="rId617" ref="B163"/>
    <hyperlink r:id="rId618" ref="C163"/>
    <hyperlink r:id="rId619" ref="E163"/>
    <hyperlink r:id="rId620" ref="Y163"/>
    <hyperlink r:id="rId621" ref="B164"/>
    <hyperlink r:id="rId622" ref="C164"/>
    <hyperlink r:id="rId623" ref="E164"/>
    <hyperlink r:id="rId624" ref="Y164"/>
    <hyperlink r:id="rId625" ref="B165"/>
    <hyperlink r:id="rId626" ref="C165"/>
    <hyperlink r:id="rId627" ref="E165"/>
    <hyperlink r:id="rId628" ref="Y165"/>
    <hyperlink r:id="rId629" ref="B166"/>
    <hyperlink r:id="rId630" ref="C166"/>
    <hyperlink r:id="rId631" ref="E166"/>
    <hyperlink r:id="rId632" ref="Y166"/>
    <hyperlink r:id="rId633" ref="B167"/>
    <hyperlink r:id="rId634" ref="C167"/>
    <hyperlink r:id="rId635" ref="E167"/>
    <hyperlink r:id="rId636" ref="Y167"/>
    <hyperlink r:id="rId637" ref="B168"/>
    <hyperlink r:id="rId638" ref="C168"/>
    <hyperlink r:id="rId639" ref="E168"/>
    <hyperlink r:id="rId640" ref="Y168"/>
    <hyperlink r:id="rId641" ref="B169"/>
    <hyperlink r:id="rId642" ref="C169"/>
    <hyperlink r:id="rId643" ref="E169"/>
    <hyperlink r:id="rId644" ref="Y169"/>
    <hyperlink r:id="rId645" ref="B170"/>
    <hyperlink r:id="rId646" ref="C170"/>
    <hyperlink r:id="rId647" ref="E170"/>
    <hyperlink r:id="rId648" ref="Y170"/>
    <hyperlink r:id="rId649" ref="B171"/>
    <hyperlink r:id="rId650" ref="C171"/>
    <hyperlink r:id="rId651" ref="E171"/>
    <hyperlink r:id="rId652" ref="Y171"/>
    <hyperlink r:id="rId653" ref="B172"/>
    <hyperlink r:id="rId654" ref="C172"/>
    <hyperlink r:id="rId655" ref="E172"/>
    <hyperlink r:id="rId656" ref="Y172"/>
    <hyperlink r:id="rId657" ref="B173"/>
    <hyperlink r:id="rId658" ref="C173"/>
    <hyperlink r:id="rId659" ref="E173"/>
    <hyperlink r:id="rId660" ref="Y173"/>
    <hyperlink r:id="rId661" ref="B174"/>
    <hyperlink r:id="rId662" ref="C174"/>
    <hyperlink r:id="rId663" ref="E174"/>
    <hyperlink r:id="rId664" ref="Y174"/>
    <hyperlink r:id="rId665" ref="B175"/>
    <hyperlink r:id="rId666" ref="C175"/>
    <hyperlink r:id="rId667" ref="E175"/>
    <hyperlink r:id="rId668" ref="Y175"/>
    <hyperlink r:id="rId669" ref="B176"/>
    <hyperlink r:id="rId670" ref="C176"/>
    <hyperlink r:id="rId671" ref="E176"/>
    <hyperlink r:id="rId672" ref="Y176"/>
    <hyperlink r:id="rId673" ref="B177"/>
    <hyperlink r:id="rId674" ref="C177"/>
    <hyperlink r:id="rId675" ref="E177"/>
    <hyperlink r:id="rId676" ref="Y177"/>
    <hyperlink r:id="rId677" ref="B178"/>
    <hyperlink r:id="rId678" ref="C178"/>
    <hyperlink r:id="rId679" ref="E178"/>
    <hyperlink r:id="rId680" ref="Y178"/>
    <hyperlink r:id="rId681" ref="B179"/>
    <hyperlink r:id="rId682" ref="C179"/>
    <hyperlink r:id="rId683" ref="E179"/>
    <hyperlink r:id="rId684" ref="Y179"/>
    <hyperlink r:id="rId685" ref="B180"/>
    <hyperlink r:id="rId686" ref="C180"/>
    <hyperlink r:id="rId687" ref="E180"/>
    <hyperlink r:id="rId688" ref="Y180"/>
    <hyperlink r:id="rId689" ref="B181"/>
    <hyperlink r:id="rId690" ref="C181"/>
    <hyperlink r:id="rId691" ref="E181"/>
    <hyperlink r:id="rId692" ref="Y181"/>
    <hyperlink r:id="rId693" ref="B182"/>
    <hyperlink r:id="rId694" ref="C182"/>
    <hyperlink r:id="rId695" ref="E182"/>
    <hyperlink r:id="rId696" ref="Y182"/>
    <hyperlink r:id="rId697" ref="B183"/>
    <hyperlink r:id="rId698" ref="C183"/>
    <hyperlink r:id="rId699" ref="E183"/>
    <hyperlink r:id="rId700" ref="Y183"/>
    <hyperlink r:id="rId701" ref="B185"/>
    <hyperlink r:id="rId702" ref="C185"/>
    <hyperlink r:id="rId703" ref="E185"/>
    <hyperlink r:id="rId704" ref="Y185"/>
    <hyperlink r:id="rId705" ref="B186"/>
    <hyperlink r:id="rId706" ref="C186"/>
    <hyperlink r:id="rId707" ref="E186"/>
    <hyperlink r:id="rId708" ref="Y186"/>
    <hyperlink r:id="rId709" ref="B187"/>
    <hyperlink r:id="rId710" ref="C187"/>
    <hyperlink r:id="rId711" ref="E187"/>
    <hyperlink r:id="rId712" ref="Y187"/>
    <hyperlink r:id="rId713" ref="B188"/>
    <hyperlink r:id="rId714" ref="C188"/>
    <hyperlink r:id="rId715" ref="E188"/>
    <hyperlink r:id="rId716" ref="Y188"/>
    <hyperlink r:id="rId717" ref="B189"/>
    <hyperlink r:id="rId718" ref="C189"/>
    <hyperlink r:id="rId719" ref="E189"/>
    <hyperlink r:id="rId720" ref="Y189"/>
    <hyperlink r:id="rId721" ref="B190"/>
    <hyperlink r:id="rId722" ref="C190"/>
    <hyperlink r:id="rId723" ref="E190"/>
    <hyperlink r:id="rId724" ref="Y190"/>
    <hyperlink r:id="rId725" ref="B191"/>
    <hyperlink r:id="rId726" ref="C191"/>
    <hyperlink r:id="rId727" ref="E191"/>
    <hyperlink r:id="rId728" ref="Y191"/>
    <hyperlink r:id="rId729" ref="B192"/>
    <hyperlink r:id="rId730" ref="C192"/>
    <hyperlink r:id="rId731" ref="E192"/>
    <hyperlink r:id="rId732" ref="Y192"/>
    <hyperlink r:id="rId733" ref="B193"/>
    <hyperlink r:id="rId734" ref="C193"/>
    <hyperlink r:id="rId735" ref="E193"/>
    <hyperlink r:id="rId736" ref="Y193"/>
    <hyperlink r:id="rId737" ref="B194"/>
    <hyperlink r:id="rId738" ref="C194"/>
    <hyperlink r:id="rId739" ref="E194"/>
    <hyperlink r:id="rId740" ref="Y194"/>
    <hyperlink r:id="rId741" ref="B195"/>
    <hyperlink r:id="rId742" ref="C195"/>
    <hyperlink r:id="rId743" ref="E195"/>
    <hyperlink r:id="rId744" ref="Y195"/>
    <hyperlink r:id="rId745" ref="B196"/>
    <hyperlink r:id="rId746" ref="C196"/>
    <hyperlink r:id="rId747" ref="E196"/>
    <hyperlink r:id="rId748" ref="Y196"/>
    <hyperlink r:id="rId749" ref="B197"/>
    <hyperlink r:id="rId750" ref="C197"/>
    <hyperlink r:id="rId751" ref="E197"/>
    <hyperlink r:id="rId752" ref="Y197"/>
    <hyperlink r:id="rId753" ref="B198"/>
    <hyperlink r:id="rId754" ref="C198"/>
    <hyperlink r:id="rId755" ref="E198"/>
    <hyperlink r:id="rId756" ref="Y198"/>
    <hyperlink r:id="rId757" ref="B199"/>
    <hyperlink r:id="rId758" ref="C199"/>
    <hyperlink r:id="rId759" ref="E199"/>
    <hyperlink r:id="rId760" ref="Y199"/>
    <hyperlink r:id="rId761" ref="B200"/>
    <hyperlink r:id="rId762" ref="C200"/>
    <hyperlink r:id="rId763" ref="E200"/>
    <hyperlink r:id="rId764" ref="Y200"/>
    <hyperlink r:id="rId765" ref="B201"/>
    <hyperlink r:id="rId766" ref="C201"/>
    <hyperlink r:id="rId767" ref="E201"/>
    <hyperlink r:id="rId768" ref="Y201"/>
    <hyperlink r:id="rId769" ref="B202"/>
    <hyperlink r:id="rId770" ref="C202"/>
    <hyperlink r:id="rId771" ref="E202"/>
    <hyperlink r:id="rId772" ref="Y202"/>
    <hyperlink r:id="rId773" ref="B203"/>
    <hyperlink r:id="rId774" ref="C203"/>
    <hyperlink r:id="rId775" ref="E203"/>
    <hyperlink r:id="rId776" ref="Y203"/>
    <hyperlink r:id="rId777" ref="B204"/>
    <hyperlink r:id="rId778" ref="C204"/>
    <hyperlink r:id="rId779" ref="E204"/>
    <hyperlink r:id="rId780" ref="Y204"/>
    <hyperlink r:id="rId781" ref="B205"/>
    <hyperlink r:id="rId782" ref="C205"/>
    <hyperlink r:id="rId783" ref="E205"/>
    <hyperlink r:id="rId784" ref="Y205"/>
    <hyperlink r:id="rId785" ref="B206"/>
    <hyperlink r:id="rId786" ref="C206"/>
    <hyperlink r:id="rId787" ref="E206"/>
    <hyperlink r:id="rId788" ref="Y206"/>
    <hyperlink r:id="rId789" ref="B207"/>
    <hyperlink r:id="rId790" ref="C207"/>
    <hyperlink r:id="rId791" ref="E207"/>
    <hyperlink r:id="rId792" ref="Y207"/>
    <hyperlink r:id="rId793" ref="B208"/>
    <hyperlink r:id="rId794" ref="C208"/>
    <hyperlink r:id="rId795" ref="E208"/>
    <hyperlink r:id="rId796" ref="Y208"/>
    <hyperlink r:id="rId797" ref="B209"/>
    <hyperlink r:id="rId798" ref="C209"/>
    <hyperlink r:id="rId799" ref="E209"/>
    <hyperlink r:id="rId800" ref="Y209"/>
    <hyperlink r:id="rId801" ref="B211"/>
    <hyperlink r:id="rId802" ref="C211"/>
    <hyperlink r:id="rId803" ref="E211"/>
    <hyperlink r:id="rId804" ref="Y211"/>
    <hyperlink r:id="rId805" ref="B212"/>
    <hyperlink r:id="rId806" ref="C212"/>
    <hyperlink r:id="rId807" ref="E212"/>
    <hyperlink r:id="rId808" ref="Y212"/>
    <hyperlink r:id="rId809" ref="B213"/>
    <hyperlink r:id="rId810" ref="C213"/>
    <hyperlink r:id="rId811" ref="E213"/>
    <hyperlink r:id="rId812" ref="Y213"/>
    <hyperlink r:id="rId813" ref="B214"/>
    <hyperlink r:id="rId814" ref="C214"/>
    <hyperlink r:id="rId815" ref="E214"/>
    <hyperlink r:id="rId816" ref="Y214"/>
    <hyperlink r:id="rId817" ref="B215"/>
    <hyperlink r:id="rId818" ref="C215"/>
    <hyperlink r:id="rId819" ref="E215"/>
    <hyperlink r:id="rId820" ref="Y215"/>
    <hyperlink r:id="rId821" ref="B216"/>
    <hyperlink r:id="rId822" ref="C216"/>
    <hyperlink r:id="rId823" ref="E216"/>
    <hyperlink r:id="rId824" ref="Y216"/>
    <hyperlink r:id="rId825" ref="B217"/>
    <hyperlink r:id="rId826" ref="C217"/>
    <hyperlink r:id="rId827" ref="E217"/>
    <hyperlink r:id="rId828" ref="Y217"/>
    <hyperlink r:id="rId829" ref="B218"/>
    <hyperlink r:id="rId830" ref="C218"/>
    <hyperlink r:id="rId831" ref="E218"/>
    <hyperlink r:id="rId832" ref="Y218"/>
    <hyperlink r:id="rId833" ref="B219"/>
    <hyperlink r:id="rId834" ref="C219"/>
    <hyperlink r:id="rId835" ref="E219"/>
    <hyperlink r:id="rId836" ref="Y219"/>
    <hyperlink r:id="rId837" ref="B220"/>
    <hyperlink r:id="rId838" ref="C220"/>
    <hyperlink r:id="rId839" ref="E220"/>
    <hyperlink r:id="rId840" ref="Y220"/>
    <hyperlink r:id="rId841" ref="B221"/>
    <hyperlink r:id="rId842" ref="C221"/>
    <hyperlink r:id="rId843" ref="E221"/>
    <hyperlink r:id="rId844" ref="Y221"/>
    <hyperlink r:id="rId845" ref="B222"/>
    <hyperlink r:id="rId846" ref="C222"/>
    <hyperlink r:id="rId847" ref="E222"/>
    <hyperlink r:id="rId848" ref="Y222"/>
    <hyperlink r:id="rId849" ref="B223"/>
    <hyperlink r:id="rId850" ref="C223"/>
    <hyperlink r:id="rId851" ref="E223"/>
    <hyperlink r:id="rId852" ref="Y223"/>
    <hyperlink r:id="rId853" ref="B224"/>
    <hyperlink r:id="rId854" ref="C224"/>
    <hyperlink r:id="rId855" ref="E224"/>
    <hyperlink r:id="rId856" ref="Y224"/>
    <hyperlink r:id="rId857" ref="B225"/>
    <hyperlink r:id="rId858" ref="C225"/>
    <hyperlink r:id="rId859" ref="E225"/>
    <hyperlink r:id="rId860" ref="Y225"/>
    <hyperlink r:id="rId861" ref="B226"/>
    <hyperlink r:id="rId862" ref="C226"/>
    <hyperlink r:id="rId863" ref="E226"/>
    <hyperlink r:id="rId864" ref="Y226"/>
    <hyperlink r:id="rId865" ref="B227"/>
    <hyperlink r:id="rId866" ref="C227"/>
    <hyperlink r:id="rId867" ref="E227"/>
    <hyperlink r:id="rId868" ref="Y227"/>
    <hyperlink r:id="rId869" ref="B228"/>
    <hyperlink r:id="rId870" ref="C228"/>
    <hyperlink r:id="rId871" ref="E228"/>
    <hyperlink r:id="rId872" ref="Y228"/>
    <hyperlink r:id="rId873" ref="B229"/>
    <hyperlink r:id="rId874" ref="C229"/>
    <hyperlink r:id="rId875" ref="E229"/>
    <hyperlink r:id="rId876" ref="Y229"/>
    <hyperlink r:id="rId877" ref="B230"/>
    <hyperlink r:id="rId878" ref="C230"/>
    <hyperlink r:id="rId879" ref="E230"/>
    <hyperlink r:id="rId880" ref="Y230"/>
    <hyperlink r:id="rId881" ref="B231"/>
    <hyperlink r:id="rId882" ref="C231"/>
    <hyperlink r:id="rId883" ref="E231"/>
    <hyperlink r:id="rId884" ref="Y231"/>
    <hyperlink r:id="rId885" ref="B232"/>
    <hyperlink r:id="rId886" ref="C232"/>
    <hyperlink r:id="rId887" ref="E232"/>
    <hyperlink r:id="rId888" ref="Y232"/>
    <hyperlink r:id="rId889" ref="B233"/>
    <hyperlink r:id="rId890" ref="C233"/>
    <hyperlink r:id="rId891" ref="E233"/>
    <hyperlink r:id="rId892" ref="Y233"/>
    <hyperlink r:id="rId893" ref="B234"/>
    <hyperlink r:id="rId894" ref="C234"/>
    <hyperlink r:id="rId895" ref="E234"/>
    <hyperlink r:id="rId896" ref="Y234"/>
    <hyperlink r:id="rId897" ref="B235"/>
    <hyperlink r:id="rId898" ref="C235"/>
    <hyperlink r:id="rId899" ref="E235"/>
    <hyperlink r:id="rId900" ref="Y235"/>
    <hyperlink r:id="rId901" ref="B237"/>
    <hyperlink r:id="rId902" ref="C237"/>
    <hyperlink r:id="rId903" ref="E237"/>
    <hyperlink r:id="rId904" ref="Y237"/>
    <hyperlink r:id="rId905" ref="B238"/>
    <hyperlink r:id="rId906" ref="C238"/>
    <hyperlink r:id="rId907" ref="E238"/>
    <hyperlink r:id="rId908" ref="Y238"/>
    <hyperlink r:id="rId909" ref="B239"/>
    <hyperlink r:id="rId910" ref="C239"/>
    <hyperlink r:id="rId911" ref="E239"/>
    <hyperlink r:id="rId912" ref="Y239"/>
    <hyperlink r:id="rId913" ref="B240"/>
    <hyperlink r:id="rId914" ref="C240"/>
    <hyperlink r:id="rId915" ref="E240"/>
    <hyperlink r:id="rId916" ref="Y240"/>
    <hyperlink r:id="rId917" ref="B241"/>
    <hyperlink r:id="rId918" ref="C241"/>
    <hyperlink r:id="rId919" ref="E241"/>
    <hyperlink r:id="rId920" ref="Y241"/>
    <hyperlink r:id="rId921" ref="B242"/>
    <hyperlink r:id="rId922" ref="C242"/>
    <hyperlink r:id="rId923" ref="E242"/>
    <hyperlink r:id="rId924" ref="Y242"/>
    <hyperlink r:id="rId925" ref="B243"/>
    <hyperlink r:id="rId926" ref="C243"/>
    <hyperlink r:id="rId927" ref="E243"/>
    <hyperlink r:id="rId928" ref="Y243"/>
    <hyperlink r:id="rId929" ref="B244"/>
    <hyperlink r:id="rId930" ref="C244"/>
    <hyperlink r:id="rId931" ref="E244"/>
    <hyperlink r:id="rId932" ref="Y244"/>
    <hyperlink r:id="rId933" ref="B245"/>
    <hyperlink r:id="rId934" ref="C245"/>
    <hyperlink r:id="rId935" ref="E245"/>
    <hyperlink r:id="rId936" ref="Y245"/>
    <hyperlink r:id="rId937" ref="B246"/>
    <hyperlink r:id="rId938" ref="C246"/>
    <hyperlink r:id="rId939" ref="E246"/>
    <hyperlink r:id="rId940" ref="Y246"/>
    <hyperlink r:id="rId941" ref="B247"/>
    <hyperlink r:id="rId942" ref="C247"/>
    <hyperlink r:id="rId943" ref="E247"/>
    <hyperlink r:id="rId944" ref="Y247"/>
    <hyperlink r:id="rId945" ref="B248"/>
    <hyperlink r:id="rId946" ref="C248"/>
    <hyperlink r:id="rId947" ref="E248"/>
    <hyperlink r:id="rId948" ref="Y248"/>
    <hyperlink r:id="rId949" ref="B249"/>
    <hyperlink r:id="rId950" ref="C249"/>
    <hyperlink r:id="rId951" ref="E249"/>
    <hyperlink r:id="rId952" ref="Y249"/>
    <hyperlink r:id="rId953" ref="B250"/>
    <hyperlink r:id="rId954" ref="C250"/>
    <hyperlink r:id="rId955" ref="E250"/>
    <hyperlink r:id="rId956" ref="Y250"/>
    <hyperlink r:id="rId957" ref="B251"/>
    <hyperlink r:id="rId958" ref="C251"/>
    <hyperlink r:id="rId959" ref="E251"/>
    <hyperlink r:id="rId960" ref="Y251"/>
    <hyperlink r:id="rId961" ref="B252"/>
    <hyperlink r:id="rId962" ref="C252"/>
    <hyperlink r:id="rId963" ref="E252"/>
    <hyperlink r:id="rId964" ref="Y252"/>
    <hyperlink r:id="rId965" ref="B253"/>
    <hyperlink r:id="rId966" ref="C253"/>
    <hyperlink r:id="rId967" ref="E253"/>
    <hyperlink r:id="rId968" ref="Y253"/>
    <hyperlink r:id="rId969" ref="B254"/>
    <hyperlink r:id="rId970" ref="C254"/>
    <hyperlink r:id="rId971" ref="E254"/>
    <hyperlink r:id="rId972" ref="Y254"/>
    <hyperlink r:id="rId973" ref="B255"/>
    <hyperlink r:id="rId974" ref="C255"/>
    <hyperlink r:id="rId975" ref="E255"/>
    <hyperlink r:id="rId976" ref="Y255"/>
    <hyperlink r:id="rId977" ref="B256"/>
    <hyperlink r:id="rId978" ref="C256"/>
    <hyperlink r:id="rId979" ref="E256"/>
    <hyperlink r:id="rId980" ref="Y256"/>
    <hyperlink r:id="rId981" ref="B257"/>
    <hyperlink r:id="rId982" ref="C257"/>
    <hyperlink r:id="rId983" ref="E257"/>
    <hyperlink r:id="rId984" ref="Y257"/>
    <hyperlink r:id="rId985" ref="B258"/>
    <hyperlink r:id="rId986" ref="C258"/>
    <hyperlink r:id="rId987" ref="E258"/>
    <hyperlink r:id="rId988" ref="Y258"/>
    <hyperlink r:id="rId989" ref="B259"/>
    <hyperlink r:id="rId990" ref="C259"/>
    <hyperlink r:id="rId991" ref="E259"/>
    <hyperlink r:id="rId992" ref="Y259"/>
    <hyperlink r:id="rId993" ref="B260"/>
    <hyperlink r:id="rId994" ref="C260"/>
    <hyperlink r:id="rId995" ref="E260"/>
    <hyperlink r:id="rId996" ref="Y260"/>
    <hyperlink r:id="rId997" ref="B261"/>
    <hyperlink r:id="rId998" ref="C261"/>
    <hyperlink r:id="rId999" ref="E261"/>
    <hyperlink r:id="rId1000" ref="Y261"/>
    <hyperlink r:id="rId1001" ref="B263"/>
    <hyperlink r:id="rId1002" ref="C263"/>
    <hyperlink r:id="rId1003" ref="E263"/>
    <hyperlink r:id="rId1004" ref="Y263"/>
    <hyperlink r:id="rId1005" ref="B264"/>
    <hyperlink r:id="rId1006" ref="C264"/>
    <hyperlink r:id="rId1007" ref="E264"/>
    <hyperlink r:id="rId1008" ref="Y264"/>
    <hyperlink r:id="rId1009" ref="B265"/>
    <hyperlink r:id="rId1010" ref="C265"/>
    <hyperlink r:id="rId1011" ref="E265"/>
    <hyperlink r:id="rId1012" ref="Y265"/>
    <hyperlink r:id="rId1013" ref="B266"/>
    <hyperlink r:id="rId1014" ref="C266"/>
    <hyperlink r:id="rId1015" ref="E266"/>
    <hyperlink r:id="rId1016" ref="Y266"/>
    <hyperlink r:id="rId1017" ref="B267"/>
    <hyperlink r:id="rId1018" ref="C267"/>
    <hyperlink r:id="rId1019" ref="E267"/>
    <hyperlink r:id="rId1020" ref="Y267"/>
    <hyperlink r:id="rId1021" ref="B268"/>
    <hyperlink r:id="rId1022" ref="C268"/>
    <hyperlink r:id="rId1023" ref="E268"/>
    <hyperlink r:id="rId1024" ref="Y268"/>
    <hyperlink r:id="rId1025" ref="B269"/>
    <hyperlink r:id="rId1026" ref="C269"/>
    <hyperlink r:id="rId1027" ref="E269"/>
    <hyperlink r:id="rId1028" ref="Y269"/>
    <hyperlink r:id="rId1029" ref="B270"/>
    <hyperlink r:id="rId1030" ref="C270"/>
    <hyperlink r:id="rId1031" ref="E270"/>
    <hyperlink r:id="rId1032" ref="Y270"/>
    <hyperlink r:id="rId1033" ref="B271"/>
    <hyperlink r:id="rId1034" ref="C271"/>
    <hyperlink r:id="rId1035" ref="E271"/>
    <hyperlink r:id="rId1036" ref="Y271"/>
    <hyperlink r:id="rId1037" ref="B272"/>
    <hyperlink r:id="rId1038" ref="C272"/>
    <hyperlink r:id="rId1039" ref="E272"/>
    <hyperlink r:id="rId1040" ref="Y272"/>
    <hyperlink r:id="rId1041" ref="B273"/>
    <hyperlink r:id="rId1042" ref="C273"/>
    <hyperlink r:id="rId1043" ref="E273"/>
    <hyperlink r:id="rId1044" ref="Y273"/>
    <hyperlink r:id="rId1045" ref="B274"/>
    <hyperlink r:id="rId1046" ref="C274"/>
    <hyperlink r:id="rId1047" ref="E274"/>
    <hyperlink r:id="rId1048" ref="Y274"/>
    <hyperlink r:id="rId1049" ref="B275"/>
    <hyperlink r:id="rId1050" ref="C275"/>
    <hyperlink r:id="rId1051" ref="E275"/>
    <hyperlink r:id="rId1052" ref="Y275"/>
    <hyperlink r:id="rId1053" ref="B276"/>
    <hyperlink r:id="rId1054" ref="C276"/>
    <hyperlink r:id="rId1055" ref="E276"/>
    <hyperlink r:id="rId1056" ref="Y276"/>
    <hyperlink r:id="rId1057" ref="B277"/>
    <hyperlink r:id="rId1058" ref="C277"/>
    <hyperlink r:id="rId1059" ref="E277"/>
    <hyperlink r:id="rId1060" ref="Y277"/>
    <hyperlink r:id="rId1061" ref="B278"/>
    <hyperlink r:id="rId1062" ref="C278"/>
    <hyperlink r:id="rId1063" ref="E278"/>
    <hyperlink r:id="rId1064" ref="Y278"/>
    <hyperlink r:id="rId1065" ref="B279"/>
    <hyperlink r:id="rId1066" ref="C279"/>
    <hyperlink r:id="rId1067" ref="E279"/>
    <hyperlink r:id="rId1068" ref="Y279"/>
    <hyperlink r:id="rId1069" ref="B280"/>
    <hyperlink r:id="rId1070" ref="C280"/>
    <hyperlink r:id="rId1071" ref="E280"/>
    <hyperlink r:id="rId1072" ref="Y280"/>
    <hyperlink r:id="rId1073" ref="B281"/>
    <hyperlink r:id="rId1074" ref="C281"/>
    <hyperlink r:id="rId1075" ref="E281"/>
    <hyperlink r:id="rId1076" ref="Y281"/>
    <hyperlink r:id="rId1077" ref="B282"/>
    <hyperlink r:id="rId1078" ref="C282"/>
    <hyperlink r:id="rId1079" ref="E282"/>
    <hyperlink r:id="rId1080" ref="Y282"/>
    <hyperlink r:id="rId1081" ref="B283"/>
    <hyperlink r:id="rId1082" ref="C283"/>
    <hyperlink r:id="rId1083" ref="E283"/>
    <hyperlink r:id="rId1084" ref="Y283"/>
    <hyperlink r:id="rId1085" ref="B284"/>
    <hyperlink r:id="rId1086" ref="C284"/>
    <hyperlink r:id="rId1087" ref="E284"/>
    <hyperlink r:id="rId1088" ref="Y284"/>
    <hyperlink r:id="rId1089" ref="B285"/>
    <hyperlink r:id="rId1090" ref="C285"/>
    <hyperlink r:id="rId1091" ref="E285"/>
    <hyperlink r:id="rId1092" ref="Y285"/>
    <hyperlink r:id="rId1093" ref="B286"/>
    <hyperlink r:id="rId1094" ref="C286"/>
    <hyperlink r:id="rId1095" ref="E286"/>
    <hyperlink r:id="rId1096" ref="Y286"/>
    <hyperlink r:id="rId1097" ref="B287"/>
    <hyperlink r:id="rId1098" ref="C287"/>
    <hyperlink r:id="rId1099" ref="E287"/>
    <hyperlink r:id="rId1100" ref="Y287"/>
    <hyperlink r:id="rId1101" ref="B289"/>
    <hyperlink r:id="rId1102" ref="C289"/>
    <hyperlink r:id="rId1103" ref="E289"/>
    <hyperlink r:id="rId1104" ref="Y289"/>
    <hyperlink r:id="rId1105" ref="B290"/>
    <hyperlink r:id="rId1106" ref="C290"/>
    <hyperlink r:id="rId1107" ref="E290"/>
    <hyperlink r:id="rId1108" ref="Y290"/>
    <hyperlink r:id="rId1109" ref="B291"/>
    <hyperlink r:id="rId1110" ref="C291"/>
    <hyperlink r:id="rId1111" ref="E291"/>
    <hyperlink r:id="rId1112" ref="Y291"/>
    <hyperlink r:id="rId1113" ref="B292"/>
    <hyperlink r:id="rId1114" ref="C292"/>
    <hyperlink r:id="rId1115" ref="E292"/>
    <hyperlink r:id="rId1116" ref="Y292"/>
    <hyperlink r:id="rId1117" ref="B293"/>
    <hyperlink r:id="rId1118" ref="C293"/>
    <hyperlink r:id="rId1119" ref="E293"/>
    <hyperlink r:id="rId1120" ref="Y293"/>
    <hyperlink r:id="rId1121" ref="B294"/>
    <hyperlink r:id="rId1122" ref="C294"/>
    <hyperlink r:id="rId1123" ref="E294"/>
    <hyperlink r:id="rId1124" ref="Y294"/>
    <hyperlink r:id="rId1125" ref="B295"/>
    <hyperlink r:id="rId1126" ref="C295"/>
    <hyperlink r:id="rId1127" ref="E295"/>
    <hyperlink r:id="rId1128" ref="Y295"/>
    <hyperlink r:id="rId1129" ref="B296"/>
    <hyperlink r:id="rId1130" ref="C296"/>
    <hyperlink r:id="rId1131" ref="E296"/>
    <hyperlink r:id="rId1132" ref="Y296"/>
    <hyperlink r:id="rId1133" ref="B297"/>
    <hyperlink r:id="rId1134" ref="C297"/>
    <hyperlink r:id="rId1135" ref="E297"/>
    <hyperlink r:id="rId1136" ref="Y297"/>
    <hyperlink r:id="rId1137" ref="B298"/>
    <hyperlink r:id="rId1138" ref="C298"/>
    <hyperlink r:id="rId1139" ref="E298"/>
    <hyperlink r:id="rId1140" ref="Y298"/>
    <hyperlink r:id="rId1141" ref="B299"/>
    <hyperlink r:id="rId1142" ref="C299"/>
    <hyperlink r:id="rId1143" ref="E299"/>
    <hyperlink r:id="rId1144" ref="Y299"/>
    <hyperlink r:id="rId1145" ref="B300"/>
    <hyperlink r:id="rId1146" ref="C300"/>
    <hyperlink r:id="rId1147" ref="E300"/>
    <hyperlink r:id="rId1148" ref="Y300"/>
    <hyperlink r:id="rId1149" ref="B301"/>
    <hyperlink r:id="rId1150" ref="C301"/>
    <hyperlink r:id="rId1151" ref="E301"/>
    <hyperlink r:id="rId1152" ref="Y301"/>
    <hyperlink r:id="rId1153" ref="B302"/>
    <hyperlink r:id="rId1154" ref="C302"/>
    <hyperlink r:id="rId1155" ref="E302"/>
    <hyperlink r:id="rId1156" ref="Y302"/>
    <hyperlink r:id="rId1157" ref="B303"/>
    <hyperlink r:id="rId1158" ref="C303"/>
    <hyperlink r:id="rId1159" ref="E303"/>
    <hyperlink r:id="rId1160" ref="Y303"/>
    <hyperlink r:id="rId1161" ref="B304"/>
    <hyperlink r:id="rId1162" ref="C304"/>
    <hyperlink r:id="rId1163" ref="E304"/>
    <hyperlink r:id="rId1164" ref="Y304"/>
    <hyperlink r:id="rId1165" ref="B305"/>
    <hyperlink r:id="rId1166" ref="C305"/>
    <hyperlink r:id="rId1167" ref="E305"/>
    <hyperlink r:id="rId1168" ref="Y305"/>
    <hyperlink r:id="rId1169" ref="B306"/>
    <hyperlink r:id="rId1170" ref="C306"/>
    <hyperlink r:id="rId1171" ref="E306"/>
    <hyperlink r:id="rId1172" ref="Y306"/>
    <hyperlink r:id="rId1173" ref="B307"/>
    <hyperlink r:id="rId1174" ref="C307"/>
    <hyperlink r:id="rId1175" ref="E307"/>
    <hyperlink r:id="rId1176" ref="Y307"/>
    <hyperlink r:id="rId1177" ref="B308"/>
    <hyperlink r:id="rId1178" ref="C308"/>
    <hyperlink r:id="rId1179" ref="E308"/>
    <hyperlink r:id="rId1180" ref="Y308"/>
    <hyperlink r:id="rId1181" ref="B309"/>
    <hyperlink r:id="rId1182" ref="C309"/>
    <hyperlink r:id="rId1183" ref="E309"/>
    <hyperlink r:id="rId1184" ref="Y309"/>
    <hyperlink r:id="rId1185" ref="B310"/>
    <hyperlink r:id="rId1186" ref="C310"/>
    <hyperlink r:id="rId1187" ref="E310"/>
    <hyperlink r:id="rId1188" ref="Y310"/>
    <hyperlink r:id="rId1189" ref="B311"/>
    <hyperlink r:id="rId1190" ref="C311"/>
    <hyperlink r:id="rId1191" ref="E311"/>
    <hyperlink r:id="rId1192" ref="Y311"/>
    <hyperlink r:id="rId1193" ref="B312"/>
    <hyperlink r:id="rId1194" ref="C312"/>
    <hyperlink r:id="rId1195" ref="E312"/>
    <hyperlink r:id="rId1196" ref="Y312"/>
    <hyperlink r:id="rId1197" ref="B313"/>
    <hyperlink r:id="rId1198" ref="C313"/>
    <hyperlink r:id="rId1199" ref="E313"/>
    <hyperlink r:id="rId1200" ref="Y313"/>
    <hyperlink r:id="rId1201" ref="B315"/>
    <hyperlink r:id="rId1202" ref="C315"/>
    <hyperlink r:id="rId1203" ref="E315"/>
    <hyperlink r:id="rId1204" ref="Y315"/>
    <hyperlink r:id="rId1205" ref="B316"/>
    <hyperlink r:id="rId1206" ref="C316"/>
    <hyperlink r:id="rId1207" ref="E316"/>
    <hyperlink r:id="rId1208" ref="Y316"/>
    <hyperlink r:id="rId1209" ref="B317"/>
    <hyperlink r:id="rId1210" ref="C317"/>
    <hyperlink r:id="rId1211" ref="E317"/>
    <hyperlink r:id="rId1212" ref="Y317"/>
    <hyperlink r:id="rId1213" ref="B318"/>
    <hyperlink r:id="rId1214" ref="C318"/>
    <hyperlink r:id="rId1215" ref="E318"/>
    <hyperlink r:id="rId1216" ref="Y318"/>
    <hyperlink r:id="rId1217" ref="B319"/>
    <hyperlink r:id="rId1218" ref="C319"/>
    <hyperlink r:id="rId1219" ref="E319"/>
    <hyperlink r:id="rId1220" ref="Y319"/>
    <hyperlink r:id="rId1221" ref="B320"/>
    <hyperlink r:id="rId1222" ref="C320"/>
    <hyperlink r:id="rId1223" ref="E320"/>
    <hyperlink r:id="rId1224" ref="Y320"/>
    <hyperlink r:id="rId1225" ref="B321"/>
    <hyperlink r:id="rId1226" ref="C321"/>
    <hyperlink r:id="rId1227" ref="E321"/>
    <hyperlink r:id="rId1228" ref="Y321"/>
    <hyperlink r:id="rId1229" ref="B322"/>
    <hyperlink r:id="rId1230" ref="C322"/>
    <hyperlink r:id="rId1231" ref="E322"/>
    <hyperlink r:id="rId1232" ref="Y322"/>
    <hyperlink r:id="rId1233" ref="B323"/>
    <hyperlink r:id="rId1234" ref="C323"/>
    <hyperlink r:id="rId1235" ref="E323"/>
    <hyperlink r:id="rId1236" ref="Y323"/>
    <hyperlink r:id="rId1237" ref="B324"/>
    <hyperlink r:id="rId1238" ref="C324"/>
    <hyperlink r:id="rId1239" ref="E324"/>
    <hyperlink r:id="rId1240" ref="Y324"/>
    <hyperlink r:id="rId1241" ref="B325"/>
    <hyperlink r:id="rId1242" ref="C325"/>
    <hyperlink r:id="rId1243" ref="E325"/>
    <hyperlink r:id="rId1244" ref="Y325"/>
    <hyperlink r:id="rId1245" ref="B326"/>
    <hyperlink r:id="rId1246" ref="C326"/>
    <hyperlink r:id="rId1247" ref="E326"/>
    <hyperlink r:id="rId1248" ref="Y326"/>
    <hyperlink r:id="rId1249" ref="B327"/>
    <hyperlink r:id="rId1250" ref="C327"/>
    <hyperlink r:id="rId1251" ref="E327"/>
    <hyperlink r:id="rId1252" ref="Y327"/>
    <hyperlink r:id="rId1253" ref="B328"/>
    <hyperlink r:id="rId1254" ref="C328"/>
    <hyperlink r:id="rId1255" ref="E328"/>
    <hyperlink r:id="rId1256" ref="Y328"/>
    <hyperlink r:id="rId1257" ref="B329"/>
    <hyperlink r:id="rId1258" ref="C329"/>
    <hyperlink r:id="rId1259" ref="E329"/>
    <hyperlink r:id="rId1260" ref="Y329"/>
    <hyperlink r:id="rId1261" ref="B330"/>
    <hyperlink r:id="rId1262" ref="C330"/>
    <hyperlink r:id="rId1263" ref="E330"/>
    <hyperlink r:id="rId1264" ref="Y330"/>
    <hyperlink r:id="rId1265" ref="B331"/>
    <hyperlink r:id="rId1266" ref="C331"/>
    <hyperlink r:id="rId1267" ref="E331"/>
    <hyperlink r:id="rId1268" ref="Y331"/>
    <hyperlink r:id="rId1269" ref="B332"/>
    <hyperlink r:id="rId1270" ref="C332"/>
    <hyperlink r:id="rId1271" ref="E332"/>
    <hyperlink r:id="rId1272" ref="Y332"/>
    <hyperlink r:id="rId1273" ref="B333"/>
    <hyperlink r:id="rId1274" ref="C333"/>
    <hyperlink r:id="rId1275" ref="E333"/>
    <hyperlink r:id="rId1276" ref="Y333"/>
    <hyperlink r:id="rId1277" ref="B334"/>
    <hyperlink r:id="rId1278" ref="C334"/>
    <hyperlink r:id="rId1279" ref="E334"/>
    <hyperlink r:id="rId1280" ref="Y334"/>
    <hyperlink r:id="rId1281" ref="B335"/>
    <hyperlink r:id="rId1282" ref="C335"/>
    <hyperlink r:id="rId1283" ref="E335"/>
    <hyperlink r:id="rId1284" ref="Y335"/>
    <hyperlink r:id="rId1285" ref="B336"/>
    <hyperlink r:id="rId1286" ref="C336"/>
    <hyperlink r:id="rId1287" ref="E336"/>
    <hyperlink r:id="rId1288" ref="Y336"/>
    <hyperlink r:id="rId1289" ref="B337"/>
    <hyperlink r:id="rId1290" ref="C337"/>
    <hyperlink r:id="rId1291" ref="E337"/>
    <hyperlink r:id="rId1292" ref="Y337"/>
    <hyperlink r:id="rId1293" ref="B338"/>
    <hyperlink r:id="rId1294" ref="C338"/>
    <hyperlink r:id="rId1295" ref="E338"/>
    <hyperlink r:id="rId1296" ref="Y338"/>
    <hyperlink r:id="rId1297" ref="B339"/>
    <hyperlink r:id="rId1298" ref="C339"/>
    <hyperlink r:id="rId1299" ref="E339"/>
    <hyperlink r:id="rId1300" ref="Y339"/>
    <hyperlink r:id="rId1301" ref="B341"/>
    <hyperlink r:id="rId1302" ref="C341"/>
    <hyperlink r:id="rId1303" ref="E341"/>
    <hyperlink r:id="rId1304" ref="Y341"/>
    <hyperlink r:id="rId1305" ref="B342"/>
    <hyperlink r:id="rId1306" ref="C342"/>
    <hyperlink r:id="rId1307" ref="E342"/>
    <hyperlink r:id="rId1308" ref="Y342"/>
    <hyperlink r:id="rId1309" ref="B343"/>
    <hyperlink r:id="rId1310" ref="C343"/>
    <hyperlink r:id="rId1311" ref="E343"/>
    <hyperlink r:id="rId1312" ref="Y343"/>
    <hyperlink r:id="rId1313" ref="B344"/>
    <hyperlink r:id="rId1314" ref="C344"/>
    <hyperlink r:id="rId1315" ref="E344"/>
    <hyperlink r:id="rId1316" ref="Y344"/>
    <hyperlink r:id="rId1317" ref="B345"/>
    <hyperlink r:id="rId1318" ref="C345"/>
    <hyperlink r:id="rId1319" ref="E345"/>
    <hyperlink r:id="rId1320" ref="Y345"/>
    <hyperlink r:id="rId1321" ref="B346"/>
    <hyperlink r:id="rId1322" ref="C346"/>
    <hyperlink r:id="rId1323" ref="E346"/>
    <hyperlink r:id="rId1324" ref="Y346"/>
    <hyperlink r:id="rId1325" ref="B347"/>
    <hyperlink r:id="rId1326" ref="C347"/>
    <hyperlink r:id="rId1327" ref="E347"/>
    <hyperlink r:id="rId1328" ref="Y347"/>
    <hyperlink r:id="rId1329" ref="B348"/>
    <hyperlink r:id="rId1330" ref="C348"/>
    <hyperlink r:id="rId1331" ref="E348"/>
    <hyperlink r:id="rId1332" ref="Y348"/>
    <hyperlink r:id="rId1333" ref="B349"/>
    <hyperlink r:id="rId1334" ref="C349"/>
    <hyperlink r:id="rId1335" ref="E349"/>
    <hyperlink r:id="rId1336" ref="Y349"/>
    <hyperlink r:id="rId1337" ref="B350"/>
    <hyperlink r:id="rId1338" ref="C350"/>
    <hyperlink r:id="rId1339" ref="E350"/>
    <hyperlink r:id="rId1340" ref="Y350"/>
    <hyperlink r:id="rId1341" ref="B351"/>
    <hyperlink r:id="rId1342" ref="C351"/>
    <hyperlink r:id="rId1343" ref="E351"/>
    <hyperlink r:id="rId1344" ref="Y351"/>
    <hyperlink r:id="rId1345" ref="B352"/>
    <hyperlink r:id="rId1346" ref="C352"/>
    <hyperlink r:id="rId1347" ref="E352"/>
    <hyperlink r:id="rId1348" ref="Y352"/>
    <hyperlink r:id="rId1349" ref="B353"/>
    <hyperlink r:id="rId1350" ref="C353"/>
    <hyperlink r:id="rId1351" ref="E353"/>
    <hyperlink r:id="rId1352" ref="Y353"/>
    <hyperlink r:id="rId1353" ref="B354"/>
    <hyperlink r:id="rId1354" ref="C354"/>
    <hyperlink r:id="rId1355" ref="E354"/>
    <hyperlink r:id="rId1356" ref="Y354"/>
    <hyperlink r:id="rId1357" ref="B355"/>
    <hyperlink r:id="rId1358" ref="C355"/>
    <hyperlink r:id="rId1359" ref="E355"/>
    <hyperlink r:id="rId1360" ref="Y355"/>
    <hyperlink r:id="rId1361" ref="B356"/>
    <hyperlink r:id="rId1362" ref="C356"/>
    <hyperlink r:id="rId1363" ref="E356"/>
    <hyperlink r:id="rId1364" ref="Y356"/>
    <hyperlink r:id="rId1365" ref="B357"/>
    <hyperlink r:id="rId1366" ref="C357"/>
    <hyperlink r:id="rId1367" ref="E357"/>
    <hyperlink r:id="rId1368" ref="Y357"/>
    <hyperlink r:id="rId1369" ref="B358"/>
    <hyperlink r:id="rId1370" ref="C358"/>
    <hyperlink r:id="rId1371" ref="E358"/>
    <hyperlink r:id="rId1372" ref="Y358"/>
    <hyperlink r:id="rId1373" ref="B359"/>
    <hyperlink r:id="rId1374" ref="C359"/>
    <hyperlink r:id="rId1375" ref="E359"/>
    <hyperlink r:id="rId1376" ref="Y359"/>
    <hyperlink r:id="rId1377" ref="B360"/>
    <hyperlink r:id="rId1378" ref="C360"/>
    <hyperlink r:id="rId1379" ref="E360"/>
    <hyperlink r:id="rId1380" ref="Y360"/>
    <hyperlink r:id="rId1381" ref="B361"/>
    <hyperlink r:id="rId1382" ref="C361"/>
    <hyperlink r:id="rId1383" ref="E361"/>
    <hyperlink r:id="rId1384" ref="Y361"/>
    <hyperlink r:id="rId1385" ref="B362"/>
    <hyperlink r:id="rId1386" ref="C362"/>
    <hyperlink r:id="rId1387" ref="E362"/>
    <hyperlink r:id="rId1388" ref="Y362"/>
    <hyperlink r:id="rId1389" ref="B363"/>
    <hyperlink r:id="rId1390" ref="C363"/>
    <hyperlink r:id="rId1391" ref="E363"/>
    <hyperlink r:id="rId1392" ref="Y363"/>
    <hyperlink r:id="rId1393" ref="B364"/>
    <hyperlink r:id="rId1394" ref="C364"/>
    <hyperlink r:id="rId1395" ref="E364"/>
    <hyperlink r:id="rId1396" ref="Y364"/>
    <hyperlink r:id="rId1397" ref="B365"/>
    <hyperlink r:id="rId1398" ref="C365"/>
    <hyperlink r:id="rId1399" ref="E365"/>
    <hyperlink r:id="rId1400" ref="Y365"/>
    <hyperlink r:id="rId1401" ref="B367"/>
    <hyperlink r:id="rId1402" ref="C367"/>
    <hyperlink r:id="rId1403" ref="E367"/>
    <hyperlink r:id="rId1404" ref="Y367"/>
    <hyperlink r:id="rId1405" ref="B368"/>
    <hyperlink r:id="rId1406" ref="C368"/>
    <hyperlink r:id="rId1407" ref="E368"/>
    <hyperlink r:id="rId1408" ref="Y368"/>
    <hyperlink r:id="rId1409" ref="B369"/>
    <hyperlink r:id="rId1410" ref="C369"/>
    <hyperlink r:id="rId1411" ref="E369"/>
    <hyperlink r:id="rId1412" ref="Y369"/>
    <hyperlink r:id="rId1413" ref="B370"/>
    <hyperlink r:id="rId1414" ref="C370"/>
    <hyperlink r:id="rId1415" ref="E370"/>
    <hyperlink r:id="rId1416" ref="Y370"/>
    <hyperlink r:id="rId1417" ref="B371"/>
    <hyperlink r:id="rId1418" ref="C371"/>
    <hyperlink r:id="rId1419" ref="E371"/>
    <hyperlink r:id="rId1420" ref="Y371"/>
    <hyperlink r:id="rId1421" ref="B372"/>
    <hyperlink r:id="rId1422" ref="C372"/>
    <hyperlink r:id="rId1423" ref="E372"/>
    <hyperlink r:id="rId1424" ref="Y372"/>
    <hyperlink r:id="rId1425" ref="B373"/>
    <hyperlink r:id="rId1426" ref="C373"/>
    <hyperlink r:id="rId1427" ref="E373"/>
    <hyperlink r:id="rId1428" ref="Y373"/>
    <hyperlink r:id="rId1429" ref="B374"/>
    <hyperlink r:id="rId1430" ref="C374"/>
    <hyperlink r:id="rId1431" ref="E374"/>
    <hyperlink r:id="rId1432" ref="Y374"/>
    <hyperlink r:id="rId1433" ref="B375"/>
    <hyperlink r:id="rId1434" ref="C375"/>
    <hyperlink r:id="rId1435" ref="E375"/>
    <hyperlink r:id="rId1436" ref="Y375"/>
    <hyperlink r:id="rId1437" ref="B376"/>
    <hyperlink r:id="rId1438" ref="C376"/>
    <hyperlink r:id="rId1439" ref="E376"/>
    <hyperlink r:id="rId1440" ref="Y376"/>
    <hyperlink r:id="rId1441" ref="B377"/>
    <hyperlink r:id="rId1442" ref="C377"/>
    <hyperlink r:id="rId1443" ref="E377"/>
    <hyperlink r:id="rId1444" ref="Y377"/>
    <hyperlink r:id="rId1445" ref="B378"/>
    <hyperlink r:id="rId1446" ref="C378"/>
    <hyperlink r:id="rId1447" ref="E378"/>
    <hyperlink r:id="rId1448" ref="Y378"/>
    <hyperlink r:id="rId1449" ref="B379"/>
    <hyperlink r:id="rId1450" ref="C379"/>
    <hyperlink r:id="rId1451" ref="E379"/>
    <hyperlink r:id="rId1452" ref="Y379"/>
    <hyperlink r:id="rId1453" ref="B380"/>
    <hyperlink r:id="rId1454" ref="C380"/>
    <hyperlink r:id="rId1455" ref="E380"/>
    <hyperlink r:id="rId1456" ref="Y380"/>
    <hyperlink r:id="rId1457" ref="B381"/>
    <hyperlink r:id="rId1458" ref="C381"/>
    <hyperlink r:id="rId1459" ref="E381"/>
    <hyperlink r:id="rId1460" ref="Y381"/>
    <hyperlink r:id="rId1461" ref="B382"/>
    <hyperlink r:id="rId1462" ref="C382"/>
    <hyperlink r:id="rId1463" ref="E382"/>
    <hyperlink r:id="rId1464" ref="Y382"/>
    <hyperlink r:id="rId1465" ref="B383"/>
    <hyperlink r:id="rId1466" ref="C383"/>
    <hyperlink r:id="rId1467" ref="E383"/>
    <hyperlink r:id="rId1468" ref="Y383"/>
    <hyperlink r:id="rId1469" ref="B384"/>
    <hyperlink r:id="rId1470" ref="C384"/>
    <hyperlink r:id="rId1471" ref="E384"/>
    <hyperlink r:id="rId1472" ref="Y384"/>
    <hyperlink r:id="rId1473" ref="B385"/>
    <hyperlink r:id="rId1474" ref="C385"/>
    <hyperlink r:id="rId1475" ref="E385"/>
    <hyperlink r:id="rId1476" ref="Y385"/>
    <hyperlink r:id="rId1477" ref="B386"/>
    <hyperlink r:id="rId1478" ref="C386"/>
    <hyperlink r:id="rId1479" ref="E386"/>
    <hyperlink r:id="rId1480" ref="Y386"/>
    <hyperlink r:id="rId1481" ref="B387"/>
    <hyperlink r:id="rId1482" ref="C387"/>
    <hyperlink r:id="rId1483" ref="E387"/>
    <hyperlink r:id="rId1484" ref="Y387"/>
    <hyperlink r:id="rId1485" ref="B388"/>
    <hyperlink r:id="rId1486" ref="C388"/>
    <hyperlink r:id="rId1487" ref="E388"/>
    <hyperlink r:id="rId1488" ref="Y388"/>
    <hyperlink r:id="rId1489" ref="B389"/>
    <hyperlink r:id="rId1490" ref="C389"/>
    <hyperlink r:id="rId1491" ref="E389"/>
    <hyperlink r:id="rId1492" ref="Y389"/>
    <hyperlink r:id="rId1493" ref="B390"/>
    <hyperlink r:id="rId1494" ref="C390"/>
    <hyperlink r:id="rId1495" ref="E390"/>
    <hyperlink r:id="rId1496" ref="Y390"/>
    <hyperlink r:id="rId1497" ref="B391"/>
    <hyperlink r:id="rId1498" ref="C391"/>
    <hyperlink r:id="rId1499" ref="E391"/>
    <hyperlink r:id="rId1500" ref="Y391"/>
    <hyperlink r:id="rId1501" ref="B393"/>
    <hyperlink r:id="rId1502" ref="C393"/>
    <hyperlink r:id="rId1503" ref="E393"/>
    <hyperlink r:id="rId1504" ref="Y393"/>
    <hyperlink r:id="rId1505" ref="B394"/>
    <hyperlink r:id="rId1506" ref="C394"/>
    <hyperlink r:id="rId1507" ref="E394"/>
    <hyperlink r:id="rId1508" ref="Y394"/>
    <hyperlink r:id="rId1509" ref="B395"/>
    <hyperlink r:id="rId1510" ref="C395"/>
    <hyperlink r:id="rId1511" ref="E395"/>
    <hyperlink r:id="rId1512" ref="Y395"/>
    <hyperlink r:id="rId1513" ref="B396"/>
    <hyperlink r:id="rId1514" ref="C396"/>
    <hyperlink r:id="rId1515" ref="E396"/>
    <hyperlink r:id="rId1516" ref="Y396"/>
    <hyperlink r:id="rId1517" ref="B397"/>
    <hyperlink r:id="rId1518" ref="C397"/>
    <hyperlink r:id="rId1519" ref="E397"/>
    <hyperlink r:id="rId1520" ref="Y397"/>
    <hyperlink r:id="rId1521" ref="B398"/>
    <hyperlink r:id="rId1522" ref="C398"/>
    <hyperlink r:id="rId1523" ref="E398"/>
    <hyperlink r:id="rId1524" ref="Y398"/>
    <hyperlink r:id="rId1525" ref="B399"/>
    <hyperlink r:id="rId1526" ref="C399"/>
    <hyperlink r:id="rId1527" ref="E399"/>
    <hyperlink r:id="rId1528" ref="Y399"/>
    <hyperlink r:id="rId1529" ref="B400"/>
    <hyperlink r:id="rId1530" ref="C400"/>
    <hyperlink r:id="rId1531" ref="E400"/>
    <hyperlink r:id="rId1532" ref="Y400"/>
    <hyperlink r:id="rId1533" ref="B401"/>
    <hyperlink r:id="rId1534" ref="C401"/>
    <hyperlink r:id="rId1535" ref="E401"/>
    <hyperlink r:id="rId1536" ref="Y401"/>
    <hyperlink r:id="rId1537" ref="B402"/>
    <hyperlink r:id="rId1538" ref="C402"/>
    <hyperlink r:id="rId1539" ref="E402"/>
    <hyperlink r:id="rId1540" ref="Y402"/>
    <hyperlink r:id="rId1541" ref="B403"/>
    <hyperlink r:id="rId1542" ref="C403"/>
    <hyperlink r:id="rId1543" ref="E403"/>
    <hyperlink r:id="rId1544" ref="Y403"/>
    <hyperlink r:id="rId1545" ref="B404"/>
    <hyperlink r:id="rId1546" ref="C404"/>
    <hyperlink r:id="rId1547" ref="E404"/>
    <hyperlink r:id="rId1548" ref="Y404"/>
    <hyperlink r:id="rId1549" ref="B405"/>
    <hyperlink r:id="rId1550" ref="C405"/>
    <hyperlink r:id="rId1551" ref="E405"/>
    <hyperlink r:id="rId1552" ref="Y405"/>
    <hyperlink r:id="rId1553" ref="B406"/>
    <hyperlink r:id="rId1554" ref="C406"/>
    <hyperlink r:id="rId1555" ref="E406"/>
    <hyperlink r:id="rId1556" ref="Y406"/>
    <hyperlink r:id="rId1557" ref="B407"/>
    <hyperlink r:id="rId1558" ref="C407"/>
    <hyperlink r:id="rId1559" ref="E407"/>
    <hyperlink r:id="rId1560" ref="Y407"/>
    <hyperlink r:id="rId1561" ref="B408"/>
    <hyperlink r:id="rId1562" ref="C408"/>
    <hyperlink r:id="rId1563" ref="E408"/>
    <hyperlink r:id="rId1564" ref="Y408"/>
    <hyperlink r:id="rId1565" ref="B409"/>
    <hyperlink r:id="rId1566" ref="C409"/>
    <hyperlink r:id="rId1567" ref="E409"/>
    <hyperlink r:id="rId1568" ref="Y409"/>
    <hyperlink r:id="rId1569" ref="B410"/>
    <hyperlink r:id="rId1570" ref="C410"/>
    <hyperlink r:id="rId1571" ref="E410"/>
    <hyperlink r:id="rId1572" ref="Y410"/>
    <hyperlink r:id="rId1573" ref="B411"/>
    <hyperlink r:id="rId1574" ref="C411"/>
    <hyperlink r:id="rId1575" ref="E411"/>
    <hyperlink r:id="rId1576" ref="Y411"/>
    <hyperlink r:id="rId1577" ref="B412"/>
    <hyperlink r:id="rId1578" ref="C412"/>
    <hyperlink r:id="rId1579" ref="E412"/>
    <hyperlink r:id="rId1580" ref="Y412"/>
    <hyperlink r:id="rId1581" ref="B413"/>
    <hyperlink r:id="rId1582" ref="C413"/>
    <hyperlink r:id="rId1583" ref="E413"/>
    <hyperlink r:id="rId1584" ref="Y413"/>
    <hyperlink r:id="rId1585" ref="B414"/>
    <hyperlink r:id="rId1586" ref="C414"/>
    <hyperlink r:id="rId1587" ref="E414"/>
    <hyperlink r:id="rId1588" ref="Y414"/>
    <hyperlink r:id="rId1589" ref="B415"/>
    <hyperlink r:id="rId1590" ref="C415"/>
    <hyperlink r:id="rId1591" ref="E415"/>
    <hyperlink r:id="rId1592" ref="Y415"/>
    <hyperlink r:id="rId1593" ref="B416"/>
    <hyperlink r:id="rId1594" ref="C416"/>
    <hyperlink r:id="rId1595" ref="E416"/>
    <hyperlink r:id="rId1596" ref="Y416"/>
    <hyperlink r:id="rId1597" ref="B417"/>
    <hyperlink r:id="rId1598" ref="C417"/>
    <hyperlink r:id="rId1599" ref="E417"/>
    <hyperlink r:id="rId1600" ref="Y417"/>
    <hyperlink r:id="rId1601" ref="B419"/>
    <hyperlink r:id="rId1602" ref="C419"/>
    <hyperlink r:id="rId1603" ref="E419"/>
    <hyperlink r:id="rId1604" ref="Y419"/>
    <hyperlink r:id="rId1605" ref="B420"/>
    <hyperlink r:id="rId1606" ref="C420"/>
    <hyperlink r:id="rId1607" ref="E420"/>
    <hyperlink r:id="rId1608" ref="Y420"/>
    <hyperlink r:id="rId1609" ref="B421"/>
    <hyperlink r:id="rId1610" ref="C421"/>
    <hyperlink r:id="rId1611" ref="E421"/>
    <hyperlink r:id="rId1612" ref="Y421"/>
    <hyperlink r:id="rId1613" ref="B422"/>
    <hyperlink r:id="rId1614" ref="C422"/>
    <hyperlink r:id="rId1615" ref="E422"/>
    <hyperlink r:id="rId1616" ref="Y422"/>
    <hyperlink r:id="rId1617" ref="B423"/>
    <hyperlink r:id="rId1618" ref="C423"/>
    <hyperlink r:id="rId1619" ref="E423"/>
    <hyperlink r:id="rId1620" ref="Y423"/>
    <hyperlink r:id="rId1621" ref="B424"/>
    <hyperlink r:id="rId1622" ref="C424"/>
    <hyperlink r:id="rId1623" ref="E424"/>
    <hyperlink r:id="rId1624" ref="Y424"/>
    <hyperlink r:id="rId1625" ref="B425"/>
    <hyperlink r:id="rId1626" ref="C425"/>
    <hyperlink r:id="rId1627" ref="E425"/>
    <hyperlink r:id="rId1628" ref="Y425"/>
    <hyperlink r:id="rId1629" ref="B426"/>
    <hyperlink r:id="rId1630" ref="C426"/>
    <hyperlink r:id="rId1631" ref="E426"/>
    <hyperlink r:id="rId1632" ref="Y426"/>
    <hyperlink r:id="rId1633" ref="B427"/>
    <hyperlink r:id="rId1634" ref="C427"/>
    <hyperlink r:id="rId1635" ref="E427"/>
    <hyperlink r:id="rId1636" ref="Y427"/>
    <hyperlink r:id="rId1637" ref="B428"/>
    <hyperlink r:id="rId1638" ref="C428"/>
    <hyperlink r:id="rId1639" ref="E428"/>
    <hyperlink r:id="rId1640" ref="Y428"/>
    <hyperlink r:id="rId1641" ref="B429"/>
    <hyperlink r:id="rId1642" ref="C429"/>
    <hyperlink r:id="rId1643" ref="E429"/>
    <hyperlink r:id="rId1644" ref="Y429"/>
    <hyperlink r:id="rId1645" ref="B430"/>
    <hyperlink r:id="rId1646" ref="C430"/>
    <hyperlink r:id="rId1647" ref="E430"/>
    <hyperlink r:id="rId1648" ref="Y430"/>
    <hyperlink r:id="rId1649" ref="B431"/>
    <hyperlink r:id="rId1650" ref="C431"/>
    <hyperlink r:id="rId1651" ref="E431"/>
    <hyperlink r:id="rId1652" ref="Y431"/>
    <hyperlink r:id="rId1653" ref="B432"/>
    <hyperlink r:id="rId1654" ref="C432"/>
    <hyperlink r:id="rId1655" ref="E432"/>
    <hyperlink r:id="rId1656" ref="Y432"/>
    <hyperlink r:id="rId1657" ref="B433"/>
    <hyperlink r:id="rId1658" ref="C433"/>
    <hyperlink r:id="rId1659" ref="E433"/>
    <hyperlink r:id="rId1660" ref="Y433"/>
    <hyperlink r:id="rId1661" ref="B434"/>
    <hyperlink r:id="rId1662" ref="E434"/>
    <hyperlink r:id="rId1663" ref="Y434"/>
    <hyperlink r:id="rId1664" ref="B435"/>
    <hyperlink r:id="rId1665" ref="C435"/>
    <hyperlink r:id="rId1666" ref="E435"/>
    <hyperlink r:id="rId1667" ref="Y435"/>
    <hyperlink r:id="rId1668" ref="B436"/>
    <hyperlink r:id="rId1669" ref="C436"/>
    <hyperlink r:id="rId1670" ref="E436"/>
    <hyperlink r:id="rId1671" ref="Y436"/>
    <hyperlink r:id="rId1672" ref="B437"/>
    <hyperlink r:id="rId1673" ref="C437"/>
    <hyperlink r:id="rId1674" ref="E437"/>
    <hyperlink r:id="rId1675" ref="Y437"/>
    <hyperlink r:id="rId1676" ref="B438"/>
    <hyperlink r:id="rId1677" ref="C438"/>
    <hyperlink r:id="rId1678" ref="E438"/>
    <hyperlink r:id="rId1679" ref="Y438"/>
    <hyperlink r:id="rId1680" ref="B439"/>
    <hyperlink r:id="rId1681" ref="C439"/>
    <hyperlink r:id="rId1682" ref="E439"/>
    <hyperlink r:id="rId1683" ref="Y439"/>
    <hyperlink r:id="rId1684" ref="B440"/>
    <hyperlink r:id="rId1685" ref="C440"/>
    <hyperlink r:id="rId1686" ref="E440"/>
    <hyperlink r:id="rId1687" ref="Y440"/>
    <hyperlink r:id="rId1688" ref="B441"/>
    <hyperlink r:id="rId1689" ref="C441"/>
    <hyperlink r:id="rId1690" ref="E441"/>
    <hyperlink r:id="rId1691" ref="Y441"/>
    <hyperlink r:id="rId1692" ref="B442"/>
    <hyperlink r:id="rId1693" ref="C442"/>
    <hyperlink r:id="rId1694" ref="E442"/>
    <hyperlink r:id="rId1695" ref="Y442"/>
    <hyperlink r:id="rId1696" ref="B443"/>
    <hyperlink r:id="rId1697" ref="C443"/>
    <hyperlink r:id="rId1698" ref="E443"/>
    <hyperlink r:id="rId1699" ref="Y443"/>
    <hyperlink r:id="rId1700" ref="B445"/>
    <hyperlink r:id="rId1701" ref="C445"/>
    <hyperlink r:id="rId1702" ref="E445"/>
    <hyperlink r:id="rId1703" ref="Y445"/>
    <hyperlink r:id="rId1704" ref="B446"/>
    <hyperlink r:id="rId1705" ref="C446"/>
    <hyperlink r:id="rId1706" ref="E446"/>
    <hyperlink r:id="rId1707" ref="Y446"/>
    <hyperlink r:id="rId1708" ref="B447"/>
    <hyperlink r:id="rId1709" ref="C447"/>
    <hyperlink r:id="rId1710" ref="E447"/>
    <hyperlink r:id="rId1711" ref="Y447"/>
    <hyperlink r:id="rId1712" ref="B448"/>
    <hyperlink r:id="rId1713" ref="C448"/>
    <hyperlink r:id="rId1714" ref="E448"/>
    <hyperlink r:id="rId1715" ref="Y448"/>
    <hyperlink r:id="rId1716" ref="B449"/>
    <hyperlink r:id="rId1717" ref="C449"/>
    <hyperlink r:id="rId1718" ref="E449"/>
    <hyperlink r:id="rId1719" ref="Y449"/>
    <hyperlink r:id="rId1720" ref="B450"/>
    <hyperlink r:id="rId1721" ref="C450"/>
    <hyperlink r:id="rId1722" ref="E450"/>
    <hyperlink r:id="rId1723" ref="Y450"/>
    <hyperlink r:id="rId1724" ref="B451"/>
    <hyperlink r:id="rId1725" ref="C451"/>
    <hyperlink r:id="rId1726" ref="E451"/>
    <hyperlink r:id="rId1727" ref="Y451"/>
    <hyperlink r:id="rId1728" ref="B452"/>
    <hyperlink r:id="rId1729" ref="C452"/>
    <hyperlink r:id="rId1730" ref="E452"/>
    <hyperlink r:id="rId1731" ref="Y452"/>
    <hyperlink r:id="rId1732" ref="B453"/>
    <hyperlink r:id="rId1733" ref="C453"/>
    <hyperlink r:id="rId1734" ref="E453"/>
    <hyperlink r:id="rId1735" ref="Y453"/>
    <hyperlink r:id="rId1736" ref="B454"/>
    <hyperlink r:id="rId1737" ref="C454"/>
    <hyperlink r:id="rId1738" ref="E454"/>
    <hyperlink r:id="rId1739" ref="Y454"/>
    <hyperlink r:id="rId1740" ref="B455"/>
    <hyperlink r:id="rId1741" ref="C455"/>
    <hyperlink r:id="rId1742" ref="E455"/>
    <hyperlink r:id="rId1743" ref="Y455"/>
    <hyperlink r:id="rId1744" ref="B456"/>
    <hyperlink r:id="rId1745" ref="C456"/>
    <hyperlink r:id="rId1746" ref="E456"/>
    <hyperlink r:id="rId1747" ref="Y456"/>
    <hyperlink r:id="rId1748" ref="B457"/>
    <hyperlink r:id="rId1749" ref="C457"/>
    <hyperlink r:id="rId1750" ref="E457"/>
    <hyperlink r:id="rId1751" ref="Y457"/>
    <hyperlink r:id="rId1752" ref="B458"/>
    <hyperlink r:id="rId1753" ref="C458"/>
    <hyperlink r:id="rId1754" ref="E458"/>
    <hyperlink r:id="rId1755" ref="Y458"/>
    <hyperlink r:id="rId1756" ref="B459"/>
    <hyperlink r:id="rId1757" ref="C459"/>
    <hyperlink r:id="rId1758" ref="E459"/>
    <hyperlink r:id="rId1759" ref="Y459"/>
    <hyperlink r:id="rId1760" ref="B460"/>
    <hyperlink r:id="rId1761" ref="C460"/>
    <hyperlink r:id="rId1762" ref="E460"/>
    <hyperlink r:id="rId1763" ref="Y460"/>
    <hyperlink r:id="rId1764" ref="B461"/>
    <hyperlink r:id="rId1765" ref="C461"/>
    <hyperlink r:id="rId1766" ref="E461"/>
    <hyperlink r:id="rId1767" ref="Y461"/>
    <hyperlink r:id="rId1768" ref="B462"/>
    <hyperlink r:id="rId1769" ref="C462"/>
    <hyperlink r:id="rId1770" ref="E462"/>
    <hyperlink r:id="rId1771" ref="Y462"/>
    <hyperlink r:id="rId1772" ref="B463"/>
    <hyperlink r:id="rId1773" ref="C463"/>
    <hyperlink r:id="rId1774" ref="E463"/>
    <hyperlink r:id="rId1775" ref="Y463"/>
    <hyperlink r:id="rId1776" ref="B464"/>
    <hyperlink r:id="rId1777" ref="C464"/>
    <hyperlink r:id="rId1778" ref="E464"/>
    <hyperlink r:id="rId1779" ref="Y464"/>
    <hyperlink r:id="rId1780" ref="B465"/>
    <hyperlink r:id="rId1781" ref="C465"/>
    <hyperlink r:id="rId1782" ref="E465"/>
    <hyperlink r:id="rId1783" ref="Y465"/>
    <hyperlink r:id="rId1784" ref="B466"/>
    <hyperlink r:id="rId1785" ref="C466"/>
    <hyperlink r:id="rId1786" ref="E466"/>
    <hyperlink r:id="rId1787" ref="Y466"/>
    <hyperlink r:id="rId1788" ref="B467"/>
    <hyperlink r:id="rId1789" ref="C467"/>
    <hyperlink r:id="rId1790" ref="E467"/>
    <hyperlink r:id="rId1791" ref="Y467"/>
    <hyperlink r:id="rId1792" ref="B468"/>
    <hyperlink r:id="rId1793" ref="C468"/>
    <hyperlink r:id="rId1794" ref="E468"/>
    <hyperlink r:id="rId1795" ref="Y468"/>
    <hyperlink r:id="rId1796" ref="B469"/>
    <hyperlink r:id="rId1797" ref="C469"/>
    <hyperlink r:id="rId1798" ref="E469"/>
    <hyperlink r:id="rId1799" ref="Y469"/>
    <hyperlink r:id="rId1800" ref="B471"/>
    <hyperlink r:id="rId1801" ref="C471"/>
    <hyperlink r:id="rId1802" ref="E471"/>
    <hyperlink r:id="rId1803" ref="Y471"/>
    <hyperlink r:id="rId1804" ref="B472"/>
    <hyperlink r:id="rId1805" ref="C472"/>
    <hyperlink r:id="rId1806" ref="E472"/>
    <hyperlink r:id="rId1807" ref="Y472"/>
    <hyperlink r:id="rId1808" ref="B473"/>
    <hyperlink r:id="rId1809" ref="C473"/>
    <hyperlink r:id="rId1810" ref="E473"/>
    <hyperlink r:id="rId1811" ref="Y473"/>
    <hyperlink r:id="rId1812" ref="B474"/>
    <hyperlink r:id="rId1813" ref="C474"/>
    <hyperlink r:id="rId1814" ref="E474"/>
    <hyperlink r:id="rId1815" ref="Y474"/>
    <hyperlink r:id="rId1816" ref="B475"/>
    <hyperlink r:id="rId1817" ref="C475"/>
    <hyperlink r:id="rId1818" ref="E475"/>
    <hyperlink r:id="rId1819" ref="Y475"/>
    <hyperlink r:id="rId1820" ref="B476"/>
    <hyperlink r:id="rId1821" ref="C476"/>
    <hyperlink r:id="rId1822" ref="E476"/>
    <hyperlink r:id="rId1823" ref="Y476"/>
    <hyperlink r:id="rId1824" ref="B477"/>
    <hyperlink r:id="rId1825" ref="C477"/>
    <hyperlink r:id="rId1826" ref="E477"/>
    <hyperlink r:id="rId1827" ref="Y477"/>
    <hyperlink r:id="rId1828" ref="B478"/>
    <hyperlink r:id="rId1829" ref="C478"/>
    <hyperlink r:id="rId1830" ref="E478"/>
    <hyperlink r:id="rId1831" ref="Y478"/>
    <hyperlink r:id="rId1832" ref="B479"/>
    <hyperlink r:id="rId1833" ref="C479"/>
    <hyperlink r:id="rId1834" ref="E479"/>
    <hyperlink r:id="rId1835" ref="Y479"/>
    <hyperlink r:id="rId1836" ref="B480"/>
    <hyperlink r:id="rId1837" ref="C480"/>
    <hyperlink r:id="rId1838" ref="E480"/>
    <hyperlink r:id="rId1839" ref="Y480"/>
    <hyperlink r:id="rId1840" ref="B481"/>
    <hyperlink r:id="rId1841" ref="C481"/>
    <hyperlink r:id="rId1842" ref="E481"/>
    <hyperlink r:id="rId1843" ref="Y481"/>
    <hyperlink r:id="rId1844" ref="B482"/>
    <hyperlink r:id="rId1845" ref="C482"/>
    <hyperlink r:id="rId1846" ref="E482"/>
    <hyperlink r:id="rId1847" ref="Y482"/>
    <hyperlink r:id="rId1848" ref="B483"/>
    <hyperlink r:id="rId1849" ref="C483"/>
    <hyperlink r:id="rId1850" ref="E483"/>
    <hyperlink r:id="rId1851" ref="Y483"/>
    <hyperlink r:id="rId1852" ref="B484"/>
    <hyperlink r:id="rId1853" ref="C484"/>
    <hyperlink r:id="rId1854" ref="E484"/>
    <hyperlink r:id="rId1855" ref="Y484"/>
    <hyperlink r:id="rId1856" ref="B485"/>
    <hyperlink r:id="rId1857" ref="C485"/>
    <hyperlink r:id="rId1858" ref="E485"/>
    <hyperlink r:id="rId1859" ref="Y485"/>
    <hyperlink r:id="rId1860" ref="B486"/>
    <hyperlink r:id="rId1861" ref="C486"/>
    <hyperlink r:id="rId1862" ref="E486"/>
    <hyperlink r:id="rId1863" ref="Y486"/>
    <hyperlink r:id="rId1864" ref="B487"/>
    <hyperlink r:id="rId1865" ref="C487"/>
    <hyperlink r:id="rId1866" ref="E487"/>
    <hyperlink r:id="rId1867" ref="Y487"/>
    <hyperlink r:id="rId1868" ref="B488"/>
    <hyperlink r:id="rId1869" ref="C488"/>
    <hyperlink r:id="rId1870" ref="E488"/>
    <hyperlink r:id="rId1871" ref="Y488"/>
    <hyperlink r:id="rId1872" ref="B489"/>
    <hyperlink r:id="rId1873" ref="C489"/>
    <hyperlink r:id="rId1874" ref="E489"/>
    <hyperlink r:id="rId1875" ref="Y489"/>
    <hyperlink r:id="rId1876" ref="B490"/>
    <hyperlink r:id="rId1877" ref="C490"/>
    <hyperlink r:id="rId1878" ref="E490"/>
    <hyperlink r:id="rId1879" ref="Y490"/>
    <hyperlink r:id="rId1880" ref="B491"/>
    <hyperlink r:id="rId1881" ref="C491"/>
    <hyperlink r:id="rId1882" ref="E491"/>
    <hyperlink r:id="rId1883" ref="Y491"/>
    <hyperlink r:id="rId1884" ref="B492"/>
    <hyperlink r:id="rId1885" ref="C492"/>
    <hyperlink r:id="rId1886" ref="E492"/>
    <hyperlink r:id="rId1887" ref="Y492"/>
    <hyperlink r:id="rId1888" ref="B493"/>
    <hyperlink r:id="rId1889" ref="C493"/>
    <hyperlink r:id="rId1890" ref="E493"/>
    <hyperlink r:id="rId1891" ref="Y493"/>
    <hyperlink r:id="rId1892" ref="B494"/>
    <hyperlink r:id="rId1893" ref="C494"/>
    <hyperlink r:id="rId1894" ref="E494"/>
    <hyperlink r:id="rId1895" ref="Y494"/>
    <hyperlink r:id="rId1896" ref="B495"/>
    <hyperlink r:id="rId1897" ref="C495"/>
    <hyperlink r:id="rId1898" ref="E495"/>
    <hyperlink r:id="rId1899" ref="Y495"/>
    <hyperlink r:id="rId1900" ref="B497"/>
    <hyperlink r:id="rId1901" ref="C497"/>
    <hyperlink r:id="rId1902" ref="E497"/>
    <hyperlink r:id="rId1903" ref="Y497"/>
    <hyperlink r:id="rId1904" ref="B498"/>
    <hyperlink r:id="rId1905" ref="C498"/>
    <hyperlink r:id="rId1906" ref="E498"/>
    <hyperlink r:id="rId1907" ref="Y498"/>
    <hyperlink r:id="rId1908" ref="B499"/>
    <hyperlink r:id="rId1909" ref="C499"/>
    <hyperlink r:id="rId1910" ref="E499"/>
    <hyperlink r:id="rId1911" ref="Y499"/>
    <hyperlink r:id="rId1912" ref="B500"/>
    <hyperlink r:id="rId1913" ref="C500"/>
    <hyperlink r:id="rId1914" ref="E500"/>
    <hyperlink r:id="rId1915" ref="Y500"/>
    <hyperlink r:id="rId1916" ref="B501"/>
    <hyperlink r:id="rId1917" ref="C501"/>
    <hyperlink r:id="rId1918" ref="E501"/>
    <hyperlink r:id="rId1919" ref="Y501"/>
    <hyperlink r:id="rId1920" ref="B502"/>
    <hyperlink r:id="rId1921" ref="C502"/>
    <hyperlink r:id="rId1922" ref="E502"/>
    <hyperlink r:id="rId1923" ref="Y502"/>
    <hyperlink r:id="rId1924" ref="B503"/>
    <hyperlink r:id="rId1925" ref="C503"/>
    <hyperlink r:id="rId1926" ref="E503"/>
    <hyperlink r:id="rId1927" ref="Y503"/>
    <hyperlink r:id="rId1928" ref="B504"/>
    <hyperlink r:id="rId1929" ref="C504"/>
    <hyperlink r:id="rId1930" ref="E504"/>
    <hyperlink r:id="rId1931" ref="Y504"/>
    <hyperlink r:id="rId1932" ref="B505"/>
    <hyperlink r:id="rId1933" ref="C505"/>
    <hyperlink r:id="rId1934" ref="E505"/>
    <hyperlink r:id="rId1935" ref="Y505"/>
    <hyperlink r:id="rId1936" ref="B506"/>
    <hyperlink r:id="rId1937" ref="C506"/>
    <hyperlink r:id="rId1938" ref="E506"/>
    <hyperlink r:id="rId1939" ref="Y506"/>
    <hyperlink r:id="rId1940" ref="B507"/>
    <hyperlink r:id="rId1941" ref="C507"/>
    <hyperlink r:id="rId1942" ref="E507"/>
    <hyperlink r:id="rId1943" ref="Y507"/>
    <hyperlink r:id="rId1944" ref="B508"/>
    <hyperlink r:id="rId1945" ref="C508"/>
    <hyperlink r:id="rId1946" ref="E508"/>
    <hyperlink r:id="rId1947" ref="Y508"/>
    <hyperlink r:id="rId1948" ref="B509"/>
    <hyperlink r:id="rId1949" ref="C509"/>
    <hyperlink r:id="rId1950" ref="E509"/>
    <hyperlink r:id="rId1951" ref="Y509"/>
    <hyperlink r:id="rId1952" ref="B510"/>
    <hyperlink r:id="rId1953" ref="C510"/>
    <hyperlink r:id="rId1954" ref="E510"/>
    <hyperlink r:id="rId1955" ref="Y510"/>
    <hyperlink r:id="rId1956" ref="B511"/>
    <hyperlink r:id="rId1957" ref="C511"/>
    <hyperlink r:id="rId1958" ref="E511"/>
    <hyperlink r:id="rId1959" ref="Y511"/>
    <hyperlink r:id="rId1960" ref="B512"/>
    <hyperlink r:id="rId1961" ref="C512"/>
    <hyperlink r:id="rId1962" ref="E512"/>
    <hyperlink r:id="rId1963" ref="Y512"/>
    <hyperlink r:id="rId1964" ref="B513"/>
    <hyperlink r:id="rId1965" ref="C513"/>
    <hyperlink r:id="rId1966" ref="E513"/>
    <hyperlink r:id="rId1967" ref="Y513"/>
    <hyperlink r:id="rId1968" ref="B514"/>
    <hyperlink r:id="rId1969" ref="C514"/>
    <hyperlink r:id="rId1970" ref="E514"/>
    <hyperlink r:id="rId1971" ref="Y514"/>
    <hyperlink r:id="rId1972" ref="B515"/>
    <hyperlink r:id="rId1973" ref="C515"/>
    <hyperlink r:id="rId1974" ref="E515"/>
    <hyperlink r:id="rId1975" ref="Y515"/>
    <hyperlink r:id="rId1976" ref="B516"/>
    <hyperlink r:id="rId1977" ref="C516"/>
    <hyperlink r:id="rId1978" ref="E516"/>
    <hyperlink r:id="rId1979" ref="Y516"/>
    <hyperlink r:id="rId1980" ref="B517"/>
    <hyperlink r:id="rId1981" ref="C517"/>
    <hyperlink r:id="rId1982" ref="E517"/>
    <hyperlink r:id="rId1983" ref="Y517"/>
    <hyperlink r:id="rId1984" ref="B518"/>
    <hyperlink r:id="rId1985" ref="C518"/>
    <hyperlink r:id="rId1986" ref="E518"/>
    <hyperlink r:id="rId1987" ref="Y518"/>
    <hyperlink r:id="rId1988" ref="B519"/>
    <hyperlink r:id="rId1989" ref="C519"/>
    <hyperlink r:id="rId1990" ref="E519"/>
    <hyperlink r:id="rId1991" ref="Y519"/>
    <hyperlink r:id="rId1992" ref="B520"/>
    <hyperlink r:id="rId1993" ref="C520"/>
    <hyperlink r:id="rId1994" ref="E520"/>
    <hyperlink r:id="rId1995" ref="Y520"/>
    <hyperlink r:id="rId1996" ref="B521"/>
    <hyperlink r:id="rId1997" ref="C521"/>
    <hyperlink r:id="rId1998" ref="E521"/>
    <hyperlink r:id="rId1999" ref="Y521"/>
    <hyperlink r:id="rId2000" ref="B523"/>
    <hyperlink r:id="rId2001" ref="C523"/>
    <hyperlink r:id="rId2002" ref="E523"/>
    <hyperlink r:id="rId2003" ref="Y523"/>
    <hyperlink r:id="rId2004" ref="B524"/>
    <hyperlink r:id="rId2005" ref="C524"/>
    <hyperlink r:id="rId2006" ref="E524"/>
    <hyperlink r:id="rId2007" ref="Y524"/>
    <hyperlink r:id="rId2008" ref="B525"/>
    <hyperlink r:id="rId2009" ref="C525"/>
    <hyperlink r:id="rId2010" ref="E525"/>
    <hyperlink r:id="rId2011" ref="Y525"/>
    <hyperlink r:id="rId2012" ref="B526"/>
    <hyperlink r:id="rId2013" ref="C526"/>
    <hyperlink r:id="rId2014" ref="E526"/>
    <hyperlink r:id="rId2015" ref="Y526"/>
    <hyperlink r:id="rId2016" ref="B527"/>
    <hyperlink r:id="rId2017" ref="C527"/>
    <hyperlink r:id="rId2018" ref="E527"/>
    <hyperlink r:id="rId2019" ref="Y527"/>
    <hyperlink r:id="rId2020" ref="B528"/>
    <hyperlink r:id="rId2021" ref="C528"/>
    <hyperlink r:id="rId2022" ref="E528"/>
    <hyperlink r:id="rId2023" ref="Y528"/>
    <hyperlink r:id="rId2024" ref="B529"/>
    <hyperlink r:id="rId2025" ref="C529"/>
    <hyperlink r:id="rId2026" ref="E529"/>
    <hyperlink r:id="rId2027" ref="Y529"/>
    <hyperlink r:id="rId2028" ref="B530"/>
    <hyperlink r:id="rId2029" ref="C530"/>
    <hyperlink r:id="rId2030" ref="E530"/>
    <hyperlink r:id="rId2031" ref="Y530"/>
    <hyperlink r:id="rId2032" ref="B531"/>
    <hyperlink r:id="rId2033" ref="C531"/>
    <hyperlink r:id="rId2034" ref="E531"/>
    <hyperlink r:id="rId2035" ref="Y531"/>
    <hyperlink r:id="rId2036" ref="B532"/>
    <hyperlink r:id="rId2037" ref="C532"/>
    <hyperlink r:id="rId2038" ref="E532"/>
    <hyperlink r:id="rId2039" ref="Y532"/>
    <hyperlink r:id="rId2040" ref="B533"/>
    <hyperlink r:id="rId2041" ref="C533"/>
    <hyperlink r:id="rId2042" ref="E533"/>
    <hyperlink r:id="rId2043" ref="Y533"/>
    <hyperlink r:id="rId2044" ref="B534"/>
    <hyperlink r:id="rId2045" ref="C534"/>
    <hyperlink r:id="rId2046" ref="E534"/>
    <hyperlink r:id="rId2047" ref="Y534"/>
    <hyperlink r:id="rId2048" ref="B535"/>
    <hyperlink r:id="rId2049" ref="C535"/>
    <hyperlink r:id="rId2050" ref="E535"/>
    <hyperlink r:id="rId2051" ref="Y535"/>
    <hyperlink r:id="rId2052" ref="B536"/>
    <hyperlink r:id="rId2053" ref="C536"/>
    <hyperlink r:id="rId2054" ref="E536"/>
    <hyperlink r:id="rId2055" ref="Y536"/>
    <hyperlink r:id="rId2056" ref="B537"/>
    <hyperlink r:id="rId2057" ref="C537"/>
    <hyperlink r:id="rId2058" ref="E537"/>
    <hyperlink r:id="rId2059" ref="Y537"/>
    <hyperlink r:id="rId2060" ref="B538"/>
    <hyperlink r:id="rId2061" ref="C538"/>
    <hyperlink r:id="rId2062" ref="E538"/>
    <hyperlink r:id="rId2063" ref="Y538"/>
    <hyperlink r:id="rId2064" ref="B539"/>
    <hyperlink r:id="rId2065" ref="C539"/>
    <hyperlink r:id="rId2066" ref="E539"/>
    <hyperlink r:id="rId2067" ref="Y539"/>
    <hyperlink r:id="rId2068" ref="B540"/>
    <hyperlink r:id="rId2069" ref="C540"/>
    <hyperlink r:id="rId2070" ref="E540"/>
    <hyperlink r:id="rId2071" ref="Y540"/>
    <hyperlink r:id="rId2072" ref="B541"/>
    <hyperlink r:id="rId2073" ref="C541"/>
    <hyperlink r:id="rId2074" ref="E541"/>
    <hyperlink r:id="rId2075" ref="Y541"/>
    <hyperlink r:id="rId2076" ref="B542"/>
    <hyperlink r:id="rId2077" ref="C542"/>
    <hyperlink r:id="rId2078" ref="E542"/>
    <hyperlink r:id="rId2079" ref="Y542"/>
    <hyperlink r:id="rId2080" ref="B543"/>
    <hyperlink r:id="rId2081" ref="C543"/>
    <hyperlink r:id="rId2082" ref="E543"/>
    <hyperlink r:id="rId2083" ref="Y543"/>
    <hyperlink r:id="rId2084" ref="B544"/>
    <hyperlink r:id="rId2085" ref="C544"/>
    <hyperlink r:id="rId2086" ref="E544"/>
    <hyperlink r:id="rId2087" ref="Y544"/>
    <hyperlink r:id="rId2088" ref="B545"/>
    <hyperlink r:id="rId2089" ref="C545"/>
    <hyperlink r:id="rId2090" ref="E545"/>
    <hyperlink r:id="rId2091" ref="Y545"/>
    <hyperlink r:id="rId2092" ref="B546"/>
    <hyperlink r:id="rId2093" ref="C546"/>
    <hyperlink r:id="rId2094" ref="E546"/>
    <hyperlink r:id="rId2095" ref="Y546"/>
    <hyperlink r:id="rId2096" ref="B547"/>
    <hyperlink r:id="rId2097" ref="C547"/>
    <hyperlink r:id="rId2098" ref="E547"/>
    <hyperlink r:id="rId2099" ref="Y547"/>
    <hyperlink r:id="rId2100" ref="B549"/>
    <hyperlink r:id="rId2101" ref="C549"/>
    <hyperlink r:id="rId2102" ref="E549"/>
    <hyperlink r:id="rId2103" ref="Y549"/>
    <hyperlink r:id="rId2104" ref="B550"/>
    <hyperlink r:id="rId2105" ref="C550"/>
    <hyperlink r:id="rId2106" ref="E550"/>
    <hyperlink r:id="rId2107" ref="Y550"/>
    <hyperlink r:id="rId2108" ref="B551"/>
    <hyperlink r:id="rId2109" ref="C551"/>
    <hyperlink r:id="rId2110" ref="E551"/>
    <hyperlink r:id="rId2111" ref="Y551"/>
    <hyperlink r:id="rId2112" ref="B552"/>
    <hyperlink r:id="rId2113" ref="C552"/>
    <hyperlink r:id="rId2114" ref="E552"/>
    <hyperlink r:id="rId2115" ref="Y552"/>
    <hyperlink r:id="rId2116" ref="B553"/>
    <hyperlink r:id="rId2117" ref="C553"/>
    <hyperlink r:id="rId2118" ref="E553"/>
    <hyperlink r:id="rId2119" ref="Y553"/>
    <hyperlink r:id="rId2120" ref="B554"/>
    <hyperlink r:id="rId2121" ref="C554"/>
    <hyperlink r:id="rId2122" ref="E554"/>
    <hyperlink r:id="rId2123" ref="Y554"/>
    <hyperlink r:id="rId2124" ref="B555"/>
    <hyperlink r:id="rId2125" ref="C555"/>
    <hyperlink r:id="rId2126" ref="E555"/>
    <hyperlink r:id="rId2127" ref="Y555"/>
    <hyperlink r:id="rId2128" ref="B556"/>
    <hyperlink r:id="rId2129" ref="C556"/>
    <hyperlink r:id="rId2130" ref="E556"/>
    <hyperlink r:id="rId2131" ref="Y556"/>
    <hyperlink r:id="rId2132" ref="B557"/>
    <hyperlink r:id="rId2133" ref="C557"/>
    <hyperlink r:id="rId2134" ref="E557"/>
    <hyperlink r:id="rId2135" ref="Y557"/>
    <hyperlink r:id="rId2136" ref="B558"/>
    <hyperlink r:id="rId2137" ref="C558"/>
    <hyperlink r:id="rId2138" ref="E558"/>
    <hyperlink r:id="rId2139" ref="Y558"/>
    <hyperlink r:id="rId2140" ref="B559"/>
    <hyperlink r:id="rId2141" ref="C559"/>
    <hyperlink r:id="rId2142" ref="E559"/>
    <hyperlink r:id="rId2143" ref="Y559"/>
    <hyperlink r:id="rId2144" ref="B560"/>
    <hyperlink r:id="rId2145" ref="C560"/>
    <hyperlink r:id="rId2146" ref="E560"/>
    <hyperlink r:id="rId2147" ref="Y560"/>
    <hyperlink r:id="rId2148" ref="B561"/>
    <hyperlink r:id="rId2149" ref="C561"/>
    <hyperlink r:id="rId2150" ref="E561"/>
    <hyperlink r:id="rId2151" ref="Y561"/>
    <hyperlink r:id="rId2152" ref="B562"/>
    <hyperlink r:id="rId2153" ref="C562"/>
    <hyperlink r:id="rId2154" ref="E562"/>
    <hyperlink r:id="rId2155" ref="Y562"/>
    <hyperlink r:id="rId2156" ref="B563"/>
    <hyperlink r:id="rId2157" ref="C563"/>
    <hyperlink r:id="rId2158" ref="E563"/>
    <hyperlink r:id="rId2159" ref="Y563"/>
    <hyperlink r:id="rId2160" ref="B564"/>
    <hyperlink r:id="rId2161" ref="C564"/>
    <hyperlink r:id="rId2162" ref="E564"/>
    <hyperlink r:id="rId2163" ref="Y564"/>
    <hyperlink r:id="rId2164" ref="B565"/>
    <hyperlink r:id="rId2165" ref="C565"/>
    <hyperlink r:id="rId2166" ref="E565"/>
    <hyperlink r:id="rId2167" ref="Y565"/>
    <hyperlink r:id="rId2168" ref="B566"/>
    <hyperlink r:id="rId2169" ref="C566"/>
    <hyperlink r:id="rId2170" ref="E566"/>
    <hyperlink r:id="rId2171" ref="Y566"/>
    <hyperlink r:id="rId2172" ref="B567"/>
    <hyperlink r:id="rId2173" ref="C567"/>
    <hyperlink r:id="rId2174" ref="E567"/>
    <hyperlink r:id="rId2175" ref="Y567"/>
    <hyperlink r:id="rId2176" ref="B568"/>
    <hyperlink r:id="rId2177" ref="C568"/>
    <hyperlink r:id="rId2178" ref="E568"/>
    <hyperlink r:id="rId2179" ref="Y568"/>
    <hyperlink r:id="rId2180" ref="B569"/>
    <hyperlink r:id="rId2181" ref="C569"/>
    <hyperlink r:id="rId2182" ref="E569"/>
    <hyperlink r:id="rId2183" ref="Y569"/>
    <hyperlink r:id="rId2184" ref="B570"/>
    <hyperlink r:id="rId2185" ref="C570"/>
    <hyperlink r:id="rId2186" ref="E570"/>
    <hyperlink r:id="rId2187" ref="Y570"/>
    <hyperlink r:id="rId2188" ref="B571"/>
    <hyperlink r:id="rId2189" ref="C571"/>
    <hyperlink r:id="rId2190" ref="E571"/>
    <hyperlink r:id="rId2191" ref="Y571"/>
    <hyperlink r:id="rId2192" ref="B572"/>
    <hyperlink r:id="rId2193" ref="C572"/>
    <hyperlink r:id="rId2194" ref="E572"/>
    <hyperlink r:id="rId2195" ref="Y572"/>
    <hyperlink r:id="rId2196" ref="B573"/>
    <hyperlink r:id="rId2197" ref="C573"/>
    <hyperlink r:id="rId2198" ref="E573"/>
    <hyperlink r:id="rId2199" ref="Y573"/>
    <hyperlink r:id="rId2200" ref="B575"/>
    <hyperlink r:id="rId2201" ref="C575"/>
    <hyperlink r:id="rId2202" ref="E575"/>
    <hyperlink r:id="rId2203" ref="Y575"/>
    <hyperlink r:id="rId2204" ref="B576"/>
    <hyperlink r:id="rId2205" ref="C576"/>
    <hyperlink r:id="rId2206" ref="E576"/>
    <hyperlink r:id="rId2207" ref="Y576"/>
    <hyperlink r:id="rId2208" ref="B577"/>
    <hyperlink r:id="rId2209" ref="C577"/>
    <hyperlink r:id="rId2210" ref="E577"/>
    <hyperlink r:id="rId2211" ref="Y577"/>
    <hyperlink r:id="rId2212" ref="B578"/>
    <hyperlink r:id="rId2213" ref="C578"/>
    <hyperlink r:id="rId2214" ref="E578"/>
    <hyperlink r:id="rId2215" ref="Y578"/>
    <hyperlink r:id="rId2216" ref="B579"/>
    <hyperlink r:id="rId2217" ref="C579"/>
    <hyperlink r:id="rId2218" ref="E579"/>
    <hyperlink r:id="rId2219" ref="Y579"/>
    <hyperlink r:id="rId2220" ref="B580"/>
    <hyperlink r:id="rId2221" ref="C580"/>
    <hyperlink r:id="rId2222" ref="E580"/>
    <hyperlink r:id="rId2223" ref="Y580"/>
    <hyperlink r:id="rId2224" ref="B581"/>
    <hyperlink r:id="rId2225" ref="C581"/>
    <hyperlink r:id="rId2226" ref="E581"/>
    <hyperlink r:id="rId2227" ref="Y581"/>
    <hyperlink r:id="rId2228" ref="B582"/>
    <hyperlink r:id="rId2229" ref="C582"/>
    <hyperlink r:id="rId2230" ref="E582"/>
    <hyperlink r:id="rId2231" ref="Y582"/>
    <hyperlink r:id="rId2232" ref="B583"/>
    <hyperlink r:id="rId2233" ref="C583"/>
    <hyperlink r:id="rId2234" ref="E583"/>
    <hyperlink r:id="rId2235" ref="Y583"/>
    <hyperlink r:id="rId2236" ref="B584"/>
    <hyperlink r:id="rId2237" ref="C584"/>
    <hyperlink r:id="rId2238" ref="E584"/>
    <hyperlink r:id="rId2239" ref="Y584"/>
    <hyperlink r:id="rId2240" ref="B585"/>
    <hyperlink r:id="rId2241" ref="C585"/>
    <hyperlink r:id="rId2242" ref="E585"/>
    <hyperlink r:id="rId2243" ref="Y585"/>
    <hyperlink r:id="rId2244" ref="B586"/>
    <hyperlink r:id="rId2245" ref="C586"/>
    <hyperlink r:id="rId2246" ref="E586"/>
    <hyperlink r:id="rId2247" ref="Y586"/>
    <hyperlink r:id="rId2248" ref="B587"/>
    <hyperlink r:id="rId2249" ref="C587"/>
    <hyperlink r:id="rId2250" ref="E587"/>
    <hyperlink r:id="rId2251" ref="Y587"/>
    <hyperlink r:id="rId2252" ref="B588"/>
    <hyperlink r:id="rId2253" ref="C588"/>
    <hyperlink r:id="rId2254" ref="E588"/>
    <hyperlink r:id="rId2255" ref="Y588"/>
    <hyperlink r:id="rId2256" ref="B589"/>
    <hyperlink r:id="rId2257" ref="C589"/>
    <hyperlink r:id="rId2258" ref="E589"/>
    <hyperlink r:id="rId2259" ref="Y589"/>
    <hyperlink r:id="rId2260" ref="B590"/>
    <hyperlink r:id="rId2261" ref="C590"/>
    <hyperlink r:id="rId2262" ref="E590"/>
    <hyperlink r:id="rId2263" ref="Y590"/>
    <hyperlink r:id="rId2264" ref="B591"/>
    <hyperlink r:id="rId2265" ref="C591"/>
    <hyperlink r:id="rId2266" ref="E591"/>
    <hyperlink r:id="rId2267" ref="Y591"/>
    <hyperlink r:id="rId2268" ref="B592"/>
    <hyperlink r:id="rId2269" ref="C592"/>
    <hyperlink r:id="rId2270" ref="E592"/>
    <hyperlink r:id="rId2271" ref="Y592"/>
    <hyperlink r:id="rId2272" ref="B593"/>
    <hyperlink r:id="rId2273" ref="C593"/>
    <hyperlink r:id="rId2274" ref="E593"/>
    <hyperlink r:id="rId2275" ref="Y593"/>
    <hyperlink r:id="rId2276" ref="B594"/>
    <hyperlink r:id="rId2277" ref="C594"/>
    <hyperlink r:id="rId2278" ref="E594"/>
    <hyperlink r:id="rId2279" ref="Y594"/>
    <hyperlink r:id="rId2280" ref="B595"/>
    <hyperlink r:id="rId2281" ref="C595"/>
    <hyperlink r:id="rId2282" ref="E595"/>
    <hyperlink r:id="rId2283" ref="Y595"/>
    <hyperlink r:id="rId2284" ref="B596"/>
    <hyperlink r:id="rId2285" ref="C596"/>
    <hyperlink r:id="rId2286" ref="E596"/>
    <hyperlink r:id="rId2287" ref="Y596"/>
    <hyperlink r:id="rId2288" ref="B597"/>
    <hyperlink r:id="rId2289" ref="C597"/>
    <hyperlink r:id="rId2290" ref="E597"/>
    <hyperlink r:id="rId2291" ref="Y597"/>
    <hyperlink r:id="rId2292" ref="B598"/>
    <hyperlink r:id="rId2293" ref="C598"/>
    <hyperlink r:id="rId2294" ref="E598"/>
    <hyperlink r:id="rId2295" ref="Y598"/>
    <hyperlink r:id="rId2296" ref="B599"/>
    <hyperlink r:id="rId2297" ref="C599"/>
    <hyperlink r:id="rId2298" ref="E599"/>
    <hyperlink r:id="rId2299" ref="Y599"/>
    <hyperlink r:id="rId2300" ref="B601"/>
    <hyperlink r:id="rId2301" ref="C601"/>
    <hyperlink r:id="rId2302" ref="E601"/>
    <hyperlink r:id="rId2303" ref="Y601"/>
    <hyperlink r:id="rId2304" ref="B602"/>
    <hyperlink r:id="rId2305" ref="C602"/>
    <hyperlink r:id="rId2306" ref="E602"/>
    <hyperlink r:id="rId2307" ref="Y602"/>
    <hyperlink r:id="rId2308" ref="B603"/>
    <hyperlink r:id="rId2309" ref="C603"/>
    <hyperlink r:id="rId2310" ref="E603"/>
    <hyperlink r:id="rId2311" ref="Y603"/>
    <hyperlink r:id="rId2312" ref="B604"/>
    <hyperlink r:id="rId2313" ref="C604"/>
    <hyperlink r:id="rId2314" ref="E604"/>
    <hyperlink r:id="rId2315" ref="Y604"/>
    <hyperlink r:id="rId2316" ref="B605"/>
    <hyperlink r:id="rId2317" ref="C605"/>
    <hyperlink r:id="rId2318" ref="E605"/>
    <hyperlink r:id="rId2319" ref="Y605"/>
    <hyperlink r:id="rId2320" ref="B606"/>
    <hyperlink r:id="rId2321" ref="C606"/>
    <hyperlink r:id="rId2322" ref="E606"/>
    <hyperlink r:id="rId2323" ref="Y606"/>
    <hyperlink r:id="rId2324" ref="B607"/>
    <hyperlink r:id="rId2325" ref="C607"/>
    <hyperlink r:id="rId2326" ref="E607"/>
    <hyperlink r:id="rId2327" ref="Y607"/>
    <hyperlink r:id="rId2328" ref="B608"/>
    <hyperlink r:id="rId2329" ref="C608"/>
    <hyperlink r:id="rId2330" ref="E608"/>
    <hyperlink r:id="rId2331" ref="Y608"/>
    <hyperlink r:id="rId2332" ref="B609"/>
    <hyperlink r:id="rId2333" ref="C609"/>
    <hyperlink r:id="rId2334" ref="E609"/>
    <hyperlink r:id="rId2335" ref="Y609"/>
    <hyperlink r:id="rId2336" ref="B610"/>
    <hyperlink r:id="rId2337" ref="C610"/>
    <hyperlink r:id="rId2338" ref="E610"/>
    <hyperlink r:id="rId2339" ref="Y610"/>
    <hyperlink r:id="rId2340" ref="B611"/>
    <hyperlink r:id="rId2341" ref="C611"/>
    <hyperlink r:id="rId2342" ref="E611"/>
    <hyperlink r:id="rId2343" ref="Y611"/>
    <hyperlink r:id="rId2344" ref="B612"/>
    <hyperlink r:id="rId2345" ref="C612"/>
    <hyperlink r:id="rId2346" ref="E612"/>
    <hyperlink r:id="rId2347" ref="Y612"/>
    <hyperlink r:id="rId2348" ref="B613"/>
    <hyperlink r:id="rId2349" ref="C613"/>
    <hyperlink r:id="rId2350" ref="E613"/>
    <hyperlink r:id="rId2351" ref="Y613"/>
    <hyperlink r:id="rId2352" ref="B614"/>
    <hyperlink r:id="rId2353" ref="C614"/>
    <hyperlink r:id="rId2354" ref="E614"/>
    <hyperlink r:id="rId2355" ref="Y614"/>
    <hyperlink r:id="rId2356" ref="B615"/>
    <hyperlink r:id="rId2357" ref="C615"/>
    <hyperlink r:id="rId2358" ref="E615"/>
    <hyperlink r:id="rId2359" ref="Y615"/>
    <hyperlink r:id="rId2360" ref="B616"/>
    <hyperlink r:id="rId2361" ref="C616"/>
    <hyperlink r:id="rId2362" ref="E616"/>
    <hyperlink r:id="rId2363" ref="Y616"/>
    <hyperlink r:id="rId2364" ref="B617"/>
    <hyperlink r:id="rId2365" ref="C617"/>
    <hyperlink r:id="rId2366" ref="E617"/>
    <hyperlink r:id="rId2367" ref="Y617"/>
    <hyperlink r:id="rId2368" ref="B618"/>
    <hyperlink r:id="rId2369" ref="C618"/>
    <hyperlink r:id="rId2370" ref="E618"/>
    <hyperlink r:id="rId2371" ref="Y618"/>
    <hyperlink r:id="rId2372" ref="B619"/>
    <hyperlink r:id="rId2373" ref="C619"/>
    <hyperlink r:id="rId2374" ref="E619"/>
    <hyperlink r:id="rId2375" ref="Y619"/>
    <hyperlink r:id="rId2376" ref="B620"/>
    <hyperlink r:id="rId2377" ref="C620"/>
    <hyperlink r:id="rId2378" ref="E620"/>
    <hyperlink r:id="rId2379" ref="Y620"/>
    <hyperlink r:id="rId2380" ref="B621"/>
    <hyperlink r:id="rId2381" ref="C621"/>
    <hyperlink r:id="rId2382" ref="E621"/>
    <hyperlink r:id="rId2383" ref="Y621"/>
    <hyperlink r:id="rId2384" ref="B622"/>
    <hyperlink r:id="rId2385" ref="C622"/>
    <hyperlink r:id="rId2386" ref="E622"/>
    <hyperlink r:id="rId2387" ref="Y622"/>
    <hyperlink r:id="rId2388" ref="B623"/>
    <hyperlink r:id="rId2389" ref="C623"/>
    <hyperlink r:id="rId2390" ref="E623"/>
    <hyperlink r:id="rId2391" ref="Y623"/>
    <hyperlink r:id="rId2392" ref="B624"/>
    <hyperlink r:id="rId2393" ref="C624"/>
    <hyperlink r:id="rId2394" ref="E624"/>
    <hyperlink r:id="rId2395" ref="Y624"/>
    <hyperlink r:id="rId2396" ref="B625"/>
    <hyperlink r:id="rId2397" ref="C625"/>
    <hyperlink r:id="rId2398" ref="E625"/>
    <hyperlink r:id="rId2399" ref="Y625"/>
    <hyperlink r:id="rId2400" ref="B627"/>
    <hyperlink r:id="rId2401" ref="E627"/>
    <hyperlink r:id="rId2402" ref="Y627"/>
    <hyperlink r:id="rId2403" ref="B628"/>
    <hyperlink r:id="rId2404" ref="C628"/>
    <hyperlink r:id="rId2405" ref="E628"/>
    <hyperlink r:id="rId2406" ref="Y628"/>
    <hyperlink r:id="rId2407" ref="B629"/>
    <hyperlink r:id="rId2408" ref="C629"/>
    <hyperlink r:id="rId2409" ref="E629"/>
    <hyperlink r:id="rId2410" ref="Y629"/>
    <hyperlink r:id="rId2411" ref="B630"/>
    <hyperlink r:id="rId2412" ref="C630"/>
    <hyperlink r:id="rId2413" ref="E630"/>
    <hyperlink r:id="rId2414" ref="Y630"/>
    <hyperlink r:id="rId2415" ref="B631"/>
    <hyperlink r:id="rId2416" ref="C631"/>
    <hyperlink r:id="rId2417" ref="E631"/>
    <hyperlink r:id="rId2418" ref="Y631"/>
    <hyperlink r:id="rId2419" ref="B632"/>
    <hyperlink r:id="rId2420" ref="C632"/>
    <hyperlink r:id="rId2421" ref="E632"/>
    <hyperlink r:id="rId2422" ref="Y632"/>
    <hyperlink r:id="rId2423" ref="B633"/>
    <hyperlink r:id="rId2424" ref="C633"/>
    <hyperlink r:id="rId2425" ref="E633"/>
    <hyperlink r:id="rId2426" ref="Y633"/>
    <hyperlink r:id="rId2427" ref="B634"/>
    <hyperlink r:id="rId2428" ref="C634"/>
    <hyperlink r:id="rId2429" ref="E634"/>
    <hyperlink r:id="rId2430" ref="Y634"/>
    <hyperlink r:id="rId2431" ref="B635"/>
    <hyperlink r:id="rId2432" ref="C635"/>
    <hyperlink r:id="rId2433" ref="E635"/>
    <hyperlink r:id="rId2434" ref="Y635"/>
    <hyperlink r:id="rId2435" ref="B636"/>
    <hyperlink r:id="rId2436" ref="C636"/>
    <hyperlink r:id="rId2437" ref="E636"/>
    <hyperlink r:id="rId2438" ref="Y636"/>
    <hyperlink r:id="rId2439" ref="B637"/>
    <hyperlink r:id="rId2440" ref="C637"/>
    <hyperlink r:id="rId2441" ref="E637"/>
    <hyperlink r:id="rId2442" ref="Y637"/>
    <hyperlink r:id="rId2443" ref="B638"/>
    <hyperlink r:id="rId2444" ref="C638"/>
    <hyperlink r:id="rId2445" ref="E638"/>
    <hyperlink r:id="rId2446" ref="Y638"/>
    <hyperlink r:id="rId2447" ref="B639"/>
    <hyperlink r:id="rId2448" ref="C639"/>
    <hyperlink r:id="rId2449" ref="E639"/>
    <hyperlink r:id="rId2450" ref="Y639"/>
    <hyperlink r:id="rId2451" ref="B640"/>
    <hyperlink r:id="rId2452" ref="C640"/>
    <hyperlink r:id="rId2453" ref="E640"/>
    <hyperlink r:id="rId2454" ref="Y640"/>
    <hyperlink r:id="rId2455" ref="B641"/>
    <hyperlink r:id="rId2456" ref="C641"/>
    <hyperlink r:id="rId2457" ref="E641"/>
    <hyperlink r:id="rId2458" ref="Y641"/>
    <hyperlink r:id="rId2459" ref="B642"/>
    <hyperlink r:id="rId2460" ref="C642"/>
    <hyperlink r:id="rId2461" ref="E642"/>
    <hyperlink r:id="rId2462" ref="Y642"/>
    <hyperlink r:id="rId2463" ref="B643"/>
    <hyperlink r:id="rId2464" ref="C643"/>
    <hyperlink r:id="rId2465" ref="E643"/>
    <hyperlink r:id="rId2466" ref="Y643"/>
    <hyperlink r:id="rId2467" ref="B644"/>
    <hyperlink r:id="rId2468" ref="C644"/>
    <hyperlink r:id="rId2469" ref="E644"/>
    <hyperlink r:id="rId2470" ref="Y644"/>
    <hyperlink r:id="rId2471" ref="B645"/>
    <hyperlink r:id="rId2472" ref="C645"/>
    <hyperlink r:id="rId2473" ref="E645"/>
    <hyperlink r:id="rId2474" ref="Y645"/>
    <hyperlink r:id="rId2475" ref="B646"/>
    <hyperlink r:id="rId2476" ref="C646"/>
    <hyperlink r:id="rId2477" ref="E646"/>
    <hyperlink r:id="rId2478" ref="Y646"/>
    <hyperlink r:id="rId2479" ref="B647"/>
    <hyperlink r:id="rId2480" ref="C647"/>
    <hyperlink r:id="rId2481" ref="E647"/>
    <hyperlink r:id="rId2482" ref="Y647"/>
    <hyperlink r:id="rId2483" ref="B648"/>
    <hyperlink r:id="rId2484" ref="C648"/>
    <hyperlink r:id="rId2485" ref="E648"/>
    <hyperlink r:id="rId2486" ref="Y648"/>
    <hyperlink r:id="rId2487" ref="B649"/>
    <hyperlink r:id="rId2488" ref="C649"/>
    <hyperlink r:id="rId2489" ref="E649"/>
    <hyperlink r:id="rId2490" ref="Y649"/>
    <hyperlink r:id="rId2491" ref="B650"/>
    <hyperlink r:id="rId2492" ref="C650"/>
    <hyperlink r:id="rId2493" ref="E650"/>
    <hyperlink r:id="rId2494" ref="Y650"/>
    <hyperlink r:id="rId2495" ref="B651"/>
    <hyperlink r:id="rId2496" ref="C651"/>
    <hyperlink r:id="rId2497" ref="E651"/>
    <hyperlink r:id="rId2498" ref="Y651"/>
    <hyperlink r:id="rId2499" ref="B653"/>
    <hyperlink r:id="rId2500" ref="C653"/>
    <hyperlink r:id="rId2501" ref="E653"/>
    <hyperlink r:id="rId2502" ref="Y653"/>
    <hyperlink r:id="rId2503" ref="B654"/>
    <hyperlink r:id="rId2504" ref="C654"/>
    <hyperlink r:id="rId2505" ref="E654"/>
    <hyperlink r:id="rId2506" ref="Y654"/>
    <hyperlink r:id="rId2507" ref="B655"/>
    <hyperlink r:id="rId2508" ref="C655"/>
    <hyperlink r:id="rId2509" ref="E655"/>
    <hyperlink r:id="rId2510" ref="Y655"/>
    <hyperlink r:id="rId2511" ref="B656"/>
    <hyperlink r:id="rId2512" ref="C656"/>
    <hyperlink r:id="rId2513" ref="E656"/>
    <hyperlink r:id="rId2514" ref="Y656"/>
    <hyperlink r:id="rId2515" ref="B657"/>
    <hyperlink r:id="rId2516" ref="C657"/>
    <hyperlink r:id="rId2517" ref="E657"/>
    <hyperlink r:id="rId2518" ref="Y657"/>
    <hyperlink r:id="rId2519" ref="B658"/>
    <hyperlink r:id="rId2520" ref="C658"/>
    <hyperlink r:id="rId2521" ref="E658"/>
    <hyperlink r:id="rId2522" ref="Y658"/>
    <hyperlink r:id="rId2523" ref="B659"/>
    <hyperlink r:id="rId2524" ref="C659"/>
    <hyperlink r:id="rId2525" ref="E659"/>
    <hyperlink r:id="rId2526" ref="Y659"/>
    <hyperlink r:id="rId2527" ref="B660"/>
    <hyperlink r:id="rId2528" ref="C660"/>
    <hyperlink r:id="rId2529" ref="E660"/>
    <hyperlink r:id="rId2530" ref="Y660"/>
    <hyperlink r:id="rId2531" ref="B661"/>
    <hyperlink r:id="rId2532" ref="C661"/>
    <hyperlink r:id="rId2533" ref="E661"/>
    <hyperlink r:id="rId2534" ref="Y661"/>
    <hyperlink r:id="rId2535" ref="B662"/>
    <hyperlink r:id="rId2536" ref="C662"/>
    <hyperlink r:id="rId2537" ref="E662"/>
    <hyperlink r:id="rId2538" ref="Y662"/>
    <hyperlink r:id="rId2539" ref="B663"/>
    <hyperlink r:id="rId2540" ref="C663"/>
    <hyperlink r:id="rId2541" ref="E663"/>
    <hyperlink r:id="rId2542" ref="Y663"/>
    <hyperlink r:id="rId2543" ref="B664"/>
    <hyperlink r:id="rId2544" ref="C664"/>
    <hyperlink r:id="rId2545" ref="E664"/>
    <hyperlink r:id="rId2546" ref="Y664"/>
    <hyperlink r:id="rId2547" ref="B665"/>
    <hyperlink r:id="rId2548" ref="C665"/>
    <hyperlink r:id="rId2549" ref="E665"/>
    <hyperlink r:id="rId2550" ref="Y665"/>
    <hyperlink r:id="rId2551" ref="B666"/>
    <hyperlink r:id="rId2552" ref="C666"/>
    <hyperlink r:id="rId2553" ref="E666"/>
    <hyperlink r:id="rId2554" ref="Y666"/>
    <hyperlink r:id="rId2555" ref="B667"/>
    <hyperlink r:id="rId2556" ref="C667"/>
    <hyperlink r:id="rId2557" ref="E667"/>
    <hyperlink r:id="rId2558" ref="Y667"/>
    <hyperlink r:id="rId2559" ref="B668"/>
    <hyperlink r:id="rId2560" ref="C668"/>
    <hyperlink r:id="rId2561" ref="E668"/>
    <hyperlink r:id="rId2562" ref="Y668"/>
    <hyperlink r:id="rId2563" ref="B669"/>
    <hyperlink r:id="rId2564" ref="C669"/>
    <hyperlink r:id="rId2565" ref="E669"/>
    <hyperlink r:id="rId2566" ref="Y669"/>
    <hyperlink r:id="rId2567" ref="B670"/>
    <hyperlink r:id="rId2568" ref="C670"/>
    <hyperlink r:id="rId2569" ref="E670"/>
    <hyperlink r:id="rId2570" ref="Y670"/>
    <hyperlink r:id="rId2571" ref="B671"/>
    <hyperlink r:id="rId2572" ref="C671"/>
    <hyperlink r:id="rId2573" ref="E671"/>
    <hyperlink r:id="rId2574" ref="Y671"/>
    <hyperlink r:id="rId2575" ref="B672"/>
    <hyperlink r:id="rId2576" ref="C672"/>
    <hyperlink r:id="rId2577" ref="E672"/>
    <hyperlink r:id="rId2578" ref="Y672"/>
    <hyperlink r:id="rId2579" ref="B673"/>
    <hyperlink r:id="rId2580" ref="C673"/>
    <hyperlink r:id="rId2581" ref="E673"/>
    <hyperlink r:id="rId2582" ref="Y673"/>
    <hyperlink r:id="rId2583" ref="B674"/>
    <hyperlink r:id="rId2584" ref="C674"/>
    <hyperlink r:id="rId2585" ref="E674"/>
    <hyperlink r:id="rId2586" ref="Y674"/>
    <hyperlink r:id="rId2587" ref="B675"/>
    <hyperlink r:id="rId2588" ref="C675"/>
    <hyperlink r:id="rId2589" ref="E675"/>
    <hyperlink r:id="rId2590" ref="Y675"/>
    <hyperlink r:id="rId2591" ref="B676"/>
    <hyperlink r:id="rId2592" ref="C676"/>
    <hyperlink r:id="rId2593" ref="E676"/>
    <hyperlink r:id="rId2594" ref="Y676"/>
    <hyperlink r:id="rId2595" ref="B677"/>
    <hyperlink r:id="rId2596" ref="C677"/>
    <hyperlink r:id="rId2597" ref="E677"/>
    <hyperlink r:id="rId2598" ref="Y677"/>
    <hyperlink r:id="rId2599" ref="B679"/>
    <hyperlink r:id="rId2600" ref="C679"/>
    <hyperlink r:id="rId2601" ref="E679"/>
    <hyperlink r:id="rId2602" ref="Y679"/>
    <hyperlink r:id="rId2603" ref="B680"/>
    <hyperlink r:id="rId2604" ref="C680"/>
    <hyperlink r:id="rId2605" ref="E680"/>
    <hyperlink r:id="rId2606" ref="Y680"/>
    <hyperlink r:id="rId2607" ref="B681"/>
    <hyperlink r:id="rId2608" ref="C681"/>
    <hyperlink r:id="rId2609" ref="E681"/>
    <hyperlink r:id="rId2610" ref="Y681"/>
    <hyperlink r:id="rId2611" ref="B682"/>
    <hyperlink r:id="rId2612" ref="C682"/>
    <hyperlink r:id="rId2613" ref="E682"/>
    <hyperlink r:id="rId2614" ref="Y682"/>
    <hyperlink r:id="rId2615" ref="B683"/>
    <hyperlink r:id="rId2616" ref="C683"/>
    <hyperlink r:id="rId2617" ref="E683"/>
    <hyperlink r:id="rId2618" ref="Y683"/>
    <hyperlink r:id="rId2619" ref="B684"/>
    <hyperlink r:id="rId2620" ref="C684"/>
    <hyperlink r:id="rId2621" ref="E684"/>
    <hyperlink r:id="rId2622" ref="Y684"/>
    <hyperlink r:id="rId2623" ref="B685"/>
    <hyperlink r:id="rId2624" ref="C685"/>
    <hyperlink r:id="rId2625" ref="E685"/>
    <hyperlink r:id="rId2626" ref="Y685"/>
    <hyperlink r:id="rId2627" ref="B686"/>
    <hyperlink r:id="rId2628" ref="C686"/>
    <hyperlink r:id="rId2629" ref="E686"/>
    <hyperlink r:id="rId2630" ref="Y686"/>
    <hyperlink r:id="rId2631" ref="B687"/>
    <hyperlink r:id="rId2632" ref="C687"/>
    <hyperlink r:id="rId2633" ref="E687"/>
    <hyperlink r:id="rId2634" ref="Y687"/>
    <hyperlink r:id="rId2635" ref="B688"/>
    <hyperlink r:id="rId2636" ref="C688"/>
    <hyperlink r:id="rId2637" ref="E688"/>
    <hyperlink r:id="rId2638" ref="Y688"/>
    <hyperlink r:id="rId2639" ref="B689"/>
    <hyperlink r:id="rId2640" ref="C689"/>
    <hyperlink r:id="rId2641" ref="E689"/>
    <hyperlink r:id="rId2642" ref="Y689"/>
    <hyperlink r:id="rId2643" ref="B690"/>
    <hyperlink r:id="rId2644" ref="C690"/>
    <hyperlink r:id="rId2645" ref="E690"/>
    <hyperlink r:id="rId2646" ref="Y690"/>
    <hyperlink r:id="rId2647" ref="B691"/>
    <hyperlink r:id="rId2648" ref="C691"/>
    <hyperlink r:id="rId2649" ref="E691"/>
    <hyperlink r:id="rId2650" ref="Y691"/>
    <hyperlink r:id="rId2651" ref="B692"/>
    <hyperlink r:id="rId2652" ref="C692"/>
    <hyperlink r:id="rId2653" ref="E692"/>
    <hyperlink r:id="rId2654" ref="Y692"/>
    <hyperlink r:id="rId2655" ref="B693"/>
    <hyperlink r:id="rId2656" ref="C693"/>
    <hyperlink r:id="rId2657" ref="E693"/>
    <hyperlink r:id="rId2658" ref="Y693"/>
    <hyperlink r:id="rId2659" ref="B694"/>
    <hyperlink r:id="rId2660" ref="C694"/>
    <hyperlink r:id="rId2661" ref="E694"/>
    <hyperlink r:id="rId2662" ref="Y694"/>
    <hyperlink r:id="rId2663" ref="B695"/>
    <hyperlink r:id="rId2664" ref="C695"/>
    <hyperlink r:id="rId2665" ref="E695"/>
    <hyperlink r:id="rId2666" ref="Y695"/>
    <hyperlink r:id="rId2667" ref="B696"/>
    <hyperlink r:id="rId2668" ref="C696"/>
    <hyperlink r:id="rId2669" ref="E696"/>
    <hyperlink r:id="rId2670" ref="Y696"/>
    <hyperlink r:id="rId2671" ref="B697"/>
    <hyperlink r:id="rId2672" ref="C697"/>
    <hyperlink r:id="rId2673" ref="E697"/>
    <hyperlink r:id="rId2674" ref="Y697"/>
    <hyperlink r:id="rId2675" ref="B698"/>
    <hyperlink r:id="rId2676" ref="C698"/>
    <hyperlink r:id="rId2677" ref="E698"/>
    <hyperlink r:id="rId2678" ref="Y698"/>
    <hyperlink r:id="rId2679" ref="B699"/>
    <hyperlink r:id="rId2680" ref="C699"/>
    <hyperlink r:id="rId2681" ref="E699"/>
    <hyperlink r:id="rId2682" ref="Y699"/>
    <hyperlink r:id="rId2683" ref="B700"/>
    <hyperlink r:id="rId2684" ref="C700"/>
    <hyperlink r:id="rId2685" ref="E700"/>
    <hyperlink r:id="rId2686" ref="Y700"/>
    <hyperlink r:id="rId2687" ref="B701"/>
    <hyperlink r:id="rId2688" ref="C701"/>
    <hyperlink r:id="rId2689" ref="E701"/>
    <hyperlink r:id="rId2690" ref="Y701"/>
    <hyperlink r:id="rId2691" ref="B702"/>
    <hyperlink r:id="rId2692" ref="C702"/>
    <hyperlink r:id="rId2693" ref="E702"/>
    <hyperlink r:id="rId2694" ref="Y702"/>
    <hyperlink r:id="rId2695" ref="B703"/>
    <hyperlink r:id="rId2696" ref="C703"/>
    <hyperlink r:id="rId2697" ref="E703"/>
    <hyperlink r:id="rId2698" ref="Y703"/>
    <hyperlink r:id="rId2699" ref="B705"/>
    <hyperlink r:id="rId2700" ref="C705"/>
    <hyperlink r:id="rId2701" ref="E705"/>
    <hyperlink r:id="rId2702" ref="Y705"/>
    <hyperlink r:id="rId2703" ref="B706"/>
    <hyperlink r:id="rId2704" ref="C706"/>
    <hyperlink r:id="rId2705" ref="E706"/>
    <hyperlink r:id="rId2706" ref="Y706"/>
    <hyperlink r:id="rId2707" ref="B707"/>
    <hyperlink r:id="rId2708" ref="C707"/>
    <hyperlink r:id="rId2709" ref="E707"/>
    <hyperlink r:id="rId2710" ref="Y707"/>
    <hyperlink r:id="rId2711" ref="B708"/>
    <hyperlink r:id="rId2712" ref="C708"/>
    <hyperlink r:id="rId2713" ref="E708"/>
    <hyperlink r:id="rId2714" ref="Y708"/>
    <hyperlink r:id="rId2715" ref="B709"/>
    <hyperlink r:id="rId2716" ref="C709"/>
    <hyperlink r:id="rId2717" ref="E709"/>
    <hyperlink r:id="rId2718" ref="Y709"/>
    <hyperlink r:id="rId2719" ref="B710"/>
    <hyperlink r:id="rId2720" ref="C710"/>
    <hyperlink r:id="rId2721" ref="E710"/>
    <hyperlink r:id="rId2722" ref="Y710"/>
    <hyperlink r:id="rId2723" ref="B711"/>
    <hyperlink r:id="rId2724" ref="C711"/>
    <hyperlink r:id="rId2725" ref="E711"/>
    <hyperlink r:id="rId2726" ref="Y711"/>
    <hyperlink r:id="rId2727" ref="B712"/>
    <hyperlink r:id="rId2728" ref="C712"/>
    <hyperlink r:id="rId2729" ref="E712"/>
    <hyperlink r:id="rId2730" ref="Y712"/>
    <hyperlink r:id="rId2731" ref="B713"/>
    <hyperlink r:id="rId2732" ref="C713"/>
    <hyperlink r:id="rId2733" ref="E713"/>
    <hyperlink r:id="rId2734" ref="Y713"/>
    <hyperlink r:id="rId2735" ref="B714"/>
    <hyperlink r:id="rId2736" ref="E714"/>
    <hyperlink r:id="rId2737" ref="Y714"/>
    <hyperlink r:id="rId2738" ref="B715"/>
    <hyperlink r:id="rId2739" ref="C715"/>
    <hyperlink r:id="rId2740" ref="E715"/>
    <hyperlink r:id="rId2741" ref="Y715"/>
    <hyperlink r:id="rId2742" ref="B716"/>
    <hyperlink r:id="rId2743" ref="C716"/>
    <hyperlink r:id="rId2744" ref="E716"/>
    <hyperlink r:id="rId2745" ref="Y716"/>
    <hyperlink r:id="rId2746" ref="B717"/>
    <hyperlink r:id="rId2747" ref="C717"/>
    <hyperlink r:id="rId2748" ref="E717"/>
    <hyperlink r:id="rId2749" ref="Y717"/>
    <hyperlink r:id="rId2750" ref="B718"/>
    <hyperlink r:id="rId2751" ref="C718"/>
    <hyperlink r:id="rId2752" ref="E718"/>
    <hyperlink r:id="rId2753" ref="Y718"/>
    <hyperlink r:id="rId2754" ref="B719"/>
    <hyperlink r:id="rId2755" ref="C719"/>
    <hyperlink r:id="rId2756" ref="E719"/>
    <hyperlink r:id="rId2757" ref="Y719"/>
    <hyperlink r:id="rId2758" ref="B720"/>
    <hyperlink r:id="rId2759" ref="C720"/>
    <hyperlink r:id="rId2760" ref="E720"/>
    <hyperlink r:id="rId2761" ref="Y720"/>
    <hyperlink r:id="rId2762" ref="B721"/>
    <hyperlink r:id="rId2763" ref="C721"/>
    <hyperlink r:id="rId2764" ref="E721"/>
    <hyperlink r:id="rId2765" ref="Y721"/>
    <hyperlink r:id="rId2766" ref="B722"/>
    <hyperlink r:id="rId2767" ref="C722"/>
    <hyperlink r:id="rId2768" ref="E722"/>
    <hyperlink r:id="rId2769" ref="Y722"/>
  </hyperlinks>
  <drawing r:id="rId277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</v>
      </c>
      <c r="B1" s="49" t="s">
        <v>4</v>
      </c>
      <c r="C1" s="4" t="s">
        <v>5</v>
      </c>
      <c r="D1" s="8" t="s">
        <v>6</v>
      </c>
      <c r="E1" s="8" t="s">
        <v>7</v>
      </c>
      <c r="F1" s="8" t="s">
        <v>8</v>
      </c>
      <c r="G1" s="4" t="s">
        <v>9617</v>
      </c>
      <c r="H1" s="8" t="s">
        <v>9618</v>
      </c>
      <c r="I1" s="8" t="s">
        <v>9619</v>
      </c>
    </row>
    <row r="2">
      <c r="A2" s="50">
        <v>1.0</v>
      </c>
      <c r="B2" s="13" t="s">
        <v>9620</v>
      </c>
      <c r="C2" s="72" t="s">
        <v>9621</v>
      </c>
      <c r="D2" s="12" t="s">
        <v>41</v>
      </c>
      <c r="E2" s="13" t="s">
        <v>9622</v>
      </c>
      <c r="F2" s="12">
        <v>25.0</v>
      </c>
      <c r="G2" s="14" t="s">
        <v>9623</v>
      </c>
      <c r="H2" s="15" t="s">
        <v>9624</v>
      </c>
      <c r="I2" s="73"/>
    </row>
    <row r="3">
      <c r="A3" s="50">
        <v>2.0</v>
      </c>
      <c r="B3" s="13" t="s">
        <v>9625</v>
      </c>
      <c r="C3" s="72" t="s">
        <v>9626</v>
      </c>
      <c r="D3" s="12" t="s">
        <v>31</v>
      </c>
      <c r="E3" s="13" t="s">
        <v>9627</v>
      </c>
      <c r="F3" s="12">
        <v>33.0</v>
      </c>
      <c r="G3" s="14" t="s">
        <v>9628</v>
      </c>
      <c r="H3" s="15" t="s">
        <v>9629</v>
      </c>
      <c r="I3" s="73"/>
    </row>
    <row r="4">
      <c r="A4" s="50">
        <v>3.0</v>
      </c>
      <c r="B4" s="13" t="s">
        <v>9630</v>
      </c>
      <c r="C4" s="72" t="s">
        <v>9631</v>
      </c>
      <c r="D4" s="12" t="s">
        <v>31</v>
      </c>
      <c r="E4" s="13" t="s">
        <v>9632</v>
      </c>
      <c r="F4" s="12">
        <v>33.0</v>
      </c>
      <c r="G4" s="14" t="s">
        <v>9633</v>
      </c>
      <c r="H4" s="15" t="s">
        <v>9634</v>
      </c>
      <c r="I4" s="73"/>
    </row>
    <row r="5">
      <c r="A5" s="50">
        <v>4.0</v>
      </c>
      <c r="B5" s="13" t="s">
        <v>9635</v>
      </c>
      <c r="C5" s="72" t="s">
        <v>9636</v>
      </c>
      <c r="D5" s="12" t="s">
        <v>36</v>
      </c>
      <c r="E5" s="13" t="s">
        <v>9637</v>
      </c>
      <c r="F5" s="12">
        <v>34.0</v>
      </c>
      <c r="G5" s="14" t="s">
        <v>9633</v>
      </c>
      <c r="H5" s="15" t="s">
        <v>9634</v>
      </c>
      <c r="I5" s="73"/>
    </row>
    <row r="6">
      <c r="A6" s="50">
        <v>5.0</v>
      </c>
      <c r="B6" s="13" t="s">
        <v>9638</v>
      </c>
      <c r="C6" s="72" t="s">
        <v>9639</v>
      </c>
      <c r="D6" s="12" t="s">
        <v>31</v>
      </c>
      <c r="E6" s="13" t="s">
        <v>9640</v>
      </c>
      <c r="F6" s="12">
        <v>30.0</v>
      </c>
      <c r="G6" s="14" t="s">
        <v>9641</v>
      </c>
      <c r="H6" s="15" t="s">
        <v>9642</v>
      </c>
      <c r="I6" s="73"/>
    </row>
    <row r="7">
      <c r="A7" s="50">
        <v>6.0</v>
      </c>
      <c r="B7" s="13" t="s">
        <v>9643</v>
      </c>
      <c r="C7" s="72" t="s">
        <v>9644</v>
      </c>
      <c r="D7" s="12" t="s">
        <v>31</v>
      </c>
      <c r="E7" s="13" t="s">
        <v>9645</v>
      </c>
      <c r="F7" s="12">
        <v>30.0</v>
      </c>
      <c r="G7" s="14" t="s">
        <v>9641</v>
      </c>
      <c r="H7" s="15" t="s">
        <v>9642</v>
      </c>
      <c r="I7" s="73"/>
    </row>
    <row r="8">
      <c r="A8" s="50">
        <v>7.0</v>
      </c>
      <c r="B8" s="13" t="s">
        <v>9646</v>
      </c>
      <c r="C8" s="72" t="s">
        <v>9647</v>
      </c>
      <c r="D8" s="12" t="s">
        <v>107</v>
      </c>
      <c r="E8" s="13" t="s">
        <v>9648</v>
      </c>
      <c r="F8" s="12">
        <v>26.0</v>
      </c>
      <c r="G8" s="14" t="s">
        <v>9649</v>
      </c>
      <c r="H8" s="15" t="s">
        <v>9650</v>
      </c>
      <c r="I8" s="73"/>
    </row>
    <row r="9">
      <c r="A9" s="50">
        <v>8.0</v>
      </c>
      <c r="B9" s="13" t="s">
        <v>9651</v>
      </c>
      <c r="C9" s="72" t="s">
        <v>9652</v>
      </c>
      <c r="D9" s="12" t="s">
        <v>41</v>
      </c>
      <c r="E9" s="13" t="s">
        <v>9653</v>
      </c>
      <c r="F9" s="12">
        <v>25.0</v>
      </c>
      <c r="G9" s="14" t="s">
        <v>9654</v>
      </c>
      <c r="H9" s="15" t="s">
        <v>9655</v>
      </c>
      <c r="I9" s="73"/>
    </row>
    <row r="10">
      <c r="A10" s="50">
        <v>9.0</v>
      </c>
      <c r="B10" s="13" t="s">
        <v>9656</v>
      </c>
      <c r="C10" s="72" t="s">
        <v>9657</v>
      </c>
      <c r="D10" s="12" t="s">
        <v>107</v>
      </c>
      <c r="E10" s="13" t="s">
        <v>9658</v>
      </c>
      <c r="F10" s="12">
        <v>26.0</v>
      </c>
      <c r="G10" s="14" t="s">
        <v>9654</v>
      </c>
      <c r="H10" s="15" t="s">
        <v>9655</v>
      </c>
      <c r="I10" s="73"/>
    </row>
    <row r="11">
      <c r="A11" s="50">
        <v>10.0</v>
      </c>
      <c r="B11" s="13" t="s">
        <v>9659</v>
      </c>
      <c r="C11" s="72" t="s">
        <v>9660</v>
      </c>
      <c r="D11" s="12" t="s">
        <v>41</v>
      </c>
      <c r="E11" s="13" t="s">
        <v>9661</v>
      </c>
      <c r="F11" s="12">
        <v>28.0</v>
      </c>
      <c r="G11" s="14" t="s">
        <v>9662</v>
      </c>
      <c r="H11" s="15" t="s">
        <v>9663</v>
      </c>
      <c r="I11" s="73"/>
    </row>
    <row r="12">
      <c r="A12" s="50">
        <v>11.0</v>
      </c>
      <c r="B12" s="13" t="s">
        <v>9664</v>
      </c>
      <c r="C12" s="72" t="s">
        <v>9665</v>
      </c>
      <c r="D12" s="12" t="s">
        <v>36</v>
      </c>
      <c r="E12" s="13" t="s">
        <v>9666</v>
      </c>
      <c r="F12" s="12">
        <v>25.0</v>
      </c>
      <c r="G12" s="14" t="s">
        <v>9667</v>
      </c>
      <c r="H12" s="15" t="s">
        <v>9668</v>
      </c>
      <c r="I12" s="73"/>
    </row>
    <row r="13">
      <c r="A13" s="50">
        <v>12.0</v>
      </c>
      <c r="B13" s="13" t="s">
        <v>9669</v>
      </c>
      <c r="C13" s="72" t="s">
        <v>9670</v>
      </c>
      <c r="D13" s="12" t="s">
        <v>26</v>
      </c>
      <c r="E13" s="13" t="s">
        <v>9671</v>
      </c>
      <c r="F13" s="12">
        <v>26.0</v>
      </c>
      <c r="G13" s="14" t="s">
        <v>9672</v>
      </c>
      <c r="H13" s="15" t="s">
        <v>9673</v>
      </c>
      <c r="I13" s="74" t="s">
        <v>9674</v>
      </c>
    </row>
    <row r="14">
      <c r="A14" s="50">
        <v>13.0</v>
      </c>
      <c r="B14" s="13" t="s">
        <v>9675</v>
      </c>
      <c r="C14" s="72" t="s">
        <v>9676</v>
      </c>
      <c r="D14" s="12" t="s">
        <v>98</v>
      </c>
      <c r="E14" s="13" t="s">
        <v>9677</v>
      </c>
      <c r="F14" s="12">
        <v>26.0</v>
      </c>
      <c r="G14" s="14" t="s">
        <v>9672</v>
      </c>
      <c r="H14" s="15" t="s">
        <v>9673</v>
      </c>
      <c r="I14" s="73"/>
    </row>
    <row r="15">
      <c r="A15" s="50">
        <v>14.0</v>
      </c>
      <c r="B15" s="13" t="s">
        <v>9678</v>
      </c>
      <c r="C15" s="72" t="s">
        <v>9679</v>
      </c>
      <c r="D15" s="12" t="s">
        <v>36</v>
      </c>
      <c r="E15" s="13" t="s">
        <v>9680</v>
      </c>
      <c r="F15" s="12">
        <v>31.0</v>
      </c>
      <c r="G15" s="14" t="s">
        <v>9672</v>
      </c>
      <c r="H15" s="15" t="s">
        <v>9673</v>
      </c>
      <c r="I15" s="73"/>
    </row>
    <row r="16">
      <c r="A16" s="50">
        <v>15.0</v>
      </c>
      <c r="B16" s="13" t="s">
        <v>9681</v>
      </c>
      <c r="C16" s="72" t="s">
        <v>9682</v>
      </c>
      <c r="D16" s="12" t="s">
        <v>36</v>
      </c>
      <c r="E16" s="13" t="s">
        <v>9683</v>
      </c>
      <c r="F16" s="12">
        <v>28.0</v>
      </c>
      <c r="G16" s="14" t="s">
        <v>9672</v>
      </c>
      <c r="H16" s="15" t="s">
        <v>9673</v>
      </c>
      <c r="I16" s="74" t="s">
        <v>9674</v>
      </c>
    </row>
    <row r="17">
      <c r="A17" s="50">
        <v>16.0</v>
      </c>
      <c r="B17" s="13" t="s">
        <v>9684</v>
      </c>
      <c r="C17" s="72" t="s">
        <v>9685</v>
      </c>
      <c r="D17" s="12" t="s">
        <v>345</v>
      </c>
      <c r="E17" s="13" t="s">
        <v>9686</v>
      </c>
      <c r="F17" s="12">
        <v>25.0</v>
      </c>
      <c r="G17" s="14" t="s">
        <v>9672</v>
      </c>
      <c r="H17" s="15" t="s">
        <v>9673</v>
      </c>
      <c r="I17" s="73"/>
    </row>
    <row r="18">
      <c r="A18" s="50">
        <v>17.0</v>
      </c>
      <c r="B18" s="13" t="s">
        <v>9687</v>
      </c>
      <c r="C18" s="72" t="s">
        <v>9688</v>
      </c>
      <c r="D18" s="12" t="s">
        <v>36</v>
      </c>
      <c r="E18" s="13" t="s">
        <v>9689</v>
      </c>
      <c r="F18" s="12">
        <v>24.0</v>
      </c>
      <c r="G18" s="14" t="s">
        <v>9672</v>
      </c>
      <c r="H18" s="15" t="s">
        <v>9673</v>
      </c>
      <c r="I18" s="73"/>
    </row>
    <row r="19">
      <c r="A19" s="50">
        <v>18.0</v>
      </c>
      <c r="B19" s="13" t="s">
        <v>9690</v>
      </c>
      <c r="C19" s="72" t="s">
        <v>9691</v>
      </c>
      <c r="D19" s="12" t="s">
        <v>31</v>
      </c>
      <c r="E19" s="13" t="s">
        <v>9692</v>
      </c>
      <c r="F19" s="12">
        <v>26.0</v>
      </c>
      <c r="G19" s="14" t="s">
        <v>9693</v>
      </c>
      <c r="H19" s="15" t="s">
        <v>9694</v>
      </c>
      <c r="I19" s="73"/>
    </row>
    <row r="20">
      <c r="A20" s="50">
        <v>19.0</v>
      </c>
      <c r="B20" s="13" t="s">
        <v>9695</v>
      </c>
      <c r="C20" s="72" t="s">
        <v>9696</v>
      </c>
      <c r="D20" s="12" t="s">
        <v>31</v>
      </c>
      <c r="E20" s="13" t="s">
        <v>9697</v>
      </c>
      <c r="F20" s="12">
        <v>26.0</v>
      </c>
      <c r="G20" s="14" t="s">
        <v>9693</v>
      </c>
      <c r="H20" s="15" t="s">
        <v>9694</v>
      </c>
      <c r="I20" s="73"/>
    </row>
    <row r="21">
      <c r="A21" s="50">
        <v>20.0</v>
      </c>
      <c r="B21" s="13" t="s">
        <v>9698</v>
      </c>
      <c r="C21" s="72" t="s">
        <v>9699</v>
      </c>
      <c r="D21" s="12" t="s">
        <v>31</v>
      </c>
      <c r="E21" s="13" t="s">
        <v>9700</v>
      </c>
      <c r="F21" s="12">
        <v>27.0</v>
      </c>
      <c r="G21" s="14" t="s">
        <v>9701</v>
      </c>
      <c r="H21" s="15" t="s">
        <v>9702</v>
      </c>
      <c r="I21" s="73"/>
    </row>
    <row r="22">
      <c r="A22" s="50">
        <v>21.0</v>
      </c>
      <c r="B22" s="13" t="s">
        <v>9703</v>
      </c>
      <c r="C22" s="72" t="s">
        <v>9704</v>
      </c>
      <c r="D22" s="12" t="s">
        <v>31</v>
      </c>
      <c r="E22" s="13" t="s">
        <v>9705</v>
      </c>
      <c r="F22" s="12">
        <v>25.0</v>
      </c>
      <c r="G22" s="14" t="s">
        <v>9706</v>
      </c>
      <c r="H22" s="15" t="s">
        <v>9707</v>
      </c>
      <c r="I22" s="73"/>
    </row>
    <row r="23">
      <c r="A23" s="50">
        <v>22.0</v>
      </c>
      <c r="B23" s="13" t="s">
        <v>9708</v>
      </c>
      <c r="C23" s="72" t="s">
        <v>9709</v>
      </c>
      <c r="D23" s="12" t="s">
        <v>31</v>
      </c>
      <c r="E23" s="13" t="s">
        <v>9710</v>
      </c>
      <c r="F23" s="12">
        <v>29.0</v>
      </c>
      <c r="G23" s="14" t="s">
        <v>9711</v>
      </c>
      <c r="H23" s="15" t="s">
        <v>9712</v>
      </c>
      <c r="I23" s="73"/>
    </row>
    <row r="24">
      <c r="A24" s="50">
        <v>23.0</v>
      </c>
      <c r="B24" s="13" t="s">
        <v>9713</v>
      </c>
      <c r="C24" s="72" t="s">
        <v>9714</v>
      </c>
      <c r="D24" s="12" t="s">
        <v>31</v>
      </c>
      <c r="E24" s="13" t="s">
        <v>9715</v>
      </c>
      <c r="F24" s="12">
        <v>22.0</v>
      </c>
      <c r="G24" s="14" t="s">
        <v>9716</v>
      </c>
      <c r="H24" s="15" t="s">
        <v>9717</v>
      </c>
      <c r="I24" s="73"/>
    </row>
    <row r="25">
      <c r="A25" s="50">
        <v>24.0</v>
      </c>
      <c r="B25" s="13" t="s">
        <v>9718</v>
      </c>
      <c r="C25" s="72" t="s">
        <v>9719</v>
      </c>
      <c r="D25" s="12" t="s">
        <v>41</v>
      </c>
      <c r="E25" s="13" t="s">
        <v>9720</v>
      </c>
      <c r="F25" s="12">
        <v>23.0</v>
      </c>
      <c r="G25" s="14" t="s">
        <v>9716</v>
      </c>
      <c r="H25" s="15" t="s">
        <v>9717</v>
      </c>
      <c r="I25" s="73"/>
    </row>
    <row r="26">
      <c r="A26" s="50">
        <v>25.0</v>
      </c>
      <c r="B26" s="13" t="s">
        <v>9721</v>
      </c>
      <c r="C26" s="72" t="s">
        <v>9722</v>
      </c>
      <c r="D26" s="12" t="s">
        <v>36</v>
      </c>
      <c r="E26" s="13" t="s">
        <v>9723</v>
      </c>
      <c r="F26" s="12">
        <v>23.0</v>
      </c>
      <c r="G26" s="14" t="s">
        <v>9716</v>
      </c>
      <c r="H26" s="15" t="s">
        <v>9717</v>
      </c>
      <c r="I26" s="74" t="s">
        <v>9674</v>
      </c>
    </row>
    <row r="27">
      <c r="A27" s="37" t="s">
        <v>3</v>
      </c>
      <c r="B27" s="51" t="s">
        <v>4</v>
      </c>
      <c r="C27" s="40" t="s">
        <v>5</v>
      </c>
      <c r="D27" s="39" t="s">
        <v>6</v>
      </c>
      <c r="E27" s="39" t="s">
        <v>7</v>
      </c>
      <c r="F27" s="39" t="s">
        <v>8</v>
      </c>
      <c r="G27" s="40" t="s">
        <v>9617</v>
      </c>
      <c r="H27" s="39" t="s">
        <v>9618</v>
      </c>
      <c r="I27" s="39" t="s">
        <v>9619</v>
      </c>
    </row>
    <row r="28">
      <c r="A28" s="50">
        <v>26.0</v>
      </c>
      <c r="B28" s="13" t="s">
        <v>9724</v>
      </c>
      <c r="C28" s="72" t="s">
        <v>9725</v>
      </c>
      <c r="D28" s="12" t="s">
        <v>36</v>
      </c>
      <c r="E28" s="13" t="s">
        <v>9726</v>
      </c>
      <c r="F28" s="12">
        <v>24.0</v>
      </c>
      <c r="G28" s="14" t="s">
        <v>9716</v>
      </c>
      <c r="H28" s="15" t="s">
        <v>9717</v>
      </c>
      <c r="I28" s="73"/>
    </row>
    <row r="29">
      <c r="A29" s="50">
        <v>27.0</v>
      </c>
      <c r="B29" s="13" t="s">
        <v>9727</v>
      </c>
      <c r="C29" s="72" t="s">
        <v>9728</v>
      </c>
      <c r="D29" s="12" t="s">
        <v>41</v>
      </c>
      <c r="E29" s="13" t="s">
        <v>9729</v>
      </c>
      <c r="F29" s="12">
        <v>27.0</v>
      </c>
      <c r="G29" s="14" t="s">
        <v>9716</v>
      </c>
      <c r="H29" s="15" t="s">
        <v>9717</v>
      </c>
      <c r="I29" s="74" t="s">
        <v>9674</v>
      </c>
    </row>
    <row r="30">
      <c r="A30" s="50">
        <v>28.0</v>
      </c>
      <c r="B30" s="13" t="s">
        <v>9730</v>
      </c>
      <c r="C30" s="72" t="s">
        <v>9731</v>
      </c>
      <c r="D30" s="12" t="s">
        <v>36</v>
      </c>
      <c r="E30" s="13" t="s">
        <v>9732</v>
      </c>
      <c r="F30" s="12">
        <v>25.0</v>
      </c>
      <c r="G30" s="14" t="s">
        <v>9733</v>
      </c>
      <c r="H30" s="15" t="s">
        <v>9734</v>
      </c>
      <c r="I30" s="73"/>
    </row>
    <row r="31">
      <c r="A31" s="50">
        <v>29.0</v>
      </c>
      <c r="B31" s="13" t="s">
        <v>9735</v>
      </c>
      <c r="C31" s="72" t="s">
        <v>9736</v>
      </c>
      <c r="D31" s="12" t="s">
        <v>36</v>
      </c>
      <c r="E31" s="13" t="s">
        <v>9737</v>
      </c>
      <c r="F31" s="12">
        <v>27.0</v>
      </c>
      <c r="G31" s="14" t="s">
        <v>9733</v>
      </c>
      <c r="H31" s="15" t="s">
        <v>9734</v>
      </c>
      <c r="I31" s="73"/>
    </row>
    <row r="32">
      <c r="A32" s="50">
        <v>30.0</v>
      </c>
      <c r="B32" s="13" t="s">
        <v>9738</v>
      </c>
      <c r="C32" s="72" t="s">
        <v>9739</v>
      </c>
      <c r="D32" s="12" t="s">
        <v>26</v>
      </c>
      <c r="E32" s="13" t="s">
        <v>9740</v>
      </c>
      <c r="F32" s="12">
        <v>22.0</v>
      </c>
      <c r="G32" s="14" t="s">
        <v>9733</v>
      </c>
      <c r="H32" s="15" t="s">
        <v>9734</v>
      </c>
      <c r="I32" s="73"/>
    </row>
    <row r="33">
      <c r="A33" s="50">
        <v>31.0</v>
      </c>
      <c r="B33" s="13" t="s">
        <v>9741</v>
      </c>
      <c r="C33" s="72" t="s">
        <v>9742</v>
      </c>
      <c r="D33" s="12" t="s">
        <v>107</v>
      </c>
      <c r="E33" s="13" t="s">
        <v>9743</v>
      </c>
      <c r="F33" s="12">
        <v>23.0</v>
      </c>
      <c r="G33" s="14" t="s">
        <v>9733</v>
      </c>
      <c r="H33" s="15" t="s">
        <v>9734</v>
      </c>
      <c r="I33" s="73"/>
    </row>
    <row r="34">
      <c r="A34" s="50">
        <v>32.0</v>
      </c>
      <c r="B34" s="13" t="s">
        <v>9744</v>
      </c>
      <c r="C34" s="72" t="s">
        <v>9745</v>
      </c>
      <c r="D34" s="12" t="s">
        <v>36</v>
      </c>
      <c r="E34" s="13" t="s">
        <v>9746</v>
      </c>
      <c r="F34" s="12">
        <v>32.0</v>
      </c>
      <c r="G34" s="14" t="s">
        <v>9747</v>
      </c>
      <c r="H34" s="15" t="s">
        <v>9748</v>
      </c>
      <c r="I34" s="73"/>
    </row>
    <row r="35">
      <c r="A35" s="50">
        <v>33.0</v>
      </c>
      <c r="B35" s="13" t="s">
        <v>9749</v>
      </c>
      <c r="C35" s="72" t="s">
        <v>9750</v>
      </c>
      <c r="D35" s="12" t="s">
        <v>26</v>
      </c>
      <c r="E35" s="13" t="s">
        <v>9751</v>
      </c>
      <c r="F35" s="12">
        <v>26.0</v>
      </c>
      <c r="G35" s="14" t="s">
        <v>9752</v>
      </c>
      <c r="H35" s="15" t="s">
        <v>9753</v>
      </c>
      <c r="I35" s="73"/>
    </row>
    <row r="36">
      <c r="A36" s="50">
        <v>34.0</v>
      </c>
      <c r="B36" s="13" t="s">
        <v>9754</v>
      </c>
      <c r="C36" s="72" t="s">
        <v>9755</v>
      </c>
      <c r="D36" s="12" t="s">
        <v>31</v>
      </c>
      <c r="E36" s="13" t="s">
        <v>9756</v>
      </c>
      <c r="F36" s="12">
        <v>21.0</v>
      </c>
      <c r="G36" s="14" t="s">
        <v>9752</v>
      </c>
      <c r="H36" s="15" t="s">
        <v>9753</v>
      </c>
      <c r="I36" s="74" t="s">
        <v>9674</v>
      </c>
    </row>
    <row r="37">
      <c r="A37" s="50">
        <v>35.0</v>
      </c>
      <c r="B37" s="13" t="s">
        <v>9757</v>
      </c>
      <c r="C37" s="72" t="s">
        <v>9758</v>
      </c>
      <c r="D37" s="12" t="s">
        <v>31</v>
      </c>
      <c r="E37" s="13" t="s">
        <v>9759</v>
      </c>
      <c r="F37" s="12">
        <v>24.0</v>
      </c>
      <c r="G37" s="14" t="s">
        <v>9752</v>
      </c>
      <c r="H37" s="15" t="s">
        <v>9753</v>
      </c>
      <c r="I37" s="73"/>
    </row>
    <row r="38">
      <c r="A38" s="50">
        <v>36.0</v>
      </c>
      <c r="B38" s="13" t="s">
        <v>9760</v>
      </c>
      <c r="C38" s="72" t="s">
        <v>9761</v>
      </c>
      <c r="D38" s="12" t="s">
        <v>26</v>
      </c>
      <c r="E38" s="13" t="s">
        <v>9762</v>
      </c>
      <c r="F38" s="12">
        <v>27.0</v>
      </c>
      <c r="G38" s="14" t="s">
        <v>9752</v>
      </c>
      <c r="H38" s="15" t="s">
        <v>9753</v>
      </c>
      <c r="I38" s="74" t="s">
        <v>9674</v>
      </c>
    </row>
    <row r="39">
      <c r="A39" s="50">
        <v>37.0</v>
      </c>
      <c r="B39" s="13" t="s">
        <v>9763</v>
      </c>
      <c r="C39" s="72" t="s">
        <v>9764</v>
      </c>
      <c r="D39" s="12" t="s">
        <v>107</v>
      </c>
      <c r="E39" s="13" t="s">
        <v>9765</v>
      </c>
      <c r="F39" s="12">
        <v>24.0</v>
      </c>
      <c r="G39" s="14" t="s">
        <v>9752</v>
      </c>
      <c r="H39" s="15" t="s">
        <v>9753</v>
      </c>
      <c r="I39" s="73"/>
    </row>
    <row r="40">
      <c r="A40" s="50">
        <v>38.0</v>
      </c>
      <c r="B40" s="13" t="s">
        <v>9766</v>
      </c>
      <c r="C40" s="72" t="s">
        <v>9767</v>
      </c>
      <c r="D40" s="12" t="s">
        <v>107</v>
      </c>
      <c r="E40" s="13" t="s">
        <v>9768</v>
      </c>
      <c r="F40" s="12">
        <v>30.0</v>
      </c>
      <c r="G40" s="14" t="s">
        <v>9752</v>
      </c>
      <c r="H40" s="15" t="s">
        <v>9753</v>
      </c>
      <c r="I40" s="74" t="s">
        <v>9674</v>
      </c>
    </row>
    <row r="41">
      <c r="A41" s="50">
        <v>39.0</v>
      </c>
      <c r="B41" s="13" t="s">
        <v>9769</v>
      </c>
      <c r="C41" s="72" t="s">
        <v>9770</v>
      </c>
      <c r="D41" s="12" t="s">
        <v>36</v>
      </c>
      <c r="E41" s="13" t="s">
        <v>9771</v>
      </c>
      <c r="F41" s="12">
        <v>27.0</v>
      </c>
      <c r="G41" s="14" t="s">
        <v>9772</v>
      </c>
      <c r="H41" s="15" t="s">
        <v>9773</v>
      </c>
      <c r="I41" s="73"/>
    </row>
    <row r="42">
      <c r="A42" s="50">
        <v>40.0</v>
      </c>
      <c r="B42" s="13" t="s">
        <v>9774</v>
      </c>
      <c r="C42" s="72" t="s">
        <v>9775</v>
      </c>
      <c r="D42" s="12" t="s">
        <v>107</v>
      </c>
      <c r="E42" s="13" t="s">
        <v>9776</v>
      </c>
      <c r="F42" s="12">
        <v>28.0</v>
      </c>
      <c r="G42" s="14" t="s">
        <v>9777</v>
      </c>
      <c r="H42" s="15" t="s">
        <v>9778</v>
      </c>
      <c r="I42" s="73"/>
    </row>
    <row r="43">
      <c r="A43" s="50">
        <v>41.0</v>
      </c>
      <c r="B43" s="13" t="s">
        <v>9779</v>
      </c>
      <c r="C43" s="72" t="s">
        <v>9780</v>
      </c>
      <c r="D43" s="12" t="s">
        <v>31</v>
      </c>
      <c r="E43" s="13" t="s">
        <v>9781</v>
      </c>
      <c r="F43" s="12">
        <v>25.0</v>
      </c>
      <c r="G43" s="14" t="s">
        <v>9782</v>
      </c>
      <c r="H43" s="15" t="s">
        <v>9783</v>
      </c>
      <c r="I43" s="74" t="s">
        <v>9674</v>
      </c>
    </row>
    <row r="44">
      <c r="A44" s="50">
        <v>42.0</v>
      </c>
      <c r="B44" s="13" t="s">
        <v>9784</v>
      </c>
      <c r="C44" s="72" t="s">
        <v>9785</v>
      </c>
      <c r="D44" s="12" t="s">
        <v>41</v>
      </c>
      <c r="E44" s="13" t="s">
        <v>9786</v>
      </c>
      <c r="F44" s="12">
        <v>22.0</v>
      </c>
      <c r="G44" s="14" t="s">
        <v>9787</v>
      </c>
      <c r="H44" s="15" t="s">
        <v>9788</v>
      </c>
      <c r="I44" s="73"/>
    </row>
    <row r="45">
      <c r="A45" s="50">
        <v>43.0</v>
      </c>
      <c r="B45" s="13" t="s">
        <v>9789</v>
      </c>
      <c r="C45" s="72" t="s">
        <v>9790</v>
      </c>
      <c r="D45" s="12" t="s">
        <v>36</v>
      </c>
      <c r="E45" s="13" t="s">
        <v>9791</v>
      </c>
      <c r="F45" s="12">
        <v>31.0</v>
      </c>
      <c r="G45" s="14" t="s">
        <v>9787</v>
      </c>
      <c r="H45" s="15" t="s">
        <v>9788</v>
      </c>
      <c r="I45" s="73"/>
    </row>
    <row r="46">
      <c r="A46" s="50">
        <v>44.0</v>
      </c>
      <c r="B46" s="13" t="s">
        <v>9792</v>
      </c>
      <c r="C46" s="72" t="s">
        <v>9793</v>
      </c>
      <c r="D46" s="12" t="s">
        <v>31</v>
      </c>
      <c r="E46" s="13" t="s">
        <v>9794</v>
      </c>
      <c r="F46" s="12">
        <v>27.0</v>
      </c>
      <c r="G46" s="14" t="s">
        <v>9787</v>
      </c>
      <c r="H46" s="15" t="s">
        <v>9788</v>
      </c>
      <c r="I46" s="73"/>
    </row>
    <row r="47">
      <c r="A47" s="50">
        <v>45.0</v>
      </c>
      <c r="B47" s="13" t="s">
        <v>9795</v>
      </c>
      <c r="C47" s="72" t="s">
        <v>9796</v>
      </c>
      <c r="D47" s="12" t="s">
        <v>36</v>
      </c>
      <c r="E47" s="13" t="s">
        <v>9797</v>
      </c>
      <c r="F47" s="12">
        <v>30.0</v>
      </c>
      <c r="G47" s="14" t="s">
        <v>9787</v>
      </c>
      <c r="H47" s="15" t="s">
        <v>9788</v>
      </c>
      <c r="I47" s="73"/>
    </row>
    <row r="48">
      <c r="A48" s="50">
        <v>46.0</v>
      </c>
      <c r="B48" s="13" t="s">
        <v>9798</v>
      </c>
      <c r="C48" s="72" t="s">
        <v>9799</v>
      </c>
      <c r="D48" s="12" t="s">
        <v>26</v>
      </c>
      <c r="E48" s="13" t="s">
        <v>9800</v>
      </c>
      <c r="F48" s="12">
        <v>25.0</v>
      </c>
      <c r="G48" s="14" t="s">
        <v>9787</v>
      </c>
      <c r="H48" s="15" t="s">
        <v>9788</v>
      </c>
      <c r="I48" s="74" t="s">
        <v>9674</v>
      </c>
    </row>
    <row r="49">
      <c r="A49" s="50">
        <v>47.0</v>
      </c>
      <c r="B49" s="13" t="s">
        <v>9801</v>
      </c>
      <c r="C49" s="72" t="s">
        <v>9802</v>
      </c>
      <c r="D49" s="12" t="s">
        <v>26</v>
      </c>
      <c r="E49" s="13" t="s">
        <v>9803</v>
      </c>
      <c r="F49" s="12">
        <v>25.0</v>
      </c>
      <c r="G49" s="14" t="s">
        <v>9804</v>
      </c>
      <c r="H49" s="15" t="s">
        <v>9805</v>
      </c>
      <c r="I49" s="73"/>
    </row>
    <row r="50">
      <c r="A50" s="50">
        <v>48.0</v>
      </c>
      <c r="B50" s="13" t="s">
        <v>9806</v>
      </c>
      <c r="C50" s="72" t="s">
        <v>9807</v>
      </c>
      <c r="D50" s="12" t="s">
        <v>26</v>
      </c>
      <c r="E50" s="13" t="s">
        <v>9808</v>
      </c>
      <c r="F50" s="12">
        <v>25.0</v>
      </c>
      <c r="G50" s="14" t="s">
        <v>9809</v>
      </c>
      <c r="H50" s="15" t="s">
        <v>9810</v>
      </c>
      <c r="I50" s="73"/>
    </row>
    <row r="51">
      <c r="A51" s="50">
        <v>49.0</v>
      </c>
      <c r="B51" s="13" t="s">
        <v>9811</v>
      </c>
      <c r="C51" s="72" t="s">
        <v>9812</v>
      </c>
      <c r="D51" s="12" t="s">
        <v>36</v>
      </c>
      <c r="E51" s="13" t="s">
        <v>9813</v>
      </c>
      <c r="F51" s="12">
        <v>30.0</v>
      </c>
      <c r="G51" s="14" t="s">
        <v>9809</v>
      </c>
      <c r="H51" s="15" t="s">
        <v>9810</v>
      </c>
      <c r="I51" s="73"/>
    </row>
    <row r="52">
      <c r="A52" s="50">
        <v>50.0</v>
      </c>
      <c r="B52" s="13" t="s">
        <v>9814</v>
      </c>
      <c r="C52" s="72" t="s">
        <v>9815</v>
      </c>
      <c r="D52" s="12" t="s">
        <v>31</v>
      </c>
      <c r="E52" s="13" t="s">
        <v>9816</v>
      </c>
      <c r="F52" s="12">
        <v>26.0</v>
      </c>
      <c r="G52" s="14" t="s">
        <v>9809</v>
      </c>
      <c r="H52" s="15" t="s">
        <v>9810</v>
      </c>
      <c r="I52" s="73"/>
    </row>
    <row r="53">
      <c r="A53" s="37" t="s">
        <v>3</v>
      </c>
      <c r="B53" s="51" t="s">
        <v>4</v>
      </c>
      <c r="C53" s="40" t="s">
        <v>5</v>
      </c>
      <c r="D53" s="39" t="s">
        <v>6</v>
      </c>
      <c r="E53" s="39" t="s">
        <v>7</v>
      </c>
      <c r="F53" s="39" t="s">
        <v>8</v>
      </c>
      <c r="G53" s="40" t="s">
        <v>9617</v>
      </c>
      <c r="H53" s="39" t="s">
        <v>9618</v>
      </c>
      <c r="I53" s="39" t="s">
        <v>9619</v>
      </c>
    </row>
    <row r="54">
      <c r="A54" s="50">
        <v>51.0</v>
      </c>
      <c r="B54" s="13" t="s">
        <v>9817</v>
      </c>
      <c r="C54" s="72" t="s">
        <v>9818</v>
      </c>
      <c r="D54" s="12" t="s">
        <v>26</v>
      </c>
      <c r="E54" s="13" t="s">
        <v>9819</v>
      </c>
      <c r="F54" s="12">
        <v>24.0</v>
      </c>
      <c r="G54" s="14" t="s">
        <v>9809</v>
      </c>
      <c r="H54" s="15" t="s">
        <v>9810</v>
      </c>
      <c r="I54" s="74" t="s">
        <v>9674</v>
      </c>
    </row>
    <row r="55">
      <c r="A55" s="50">
        <v>52.0</v>
      </c>
      <c r="B55" s="13" t="s">
        <v>9820</v>
      </c>
      <c r="C55" s="72" t="s">
        <v>9821</v>
      </c>
      <c r="D55" s="12" t="s">
        <v>107</v>
      </c>
      <c r="E55" s="13" t="s">
        <v>9822</v>
      </c>
      <c r="F55" s="12">
        <v>26.0</v>
      </c>
      <c r="G55" s="14" t="s">
        <v>9809</v>
      </c>
      <c r="H55" s="15" t="s">
        <v>9810</v>
      </c>
      <c r="I55" s="73"/>
    </row>
    <row r="56">
      <c r="A56" s="50">
        <v>53.0</v>
      </c>
      <c r="B56" s="13" t="s">
        <v>9823</v>
      </c>
      <c r="C56" s="72" t="s">
        <v>9824</v>
      </c>
      <c r="D56" s="12" t="s">
        <v>26</v>
      </c>
      <c r="E56" s="13" t="s">
        <v>9825</v>
      </c>
      <c r="F56" s="12">
        <v>28.0</v>
      </c>
      <c r="G56" s="14" t="s">
        <v>9809</v>
      </c>
      <c r="H56" s="15" t="s">
        <v>9810</v>
      </c>
      <c r="I56" s="73"/>
    </row>
    <row r="57">
      <c r="A57" s="50">
        <v>54.0</v>
      </c>
      <c r="B57" s="13" t="s">
        <v>9826</v>
      </c>
      <c r="C57" s="72" t="s">
        <v>9827</v>
      </c>
      <c r="D57" s="12" t="s">
        <v>31</v>
      </c>
      <c r="E57" s="13" t="s">
        <v>9828</v>
      </c>
      <c r="F57" s="12">
        <v>26.0</v>
      </c>
      <c r="G57" s="14" t="s">
        <v>9809</v>
      </c>
      <c r="H57" s="15" t="s">
        <v>9810</v>
      </c>
      <c r="I57" s="74" t="s">
        <v>9674</v>
      </c>
    </row>
    <row r="58">
      <c r="A58" s="50">
        <v>55.0</v>
      </c>
      <c r="B58" s="13" t="s">
        <v>9829</v>
      </c>
      <c r="C58" s="72" t="s">
        <v>9830</v>
      </c>
      <c r="D58" s="12" t="s">
        <v>98</v>
      </c>
      <c r="E58" s="13" t="s">
        <v>9831</v>
      </c>
      <c r="F58" s="12">
        <v>32.0</v>
      </c>
      <c r="G58" s="14" t="s">
        <v>9809</v>
      </c>
      <c r="H58" s="15" t="s">
        <v>9810</v>
      </c>
      <c r="I58" s="73"/>
    </row>
    <row r="59">
      <c r="A59" s="50">
        <v>56.0</v>
      </c>
      <c r="B59" s="13" t="s">
        <v>9832</v>
      </c>
      <c r="C59" s="72" t="s">
        <v>9833</v>
      </c>
      <c r="D59" s="12" t="s">
        <v>31</v>
      </c>
      <c r="E59" s="13" t="s">
        <v>9834</v>
      </c>
      <c r="F59" s="12">
        <v>27.0</v>
      </c>
      <c r="G59" s="14" t="s">
        <v>9809</v>
      </c>
      <c r="H59" s="15" t="s">
        <v>9810</v>
      </c>
      <c r="I59" s="73"/>
    </row>
    <row r="60">
      <c r="A60" s="50">
        <v>57.0</v>
      </c>
      <c r="B60" s="13" t="s">
        <v>9835</v>
      </c>
      <c r="C60" s="72" t="s">
        <v>9836</v>
      </c>
      <c r="D60" s="12" t="s">
        <v>31</v>
      </c>
      <c r="E60" s="13" t="s">
        <v>9837</v>
      </c>
      <c r="F60" s="12">
        <v>23.0</v>
      </c>
      <c r="G60" s="14" t="s">
        <v>9809</v>
      </c>
      <c r="H60" s="15" t="s">
        <v>9810</v>
      </c>
      <c r="I60" s="74" t="s">
        <v>9674</v>
      </c>
    </row>
    <row r="61">
      <c r="A61" s="50">
        <v>58.0</v>
      </c>
      <c r="B61" s="13" t="s">
        <v>9838</v>
      </c>
      <c r="C61" s="72" t="s">
        <v>9839</v>
      </c>
      <c r="D61" s="12" t="s">
        <v>31</v>
      </c>
      <c r="E61" s="13" t="s">
        <v>9840</v>
      </c>
      <c r="F61" s="12">
        <v>25.0</v>
      </c>
      <c r="G61" s="14" t="s">
        <v>9809</v>
      </c>
      <c r="H61" s="15" t="s">
        <v>9810</v>
      </c>
      <c r="I61" s="74" t="s">
        <v>9674</v>
      </c>
    </row>
    <row r="62">
      <c r="A62" s="50">
        <v>59.0</v>
      </c>
      <c r="B62" s="13" t="s">
        <v>9841</v>
      </c>
      <c r="C62" s="72" t="s">
        <v>9842</v>
      </c>
      <c r="D62" s="12" t="s">
        <v>98</v>
      </c>
      <c r="E62" s="13" t="s">
        <v>9843</v>
      </c>
      <c r="F62" s="12">
        <v>32.0</v>
      </c>
      <c r="G62" s="14" t="s">
        <v>9809</v>
      </c>
      <c r="H62" s="15" t="s">
        <v>9810</v>
      </c>
      <c r="I62" s="74" t="s">
        <v>9674</v>
      </c>
    </row>
    <row r="63">
      <c r="A63" s="50">
        <v>60.0</v>
      </c>
      <c r="B63" s="13" t="s">
        <v>9844</v>
      </c>
      <c r="C63" s="72" t="s">
        <v>9845</v>
      </c>
      <c r="D63" s="12" t="s">
        <v>31</v>
      </c>
      <c r="E63" s="13" t="s">
        <v>9846</v>
      </c>
      <c r="F63" s="12">
        <v>23.0</v>
      </c>
      <c r="G63" s="14" t="s">
        <v>9809</v>
      </c>
      <c r="H63" s="15" t="s">
        <v>9810</v>
      </c>
      <c r="I63" s="74" t="s">
        <v>9674</v>
      </c>
    </row>
    <row r="64">
      <c r="A64" s="50">
        <v>61.0</v>
      </c>
      <c r="B64" s="13" t="s">
        <v>9847</v>
      </c>
      <c r="C64" s="72" t="s">
        <v>9848</v>
      </c>
      <c r="D64" s="12" t="s">
        <v>31</v>
      </c>
      <c r="E64" s="13" t="s">
        <v>9849</v>
      </c>
      <c r="F64" s="12">
        <v>28.0</v>
      </c>
      <c r="G64" s="14" t="s">
        <v>9809</v>
      </c>
      <c r="H64" s="15" t="s">
        <v>9810</v>
      </c>
      <c r="I64" s="73"/>
    </row>
    <row r="65">
      <c r="A65" s="50">
        <v>62.0</v>
      </c>
      <c r="B65" s="13" t="s">
        <v>9850</v>
      </c>
      <c r="C65" s="72" t="s">
        <v>9851</v>
      </c>
      <c r="D65" s="12" t="s">
        <v>41</v>
      </c>
      <c r="E65" s="13" t="s">
        <v>9852</v>
      </c>
      <c r="F65" s="12">
        <v>24.0</v>
      </c>
      <c r="G65" s="14" t="s">
        <v>9809</v>
      </c>
      <c r="H65" s="15" t="s">
        <v>9810</v>
      </c>
      <c r="I65" s="74" t="s">
        <v>9674</v>
      </c>
    </row>
    <row r="66">
      <c r="A66" s="50">
        <v>63.0</v>
      </c>
      <c r="B66" s="13" t="s">
        <v>9853</v>
      </c>
      <c r="C66" s="72" t="s">
        <v>9854</v>
      </c>
      <c r="D66" s="12" t="s">
        <v>31</v>
      </c>
      <c r="E66" s="13" t="s">
        <v>9855</v>
      </c>
      <c r="F66" s="12">
        <v>28.0</v>
      </c>
      <c r="G66" s="14" t="s">
        <v>9809</v>
      </c>
      <c r="H66" s="15" t="s">
        <v>9810</v>
      </c>
      <c r="I66" s="74" t="s">
        <v>9674</v>
      </c>
    </row>
    <row r="67">
      <c r="A67" s="50">
        <v>64.0</v>
      </c>
      <c r="B67" s="13" t="s">
        <v>9856</v>
      </c>
      <c r="C67" s="72" t="s">
        <v>9857</v>
      </c>
      <c r="D67" s="12" t="s">
        <v>31</v>
      </c>
      <c r="E67" s="13" t="s">
        <v>9858</v>
      </c>
      <c r="F67" s="12">
        <v>25.0</v>
      </c>
      <c r="G67" s="14" t="s">
        <v>9809</v>
      </c>
      <c r="H67" s="15" t="s">
        <v>9810</v>
      </c>
      <c r="I67" s="73"/>
    </row>
    <row r="68">
      <c r="A68" s="50">
        <v>65.0</v>
      </c>
      <c r="B68" s="13" t="s">
        <v>9859</v>
      </c>
      <c r="C68" s="72" t="s">
        <v>9860</v>
      </c>
      <c r="D68" s="12" t="s">
        <v>9861</v>
      </c>
      <c r="E68" s="13" t="s">
        <v>9862</v>
      </c>
      <c r="F68" s="12">
        <v>30.0</v>
      </c>
      <c r="G68" s="14" t="s">
        <v>9809</v>
      </c>
      <c r="H68" s="15" t="s">
        <v>9810</v>
      </c>
      <c r="I68" s="73"/>
    </row>
    <row r="69">
      <c r="A69" s="50">
        <v>66.0</v>
      </c>
      <c r="B69" s="13" t="s">
        <v>9863</v>
      </c>
      <c r="C69" s="72" t="s">
        <v>9864</v>
      </c>
      <c r="D69" s="12" t="s">
        <v>31</v>
      </c>
      <c r="E69" s="13" t="s">
        <v>9865</v>
      </c>
      <c r="F69" s="12">
        <v>31.0</v>
      </c>
      <c r="G69" s="14" t="s">
        <v>9809</v>
      </c>
      <c r="H69" s="15" t="s">
        <v>9810</v>
      </c>
      <c r="I69" s="74" t="s">
        <v>9674</v>
      </c>
    </row>
    <row r="70">
      <c r="A70" s="50">
        <v>67.0</v>
      </c>
      <c r="B70" s="13" t="s">
        <v>9866</v>
      </c>
      <c r="C70" s="72" t="s">
        <v>9867</v>
      </c>
      <c r="D70" s="12" t="s">
        <v>31</v>
      </c>
      <c r="E70" s="13" t="s">
        <v>9868</v>
      </c>
      <c r="F70" s="12">
        <v>23.0</v>
      </c>
      <c r="G70" s="14" t="s">
        <v>9809</v>
      </c>
      <c r="H70" s="15" t="s">
        <v>9810</v>
      </c>
      <c r="I70" s="73"/>
    </row>
    <row r="71">
      <c r="A71" s="50">
        <v>68.0</v>
      </c>
      <c r="B71" s="13" t="s">
        <v>9869</v>
      </c>
      <c r="C71" s="72" t="s">
        <v>9870</v>
      </c>
      <c r="D71" s="12" t="s">
        <v>98</v>
      </c>
      <c r="E71" s="13" t="s">
        <v>9871</v>
      </c>
      <c r="F71" s="12">
        <v>31.0</v>
      </c>
      <c r="G71" s="14" t="s">
        <v>9809</v>
      </c>
      <c r="H71" s="15" t="s">
        <v>9810</v>
      </c>
      <c r="I71" s="74" t="s">
        <v>9674</v>
      </c>
    </row>
    <row r="72">
      <c r="A72" s="50">
        <v>69.0</v>
      </c>
      <c r="B72" s="13" t="s">
        <v>9872</v>
      </c>
      <c r="C72" s="72" t="s">
        <v>9873</v>
      </c>
      <c r="D72" s="12" t="s">
        <v>36</v>
      </c>
      <c r="E72" s="13" t="s">
        <v>9874</v>
      </c>
      <c r="F72" s="12">
        <v>27.0</v>
      </c>
      <c r="G72" s="14" t="s">
        <v>9809</v>
      </c>
      <c r="H72" s="15" t="s">
        <v>9810</v>
      </c>
      <c r="I72" s="74" t="s">
        <v>9674</v>
      </c>
    </row>
    <row r="73">
      <c r="A73" s="50">
        <v>70.0</v>
      </c>
      <c r="B73" s="13" t="s">
        <v>9875</v>
      </c>
      <c r="C73" s="72" t="s">
        <v>9876</v>
      </c>
      <c r="D73" s="12" t="s">
        <v>36</v>
      </c>
      <c r="E73" s="13" t="s">
        <v>9877</v>
      </c>
      <c r="F73" s="12">
        <v>27.0</v>
      </c>
      <c r="G73" s="14" t="s">
        <v>9809</v>
      </c>
      <c r="H73" s="15" t="s">
        <v>9810</v>
      </c>
      <c r="I73" s="74" t="s">
        <v>9674</v>
      </c>
    </row>
    <row r="74">
      <c r="A74" s="50">
        <v>71.0</v>
      </c>
      <c r="B74" s="13" t="s">
        <v>9878</v>
      </c>
      <c r="C74" s="72" t="s">
        <v>9879</v>
      </c>
      <c r="D74" s="12" t="s">
        <v>107</v>
      </c>
      <c r="E74" s="13" t="s">
        <v>9880</v>
      </c>
      <c r="F74" s="12">
        <v>23.0</v>
      </c>
      <c r="G74" s="14" t="s">
        <v>9809</v>
      </c>
      <c r="H74" s="15" t="s">
        <v>9810</v>
      </c>
      <c r="I74" s="74" t="s">
        <v>9674</v>
      </c>
    </row>
    <row r="75">
      <c r="A75" s="50">
        <v>72.0</v>
      </c>
      <c r="B75" s="13" t="s">
        <v>9881</v>
      </c>
      <c r="C75" s="72" t="s">
        <v>9882</v>
      </c>
      <c r="D75" s="12" t="s">
        <v>41</v>
      </c>
      <c r="E75" s="13" t="s">
        <v>9883</v>
      </c>
      <c r="F75" s="12">
        <v>27.0</v>
      </c>
      <c r="G75" s="14" t="s">
        <v>9884</v>
      </c>
      <c r="H75" s="15" t="s">
        <v>9885</v>
      </c>
      <c r="I75" s="74" t="s">
        <v>9674</v>
      </c>
    </row>
    <row r="76">
      <c r="A76" s="50">
        <v>73.0</v>
      </c>
      <c r="B76" s="13" t="s">
        <v>9886</v>
      </c>
      <c r="C76" s="72" t="s">
        <v>9887</v>
      </c>
      <c r="D76" s="12" t="s">
        <v>41</v>
      </c>
      <c r="E76" s="13" t="s">
        <v>9888</v>
      </c>
      <c r="F76" s="12">
        <v>27.0</v>
      </c>
      <c r="G76" s="14" t="s">
        <v>9889</v>
      </c>
      <c r="H76" s="15" t="s">
        <v>9890</v>
      </c>
      <c r="I76" s="74" t="s">
        <v>9674</v>
      </c>
    </row>
    <row r="77">
      <c r="A77" s="50">
        <v>74.0</v>
      </c>
      <c r="B77" s="13" t="s">
        <v>9891</v>
      </c>
      <c r="C77" s="72" t="s">
        <v>9892</v>
      </c>
      <c r="D77" s="12" t="s">
        <v>31</v>
      </c>
      <c r="E77" s="13" t="s">
        <v>9893</v>
      </c>
      <c r="F77" s="12">
        <v>23.0</v>
      </c>
      <c r="G77" s="14" t="s">
        <v>9889</v>
      </c>
      <c r="H77" s="15" t="s">
        <v>9890</v>
      </c>
      <c r="I77" s="74" t="s">
        <v>9674</v>
      </c>
    </row>
    <row r="78">
      <c r="A78" s="50">
        <v>75.0</v>
      </c>
      <c r="B78" s="13" t="s">
        <v>9894</v>
      </c>
      <c r="C78" s="72" t="s">
        <v>9895</v>
      </c>
      <c r="D78" s="12" t="s">
        <v>107</v>
      </c>
      <c r="E78" s="13" t="s">
        <v>9896</v>
      </c>
      <c r="F78" s="12">
        <v>26.0</v>
      </c>
      <c r="G78" s="14" t="s">
        <v>9889</v>
      </c>
      <c r="H78" s="15" t="s">
        <v>9890</v>
      </c>
      <c r="I78" s="73"/>
    </row>
    <row r="79">
      <c r="A79" s="37" t="s">
        <v>3</v>
      </c>
      <c r="B79" s="51" t="s">
        <v>4</v>
      </c>
      <c r="C79" s="40" t="s">
        <v>5</v>
      </c>
      <c r="D79" s="39" t="s">
        <v>6</v>
      </c>
      <c r="E79" s="39" t="s">
        <v>7</v>
      </c>
      <c r="F79" s="39" t="s">
        <v>8</v>
      </c>
      <c r="G79" s="40" t="s">
        <v>9617</v>
      </c>
      <c r="H79" s="39" t="s">
        <v>9618</v>
      </c>
      <c r="I79" s="39" t="s">
        <v>9619</v>
      </c>
    </row>
    <row r="80">
      <c r="A80" s="50">
        <v>76.0</v>
      </c>
      <c r="B80" s="13" t="s">
        <v>9897</v>
      </c>
      <c r="C80" s="72" t="s">
        <v>9898</v>
      </c>
      <c r="D80" s="12" t="s">
        <v>41</v>
      </c>
      <c r="E80" s="13" t="s">
        <v>9899</v>
      </c>
      <c r="F80" s="12">
        <v>28.0</v>
      </c>
      <c r="G80" s="14" t="s">
        <v>9889</v>
      </c>
      <c r="H80" s="15" t="s">
        <v>9890</v>
      </c>
      <c r="I80" s="74" t="s">
        <v>9674</v>
      </c>
    </row>
    <row r="81">
      <c r="A81" s="50">
        <v>77.0</v>
      </c>
      <c r="B81" s="13" t="s">
        <v>9900</v>
      </c>
      <c r="C81" s="72" t="s">
        <v>9901</v>
      </c>
      <c r="D81" s="12" t="s">
        <v>31</v>
      </c>
      <c r="E81" s="13" t="s">
        <v>9902</v>
      </c>
      <c r="F81" s="12">
        <v>30.0</v>
      </c>
      <c r="G81" s="14" t="s">
        <v>9903</v>
      </c>
      <c r="H81" s="15" t="s">
        <v>9904</v>
      </c>
      <c r="I81" s="74" t="s">
        <v>9674</v>
      </c>
    </row>
    <row r="82">
      <c r="A82" s="50">
        <v>78.0</v>
      </c>
      <c r="B82" s="13" t="s">
        <v>9905</v>
      </c>
      <c r="C82" s="72" t="s">
        <v>9906</v>
      </c>
      <c r="D82" s="12" t="s">
        <v>345</v>
      </c>
      <c r="E82" s="13" t="s">
        <v>9907</v>
      </c>
      <c r="F82" s="12">
        <v>27.0</v>
      </c>
      <c r="G82" s="14" t="s">
        <v>9908</v>
      </c>
      <c r="H82" s="15" t="s">
        <v>9909</v>
      </c>
      <c r="I82" s="74" t="s">
        <v>9674</v>
      </c>
    </row>
    <row r="83">
      <c r="A83" s="50">
        <v>79.0</v>
      </c>
      <c r="B83" s="13" t="s">
        <v>9910</v>
      </c>
      <c r="C83" s="72" t="s">
        <v>9911</v>
      </c>
      <c r="D83" s="12" t="s">
        <v>36</v>
      </c>
      <c r="E83" s="13" t="s">
        <v>9912</v>
      </c>
      <c r="F83" s="12">
        <v>32.0</v>
      </c>
      <c r="G83" s="14" t="s">
        <v>9908</v>
      </c>
      <c r="H83" s="15" t="s">
        <v>9909</v>
      </c>
      <c r="I83" s="73"/>
    </row>
    <row r="84">
      <c r="A84" s="50">
        <v>80.0</v>
      </c>
      <c r="B84" s="13" t="s">
        <v>9913</v>
      </c>
      <c r="C84" s="72" t="s">
        <v>9914</v>
      </c>
      <c r="D84" s="12" t="s">
        <v>107</v>
      </c>
      <c r="E84" s="13" t="s">
        <v>9915</v>
      </c>
      <c r="F84" s="12">
        <v>23.0</v>
      </c>
      <c r="G84" s="14" t="s">
        <v>9916</v>
      </c>
      <c r="H84" s="15" t="s">
        <v>9917</v>
      </c>
      <c r="I84" s="73"/>
    </row>
    <row r="85">
      <c r="A85" s="50">
        <v>81.0</v>
      </c>
      <c r="B85" s="13" t="s">
        <v>9918</v>
      </c>
      <c r="C85" s="72" t="s">
        <v>9919</v>
      </c>
      <c r="D85" s="12" t="s">
        <v>31</v>
      </c>
      <c r="E85" s="13" t="s">
        <v>9920</v>
      </c>
      <c r="F85" s="12">
        <v>30.0</v>
      </c>
      <c r="G85" s="14" t="s">
        <v>9921</v>
      </c>
      <c r="H85" s="15" t="s">
        <v>9922</v>
      </c>
      <c r="I85" s="74" t="s">
        <v>9674</v>
      </c>
    </row>
    <row r="86">
      <c r="A86" s="50">
        <v>82.0</v>
      </c>
      <c r="B86" s="13" t="s">
        <v>9923</v>
      </c>
      <c r="C86" s="72" t="s">
        <v>9924</v>
      </c>
      <c r="D86" s="12" t="s">
        <v>41</v>
      </c>
      <c r="E86" s="13" t="s">
        <v>9925</v>
      </c>
      <c r="F86" s="12">
        <v>29.0</v>
      </c>
      <c r="G86" s="14" t="s">
        <v>9921</v>
      </c>
      <c r="H86" s="15" t="s">
        <v>9922</v>
      </c>
      <c r="I86" s="74" t="s">
        <v>9674</v>
      </c>
    </row>
    <row r="87">
      <c r="A87" s="50">
        <v>83.0</v>
      </c>
      <c r="B87" s="13" t="s">
        <v>9926</v>
      </c>
      <c r="C87" s="72" t="s">
        <v>9927</v>
      </c>
      <c r="D87" s="12" t="s">
        <v>36</v>
      </c>
      <c r="E87" s="13" t="s">
        <v>9928</v>
      </c>
      <c r="F87" s="12">
        <v>26.0</v>
      </c>
      <c r="G87" s="14" t="s">
        <v>9921</v>
      </c>
      <c r="H87" s="15" t="s">
        <v>9922</v>
      </c>
      <c r="I87" s="74" t="s">
        <v>9674</v>
      </c>
    </row>
    <row r="88">
      <c r="A88" s="50">
        <v>84.0</v>
      </c>
      <c r="B88" s="13" t="s">
        <v>9929</v>
      </c>
      <c r="C88" s="72" t="s">
        <v>9930</v>
      </c>
      <c r="D88" s="12" t="s">
        <v>31</v>
      </c>
      <c r="E88" s="13" t="s">
        <v>9931</v>
      </c>
      <c r="F88" s="12">
        <v>23.0</v>
      </c>
      <c r="G88" s="14" t="s">
        <v>9921</v>
      </c>
      <c r="H88" s="15" t="s">
        <v>9922</v>
      </c>
      <c r="I88" s="73"/>
    </row>
    <row r="89">
      <c r="A89" s="50">
        <v>85.0</v>
      </c>
      <c r="B89" s="13" t="s">
        <v>9932</v>
      </c>
      <c r="C89" s="72" t="s">
        <v>9933</v>
      </c>
      <c r="D89" s="12" t="s">
        <v>98</v>
      </c>
      <c r="E89" s="13" t="s">
        <v>9934</v>
      </c>
      <c r="F89" s="12">
        <v>33.0</v>
      </c>
      <c r="G89" s="14" t="s">
        <v>9921</v>
      </c>
      <c r="H89" s="15" t="s">
        <v>9922</v>
      </c>
      <c r="I89" s="73"/>
    </row>
    <row r="90">
      <c r="A90" s="50">
        <v>86.0</v>
      </c>
      <c r="B90" s="13" t="s">
        <v>9935</v>
      </c>
      <c r="C90" s="72" t="s">
        <v>9936</v>
      </c>
      <c r="D90" s="12" t="s">
        <v>26</v>
      </c>
      <c r="E90" s="13" t="s">
        <v>9937</v>
      </c>
      <c r="F90" s="12">
        <v>29.0</v>
      </c>
      <c r="G90" s="14" t="s">
        <v>9921</v>
      </c>
      <c r="H90" s="15" t="s">
        <v>9922</v>
      </c>
      <c r="I90" s="74" t="s">
        <v>9674</v>
      </c>
    </row>
    <row r="91">
      <c r="A91" s="50">
        <v>87.0</v>
      </c>
      <c r="B91" s="13" t="s">
        <v>9938</v>
      </c>
      <c r="C91" s="72" t="s">
        <v>9939</v>
      </c>
      <c r="D91" s="12" t="s">
        <v>107</v>
      </c>
      <c r="E91" s="13" t="s">
        <v>9940</v>
      </c>
      <c r="F91" s="12">
        <v>23.0</v>
      </c>
      <c r="G91" s="14" t="s">
        <v>9941</v>
      </c>
      <c r="H91" s="15" t="s">
        <v>9942</v>
      </c>
      <c r="I91" s="74" t="s">
        <v>9674</v>
      </c>
    </row>
    <row r="92">
      <c r="A92" s="50">
        <v>88.0</v>
      </c>
      <c r="B92" s="13" t="s">
        <v>9943</v>
      </c>
      <c r="C92" s="72" t="s">
        <v>9944</v>
      </c>
      <c r="D92" s="12" t="s">
        <v>41</v>
      </c>
      <c r="E92" s="13" t="s">
        <v>9945</v>
      </c>
      <c r="F92" s="12">
        <v>25.0</v>
      </c>
      <c r="G92" s="14" t="s">
        <v>9946</v>
      </c>
      <c r="H92" s="15" t="s">
        <v>9947</v>
      </c>
      <c r="I92" s="74" t="s">
        <v>9674</v>
      </c>
    </row>
    <row r="93">
      <c r="A93" s="50">
        <v>89.0</v>
      </c>
      <c r="B93" s="13" t="s">
        <v>9948</v>
      </c>
      <c r="C93" s="72" t="s">
        <v>9949</v>
      </c>
      <c r="D93" s="12" t="s">
        <v>31</v>
      </c>
      <c r="E93" s="13" t="s">
        <v>9950</v>
      </c>
      <c r="F93" s="12">
        <v>27.0</v>
      </c>
      <c r="G93" s="14" t="s">
        <v>9946</v>
      </c>
      <c r="H93" s="15" t="s">
        <v>9947</v>
      </c>
      <c r="I93" s="74" t="s">
        <v>9674</v>
      </c>
    </row>
    <row r="94">
      <c r="A94" s="50">
        <v>90.0</v>
      </c>
      <c r="B94" s="13" t="s">
        <v>9951</v>
      </c>
      <c r="C94" s="72" t="s">
        <v>9952</v>
      </c>
      <c r="D94" s="12" t="s">
        <v>31</v>
      </c>
      <c r="E94" s="13" t="s">
        <v>9953</v>
      </c>
      <c r="F94" s="12">
        <v>26.0</v>
      </c>
      <c r="G94" s="14" t="s">
        <v>9946</v>
      </c>
      <c r="H94" s="15" t="s">
        <v>9947</v>
      </c>
      <c r="I94" s="74" t="s">
        <v>9674</v>
      </c>
    </row>
    <row r="95">
      <c r="A95" s="50">
        <v>91.0</v>
      </c>
      <c r="B95" s="13" t="s">
        <v>9954</v>
      </c>
      <c r="C95" s="72" t="s">
        <v>9955</v>
      </c>
      <c r="D95" s="12" t="s">
        <v>31</v>
      </c>
      <c r="E95" s="13" t="s">
        <v>9956</v>
      </c>
      <c r="F95" s="12">
        <v>23.0</v>
      </c>
      <c r="G95" s="14" t="s">
        <v>9957</v>
      </c>
      <c r="H95" s="15" t="s">
        <v>9958</v>
      </c>
      <c r="I95" s="73"/>
    </row>
    <row r="96">
      <c r="A96" s="50">
        <v>92.0</v>
      </c>
      <c r="B96" s="13" t="s">
        <v>9959</v>
      </c>
      <c r="C96" s="72" t="s">
        <v>9960</v>
      </c>
      <c r="D96" s="12" t="s">
        <v>36</v>
      </c>
      <c r="E96" s="13" t="s">
        <v>9961</v>
      </c>
      <c r="F96" s="12">
        <v>27.0</v>
      </c>
      <c r="G96" s="14" t="s">
        <v>9957</v>
      </c>
      <c r="H96" s="15" t="s">
        <v>9958</v>
      </c>
      <c r="I96" s="73"/>
    </row>
    <row r="97">
      <c r="A97" s="50">
        <v>93.0</v>
      </c>
      <c r="B97" s="13" t="s">
        <v>9962</v>
      </c>
      <c r="C97" s="72" t="s">
        <v>9963</v>
      </c>
      <c r="D97" s="12" t="s">
        <v>31</v>
      </c>
      <c r="E97" s="13" t="s">
        <v>9964</v>
      </c>
      <c r="F97" s="12">
        <v>24.0</v>
      </c>
      <c r="G97" s="14" t="s">
        <v>9957</v>
      </c>
      <c r="H97" s="15" t="s">
        <v>9958</v>
      </c>
      <c r="I97" s="74" t="s">
        <v>9674</v>
      </c>
    </row>
    <row r="98">
      <c r="A98" s="50">
        <v>94.0</v>
      </c>
      <c r="B98" s="13" t="s">
        <v>9965</v>
      </c>
      <c r="C98" s="72" t="s">
        <v>9966</v>
      </c>
      <c r="D98" s="12" t="s">
        <v>98</v>
      </c>
      <c r="E98" s="13" t="s">
        <v>9967</v>
      </c>
      <c r="F98" s="12">
        <v>32.0</v>
      </c>
      <c r="G98" s="14" t="s">
        <v>9957</v>
      </c>
      <c r="H98" s="15" t="s">
        <v>9958</v>
      </c>
      <c r="I98" s="73"/>
    </row>
    <row r="99">
      <c r="A99" s="50">
        <v>95.0</v>
      </c>
      <c r="B99" s="13" t="s">
        <v>9968</v>
      </c>
      <c r="C99" s="72" t="s">
        <v>9969</v>
      </c>
      <c r="D99" s="12" t="s">
        <v>264</v>
      </c>
      <c r="E99" s="13" t="s">
        <v>9970</v>
      </c>
      <c r="F99" s="12">
        <v>24.0</v>
      </c>
      <c r="G99" s="14" t="s">
        <v>9957</v>
      </c>
      <c r="H99" s="15" t="s">
        <v>9958</v>
      </c>
      <c r="I99" s="73"/>
    </row>
    <row r="100">
      <c r="A100" s="50">
        <v>96.0</v>
      </c>
      <c r="B100" s="13" t="s">
        <v>9971</v>
      </c>
      <c r="C100" s="72" t="s">
        <v>9972</v>
      </c>
      <c r="D100" s="12" t="s">
        <v>345</v>
      </c>
      <c r="E100" s="13" t="s">
        <v>9973</v>
      </c>
      <c r="F100" s="12">
        <v>31.0</v>
      </c>
      <c r="G100" s="14" t="s">
        <v>9957</v>
      </c>
      <c r="H100" s="15" t="s">
        <v>9958</v>
      </c>
      <c r="I100" s="74" t="s">
        <v>9674</v>
      </c>
    </row>
    <row r="101">
      <c r="A101" s="50">
        <v>97.0</v>
      </c>
      <c r="B101" s="13" t="s">
        <v>9974</v>
      </c>
      <c r="C101" s="72" t="s">
        <v>9975</v>
      </c>
      <c r="D101" s="12" t="s">
        <v>98</v>
      </c>
      <c r="E101" s="13" t="s">
        <v>9976</v>
      </c>
      <c r="F101" s="12">
        <v>27.0</v>
      </c>
      <c r="G101" s="14" t="s">
        <v>9957</v>
      </c>
      <c r="H101" s="15" t="s">
        <v>9958</v>
      </c>
      <c r="I101" s="74" t="s">
        <v>9674</v>
      </c>
    </row>
    <row r="102">
      <c r="A102" s="50">
        <v>98.0</v>
      </c>
      <c r="B102" s="13" t="s">
        <v>9977</v>
      </c>
      <c r="C102" s="72" t="s">
        <v>9978</v>
      </c>
      <c r="D102" s="12" t="s">
        <v>31</v>
      </c>
      <c r="E102" s="13" t="s">
        <v>9979</v>
      </c>
      <c r="F102" s="12">
        <v>24.0</v>
      </c>
      <c r="G102" s="14" t="s">
        <v>9957</v>
      </c>
      <c r="H102" s="15" t="s">
        <v>9958</v>
      </c>
      <c r="I102" s="74" t="s">
        <v>9674</v>
      </c>
    </row>
    <row r="103">
      <c r="A103" s="50">
        <v>99.0</v>
      </c>
      <c r="B103" s="13" t="s">
        <v>9980</v>
      </c>
      <c r="C103" s="72" t="s">
        <v>9981</v>
      </c>
      <c r="D103" s="12" t="s">
        <v>36</v>
      </c>
      <c r="E103" s="13" t="s">
        <v>9982</v>
      </c>
      <c r="F103" s="12">
        <v>34.0</v>
      </c>
      <c r="G103" s="14" t="s">
        <v>9957</v>
      </c>
      <c r="H103" s="15" t="s">
        <v>9958</v>
      </c>
      <c r="I103" s="74" t="s">
        <v>9674</v>
      </c>
    </row>
    <row r="104">
      <c r="A104" s="50">
        <v>100.0</v>
      </c>
      <c r="B104" s="13" t="s">
        <v>9983</v>
      </c>
      <c r="C104" s="72" t="s">
        <v>9984</v>
      </c>
      <c r="D104" s="12" t="s">
        <v>36</v>
      </c>
      <c r="E104" s="13" t="s">
        <v>9985</v>
      </c>
      <c r="F104" s="12">
        <v>24.0</v>
      </c>
      <c r="G104" s="14" t="s">
        <v>9957</v>
      </c>
      <c r="H104" s="15" t="s">
        <v>9958</v>
      </c>
      <c r="I104" s="74" t="s">
        <v>9674</v>
      </c>
    </row>
    <row r="105">
      <c r="A105" s="37" t="s">
        <v>3</v>
      </c>
      <c r="B105" s="51" t="s">
        <v>4</v>
      </c>
      <c r="C105" s="40" t="s">
        <v>5</v>
      </c>
      <c r="D105" s="39" t="s">
        <v>6</v>
      </c>
      <c r="E105" s="39" t="s">
        <v>7</v>
      </c>
      <c r="F105" s="39" t="s">
        <v>8</v>
      </c>
      <c r="G105" s="40" t="s">
        <v>9617</v>
      </c>
      <c r="H105" s="39" t="s">
        <v>9618</v>
      </c>
      <c r="I105" s="39" t="s">
        <v>9619</v>
      </c>
    </row>
    <row r="106">
      <c r="A106" s="50">
        <v>101.0</v>
      </c>
      <c r="B106" s="13" t="s">
        <v>9986</v>
      </c>
      <c r="C106" s="72" t="s">
        <v>9987</v>
      </c>
      <c r="D106" s="12" t="s">
        <v>36</v>
      </c>
      <c r="E106" s="13" t="s">
        <v>9988</v>
      </c>
      <c r="F106" s="12">
        <v>19.0</v>
      </c>
      <c r="G106" s="14" t="s">
        <v>9957</v>
      </c>
      <c r="H106" s="15" t="s">
        <v>9958</v>
      </c>
      <c r="I106" s="73"/>
    </row>
    <row r="107">
      <c r="A107" s="50">
        <v>102.0</v>
      </c>
      <c r="B107" s="13" t="s">
        <v>9989</v>
      </c>
      <c r="C107" s="72" t="s">
        <v>9990</v>
      </c>
      <c r="D107" s="12" t="s">
        <v>36</v>
      </c>
      <c r="E107" s="13" t="s">
        <v>9991</v>
      </c>
      <c r="F107" s="12">
        <v>27.0</v>
      </c>
      <c r="G107" s="14" t="s">
        <v>9957</v>
      </c>
      <c r="H107" s="15" t="s">
        <v>9958</v>
      </c>
      <c r="I107" s="73"/>
    </row>
    <row r="108">
      <c r="A108" s="50">
        <v>103.0</v>
      </c>
      <c r="B108" s="13" t="s">
        <v>9992</v>
      </c>
      <c r="C108" s="72" t="s">
        <v>9993</v>
      </c>
      <c r="D108" s="12" t="s">
        <v>31</v>
      </c>
      <c r="E108" s="13" t="s">
        <v>9994</v>
      </c>
      <c r="F108" s="12">
        <v>35.0</v>
      </c>
      <c r="G108" s="14" t="s">
        <v>9957</v>
      </c>
      <c r="H108" s="15" t="s">
        <v>9958</v>
      </c>
      <c r="I108" s="74" t="s">
        <v>9674</v>
      </c>
    </row>
    <row r="109">
      <c r="A109" s="50">
        <v>104.0</v>
      </c>
      <c r="B109" s="13" t="s">
        <v>9995</v>
      </c>
      <c r="C109" s="72" t="s">
        <v>9996</v>
      </c>
      <c r="D109" s="12" t="s">
        <v>36</v>
      </c>
      <c r="E109" s="13" t="s">
        <v>9997</v>
      </c>
      <c r="F109" s="12">
        <v>32.0</v>
      </c>
      <c r="G109" s="14" t="s">
        <v>9957</v>
      </c>
      <c r="H109" s="15" t="s">
        <v>9958</v>
      </c>
      <c r="I109" s="74" t="s">
        <v>9674</v>
      </c>
    </row>
    <row r="110">
      <c r="A110" s="50">
        <v>105.0</v>
      </c>
      <c r="B110" s="13" t="s">
        <v>9998</v>
      </c>
      <c r="C110" s="72" t="s">
        <v>9999</v>
      </c>
      <c r="D110" s="12" t="s">
        <v>36</v>
      </c>
      <c r="E110" s="13" t="s">
        <v>10000</v>
      </c>
      <c r="F110" s="12">
        <v>23.0</v>
      </c>
      <c r="G110" s="14" t="s">
        <v>9957</v>
      </c>
      <c r="H110" s="15" t="s">
        <v>9958</v>
      </c>
      <c r="I110" s="74" t="s">
        <v>9674</v>
      </c>
    </row>
    <row r="111">
      <c r="A111" s="50">
        <v>106.0</v>
      </c>
      <c r="B111" s="13" t="s">
        <v>10001</v>
      </c>
      <c r="C111" s="72" t="s">
        <v>10002</v>
      </c>
      <c r="D111" s="12" t="s">
        <v>36</v>
      </c>
      <c r="E111" s="13" t="s">
        <v>10003</v>
      </c>
      <c r="F111" s="12">
        <v>23.0</v>
      </c>
      <c r="G111" s="14" t="s">
        <v>9957</v>
      </c>
      <c r="H111" s="15" t="s">
        <v>9958</v>
      </c>
      <c r="I111" s="73"/>
    </row>
    <row r="112">
      <c r="A112" s="50">
        <v>107.0</v>
      </c>
      <c r="B112" s="13" t="s">
        <v>10004</v>
      </c>
      <c r="C112" s="72" t="s">
        <v>10005</v>
      </c>
      <c r="D112" s="12" t="s">
        <v>36</v>
      </c>
      <c r="E112" s="13" t="s">
        <v>10006</v>
      </c>
      <c r="F112" s="12">
        <v>19.0</v>
      </c>
      <c r="G112" s="14" t="s">
        <v>10007</v>
      </c>
      <c r="H112" s="15" t="s">
        <v>10008</v>
      </c>
      <c r="I112" s="73"/>
    </row>
    <row r="113">
      <c r="A113" s="50">
        <v>108.0</v>
      </c>
      <c r="B113" s="13" t="s">
        <v>10009</v>
      </c>
      <c r="C113" s="72" t="s">
        <v>10010</v>
      </c>
      <c r="D113" s="12" t="s">
        <v>31</v>
      </c>
      <c r="E113" s="13" t="s">
        <v>10011</v>
      </c>
      <c r="F113" s="12">
        <v>30.0</v>
      </c>
      <c r="G113" s="14" t="s">
        <v>10007</v>
      </c>
      <c r="H113" s="15" t="s">
        <v>10008</v>
      </c>
      <c r="I113" s="74" t="s">
        <v>9674</v>
      </c>
    </row>
    <row r="114">
      <c r="A114" s="50">
        <v>109.0</v>
      </c>
      <c r="B114" s="13" t="s">
        <v>10012</v>
      </c>
      <c r="C114" s="72" t="s">
        <v>10013</v>
      </c>
      <c r="D114" s="12" t="s">
        <v>26</v>
      </c>
      <c r="E114" s="13" t="s">
        <v>10014</v>
      </c>
      <c r="F114" s="12">
        <v>24.0</v>
      </c>
      <c r="G114" s="14" t="s">
        <v>10015</v>
      </c>
      <c r="H114" s="15" t="s">
        <v>10016</v>
      </c>
      <c r="I114" s="74" t="s">
        <v>9674</v>
      </c>
    </row>
    <row r="115">
      <c r="A115" s="50">
        <v>110.0</v>
      </c>
      <c r="B115" s="13" t="s">
        <v>10017</v>
      </c>
      <c r="C115" s="72" t="s">
        <v>10018</v>
      </c>
      <c r="D115" s="12" t="s">
        <v>10019</v>
      </c>
      <c r="E115" s="13" t="s">
        <v>10020</v>
      </c>
      <c r="F115" s="12">
        <v>25.0</v>
      </c>
      <c r="G115" s="14" t="s">
        <v>10021</v>
      </c>
      <c r="H115" s="15" t="s">
        <v>10022</v>
      </c>
      <c r="I115" s="73"/>
    </row>
    <row r="116">
      <c r="A116" s="50">
        <v>111.0</v>
      </c>
      <c r="B116" s="13" t="s">
        <v>10023</v>
      </c>
      <c r="C116" s="72" t="s">
        <v>10024</v>
      </c>
      <c r="D116" s="12" t="s">
        <v>36</v>
      </c>
      <c r="E116" s="13" t="s">
        <v>10025</v>
      </c>
      <c r="F116" s="12">
        <v>32.0</v>
      </c>
      <c r="G116" s="14" t="s">
        <v>10021</v>
      </c>
      <c r="H116" s="15" t="s">
        <v>10022</v>
      </c>
      <c r="I116" s="74" t="s">
        <v>9674</v>
      </c>
    </row>
    <row r="117">
      <c r="A117" s="50">
        <v>112.0</v>
      </c>
      <c r="B117" s="13" t="s">
        <v>10026</v>
      </c>
      <c r="C117" s="72" t="s">
        <v>10027</v>
      </c>
      <c r="D117" s="12" t="s">
        <v>31</v>
      </c>
      <c r="E117" s="13" t="s">
        <v>10028</v>
      </c>
      <c r="F117" s="12">
        <v>32.0</v>
      </c>
      <c r="G117" s="14" t="s">
        <v>10021</v>
      </c>
      <c r="H117" s="15" t="s">
        <v>10022</v>
      </c>
      <c r="I117" s="74" t="s">
        <v>9674</v>
      </c>
    </row>
    <row r="118">
      <c r="A118" s="50">
        <v>113.0</v>
      </c>
      <c r="B118" s="13" t="s">
        <v>10029</v>
      </c>
      <c r="C118" s="72" t="s">
        <v>10030</v>
      </c>
      <c r="D118" s="12" t="s">
        <v>31</v>
      </c>
      <c r="E118" s="13" t="s">
        <v>10031</v>
      </c>
      <c r="F118" s="12">
        <v>21.0</v>
      </c>
      <c r="G118" s="14" t="s">
        <v>10021</v>
      </c>
      <c r="H118" s="15" t="s">
        <v>10022</v>
      </c>
      <c r="I118" s="74" t="s">
        <v>9674</v>
      </c>
    </row>
    <row r="119">
      <c r="A119" s="50">
        <v>114.0</v>
      </c>
      <c r="B119" s="13" t="s">
        <v>10032</v>
      </c>
      <c r="C119" s="72" t="s">
        <v>10033</v>
      </c>
      <c r="D119" s="12" t="s">
        <v>31</v>
      </c>
      <c r="E119" s="13" t="s">
        <v>10034</v>
      </c>
      <c r="F119" s="12">
        <v>25.0</v>
      </c>
      <c r="G119" s="14" t="s">
        <v>10021</v>
      </c>
      <c r="H119" s="15" t="s">
        <v>10022</v>
      </c>
      <c r="I119" s="74" t="s">
        <v>9674</v>
      </c>
    </row>
    <row r="120">
      <c r="A120" s="50">
        <v>115.0</v>
      </c>
      <c r="B120" s="13" t="s">
        <v>10035</v>
      </c>
      <c r="C120" s="72" t="s">
        <v>10036</v>
      </c>
      <c r="D120" s="12" t="s">
        <v>31</v>
      </c>
      <c r="E120" s="13" t="s">
        <v>10037</v>
      </c>
      <c r="F120" s="12">
        <v>20.0</v>
      </c>
      <c r="G120" s="14" t="s">
        <v>10038</v>
      </c>
      <c r="H120" s="15" t="s">
        <v>10039</v>
      </c>
      <c r="I120" s="73"/>
    </row>
    <row r="121">
      <c r="A121" s="50">
        <v>116.0</v>
      </c>
      <c r="B121" s="13" t="s">
        <v>10040</v>
      </c>
      <c r="C121" s="72" t="s">
        <v>10041</v>
      </c>
      <c r="D121" s="12" t="s">
        <v>107</v>
      </c>
      <c r="E121" s="13" t="s">
        <v>10042</v>
      </c>
      <c r="F121" s="12">
        <v>24.0</v>
      </c>
      <c r="G121" s="14" t="s">
        <v>10043</v>
      </c>
      <c r="H121" s="15" t="s">
        <v>10044</v>
      </c>
      <c r="I121" s="73"/>
    </row>
    <row r="122">
      <c r="A122" s="50">
        <v>117.0</v>
      </c>
      <c r="B122" s="13" t="s">
        <v>10045</v>
      </c>
      <c r="C122" s="72" t="s">
        <v>10046</v>
      </c>
      <c r="D122" s="12" t="s">
        <v>31</v>
      </c>
      <c r="E122" s="13" t="s">
        <v>10047</v>
      </c>
      <c r="F122" s="12">
        <v>28.0</v>
      </c>
      <c r="G122" s="14" t="s">
        <v>10043</v>
      </c>
      <c r="H122" s="15" t="s">
        <v>10044</v>
      </c>
      <c r="I122" s="73"/>
    </row>
    <row r="123">
      <c r="A123" s="50">
        <v>118.0</v>
      </c>
      <c r="B123" s="13" t="s">
        <v>10048</v>
      </c>
      <c r="C123" s="72" t="s">
        <v>10049</v>
      </c>
      <c r="D123" s="12" t="s">
        <v>31</v>
      </c>
      <c r="E123" s="13" t="s">
        <v>10050</v>
      </c>
      <c r="F123" s="12">
        <v>24.0</v>
      </c>
      <c r="G123" s="14" t="s">
        <v>10043</v>
      </c>
      <c r="H123" s="15" t="s">
        <v>10044</v>
      </c>
      <c r="I123" s="74" t="s">
        <v>9674</v>
      </c>
    </row>
    <row r="124">
      <c r="A124" s="50">
        <v>119.0</v>
      </c>
      <c r="B124" s="13" t="s">
        <v>10051</v>
      </c>
      <c r="C124" s="72" t="s">
        <v>10052</v>
      </c>
      <c r="D124" s="12" t="s">
        <v>36</v>
      </c>
      <c r="E124" s="13" t="s">
        <v>10053</v>
      </c>
      <c r="F124" s="12">
        <v>27.0</v>
      </c>
      <c r="G124" s="14" t="s">
        <v>10043</v>
      </c>
      <c r="H124" s="15" t="s">
        <v>10044</v>
      </c>
      <c r="I124" s="73"/>
    </row>
    <row r="125">
      <c r="A125" s="50">
        <v>120.0</v>
      </c>
      <c r="B125" s="13" t="s">
        <v>10054</v>
      </c>
      <c r="C125" s="72" t="s">
        <v>10055</v>
      </c>
      <c r="D125" s="12" t="s">
        <v>98</v>
      </c>
      <c r="E125" s="13" t="s">
        <v>10056</v>
      </c>
      <c r="F125" s="12">
        <v>28.0</v>
      </c>
      <c r="G125" s="14" t="s">
        <v>10057</v>
      </c>
      <c r="H125" s="15" t="s">
        <v>10058</v>
      </c>
      <c r="I125" s="74" t="s">
        <v>9674</v>
      </c>
    </row>
    <row r="126">
      <c r="A126" s="50">
        <v>121.0</v>
      </c>
      <c r="B126" s="13" t="s">
        <v>10059</v>
      </c>
      <c r="C126" s="72" t="s">
        <v>10060</v>
      </c>
      <c r="D126" s="12" t="s">
        <v>41</v>
      </c>
      <c r="E126" s="13" t="s">
        <v>10061</v>
      </c>
      <c r="F126" s="12">
        <v>28.0</v>
      </c>
      <c r="G126" s="14" t="s">
        <v>10057</v>
      </c>
      <c r="H126" s="15" t="s">
        <v>10058</v>
      </c>
      <c r="I126" s="74" t="s">
        <v>9674</v>
      </c>
    </row>
    <row r="127">
      <c r="A127" s="50">
        <v>122.0</v>
      </c>
      <c r="B127" s="13" t="s">
        <v>10062</v>
      </c>
      <c r="C127" s="72" t="s">
        <v>10063</v>
      </c>
      <c r="D127" s="12" t="s">
        <v>36</v>
      </c>
      <c r="E127" s="13" t="s">
        <v>10064</v>
      </c>
      <c r="F127" s="12">
        <v>28.0</v>
      </c>
      <c r="G127" s="14" t="s">
        <v>10057</v>
      </c>
      <c r="H127" s="15" t="s">
        <v>10058</v>
      </c>
      <c r="I127" s="74" t="s">
        <v>9674</v>
      </c>
    </row>
    <row r="128">
      <c r="A128" s="50">
        <v>123.0</v>
      </c>
      <c r="B128" s="13" t="s">
        <v>10065</v>
      </c>
      <c r="C128" s="72" t="s">
        <v>10066</v>
      </c>
      <c r="D128" s="12" t="s">
        <v>345</v>
      </c>
      <c r="E128" s="13" t="s">
        <v>10067</v>
      </c>
      <c r="F128" s="12">
        <v>24.0</v>
      </c>
      <c r="G128" s="14" t="s">
        <v>10057</v>
      </c>
      <c r="H128" s="15" t="s">
        <v>10058</v>
      </c>
      <c r="I128" s="73"/>
    </row>
    <row r="129">
      <c r="A129" s="50">
        <v>124.0</v>
      </c>
      <c r="B129" s="13" t="s">
        <v>10068</v>
      </c>
      <c r="C129" s="72" t="s">
        <v>10069</v>
      </c>
      <c r="D129" s="12" t="s">
        <v>36</v>
      </c>
      <c r="E129" s="13" t="s">
        <v>10070</v>
      </c>
      <c r="F129" s="12">
        <v>23.0</v>
      </c>
      <c r="G129" s="14" t="s">
        <v>10057</v>
      </c>
      <c r="H129" s="15" t="s">
        <v>10058</v>
      </c>
      <c r="I129" s="74" t="s">
        <v>9674</v>
      </c>
    </row>
    <row r="130">
      <c r="A130" s="50">
        <v>125.0</v>
      </c>
      <c r="B130" s="13" t="s">
        <v>10071</v>
      </c>
      <c r="C130" s="72" t="s">
        <v>10072</v>
      </c>
      <c r="D130" s="12" t="s">
        <v>36</v>
      </c>
      <c r="E130" s="13" t="s">
        <v>10073</v>
      </c>
      <c r="F130" s="12">
        <v>27.0</v>
      </c>
      <c r="G130" s="14" t="s">
        <v>10057</v>
      </c>
      <c r="H130" s="15" t="s">
        <v>10058</v>
      </c>
      <c r="I130" s="74" t="s">
        <v>9674</v>
      </c>
    </row>
    <row r="131">
      <c r="A131" s="37" t="s">
        <v>3</v>
      </c>
      <c r="B131" s="51" t="s">
        <v>4</v>
      </c>
      <c r="C131" s="40" t="s">
        <v>5</v>
      </c>
      <c r="D131" s="39" t="s">
        <v>6</v>
      </c>
      <c r="E131" s="39" t="s">
        <v>7</v>
      </c>
      <c r="F131" s="39" t="s">
        <v>8</v>
      </c>
      <c r="G131" s="40" t="s">
        <v>9617</v>
      </c>
      <c r="H131" s="39" t="s">
        <v>9618</v>
      </c>
      <c r="I131" s="39" t="s">
        <v>9619</v>
      </c>
    </row>
    <row r="132">
      <c r="A132" s="50">
        <v>126.0</v>
      </c>
      <c r="B132" s="13" t="s">
        <v>10074</v>
      </c>
      <c r="C132" s="72" t="s">
        <v>10075</v>
      </c>
      <c r="D132" s="12" t="s">
        <v>36</v>
      </c>
      <c r="E132" s="13" t="s">
        <v>10076</v>
      </c>
      <c r="F132" s="12">
        <v>28.0</v>
      </c>
      <c r="G132" s="14" t="s">
        <v>10057</v>
      </c>
      <c r="H132" s="15" t="s">
        <v>10058</v>
      </c>
      <c r="I132" s="74" t="s">
        <v>9674</v>
      </c>
    </row>
    <row r="133">
      <c r="A133" s="50">
        <v>127.0</v>
      </c>
      <c r="B133" s="13" t="s">
        <v>10077</v>
      </c>
      <c r="C133" s="72" t="s">
        <v>10078</v>
      </c>
      <c r="D133" s="12" t="s">
        <v>36</v>
      </c>
      <c r="E133" s="13" t="s">
        <v>10079</v>
      </c>
      <c r="F133" s="12">
        <v>27.0</v>
      </c>
      <c r="G133" s="14" t="s">
        <v>10057</v>
      </c>
      <c r="H133" s="15" t="s">
        <v>10058</v>
      </c>
      <c r="I133" s="74" t="s">
        <v>9674</v>
      </c>
    </row>
    <row r="134">
      <c r="A134" s="50">
        <v>128.0</v>
      </c>
      <c r="B134" s="13" t="s">
        <v>10080</v>
      </c>
      <c r="C134" s="72" t="s">
        <v>10081</v>
      </c>
      <c r="D134" s="12" t="s">
        <v>107</v>
      </c>
      <c r="E134" s="13" t="s">
        <v>10082</v>
      </c>
      <c r="F134" s="12">
        <v>23.0</v>
      </c>
      <c r="G134" s="14" t="s">
        <v>10057</v>
      </c>
      <c r="H134" s="15" t="s">
        <v>10058</v>
      </c>
      <c r="I134" s="74" t="s">
        <v>9674</v>
      </c>
    </row>
    <row r="135">
      <c r="A135" s="50">
        <v>129.0</v>
      </c>
      <c r="B135" s="13" t="s">
        <v>10083</v>
      </c>
      <c r="C135" s="72" t="s">
        <v>10084</v>
      </c>
      <c r="D135" s="12" t="s">
        <v>36</v>
      </c>
      <c r="E135" s="13" t="s">
        <v>10085</v>
      </c>
      <c r="F135" s="12">
        <v>22.0</v>
      </c>
      <c r="G135" s="14" t="s">
        <v>10057</v>
      </c>
      <c r="H135" s="15" t="s">
        <v>10058</v>
      </c>
      <c r="I135" s="73"/>
    </row>
    <row r="136">
      <c r="A136" s="50">
        <v>130.0</v>
      </c>
      <c r="B136" s="13" t="s">
        <v>10086</v>
      </c>
      <c r="C136" s="72" t="s">
        <v>10087</v>
      </c>
      <c r="D136" s="12" t="s">
        <v>41</v>
      </c>
      <c r="E136" s="13" t="s">
        <v>10088</v>
      </c>
      <c r="F136" s="12">
        <v>22.0</v>
      </c>
      <c r="G136" s="14" t="s">
        <v>10057</v>
      </c>
      <c r="H136" s="15" t="s">
        <v>10058</v>
      </c>
      <c r="I136" s="73"/>
    </row>
    <row r="137">
      <c r="A137" s="50">
        <v>131.0</v>
      </c>
      <c r="B137" s="13" t="s">
        <v>10089</v>
      </c>
      <c r="C137" s="72" t="s">
        <v>10090</v>
      </c>
      <c r="D137" s="12" t="s">
        <v>10091</v>
      </c>
      <c r="E137" s="13" t="s">
        <v>10092</v>
      </c>
      <c r="F137" s="12">
        <v>25.0</v>
      </c>
      <c r="G137" s="14" t="s">
        <v>10057</v>
      </c>
      <c r="H137" s="15" t="s">
        <v>10058</v>
      </c>
      <c r="I137" s="73"/>
    </row>
    <row r="138">
      <c r="A138" s="50">
        <v>132.0</v>
      </c>
      <c r="B138" s="13" t="s">
        <v>10093</v>
      </c>
      <c r="C138" s="72" t="s">
        <v>10094</v>
      </c>
      <c r="D138" s="12" t="s">
        <v>41</v>
      </c>
      <c r="E138" s="13" t="s">
        <v>10095</v>
      </c>
      <c r="F138" s="12">
        <v>34.0</v>
      </c>
      <c r="G138" s="14" t="s">
        <v>10057</v>
      </c>
      <c r="H138" s="15" t="s">
        <v>10058</v>
      </c>
      <c r="I138" s="74" t="s">
        <v>9674</v>
      </c>
    </row>
    <row r="139">
      <c r="A139" s="50">
        <v>133.0</v>
      </c>
      <c r="B139" s="13" t="s">
        <v>10096</v>
      </c>
      <c r="C139" s="72" t="s">
        <v>10097</v>
      </c>
      <c r="D139" s="12" t="s">
        <v>98</v>
      </c>
      <c r="E139" s="13" t="s">
        <v>10098</v>
      </c>
      <c r="F139" s="12">
        <v>29.0</v>
      </c>
      <c r="G139" s="14" t="s">
        <v>10057</v>
      </c>
      <c r="H139" s="15" t="s">
        <v>10058</v>
      </c>
      <c r="I139" s="74" t="s">
        <v>9674</v>
      </c>
    </row>
    <row r="140">
      <c r="A140" s="50">
        <v>134.0</v>
      </c>
      <c r="B140" s="13" t="s">
        <v>10099</v>
      </c>
      <c r="C140" s="72" t="s">
        <v>10100</v>
      </c>
      <c r="D140" s="12" t="s">
        <v>31</v>
      </c>
      <c r="E140" s="13" t="s">
        <v>10101</v>
      </c>
      <c r="F140" s="12">
        <v>34.0</v>
      </c>
      <c r="G140" s="14" t="s">
        <v>10102</v>
      </c>
      <c r="H140" s="15" t="s">
        <v>10103</v>
      </c>
      <c r="I140" s="74" t="s">
        <v>9674</v>
      </c>
    </row>
    <row r="141">
      <c r="A141" s="50">
        <v>135.0</v>
      </c>
      <c r="B141" s="13" t="s">
        <v>10104</v>
      </c>
      <c r="C141" s="72" t="s">
        <v>10105</v>
      </c>
      <c r="D141" s="12" t="s">
        <v>36</v>
      </c>
      <c r="E141" s="13" t="s">
        <v>10106</v>
      </c>
      <c r="F141" s="12">
        <v>24.0</v>
      </c>
      <c r="G141" s="14" t="s">
        <v>10107</v>
      </c>
      <c r="H141" s="15" t="s">
        <v>10108</v>
      </c>
      <c r="I141" s="74" t="s">
        <v>9674</v>
      </c>
    </row>
    <row r="142">
      <c r="A142" s="50">
        <v>136.0</v>
      </c>
      <c r="B142" s="13" t="s">
        <v>10109</v>
      </c>
      <c r="C142" s="72" t="s">
        <v>10110</v>
      </c>
      <c r="D142" s="12" t="s">
        <v>107</v>
      </c>
      <c r="E142" s="13" t="s">
        <v>10111</v>
      </c>
      <c r="F142" s="12">
        <v>28.0</v>
      </c>
      <c r="G142" s="14" t="s">
        <v>10107</v>
      </c>
      <c r="H142" s="15" t="s">
        <v>10108</v>
      </c>
      <c r="I142" s="73"/>
    </row>
    <row r="143">
      <c r="A143" s="50">
        <v>137.0</v>
      </c>
      <c r="B143" s="13" t="s">
        <v>10112</v>
      </c>
      <c r="C143" s="72" t="s">
        <v>10113</v>
      </c>
      <c r="D143" s="12" t="s">
        <v>31</v>
      </c>
      <c r="E143" s="13" t="s">
        <v>10114</v>
      </c>
      <c r="F143" s="12">
        <v>26.0</v>
      </c>
      <c r="G143" s="14" t="s">
        <v>10107</v>
      </c>
      <c r="H143" s="15" t="s">
        <v>10108</v>
      </c>
      <c r="I143" s="74" t="s">
        <v>9674</v>
      </c>
    </row>
    <row r="144">
      <c r="A144" s="50">
        <v>138.0</v>
      </c>
      <c r="B144" s="13" t="s">
        <v>10115</v>
      </c>
      <c r="C144" s="72" t="s">
        <v>10116</v>
      </c>
      <c r="D144" s="12" t="s">
        <v>41</v>
      </c>
      <c r="E144" s="13" t="s">
        <v>10117</v>
      </c>
      <c r="F144" s="12">
        <v>28.0</v>
      </c>
      <c r="G144" s="14" t="s">
        <v>10107</v>
      </c>
      <c r="H144" s="15" t="s">
        <v>10108</v>
      </c>
      <c r="I144" s="74" t="s">
        <v>9674</v>
      </c>
    </row>
    <row r="145">
      <c r="A145" s="50">
        <v>139.0</v>
      </c>
      <c r="B145" s="13" t="s">
        <v>10118</v>
      </c>
      <c r="C145" s="72" t="s">
        <v>10119</v>
      </c>
      <c r="D145" s="12" t="s">
        <v>345</v>
      </c>
      <c r="E145" s="13" t="s">
        <v>10120</v>
      </c>
      <c r="F145" s="12">
        <v>27.0</v>
      </c>
      <c r="G145" s="14" t="s">
        <v>10107</v>
      </c>
      <c r="H145" s="15" t="s">
        <v>10108</v>
      </c>
      <c r="I145" s="73"/>
    </row>
    <row r="146">
      <c r="A146" s="50">
        <v>140.0</v>
      </c>
      <c r="B146" s="13" t="s">
        <v>10121</v>
      </c>
      <c r="C146" s="72" t="s">
        <v>10122</v>
      </c>
      <c r="D146" s="12" t="s">
        <v>41</v>
      </c>
      <c r="E146" s="13" t="s">
        <v>10123</v>
      </c>
      <c r="F146" s="12">
        <v>32.0</v>
      </c>
      <c r="G146" s="14" t="s">
        <v>10107</v>
      </c>
      <c r="H146" s="15" t="s">
        <v>10108</v>
      </c>
      <c r="I146" s="73"/>
    </row>
    <row r="147">
      <c r="A147" s="50">
        <v>141.0</v>
      </c>
      <c r="B147" s="13" t="s">
        <v>10124</v>
      </c>
      <c r="C147" s="72" t="s">
        <v>10125</v>
      </c>
      <c r="D147" s="12" t="s">
        <v>31</v>
      </c>
      <c r="E147" s="13" t="s">
        <v>10126</v>
      </c>
      <c r="F147" s="12">
        <v>30.0</v>
      </c>
      <c r="G147" s="14" t="s">
        <v>10107</v>
      </c>
      <c r="H147" s="15" t="s">
        <v>10108</v>
      </c>
      <c r="I147" s="74" t="s">
        <v>9674</v>
      </c>
    </row>
    <row r="148">
      <c r="A148" s="50">
        <v>142.0</v>
      </c>
      <c r="B148" s="13" t="s">
        <v>10127</v>
      </c>
      <c r="C148" s="72" t="s">
        <v>10128</v>
      </c>
      <c r="D148" s="12" t="s">
        <v>36</v>
      </c>
      <c r="E148" s="13" t="s">
        <v>10129</v>
      </c>
      <c r="F148" s="12">
        <v>25.0</v>
      </c>
      <c r="G148" s="14" t="s">
        <v>10107</v>
      </c>
      <c r="H148" s="15" t="s">
        <v>10108</v>
      </c>
      <c r="I148" s="73"/>
    </row>
    <row r="149">
      <c r="A149" s="50">
        <v>143.0</v>
      </c>
      <c r="B149" s="13" t="s">
        <v>10130</v>
      </c>
      <c r="C149" s="72" t="s">
        <v>10131</v>
      </c>
      <c r="D149" s="12" t="s">
        <v>36</v>
      </c>
      <c r="E149" s="13" t="s">
        <v>10132</v>
      </c>
      <c r="F149" s="12">
        <v>24.0</v>
      </c>
      <c r="G149" s="14" t="s">
        <v>10107</v>
      </c>
      <c r="H149" s="15" t="s">
        <v>10108</v>
      </c>
      <c r="I149" s="74" t="s">
        <v>9674</v>
      </c>
    </row>
    <row r="150">
      <c r="A150" s="50">
        <v>144.0</v>
      </c>
      <c r="B150" s="13" t="s">
        <v>10133</v>
      </c>
      <c r="C150" s="72" t="s">
        <v>10134</v>
      </c>
      <c r="D150" s="12" t="s">
        <v>31</v>
      </c>
      <c r="E150" s="13" t="s">
        <v>10135</v>
      </c>
      <c r="F150" s="12">
        <v>26.0</v>
      </c>
      <c r="G150" s="14" t="s">
        <v>10107</v>
      </c>
      <c r="H150" s="15" t="s">
        <v>10108</v>
      </c>
      <c r="I150" s="74" t="s">
        <v>9674</v>
      </c>
    </row>
    <row r="151">
      <c r="A151" s="50">
        <v>145.0</v>
      </c>
      <c r="B151" s="13" t="s">
        <v>10136</v>
      </c>
      <c r="C151" s="72" t="s">
        <v>10137</v>
      </c>
      <c r="D151" s="12" t="s">
        <v>31</v>
      </c>
      <c r="E151" s="13" t="s">
        <v>10138</v>
      </c>
      <c r="F151" s="12">
        <v>24.0</v>
      </c>
      <c r="G151" s="14" t="s">
        <v>10107</v>
      </c>
      <c r="H151" s="15" t="s">
        <v>10108</v>
      </c>
      <c r="I151" s="74" t="s">
        <v>9674</v>
      </c>
    </row>
    <row r="152">
      <c r="A152" s="50">
        <v>146.0</v>
      </c>
      <c r="B152" s="13" t="s">
        <v>10139</v>
      </c>
      <c r="C152" s="72" t="s">
        <v>10140</v>
      </c>
      <c r="D152" s="12" t="s">
        <v>41</v>
      </c>
      <c r="E152" s="13" t="s">
        <v>10141</v>
      </c>
      <c r="F152" s="12">
        <v>33.0</v>
      </c>
      <c r="G152" s="14" t="s">
        <v>10107</v>
      </c>
      <c r="H152" s="15" t="s">
        <v>10108</v>
      </c>
      <c r="I152" s="74" t="s">
        <v>9674</v>
      </c>
    </row>
    <row r="153">
      <c r="A153" s="50">
        <v>147.0</v>
      </c>
      <c r="B153" s="13" t="s">
        <v>10142</v>
      </c>
      <c r="C153" s="72" t="s">
        <v>10143</v>
      </c>
      <c r="D153" s="12" t="s">
        <v>36</v>
      </c>
      <c r="E153" s="13" t="s">
        <v>10144</v>
      </c>
      <c r="F153" s="12">
        <v>29.0</v>
      </c>
      <c r="G153" s="14" t="s">
        <v>10107</v>
      </c>
      <c r="H153" s="15" t="s">
        <v>10108</v>
      </c>
      <c r="I153" s="74" t="s">
        <v>9674</v>
      </c>
    </row>
    <row r="154">
      <c r="A154" s="50">
        <v>148.0</v>
      </c>
      <c r="B154" s="13" t="s">
        <v>10145</v>
      </c>
      <c r="C154" s="72" t="s">
        <v>10146</v>
      </c>
      <c r="D154" s="12" t="s">
        <v>36</v>
      </c>
      <c r="E154" s="13" t="s">
        <v>10147</v>
      </c>
      <c r="F154" s="12">
        <v>24.0</v>
      </c>
      <c r="G154" s="14" t="s">
        <v>10107</v>
      </c>
      <c r="H154" s="15" t="s">
        <v>10108</v>
      </c>
      <c r="I154" s="73"/>
    </row>
    <row r="155">
      <c r="A155" s="50">
        <v>149.0</v>
      </c>
      <c r="B155" s="13" t="s">
        <v>10148</v>
      </c>
      <c r="C155" s="72" t="s">
        <v>10149</v>
      </c>
      <c r="D155" s="12" t="s">
        <v>345</v>
      </c>
      <c r="E155" s="13" t="s">
        <v>10150</v>
      </c>
      <c r="F155" s="12">
        <v>25.0</v>
      </c>
      <c r="G155" s="14" t="s">
        <v>10151</v>
      </c>
      <c r="H155" s="15" t="s">
        <v>10152</v>
      </c>
      <c r="I155" s="73"/>
    </row>
    <row r="156">
      <c r="A156" s="50">
        <v>150.0</v>
      </c>
      <c r="B156" s="13" t="s">
        <v>10153</v>
      </c>
      <c r="C156" s="72" t="s">
        <v>10154</v>
      </c>
      <c r="D156" s="12" t="s">
        <v>345</v>
      </c>
      <c r="E156" s="13" t="s">
        <v>10155</v>
      </c>
      <c r="F156" s="12">
        <v>26.0</v>
      </c>
      <c r="G156" s="14" t="s">
        <v>10156</v>
      </c>
      <c r="H156" s="15" t="s">
        <v>10157</v>
      </c>
      <c r="I156" s="74" t="s">
        <v>9674</v>
      </c>
    </row>
    <row r="157">
      <c r="A157" s="37" t="s">
        <v>3</v>
      </c>
      <c r="B157" s="51" t="s">
        <v>4</v>
      </c>
      <c r="C157" s="40" t="s">
        <v>5</v>
      </c>
      <c r="D157" s="39" t="s">
        <v>6</v>
      </c>
      <c r="E157" s="39" t="s">
        <v>7</v>
      </c>
      <c r="F157" s="39" t="s">
        <v>8</v>
      </c>
      <c r="G157" s="40" t="s">
        <v>9617</v>
      </c>
      <c r="H157" s="39" t="s">
        <v>9618</v>
      </c>
      <c r="I157" s="39" t="s">
        <v>9619</v>
      </c>
    </row>
    <row r="158">
      <c r="A158" s="50">
        <v>151.0</v>
      </c>
      <c r="B158" s="13" t="s">
        <v>10158</v>
      </c>
      <c r="C158" s="72" t="s">
        <v>10159</v>
      </c>
      <c r="D158" s="12" t="s">
        <v>36</v>
      </c>
      <c r="E158" s="13" t="s">
        <v>10160</v>
      </c>
      <c r="F158" s="12">
        <v>25.0</v>
      </c>
      <c r="G158" s="14" t="s">
        <v>10156</v>
      </c>
      <c r="H158" s="15" t="s">
        <v>10157</v>
      </c>
      <c r="I158" s="73"/>
    </row>
    <row r="159">
      <c r="A159" s="50">
        <v>152.0</v>
      </c>
      <c r="B159" s="13" t="s">
        <v>10161</v>
      </c>
      <c r="C159" s="72" t="s">
        <v>10162</v>
      </c>
      <c r="D159" s="12" t="s">
        <v>36</v>
      </c>
      <c r="E159" s="13" t="s">
        <v>10163</v>
      </c>
      <c r="F159" s="12">
        <v>23.0</v>
      </c>
      <c r="G159" s="14" t="s">
        <v>10156</v>
      </c>
      <c r="H159" s="15" t="s">
        <v>10157</v>
      </c>
      <c r="I159" s="73"/>
    </row>
    <row r="160">
      <c r="A160" s="50">
        <v>153.0</v>
      </c>
      <c r="B160" s="13" t="s">
        <v>10164</v>
      </c>
      <c r="C160" s="72" t="s">
        <v>10165</v>
      </c>
      <c r="D160" s="12" t="s">
        <v>41</v>
      </c>
      <c r="E160" s="13" t="s">
        <v>10166</v>
      </c>
      <c r="F160" s="12">
        <v>25.0</v>
      </c>
      <c r="G160" s="14" t="s">
        <v>10156</v>
      </c>
      <c r="H160" s="15" t="s">
        <v>10157</v>
      </c>
      <c r="I160" s="74" t="s">
        <v>9674</v>
      </c>
    </row>
    <row r="161">
      <c r="A161" s="50">
        <v>154.0</v>
      </c>
      <c r="B161" s="13" t="s">
        <v>10167</v>
      </c>
      <c r="C161" s="72" t="s">
        <v>10168</v>
      </c>
      <c r="D161" s="12" t="s">
        <v>98</v>
      </c>
      <c r="E161" s="13" t="s">
        <v>10169</v>
      </c>
      <c r="F161" s="12">
        <v>24.0</v>
      </c>
      <c r="G161" s="14" t="s">
        <v>10156</v>
      </c>
      <c r="H161" s="15" t="s">
        <v>10157</v>
      </c>
      <c r="I161" s="74" t="s">
        <v>9674</v>
      </c>
    </row>
    <row r="162">
      <c r="A162" s="50">
        <v>155.0</v>
      </c>
      <c r="B162" s="13" t="s">
        <v>10170</v>
      </c>
      <c r="C162" s="72" t="s">
        <v>10171</v>
      </c>
      <c r="D162" s="12" t="s">
        <v>36</v>
      </c>
      <c r="E162" s="13" t="s">
        <v>10172</v>
      </c>
      <c r="F162" s="12">
        <v>28.0</v>
      </c>
      <c r="G162" s="14" t="s">
        <v>10156</v>
      </c>
      <c r="H162" s="15" t="s">
        <v>10157</v>
      </c>
      <c r="I162" s="74" t="s">
        <v>9674</v>
      </c>
    </row>
    <row r="163">
      <c r="A163" s="50">
        <v>156.0</v>
      </c>
      <c r="B163" s="13" t="s">
        <v>10173</v>
      </c>
      <c r="C163" s="72" t="s">
        <v>10174</v>
      </c>
      <c r="D163" s="12" t="s">
        <v>36</v>
      </c>
      <c r="E163" s="13" t="s">
        <v>10175</v>
      </c>
      <c r="F163" s="12">
        <v>28.0</v>
      </c>
      <c r="G163" s="14" t="s">
        <v>10156</v>
      </c>
      <c r="H163" s="15" t="s">
        <v>10157</v>
      </c>
      <c r="I163" s="74" t="s">
        <v>9674</v>
      </c>
    </row>
    <row r="164">
      <c r="A164" s="50">
        <v>157.0</v>
      </c>
      <c r="B164" s="13" t="s">
        <v>10176</v>
      </c>
      <c r="C164" s="72" t="s">
        <v>10177</v>
      </c>
      <c r="D164" s="12" t="s">
        <v>345</v>
      </c>
      <c r="E164" s="13" t="s">
        <v>10178</v>
      </c>
      <c r="F164" s="12">
        <v>25.0</v>
      </c>
      <c r="G164" s="14" t="s">
        <v>10156</v>
      </c>
      <c r="H164" s="15" t="s">
        <v>10157</v>
      </c>
      <c r="I164" s="74" t="s">
        <v>9674</v>
      </c>
    </row>
    <row r="165">
      <c r="A165" s="50">
        <v>158.0</v>
      </c>
      <c r="B165" s="13" t="s">
        <v>10179</v>
      </c>
      <c r="C165" s="72" t="s">
        <v>10180</v>
      </c>
      <c r="D165" s="12" t="s">
        <v>31</v>
      </c>
      <c r="E165" s="13" t="s">
        <v>10181</v>
      </c>
      <c r="F165" s="12">
        <v>24.0</v>
      </c>
      <c r="G165" s="14" t="s">
        <v>10156</v>
      </c>
      <c r="H165" s="15" t="s">
        <v>10157</v>
      </c>
      <c r="I165" s="73"/>
    </row>
    <row r="166">
      <c r="A166" s="50">
        <v>159.0</v>
      </c>
      <c r="B166" s="13" t="s">
        <v>10182</v>
      </c>
      <c r="C166" s="72" t="s">
        <v>10183</v>
      </c>
      <c r="D166" s="12" t="s">
        <v>36</v>
      </c>
      <c r="E166" s="13" t="s">
        <v>10184</v>
      </c>
      <c r="F166" s="12">
        <v>32.0</v>
      </c>
      <c r="G166" s="14" t="s">
        <v>10185</v>
      </c>
      <c r="H166" s="15" t="s">
        <v>10186</v>
      </c>
      <c r="I166" s="74" t="s">
        <v>9674</v>
      </c>
    </row>
    <row r="167">
      <c r="A167" s="50">
        <v>160.0</v>
      </c>
      <c r="B167" s="13" t="s">
        <v>10187</v>
      </c>
      <c r="C167" s="72" t="s">
        <v>10188</v>
      </c>
      <c r="D167" s="12" t="s">
        <v>31</v>
      </c>
      <c r="E167" s="13" t="s">
        <v>10189</v>
      </c>
      <c r="F167" s="12">
        <v>26.0</v>
      </c>
      <c r="G167" s="14" t="s">
        <v>10185</v>
      </c>
      <c r="H167" s="15" t="s">
        <v>10186</v>
      </c>
      <c r="I167" s="74" t="s">
        <v>9674</v>
      </c>
    </row>
    <row r="168">
      <c r="A168" s="50">
        <v>161.0</v>
      </c>
      <c r="B168" s="13" t="s">
        <v>10190</v>
      </c>
      <c r="C168" s="72" t="s">
        <v>10191</v>
      </c>
      <c r="D168" s="12" t="s">
        <v>31</v>
      </c>
      <c r="E168" s="13" t="s">
        <v>10192</v>
      </c>
      <c r="F168" s="12">
        <v>27.0</v>
      </c>
      <c r="G168" s="14" t="s">
        <v>10185</v>
      </c>
      <c r="H168" s="15" t="s">
        <v>10186</v>
      </c>
      <c r="I168" s="74" t="s">
        <v>9674</v>
      </c>
    </row>
    <row r="169">
      <c r="A169" s="50">
        <v>162.0</v>
      </c>
      <c r="B169" s="13" t="s">
        <v>10193</v>
      </c>
      <c r="C169" s="72" t="s">
        <v>10194</v>
      </c>
      <c r="D169" s="12" t="s">
        <v>36</v>
      </c>
      <c r="E169" s="13" t="s">
        <v>10195</v>
      </c>
      <c r="F169" s="12">
        <v>25.0</v>
      </c>
      <c r="G169" s="14" t="s">
        <v>10185</v>
      </c>
      <c r="H169" s="15" t="s">
        <v>10186</v>
      </c>
      <c r="I169" s="74" t="s">
        <v>9674</v>
      </c>
    </row>
    <row r="170">
      <c r="A170" s="50">
        <v>163.0</v>
      </c>
      <c r="B170" s="13" t="s">
        <v>10196</v>
      </c>
      <c r="C170" s="72" t="s">
        <v>10197</v>
      </c>
      <c r="D170" s="12" t="s">
        <v>36</v>
      </c>
      <c r="E170" s="13" t="s">
        <v>10198</v>
      </c>
      <c r="F170" s="12">
        <v>26.0</v>
      </c>
      <c r="G170" s="14" t="s">
        <v>10185</v>
      </c>
      <c r="H170" s="15" t="s">
        <v>10186</v>
      </c>
      <c r="I170" s="74" t="s">
        <v>9674</v>
      </c>
    </row>
    <row r="171">
      <c r="A171" s="50">
        <v>164.0</v>
      </c>
      <c r="B171" s="13" t="s">
        <v>10199</v>
      </c>
      <c r="C171" s="72" t="s">
        <v>10200</v>
      </c>
      <c r="D171" s="12" t="s">
        <v>107</v>
      </c>
      <c r="E171" s="13" t="s">
        <v>10201</v>
      </c>
      <c r="F171" s="12">
        <v>27.0</v>
      </c>
      <c r="G171" s="14" t="s">
        <v>10185</v>
      </c>
      <c r="H171" s="15" t="s">
        <v>10186</v>
      </c>
      <c r="I171" s="74" t="s">
        <v>9674</v>
      </c>
    </row>
    <row r="172">
      <c r="A172" s="50">
        <v>165.0</v>
      </c>
      <c r="B172" s="13" t="s">
        <v>10202</v>
      </c>
      <c r="C172" s="72" t="s">
        <v>10203</v>
      </c>
      <c r="D172" s="12" t="s">
        <v>31</v>
      </c>
      <c r="E172" s="13" t="s">
        <v>10204</v>
      </c>
      <c r="F172" s="12">
        <v>25.0</v>
      </c>
      <c r="G172" s="14" t="s">
        <v>10185</v>
      </c>
      <c r="H172" s="15" t="s">
        <v>10186</v>
      </c>
      <c r="I172" s="74" t="s">
        <v>9674</v>
      </c>
    </row>
    <row r="173">
      <c r="A173" s="50">
        <v>166.0</v>
      </c>
      <c r="B173" s="13" t="s">
        <v>10205</v>
      </c>
      <c r="C173" s="72" t="s">
        <v>10206</v>
      </c>
      <c r="D173" s="12" t="s">
        <v>31</v>
      </c>
      <c r="E173" s="13" t="s">
        <v>10207</v>
      </c>
      <c r="F173" s="12">
        <v>21.0</v>
      </c>
      <c r="G173" s="14" t="s">
        <v>10185</v>
      </c>
      <c r="H173" s="15" t="s">
        <v>10186</v>
      </c>
      <c r="I173" s="74" t="s">
        <v>9674</v>
      </c>
    </row>
    <row r="174">
      <c r="A174" s="50">
        <v>167.0</v>
      </c>
      <c r="B174" s="13" t="s">
        <v>10208</v>
      </c>
      <c r="C174" s="72" t="s">
        <v>10209</v>
      </c>
      <c r="D174" s="12" t="s">
        <v>26</v>
      </c>
      <c r="E174" s="13" t="s">
        <v>10210</v>
      </c>
      <c r="F174" s="12">
        <v>28.0</v>
      </c>
      <c r="G174" s="14" t="s">
        <v>10185</v>
      </c>
      <c r="H174" s="15" t="s">
        <v>10186</v>
      </c>
      <c r="I174" s="73"/>
    </row>
    <row r="175">
      <c r="A175" s="50">
        <v>168.0</v>
      </c>
      <c r="B175" s="13" t="s">
        <v>10211</v>
      </c>
      <c r="C175" s="72" t="s">
        <v>10212</v>
      </c>
      <c r="D175" s="12" t="s">
        <v>36</v>
      </c>
      <c r="E175" s="13" t="s">
        <v>10213</v>
      </c>
      <c r="F175" s="12">
        <v>33.0</v>
      </c>
      <c r="G175" s="14" t="s">
        <v>10185</v>
      </c>
      <c r="H175" s="15" t="s">
        <v>10186</v>
      </c>
      <c r="I175" s="74" t="s">
        <v>9674</v>
      </c>
    </row>
    <row r="176">
      <c r="A176" s="50">
        <v>169.0</v>
      </c>
      <c r="B176" s="13" t="s">
        <v>10214</v>
      </c>
      <c r="C176" s="72" t="s">
        <v>10215</v>
      </c>
      <c r="D176" s="12" t="s">
        <v>36</v>
      </c>
      <c r="E176" s="13" t="s">
        <v>10216</v>
      </c>
      <c r="F176" s="12">
        <v>32.0</v>
      </c>
      <c r="G176" s="14" t="s">
        <v>10185</v>
      </c>
      <c r="H176" s="15" t="s">
        <v>10186</v>
      </c>
      <c r="I176" s="74" t="s">
        <v>9674</v>
      </c>
    </row>
    <row r="177">
      <c r="A177" s="50">
        <v>170.0</v>
      </c>
      <c r="B177" s="13" t="s">
        <v>10217</v>
      </c>
      <c r="C177" s="72" t="s">
        <v>10218</v>
      </c>
      <c r="D177" s="12" t="s">
        <v>31</v>
      </c>
      <c r="E177" s="13" t="s">
        <v>10219</v>
      </c>
      <c r="F177" s="12">
        <v>29.0</v>
      </c>
      <c r="G177" s="14" t="s">
        <v>10185</v>
      </c>
      <c r="H177" s="15" t="s">
        <v>10186</v>
      </c>
      <c r="I177" s="74" t="s">
        <v>9674</v>
      </c>
    </row>
    <row r="178">
      <c r="A178" s="50">
        <v>171.0</v>
      </c>
      <c r="B178" s="13" t="s">
        <v>10220</v>
      </c>
      <c r="C178" s="72" t="s">
        <v>10221</v>
      </c>
      <c r="D178" s="12" t="s">
        <v>31</v>
      </c>
      <c r="E178" s="13" t="s">
        <v>10222</v>
      </c>
      <c r="F178" s="12">
        <v>18.0</v>
      </c>
      <c r="G178" s="14" t="s">
        <v>10185</v>
      </c>
      <c r="H178" s="15" t="s">
        <v>10186</v>
      </c>
      <c r="I178" s="74" t="s">
        <v>9674</v>
      </c>
    </row>
    <row r="179">
      <c r="A179" s="50">
        <v>172.0</v>
      </c>
      <c r="B179" s="13" t="s">
        <v>10223</v>
      </c>
      <c r="C179" s="72" t="s">
        <v>10224</v>
      </c>
      <c r="D179" s="12" t="s">
        <v>41</v>
      </c>
      <c r="E179" s="13" t="s">
        <v>10225</v>
      </c>
      <c r="F179" s="12">
        <v>26.0</v>
      </c>
      <c r="G179" s="14" t="s">
        <v>10226</v>
      </c>
      <c r="H179" s="15" t="s">
        <v>10227</v>
      </c>
      <c r="I179" s="74" t="s">
        <v>9674</v>
      </c>
    </row>
    <row r="180">
      <c r="A180" s="50">
        <v>173.0</v>
      </c>
      <c r="B180" s="13" t="s">
        <v>10228</v>
      </c>
      <c r="C180" s="72" t="s">
        <v>10229</v>
      </c>
      <c r="D180" s="12" t="s">
        <v>36</v>
      </c>
      <c r="E180" s="13" t="s">
        <v>10230</v>
      </c>
      <c r="F180" s="12">
        <v>25.0</v>
      </c>
      <c r="G180" s="14" t="s">
        <v>10231</v>
      </c>
      <c r="H180" s="15" t="s">
        <v>10232</v>
      </c>
      <c r="I180" s="74" t="s">
        <v>9674</v>
      </c>
    </row>
    <row r="181">
      <c r="A181" s="50">
        <v>174.0</v>
      </c>
      <c r="B181" s="13" t="s">
        <v>10233</v>
      </c>
      <c r="C181" s="72" t="s">
        <v>10234</v>
      </c>
      <c r="D181" s="12" t="s">
        <v>264</v>
      </c>
      <c r="E181" s="13" t="s">
        <v>10235</v>
      </c>
      <c r="F181" s="12">
        <v>19.0</v>
      </c>
      <c r="G181" s="14" t="s">
        <v>10231</v>
      </c>
      <c r="H181" s="15" t="s">
        <v>10232</v>
      </c>
      <c r="I181" s="73"/>
    </row>
    <row r="182">
      <c r="A182" s="50">
        <v>175.0</v>
      </c>
      <c r="B182" s="13" t="s">
        <v>10236</v>
      </c>
      <c r="C182" s="72" t="s">
        <v>10237</v>
      </c>
      <c r="D182" s="12" t="s">
        <v>345</v>
      </c>
      <c r="E182" s="13" t="s">
        <v>10238</v>
      </c>
      <c r="F182" s="12">
        <v>22.0</v>
      </c>
      <c r="G182" s="14" t="s">
        <v>10231</v>
      </c>
      <c r="H182" s="15" t="s">
        <v>10232</v>
      </c>
      <c r="I182" s="73"/>
    </row>
    <row r="183">
      <c r="A183" s="37" t="s">
        <v>3</v>
      </c>
      <c r="B183" s="51" t="s">
        <v>4</v>
      </c>
      <c r="C183" s="40" t="s">
        <v>5</v>
      </c>
      <c r="D183" s="39" t="s">
        <v>6</v>
      </c>
      <c r="E183" s="39" t="s">
        <v>7</v>
      </c>
      <c r="F183" s="39" t="s">
        <v>8</v>
      </c>
      <c r="G183" s="40" t="s">
        <v>9617</v>
      </c>
      <c r="H183" s="39" t="s">
        <v>9618</v>
      </c>
      <c r="I183" s="39" t="s">
        <v>9619</v>
      </c>
    </row>
    <row r="184">
      <c r="A184" s="50">
        <v>176.0</v>
      </c>
      <c r="B184" s="13" t="s">
        <v>10239</v>
      </c>
      <c r="C184" s="72" t="s">
        <v>10240</v>
      </c>
      <c r="D184" s="12" t="s">
        <v>98</v>
      </c>
      <c r="E184" s="13" t="s">
        <v>10241</v>
      </c>
      <c r="F184" s="12">
        <v>28.0</v>
      </c>
      <c r="G184" s="14" t="s">
        <v>10231</v>
      </c>
      <c r="H184" s="15" t="s">
        <v>10232</v>
      </c>
      <c r="I184" s="73"/>
    </row>
    <row r="185">
      <c r="A185" s="50">
        <v>177.0</v>
      </c>
      <c r="B185" s="13" t="s">
        <v>10242</v>
      </c>
      <c r="C185" s="72" t="s">
        <v>10243</v>
      </c>
      <c r="D185" s="12" t="s">
        <v>31</v>
      </c>
      <c r="E185" s="13" t="s">
        <v>10244</v>
      </c>
      <c r="F185" s="12">
        <v>28.0</v>
      </c>
      <c r="G185" s="14" t="s">
        <v>10231</v>
      </c>
      <c r="H185" s="15" t="s">
        <v>10232</v>
      </c>
      <c r="I185" s="74" t="s">
        <v>9674</v>
      </c>
    </row>
    <row r="186">
      <c r="A186" s="50">
        <v>178.0</v>
      </c>
      <c r="B186" s="13" t="s">
        <v>10245</v>
      </c>
      <c r="C186" s="72" t="s">
        <v>10246</v>
      </c>
      <c r="D186" s="12" t="s">
        <v>107</v>
      </c>
      <c r="E186" s="13" t="s">
        <v>10247</v>
      </c>
      <c r="F186" s="12">
        <v>27.0</v>
      </c>
      <c r="G186" s="14" t="s">
        <v>10231</v>
      </c>
      <c r="H186" s="15" t="s">
        <v>10232</v>
      </c>
      <c r="I186" s="74" t="s">
        <v>9674</v>
      </c>
    </row>
    <row r="187">
      <c r="A187" s="50">
        <v>179.0</v>
      </c>
      <c r="B187" s="13" t="s">
        <v>10248</v>
      </c>
      <c r="C187" s="72" t="s">
        <v>10249</v>
      </c>
      <c r="D187" s="12" t="s">
        <v>36</v>
      </c>
      <c r="E187" s="13" t="s">
        <v>10250</v>
      </c>
      <c r="F187" s="12">
        <v>22.0</v>
      </c>
      <c r="G187" s="14" t="s">
        <v>10231</v>
      </c>
      <c r="H187" s="15" t="s">
        <v>10232</v>
      </c>
      <c r="I187" s="73"/>
    </row>
    <row r="188">
      <c r="A188" s="50">
        <v>180.0</v>
      </c>
      <c r="B188" s="13" t="s">
        <v>10251</v>
      </c>
      <c r="C188" s="72" t="s">
        <v>10252</v>
      </c>
      <c r="D188" s="12" t="s">
        <v>36</v>
      </c>
      <c r="E188" s="13" t="s">
        <v>10253</v>
      </c>
      <c r="F188" s="12">
        <v>21.0</v>
      </c>
      <c r="G188" s="14" t="s">
        <v>10231</v>
      </c>
      <c r="H188" s="15" t="s">
        <v>10232</v>
      </c>
      <c r="I188" s="74" t="s">
        <v>9674</v>
      </c>
    </row>
    <row r="189">
      <c r="A189" s="50">
        <v>181.0</v>
      </c>
      <c r="B189" s="13" t="s">
        <v>10254</v>
      </c>
      <c r="C189" s="72" t="s">
        <v>10255</v>
      </c>
      <c r="D189" s="12" t="s">
        <v>31</v>
      </c>
      <c r="E189" s="13" t="s">
        <v>10256</v>
      </c>
      <c r="F189" s="12">
        <v>28.0</v>
      </c>
      <c r="G189" s="14" t="s">
        <v>10231</v>
      </c>
      <c r="H189" s="15" t="s">
        <v>10232</v>
      </c>
      <c r="I189" s="73"/>
    </row>
    <row r="190">
      <c r="A190" s="50">
        <v>182.0</v>
      </c>
      <c r="B190" s="13" t="s">
        <v>10257</v>
      </c>
      <c r="C190" s="72" t="s">
        <v>10258</v>
      </c>
      <c r="D190" s="12" t="s">
        <v>36</v>
      </c>
      <c r="E190" s="13" t="s">
        <v>10259</v>
      </c>
      <c r="F190" s="12">
        <v>27.0</v>
      </c>
      <c r="G190" s="14" t="s">
        <v>10231</v>
      </c>
      <c r="H190" s="15" t="s">
        <v>10232</v>
      </c>
      <c r="I190" s="74" t="s">
        <v>9674</v>
      </c>
    </row>
    <row r="191">
      <c r="A191" s="50">
        <v>183.0</v>
      </c>
      <c r="B191" s="13" t="s">
        <v>10260</v>
      </c>
      <c r="C191" s="72" t="s">
        <v>10261</v>
      </c>
      <c r="D191" s="12" t="s">
        <v>26</v>
      </c>
      <c r="E191" s="13" t="s">
        <v>10262</v>
      </c>
      <c r="F191" s="12">
        <v>27.0</v>
      </c>
      <c r="G191" s="14" t="s">
        <v>10231</v>
      </c>
      <c r="H191" s="15" t="s">
        <v>10232</v>
      </c>
      <c r="I191" s="74" t="s">
        <v>9674</v>
      </c>
    </row>
    <row r="192">
      <c r="A192" s="50">
        <v>184.0</v>
      </c>
      <c r="B192" s="13" t="s">
        <v>10263</v>
      </c>
      <c r="C192" s="72" t="s">
        <v>10264</v>
      </c>
      <c r="D192" s="12" t="s">
        <v>41</v>
      </c>
      <c r="E192" s="13" t="s">
        <v>10265</v>
      </c>
      <c r="F192" s="12">
        <v>24.0</v>
      </c>
      <c r="G192" s="14" t="s">
        <v>10231</v>
      </c>
      <c r="H192" s="15" t="s">
        <v>10232</v>
      </c>
      <c r="I192" s="74" t="s">
        <v>9674</v>
      </c>
    </row>
    <row r="193">
      <c r="A193" s="50">
        <v>185.0</v>
      </c>
      <c r="B193" s="13" t="s">
        <v>10266</v>
      </c>
      <c r="C193" s="72" t="s">
        <v>10267</v>
      </c>
      <c r="D193" s="12" t="s">
        <v>26</v>
      </c>
      <c r="E193" s="13" t="s">
        <v>10268</v>
      </c>
      <c r="F193" s="12">
        <v>25.0</v>
      </c>
      <c r="G193" s="14" t="s">
        <v>10231</v>
      </c>
      <c r="H193" s="15" t="s">
        <v>10232</v>
      </c>
      <c r="I193" s="74" t="s">
        <v>9674</v>
      </c>
    </row>
    <row r="194">
      <c r="A194" s="50">
        <v>186.0</v>
      </c>
      <c r="B194" s="13" t="s">
        <v>10269</v>
      </c>
      <c r="C194" s="72" t="s">
        <v>10270</v>
      </c>
      <c r="D194" s="12" t="s">
        <v>345</v>
      </c>
      <c r="E194" s="13" t="s">
        <v>10271</v>
      </c>
      <c r="F194" s="12">
        <v>35.0</v>
      </c>
      <c r="G194" s="14" t="s">
        <v>10231</v>
      </c>
      <c r="H194" s="15" t="s">
        <v>10232</v>
      </c>
      <c r="I194" s="74" t="s">
        <v>9674</v>
      </c>
    </row>
    <row r="195">
      <c r="A195" s="50">
        <v>187.0</v>
      </c>
      <c r="B195" s="13" t="s">
        <v>10272</v>
      </c>
      <c r="C195" s="72" t="s">
        <v>10273</v>
      </c>
      <c r="D195" s="12" t="s">
        <v>36</v>
      </c>
      <c r="E195" s="13" t="s">
        <v>10274</v>
      </c>
      <c r="F195" s="12">
        <v>23.0</v>
      </c>
      <c r="G195" s="14" t="s">
        <v>10231</v>
      </c>
      <c r="H195" s="15" t="s">
        <v>10232</v>
      </c>
      <c r="I195" s="74" t="s">
        <v>9674</v>
      </c>
    </row>
    <row r="196">
      <c r="A196" s="50">
        <v>188.0</v>
      </c>
      <c r="B196" s="13" t="s">
        <v>10275</v>
      </c>
      <c r="C196" s="72" t="s">
        <v>10276</v>
      </c>
      <c r="D196" s="12" t="s">
        <v>10091</v>
      </c>
      <c r="E196" s="13" t="s">
        <v>10277</v>
      </c>
      <c r="F196" s="12">
        <v>29.0</v>
      </c>
      <c r="G196" s="14" t="s">
        <v>10231</v>
      </c>
      <c r="H196" s="15" t="s">
        <v>10232</v>
      </c>
      <c r="I196" s="73"/>
    </row>
    <row r="197">
      <c r="A197" s="50">
        <v>189.0</v>
      </c>
      <c r="B197" s="13" t="s">
        <v>10278</v>
      </c>
      <c r="C197" s="72" t="s">
        <v>10279</v>
      </c>
      <c r="D197" s="12" t="s">
        <v>31</v>
      </c>
      <c r="E197" s="13" t="s">
        <v>10280</v>
      </c>
      <c r="F197" s="12">
        <v>23.0</v>
      </c>
      <c r="G197" s="14" t="s">
        <v>10231</v>
      </c>
      <c r="H197" s="15" t="s">
        <v>10232</v>
      </c>
      <c r="I197" s="74" t="s">
        <v>9674</v>
      </c>
    </row>
    <row r="198">
      <c r="A198" s="50">
        <v>190.0</v>
      </c>
      <c r="B198" s="13" t="s">
        <v>10281</v>
      </c>
      <c r="C198" s="72" t="s">
        <v>10282</v>
      </c>
      <c r="D198" s="12" t="s">
        <v>31</v>
      </c>
      <c r="E198" s="13" t="s">
        <v>10283</v>
      </c>
      <c r="F198" s="12">
        <v>35.0</v>
      </c>
      <c r="G198" s="14" t="s">
        <v>10231</v>
      </c>
      <c r="H198" s="15" t="s">
        <v>10232</v>
      </c>
      <c r="I198" s="74" t="s">
        <v>9674</v>
      </c>
    </row>
    <row r="199">
      <c r="A199" s="50">
        <v>191.0</v>
      </c>
      <c r="B199" s="13" t="s">
        <v>10284</v>
      </c>
      <c r="C199" s="72" t="s">
        <v>10285</v>
      </c>
      <c r="D199" s="12" t="s">
        <v>31</v>
      </c>
      <c r="E199" s="13" t="s">
        <v>10286</v>
      </c>
      <c r="F199" s="12">
        <v>25.0</v>
      </c>
      <c r="G199" s="14" t="s">
        <v>10231</v>
      </c>
      <c r="H199" s="15" t="s">
        <v>10232</v>
      </c>
      <c r="I199" s="74" t="s">
        <v>9674</v>
      </c>
    </row>
    <row r="200">
      <c r="A200" s="50">
        <v>192.0</v>
      </c>
      <c r="B200" s="13" t="s">
        <v>10287</v>
      </c>
      <c r="C200" s="72" t="s">
        <v>10288</v>
      </c>
      <c r="D200" s="12" t="s">
        <v>26</v>
      </c>
      <c r="E200" s="13" t="s">
        <v>10289</v>
      </c>
      <c r="F200" s="12">
        <v>23.0</v>
      </c>
      <c r="G200" s="14" t="s">
        <v>10231</v>
      </c>
      <c r="H200" s="15" t="s">
        <v>10232</v>
      </c>
      <c r="I200" s="74" t="s">
        <v>9674</v>
      </c>
    </row>
    <row r="201">
      <c r="A201" s="50">
        <v>193.0</v>
      </c>
      <c r="B201" s="13" t="s">
        <v>10290</v>
      </c>
      <c r="C201" s="72" t="s">
        <v>10291</v>
      </c>
      <c r="D201" s="12" t="s">
        <v>31</v>
      </c>
      <c r="E201" s="13" t="s">
        <v>10292</v>
      </c>
      <c r="F201" s="12">
        <v>27.0</v>
      </c>
      <c r="G201" s="14" t="s">
        <v>10231</v>
      </c>
      <c r="H201" s="15" t="s">
        <v>10232</v>
      </c>
      <c r="I201" s="74" t="s">
        <v>9674</v>
      </c>
    </row>
    <row r="202">
      <c r="A202" s="50">
        <v>194.0</v>
      </c>
      <c r="B202" s="13" t="s">
        <v>10293</v>
      </c>
      <c r="C202" s="72" t="s">
        <v>10294</v>
      </c>
      <c r="D202" s="12" t="s">
        <v>36</v>
      </c>
      <c r="E202" s="13" t="s">
        <v>10295</v>
      </c>
      <c r="F202" s="12">
        <v>23.0</v>
      </c>
      <c r="G202" s="14" t="s">
        <v>10231</v>
      </c>
      <c r="H202" s="15" t="s">
        <v>10232</v>
      </c>
      <c r="I202" s="74" t="s">
        <v>9674</v>
      </c>
    </row>
    <row r="203">
      <c r="A203" s="50">
        <v>195.0</v>
      </c>
      <c r="B203" s="13" t="s">
        <v>10296</v>
      </c>
      <c r="C203" s="72" t="s">
        <v>10297</v>
      </c>
      <c r="D203" s="12" t="s">
        <v>31</v>
      </c>
      <c r="E203" s="13" t="s">
        <v>10298</v>
      </c>
      <c r="F203" s="12">
        <v>26.0</v>
      </c>
      <c r="G203" s="14" t="s">
        <v>10231</v>
      </c>
      <c r="H203" s="15" t="s">
        <v>10232</v>
      </c>
      <c r="I203" s="73"/>
    </row>
    <row r="204">
      <c r="A204" s="50">
        <v>196.0</v>
      </c>
      <c r="B204" s="13" t="s">
        <v>10299</v>
      </c>
      <c r="C204" s="72" t="s">
        <v>10300</v>
      </c>
      <c r="D204" s="12" t="s">
        <v>107</v>
      </c>
      <c r="E204" s="13" t="s">
        <v>10301</v>
      </c>
      <c r="F204" s="12">
        <v>25.0</v>
      </c>
      <c r="G204" s="14" t="s">
        <v>10302</v>
      </c>
      <c r="H204" s="15" t="s">
        <v>10303</v>
      </c>
      <c r="I204" s="73"/>
    </row>
    <row r="205">
      <c r="A205" s="50">
        <v>197.0</v>
      </c>
      <c r="B205" s="13" t="s">
        <v>10304</v>
      </c>
      <c r="C205" s="72" t="s">
        <v>10305</v>
      </c>
      <c r="D205" s="12" t="s">
        <v>107</v>
      </c>
      <c r="E205" s="13" t="s">
        <v>10306</v>
      </c>
      <c r="F205" s="12">
        <v>29.0</v>
      </c>
      <c r="G205" s="14" t="s">
        <v>10307</v>
      </c>
      <c r="H205" s="15" t="s">
        <v>10308</v>
      </c>
      <c r="I205" s="74" t="s">
        <v>9674</v>
      </c>
    </row>
    <row r="206">
      <c r="A206" s="50">
        <v>198.0</v>
      </c>
      <c r="B206" s="13" t="s">
        <v>10309</v>
      </c>
      <c r="C206" s="72" t="s">
        <v>10310</v>
      </c>
      <c r="D206" s="12" t="s">
        <v>31</v>
      </c>
      <c r="E206" s="13" t="s">
        <v>10311</v>
      </c>
      <c r="F206" s="12">
        <v>22.0</v>
      </c>
      <c r="G206" s="14" t="s">
        <v>10312</v>
      </c>
      <c r="H206" s="15" t="s">
        <v>10313</v>
      </c>
      <c r="I206" s="74" t="s">
        <v>9674</v>
      </c>
    </row>
    <row r="207">
      <c r="A207" s="50">
        <v>199.0</v>
      </c>
      <c r="B207" s="13" t="s">
        <v>10314</v>
      </c>
      <c r="C207" s="72" t="s">
        <v>10315</v>
      </c>
      <c r="D207" s="12" t="s">
        <v>9861</v>
      </c>
      <c r="E207" s="13" t="s">
        <v>10316</v>
      </c>
      <c r="F207" s="12">
        <v>26.0</v>
      </c>
      <c r="G207" s="14" t="s">
        <v>10312</v>
      </c>
      <c r="H207" s="15" t="s">
        <v>10313</v>
      </c>
      <c r="I207" s="74" t="s">
        <v>9674</v>
      </c>
    </row>
    <row r="208">
      <c r="A208" s="50">
        <v>200.0</v>
      </c>
      <c r="B208" s="13" t="s">
        <v>10317</v>
      </c>
      <c r="C208" s="72" t="s">
        <v>10318</v>
      </c>
      <c r="D208" s="12" t="s">
        <v>31</v>
      </c>
      <c r="E208" s="13" t="s">
        <v>10319</v>
      </c>
      <c r="F208" s="12">
        <v>27.0</v>
      </c>
      <c r="G208" s="14" t="s">
        <v>10312</v>
      </c>
      <c r="H208" s="15" t="s">
        <v>10313</v>
      </c>
      <c r="I208" s="74" t="s">
        <v>9674</v>
      </c>
    </row>
    <row r="209">
      <c r="A209" s="37" t="s">
        <v>3</v>
      </c>
      <c r="B209" s="51" t="s">
        <v>4</v>
      </c>
      <c r="C209" s="40" t="s">
        <v>5</v>
      </c>
      <c r="D209" s="39" t="s">
        <v>6</v>
      </c>
      <c r="E209" s="39" t="s">
        <v>7</v>
      </c>
      <c r="F209" s="39" t="s">
        <v>8</v>
      </c>
      <c r="G209" s="40" t="s">
        <v>9617</v>
      </c>
      <c r="H209" s="39" t="s">
        <v>9618</v>
      </c>
      <c r="I209" s="39" t="s">
        <v>9619</v>
      </c>
    </row>
    <row r="210">
      <c r="A210" s="50">
        <v>201.0</v>
      </c>
      <c r="B210" s="13" t="s">
        <v>10320</v>
      </c>
      <c r="C210" s="72" t="s">
        <v>10321</v>
      </c>
      <c r="D210" s="12" t="s">
        <v>264</v>
      </c>
      <c r="E210" s="13" t="s">
        <v>10322</v>
      </c>
      <c r="F210" s="12">
        <v>30.0</v>
      </c>
      <c r="G210" s="14" t="s">
        <v>10312</v>
      </c>
      <c r="H210" s="15" t="s">
        <v>10313</v>
      </c>
      <c r="I210" s="74" t="s">
        <v>9674</v>
      </c>
    </row>
    <row r="211">
      <c r="A211" s="50">
        <v>202.0</v>
      </c>
      <c r="B211" s="13" t="s">
        <v>10323</v>
      </c>
      <c r="C211" s="72" t="s">
        <v>10324</v>
      </c>
      <c r="D211" s="12" t="s">
        <v>36</v>
      </c>
      <c r="E211" s="13" t="s">
        <v>10325</v>
      </c>
      <c r="F211" s="12">
        <v>24.0</v>
      </c>
      <c r="G211" s="14" t="s">
        <v>10312</v>
      </c>
      <c r="H211" s="15" t="s">
        <v>10313</v>
      </c>
      <c r="I211" s="74" t="s">
        <v>9674</v>
      </c>
    </row>
    <row r="212">
      <c r="A212" s="50">
        <v>203.0</v>
      </c>
      <c r="B212" s="13" t="s">
        <v>10326</v>
      </c>
      <c r="C212" s="72" t="s">
        <v>10327</v>
      </c>
      <c r="D212" s="12" t="s">
        <v>31</v>
      </c>
      <c r="E212" s="13" t="s">
        <v>10328</v>
      </c>
      <c r="F212" s="12">
        <v>30.0</v>
      </c>
      <c r="G212" s="14" t="s">
        <v>10312</v>
      </c>
      <c r="H212" s="15" t="s">
        <v>10313</v>
      </c>
      <c r="I212" s="73"/>
    </row>
    <row r="213">
      <c r="A213" s="50">
        <v>204.0</v>
      </c>
      <c r="B213" s="13" t="s">
        <v>10329</v>
      </c>
      <c r="C213" s="72" t="s">
        <v>10330</v>
      </c>
      <c r="D213" s="12" t="s">
        <v>36</v>
      </c>
      <c r="E213" s="13" t="s">
        <v>10331</v>
      </c>
      <c r="F213" s="12">
        <v>26.0</v>
      </c>
      <c r="G213" s="14" t="s">
        <v>10312</v>
      </c>
      <c r="H213" s="15" t="s">
        <v>10313</v>
      </c>
      <c r="I213" s="73"/>
    </row>
    <row r="214">
      <c r="A214" s="50">
        <v>205.0</v>
      </c>
      <c r="B214" s="13" t="s">
        <v>10332</v>
      </c>
      <c r="C214" s="72" t="s">
        <v>10333</v>
      </c>
      <c r="D214" s="12" t="s">
        <v>107</v>
      </c>
      <c r="E214" s="13" t="s">
        <v>10334</v>
      </c>
      <c r="F214" s="12">
        <v>29.0</v>
      </c>
      <c r="G214" s="14" t="s">
        <v>10312</v>
      </c>
      <c r="H214" s="15" t="s">
        <v>10313</v>
      </c>
      <c r="I214" s="74" t="s">
        <v>9674</v>
      </c>
    </row>
    <row r="215">
      <c r="A215" s="50">
        <v>206.0</v>
      </c>
      <c r="B215" s="13" t="s">
        <v>10335</v>
      </c>
      <c r="C215" s="72" t="s">
        <v>10336</v>
      </c>
      <c r="D215" s="12" t="s">
        <v>26</v>
      </c>
      <c r="E215" s="13" t="s">
        <v>10337</v>
      </c>
      <c r="F215" s="12">
        <v>29.0</v>
      </c>
      <c r="G215" s="14" t="s">
        <v>10312</v>
      </c>
      <c r="H215" s="15" t="s">
        <v>10313</v>
      </c>
      <c r="I215" s="74" t="s">
        <v>9674</v>
      </c>
    </row>
    <row r="216">
      <c r="A216" s="50">
        <v>207.0</v>
      </c>
      <c r="B216" s="13" t="s">
        <v>10338</v>
      </c>
      <c r="C216" s="72" t="s">
        <v>10339</v>
      </c>
      <c r="D216" s="12" t="s">
        <v>26</v>
      </c>
      <c r="E216" s="13" t="s">
        <v>10340</v>
      </c>
      <c r="F216" s="12">
        <v>23.0</v>
      </c>
      <c r="G216" s="14" t="s">
        <v>10312</v>
      </c>
      <c r="H216" s="15" t="s">
        <v>10313</v>
      </c>
      <c r="I216" s="74" t="s">
        <v>9674</v>
      </c>
    </row>
    <row r="217">
      <c r="A217" s="50">
        <v>208.0</v>
      </c>
      <c r="B217" s="13" t="s">
        <v>10341</v>
      </c>
      <c r="C217" s="72" t="s">
        <v>10342</v>
      </c>
      <c r="D217" s="12" t="s">
        <v>36</v>
      </c>
      <c r="E217" s="13" t="s">
        <v>10343</v>
      </c>
      <c r="F217" s="12">
        <v>33.0</v>
      </c>
      <c r="G217" s="14" t="s">
        <v>10312</v>
      </c>
      <c r="H217" s="15" t="s">
        <v>10313</v>
      </c>
      <c r="I217" s="74" t="s">
        <v>9674</v>
      </c>
    </row>
    <row r="218">
      <c r="A218" s="50">
        <v>209.0</v>
      </c>
      <c r="B218" s="13" t="s">
        <v>10344</v>
      </c>
      <c r="C218" s="72" t="s">
        <v>10345</v>
      </c>
      <c r="D218" s="12" t="s">
        <v>36</v>
      </c>
      <c r="E218" s="13" t="s">
        <v>10346</v>
      </c>
      <c r="F218" s="12">
        <v>33.0</v>
      </c>
      <c r="G218" s="14" t="s">
        <v>10312</v>
      </c>
      <c r="H218" s="15" t="s">
        <v>10313</v>
      </c>
      <c r="I218" s="74" t="s">
        <v>9674</v>
      </c>
    </row>
    <row r="219">
      <c r="A219" s="50">
        <v>210.0</v>
      </c>
      <c r="B219" s="13" t="s">
        <v>10347</v>
      </c>
      <c r="C219" s="72" t="s">
        <v>10348</v>
      </c>
      <c r="D219" s="12" t="s">
        <v>345</v>
      </c>
      <c r="E219" s="13" t="s">
        <v>10349</v>
      </c>
      <c r="F219" s="12">
        <v>23.0</v>
      </c>
      <c r="G219" s="14" t="s">
        <v>10312</v>
      </c>
      <c r="H219" s="15" t="s">
        <v>10313</v>
      </c>
      <c r="I219" s="73"/>
    </row>
    <row r="220">
      <c r="A220" s="50">
        <v>211.0</v>
      </c>
      <c r="B220" s="13" t="s">
        <v>10350</v>
      </c>
      <c r="C220" s="72" t="s">
        <v>10351</v>
      </c>
      <c r="D220" s="12" t="s">
        <v>107</v>
      </c>
      <c r="E220" s="13" t="s">
        <v>10352</v>
      </c>
      <c r="F220" s="12">
        <v>25.0</v>
      </c>
      <c r="G220" s="14" t="s">
        <v>10312</v>
      </c>
      <c r="H220" s="15" t="s">
        <v>10313</v>
      </c>
      <c r="I220" s="73"/>
    </row>
    <row r="221">
      <c r="A221" s="50">
        <v>212.0</v>
      </c>
      <c r="B221" s="13" t="s">
        <v>10353</v>
      </c>
      <c r="C221" s="72" t="s">
        <v>10354</v>
      </c>
      <c r="D221" s="12" t="s">
        <v>31</v>
      </c>
      <c r="E221" s="13" t="s">
        <v>10355</v>
      </c>
      <c r="F221" s="12">
        <v>22.0</v>
      </c>
      <c r="G221" s="14" t="s">
        <v>10312</v>
      </c>
      <c r="H221" s="15" t="s">
        <v>10313</v>
      </c>
      <c r="I221" s="74" t="s">
        <v>9674</v>
      </c>
    </row>
    <row r="222">
      <c r="A222" s="50">
        <v>213.0</v>
      </c>
      <c r="B222" s="13" t="s">
        <v>10356</v>
      </c>
      <c r="C222" s="72" t="s">
        <v>10357</v>
      </c>
      <c r="D222" s="12" t="s">
        <v>31</v>
      </c>
      <c r="E222" s="13" t="s">
        <v>10358</v>
      </c>
      <c r="F222" s="12">
        <v>25.0</v>
      </c>
      <c r="G222" s="14" t="s">
        <v>10312</v>
      </c>
      <c r="H222" s="15" t="s">
        <v>10313</v>
      </c>
      <c r="I222" s="74" t="s">
        <v>9674</v>
      </c>
    </row>
    <row r="223">
      <c r="A223" s="50">
        <v>214.0</v>
      </c>
      <c r="B223" s="13" t="s">
        <v>10359</v>
      </c>
      <c r="C223" s="72" t="s">
        <v>10360</v>
      </c>
      <c r="D223" s="12" t="s">
        <v>36</v>
      </c>
      <c r="E223" s="13" t="s">
        <v>10361</v>
      </c>
      <c r="F223" s="12">
        <v>28.0</v>
      </c>
      <c r="G223" s="14" t="s">
        <v>10312</v>
      </c>
      <c r="H223" s="15" t="s">
        <v>10313</v>
      </c>
      <c r="I223" s="74" t="s">
        <v>9674</v>
      </c>
    </row>
    <row r="224">
      <c r="A224" s="50">
        <v>215.0</v>
      </c>
      <c r="B224" s="13" t="s">
        <v>10362</v>
      </c>
      <c r="C224" s="72" t="s">
        <v>10363</v>
      </c>
      <c r="D224" s="12" t="s">
        <v>31</v>
      </c>
      <c r="E224" s="13" t="s">
        <v>10364</v>
      </c>
      <c r="F224" s="12">
        <v>27.0</v>
      </c>
      <c r="G224" s="14" t="s">
        <v>10365</v>
      </c>
      <c r="H224" s="15" t="s">
        <v>10366</v>
      </c>
      <c r="I224" s="74" t="s">
        <v>9674</v>
      </c>
    </row>
    <row r="225">
      <c r="A225" s="50">
        <v>216.0</v>
      </c>
      <c r="B225" s="13" t="s">
        <v>10367</v>
      </c>
      <c r="C225" s="72" t="s">
        <v>10368</v>
      </c>
      <c r="D225" s="12" t="s">
        <v>107</v>
      </c>
      <c r="E225" s="13" t="s">
        <v>10369</v>
      </c>
      <c r="F225" s="12">
        <v>28.0</v>
      </c>
      <c r="G225" s="14" t="s">
        <v>10370</v>
      </c>
      <c r="H225" s="15" t="s">
        <v>10371</v>
      </c>
      <c r="I225" s="74" t="s">
        <v>9674</v>
      </c>
    </row>
    <row r="226">
      <c r="A226" s="50">
        <v>217.0</v>
      </c>
      <c r="B226" s="13" t="s">
        <v>10372</v>
      </c>
      <c r="C226" s="72" t="s">
        <v>10373</v>
      </c>
      <c r="D226" s="12" t="s">
        <v>31</v>
      </c>
      <c r="E226" s="13" t="s">
        <v>10374</v>
      </c>
      <c r="F226" s="12">
        <v>24.0</v>
      </c>
      <c r="G226" s="14" t="s">
        <v>10370</v>
      </c>
      <c r="H226" s="15" t="s">
        <v>10371</v>
      </c>
      <c r="I226" s="74" t="s">
        <v>9674</v>
      </c>
    </row>
    <row r="227">
      <c r="A227" s="50">
        <v>218.0</v>
      </c>
      <c r="B227" s="13" t="s">
        <v>10375</v>
      </c>
      <c r="C227" s="72" t="s">
        <v>10376</v>
      </c>
      <c r="D227" s="12" t="s">
        <v>31</v>
      </c>
      <c r="E227" s="13" t="s">
        <v>10377</v>
      </c>
      <c r="F227" s="12">
        <v>22.0</v>
      </c>
      <c r="G227" s="14" t="s">
        <v>10370</v>
      </c>
      <c r="H227" s="15" t="s">
        <v>10371</v>
      </c>
      <c r="I227" s="74" t="s">
        <v>9674</v>
      </c>
    </row>
    <row r="228">
      <c r="A228" s="50">
        <v>219.0</v>
      </c>
      <c r="B228" s="13" t="s">
        <v>10378</v>
      </c>
      <c r="C228" s="72" t="s">
        <v>10379</v>
      </c>
      <c r="D228" s="12" t="s">
        <v>36</v>
      </c>
      <c r="E228" s="13" t="s">
        <v>10380</v>
      </c>
      <c r="F228" s="12">
        <v>26.0</v>
      </c>
      <c r="G228" s="14" t="s">
        <v>10381</v>
      </c>
      <c r="H228" s="15" t="s">
        <v>10382</v>
      </c>
      <c r="I228" s="74" t="s">
        <v>9674</v>
      </c>
    </row>
    <row r="229">
      <c r="A229" s="50">
        <v>220.0</v>
      </c>
      <c r="B229" s="13" t="s">
        <v>10383</v>
      </c>
      <c r="C229" s="72" t="s">
        <v>10384</v>
      </c>
      <c r="D229" s="12" t="s">
        <v>31</v>
      </c>
      <c r="E229" s="13" t="s">
        <v>10385</v>
      </c>
      <c r="F229" s="12">
        <v>26.0</v>
      </c>
      <c r="G229" s="14" t="s">
        <v>10381</v>
      </c>
      <c r="H229" s="15" t="s">
        <v>10382</v>
      </c>
      <c r="I229" s="74" t="s">
        <v>9674</v>
      </c>
    </row>
    <row r="230">
      <c r="A230" s="50">
        <v>221.0</v>
      </c>
      <c r="B230" s="13" t="s">
        <v>10386</v>
      </c>
      <c r="C230" s="72" t="s">
        <v>10387</v>
      </c>
      <c r="D230" s="12" t="s">
        <v>31</v>
      </c>
      <c r="E230" s="13" t="s">
        <v>10388</v>
      </c>
      <c r="F230" s="12">
        <v>22.0</v>
      </c>
      <c r="G230" s="14" t="s">
        <v>10381</v>
      </c>
      <c r="H230" s="15" t="s">
        <v>10382</v>
      </c>
      <c r="I230" s="74" t="s">
        <v>9674</v>
      </c>
    </row>
    <row r="231">
      <c r="A231" s="50">
        <v>222.0</v>
      </c>
      <c r="B231" s="13" t="s">
        <v>10389</v>
      </c>
      <c r="C231" s="72" t="s">
        <v>10390</v>
      </c>
      <c r="D231" s="12" t="s">
        <v>264</v>
      </c>
      <c r="E231" s="13" t="s">
        <v>10391</v>
      </c>
      <c r="F231" s="12">
        <v>23.0</v>
      </c>
      <c r="G231" s="14" t="s">
        <v>10381</v>
      </c>
      <c r="H231" s="15" t="s">
        <v>10382</v>
      </c>
      <c r="I231" s="73"/>
    </row>
    <row r="232">
      <c r="A232" s="50">
        <v>223.0</v>
      </c>
      <c r="B232" s="13" t="s">
        <v>10392</v>
      </c>
      <c r="C232" s="72" t="s">
        <v>10393</v>
      </c>
      <c r="D232" s="12" t="s">
        <v>107</v>
      </c>
      <c r="E232" s="13" t="s">
        <v>10394</v>
      </c>
      <c r="F232" s="12">
        <v>27.0</v>
      </c>
      <c r="G232" s="14" t="s">
        <v>10381</v>
      </c>
      <c r="H232" s="15" t="s">
        <v>10382</v>
      </c>
      <c r="I232" s="74" t="s">
        <v>9674</v>
      </c>
    </row>
    <row r="233">
      <c r="A233" s="50">
        <v>224.0</v>
      </c>
      <c r="B233" s="13" t="s">
        <v>10395</v>
      </c>
      <c r="C233" s="72" t="s">
        <v>10396</v>
      </c>
      <c r="D233" s="12" t="s">
        <v>26</v>
      </c>
      <c r="E233" s="13" t="s">
        <v>10397</v>
      </c>
      <c r="F233" s="12">
        <v>29.0</v>
      </c>
      <c r="G233" s="14" t="s">
        <v>10381</v>
      </c>
      <c r="H233" s="15" t="s">
        <v>10382</v>
      </c>
      <c r="I233" s="74" t="s">
        <v>9674</v>
      </c>
    </row>
    <row r="234">
      <c r="A234" s="50">
        <v>225.0</v>
      </c>
      <c r="B234" s="13" t="s">
        <v>10398</v>
      </c>
      <c r="C234" s="72" t="s">
        <v>10399</v>
      </c>
      <c r="D234" s="12" t="s">
        <v>36</v>
      </c>
      <c r="E234" s="13" t="s">
        <v>10400</v>
      </c>
      <c r="F234" s="12">
        <v>28.0</v>
      </c>
      <c r="G234" s="14" t="s">
        <v>10381</v>
      </c>
      <c r="H234" s="15" t="s">
        <v>10382</v>
      </c>
      <c r="I234" s="74" t="s">
        <v>9674</v>
      </c>
    </row>
    <row r="235">
      <c r="A235" s="37" t="s">
        <v>3</v>
      </c>
      <c r="B235" s="51" t="s">
        <v>4</v>
      </c>
      <c r="C235" s="40" t="s">
        <v>5</v>
      </c>
      <c r="D235" s="39" t="s">
        <v>6</v>
      </c>
      <c r="E235" s="39" t="s">
        <v>7</v>
      </c>
      <c r="F235" s="39" t="s">
        <v>8</v>
      </c>
      <c r="G235" s="40" t="s">
        <v>9617</v>
      </c>
      <c r="H235" s="39" t="s">
        <v>9618</v>
      </c>
      <c r="I235" s="39" t="s">
        <v>9619</v>
      </c>
    </row>
    <row r="236">
      <c r="A236" s="50">
        <v>226.0</v>
      </c>
      <c r="B236" s="13" t="s">
        <v>10401</v>
      </c>
      <c r="C236" s="72" t="s">
        <v>10402</v>
      </c>
      <c r="D236" s="12" t="s">
        <v>31</v>
      </c>
      <c r="E236" s="13" t="s">
        <v>10403</v>
      </c>
      <c r="F236" s="12">
        <v>23.0</v>
      </c>
      <c r="G236" s="14" t="s">
        <v>10381</v>
      </c>
      <c r="H236" s="15" t="s">
        <v>10382</v>
      </c>
      <c r="I236" s="74" t="s">
        <v>9674</v>
      </c>
    </row>
    <row r="237">
      <c r="A237" s="50">
        <v>227.0</v>
      </c>
      <c r="B237" s="13" t="s">
        <v>10404</v>
      </c>
      <c r="C237" s="72" t="s">
        <v>10405</v>
      </c>
      <c r="D237" s="12" t="s">
        <v>36</v>
      </c>
      <c r="E237" s="13" t="s">
        <v>10406</v>
      </c>
      <c r="F237" s="12">
        <v>24.0</v>
      </c>
      <c r="G237" s="14" t="s">
        <v>10381</v>
      </c>
      <c r="H237" s="15" t="s">
        <v>10382</v>
      </c>
      <c r="I237" s="74" t="s">
        <v>9674</v>
      </c>
    </row>
    <row r="238">
      <c r="A238" s="50">
        <v>228.0</v>
      </c>
      <c r="B238" s="13" t="s">
        <v>10407</v>
      </c>
      <c r="C238" s="72" t="s">
        <v>10408</v>
      </c>
      <c r="D238" s="12" t="s">
        <v>36</v>
      </c>
      <c r="E238" s="13" t="s">
        <v>10409</v>
      </c>
      <c r="F238" s="12">
        <v>29.0</v>
      </c>
      <c r="G238" s="14" t="s">
        <v>10381</v>
      </c>
      <c r="H238" s="15" t="s">
        <v>10382</v>
      </c>
      <c r="I238" s="74" t="s">
        <v>9674</v>
      </c>
    </row>
    <row r="239">
      <c r="A239" s="50">
        <v>229.0</v>
      </c>
      <c r="B239" s="13" t="s">
        <v>10410</v>
      </c>
      <c r="C239" s="72" t="s">
        <v>10411</v>
      </c>
      <c r="D239" s="12" t="s">
        <v>345</v>
      </c>
      <c r="E239" s="13" t="s">
        <v>10412</v>
      </c>
      <c r="F239" s="12">
        <v>29.0</v>
      </c>
      <c r="G239" s="14" t="s">
        <v>10381</v>
      </c>
      <c r="H239" s="15" t="s">
        <v>10382</v>
      </c>
      <c r="I239" s="74" t="s">
        <v>9674</v>
      </c>
    </row>
    <row r="240">
      <c r="A240" s="50">
        <v>230.0</v>
      </c>
      <c r="B240" s="13" t="s">
        <v>10413</v>
      </c>
      <c r="C240" s="72" t="s">
        <v>10414</v>
      </c>
      <c r="D240" s="12" t="s">
        <v>31</v>
      </c>
      <c r="E240" s="13" t="s">
        <v>10415</v>
      </c>
      <c r="F240" s="12">
        <v>31.0</v>
      </c>
      <c r="G240" s="14" t="s">
        <v>10381</v>
      </c>
      <c r="H240" s="15" t="s">
        <v>10382</v>
      </c>
      <c r="I240" s="74" t="s">
        <v>9674</v>
      </c>
    </row>
    <row r="241">
      <c r="A241" s="50">
        <v>231.0</v>
      </c>
      <c r="B241" s="13" t="s">
        <v>10416</v>
      </c>
      <c r="C241" s="72" t="s">
        <v>10417</v>
      </c>
      <c r="D241" s="12" t="s">
        <v>36</v>
      </c>
      <c r="E241" s="13" t="s">
        <v>10418</v>
      </c>
      <c r="F241" s="12">
        <v>23.0</v>
      </c>
      <c r="G241" s="14" t="s">
        <v>10381</v>
      </c>
      <c r="H241" s="15" t="s">
        <v>10382</v>
      </c>
      <c r="I241" s="74" t="s">
        <v>9674</v>
      </c>
    </row>
    <row r="242">
      <c r="A242" s="50">
        <v>232.0</v>
      </c>
      <c r="B242" s="13" t="s">
        <v>10419</v>
      </c>
      <c r="C242" s="72" t="s">
        <v>10420</v>
      </c>
      <c r="D242" s="12" t="s">
        <v>31</v>
      </c>
      <c r="E242" s="13" t="s">
        <v>10421</v>
      </c>
      <c r="F242" s="12">
        <v>28.0</v>
      </c>
      <c r="G242" s="14" t="s">
        <v>10422</v>
      </c>
      <c r="H242" s="15" t="s">
        <v>10423</v>
      </c>
      <c r="I242" s="73"/>
    </row>
    <row r="243">
      <c r="A243" s="50">
        <v>233.0</v>
      </c>
      <c r="B243" s="13" t="s">
        <v>10424</v>
      </c>
      <c r="C243" s="72" t="s">
        <v>10425</v>
      </c>
      <c r="D243" s="12" t="s">
        <v>98</v>
      </c>
      <c r="E243" s="13" t="s">
        <v>10426</v>
      </c>
      <c r="F243" s="12">
        <v>23.0</v>
      </c>
      <c r="G243" s="14" t="s">
        <v>10427</v>
      </c>
      <c r="H243" s="15" t="s">
        <v>10428</v>
      </c>
      <c r="I243" s="74" t="s">
        <v>9674</v>
      </c>
    </row>
    <row r="244">
      <c r="A244" s="50">
        <v>234.0</v>
      </c>
      <c r="B244" s="13" t="s">
        <v>10429</v>
      </c>
      <c r="C244" s="72" t="s">
        <v>10430</v>
      </c>
      <c r="D244" s="12" t="s">
        <v>31</v>
      </c>
      <c r="E244" s="13" t="s">
        <v>10431</v>
      </c>
      <c r="F244" s="12">
        <v>19.0</v>
      </c>
      <c r="G244" s="14" t="s">
        <v>10427</v>
      </c>
      <c r="H244" s="15" t="s">
        <v>10428</v>
      </c>
      <c r="I244" s="74" t="s">
        <v>9674</v>
      </c>
    </row>
    <row r="245">
      <c r="A245" s="50">
        <v>235.0</v>
      </c>
      <c r="B245" s="13" t="s">
        <v>10432</v>
      </c>
      <c r="C245" s="72" t="s">
        <v>10433</v>
      </c>
      <c r="D245" s="12" t="s">
        <v>31</v>
      </c>
      <c r="E245" s="13" t="s">
        <v>10434</v>
      </c>
      <c r="F245" s="12">
        <v>29.0</v>
      </c>
      <c r="G245" s="14" t="s">
        <v>10427</v>
      </c>
      <c r="H245" s="15" t="s">
        <v>10428</v>
      </c>
      <c r="I245" s="74" t="s">
        <v>9674</v>
      </c>
    </row>
    <row r="246">
      <c r="A246" s="50">
        <v>236.0</v>
      </c>
      <c r="B246" s="13" t="s">
        <v>10435</v>
      </c>
      <c r="C246" s="72" t="s">
        <v>10436</v>
      </c>
      <c r="D246" s="12" t="s">
        <v>31</v>
      </c>
      <c r="E246" s="13" t="s">
        <v>10437</v>
      </c>
      <c r="F246" s="12">
        <v>30.0</v>
      </c>
      <c r="G246" s="14" t="s">
        <v>10427</v>
      </c>
      <c r="H246" s="15" t="s">
        <v>10428</v>
      </c>
      <c r="I246" s="74" t="s">
        <v>9674</v>
      </c>
    </row>
    <row r="247">
      <c r="A247" s="50">
        <v>237.0</v>
      </c>
      <c r="B247" s="13" t="s">
        <v>10438</v>
      </c>
      <c r="C247" s="72" t="s">
        <v>10439</v>
      </c>
      <c r="D247" s="12" t="s">
        <v>26</v>
      </c>
      <c r="E247" s="13" t="s">
        <v>10440</v>
      </c>
      <c r="F247" s="12">
        <v>22.0</v>
      </c>
      <c r="G247" s="14" t="s">
        <v>10427</v>
      </c>
      <c r="H247" s="15" t="s">
        <v>10428</v>
      </c>
      <c r="I247" s="74" t="s">
        <v>9674</v>
      </c>
    </row>
    <row r="248">
      <c r="A248" s="50">
        <v>238.0</v>
      </c>
      <c r="B248" s="13" t="s">
        <v>10441</v>
      </c>
      <c r="C248" s="72" t="s">
        <v>10442</v>
      </c>
      <c r="D248" s="12" t="s">
        <v>31</v>
      </c>
      <c r="E248" s="13" t="s">
        <v>10443</v>
      </c>
      <c r="F248" s="12">
        <v>25.0</v>
      </c>
      <c r="G248" s="14" t="s">
        <v>10427</v>
      </c>
      <c r="H248" s="15" t="s">
        <v>10428</v>
      </c>
      <c r="I248" s="74" t="s">
        <v>9674</v>
      </c>
    </row>
    <row r="249">
      <c r="A249" s="50">
        <v>239.0</v>
      </c>
      <c r="B249" s="13" t="s">
        <v>10444</v>
      </c>
      <c r="C249" s="72" t="s">
        <v>10445</v>
      </c>
      <c r="D249" s="12" t="s">
        <v>98</v>
      </c>
      <c r="E249" s="13" t="s">
        <v>10446</v>
      </c>
      <c r="F249" s="12">
        <v>25.0</v>
      </c>
      <c r="G249" s="14" t="s">
        <v>10427</v>
      </c>
      <c r="H249" s="15" t="s">
        <v>10428</v>
      </c>
      <c r="I249" s="74" t="s">
        <v>9674</v>
      </c>
    </row>
    <row r="250">
      <c r="A250" s="50">
        <v>240.0</v>
      </c>
      <c r="B250" s="13" t="s">
        <v>10447</v>
      </c>
      <c r="C250" s="72" t="s">
        <v>10448</v>
      </c>
      <c r="D250" s="12" t="s">
        <v>264</v>
      </c>
      <c r="E250" s="13" t="s">
        <v>10449</v>
      </c>
      <c r="F250" s="12">
        <v>28.0</v>
      </c>
      <c r="G250" s="14" t="s">
        <v>10427</v>
      </c>
      <c r="H250" s="15" t="s">
        <v>10428</v>
      </c>
      <c r="I250" s="74" t="s">
        <v>9674</v>
      </c>
    </row>
    <row r="251">
      <c r="A251" s="50">
        <v>241.0</v>
      </c>
      <c r="B251" s="13" t="s">
        <v>10450</v>
      </c>
      <c r="C251" s="72" t="s">
        <v>10451</v>
      </c>
      <c r="D251" s="12" t="s">
        <v>31</v>
      </c>
      <c r="E251" s="13" t="s">
        <v>10452</v>
      </c>
      <c r="F251" s="12">
        <v>26.0</v>
      </c>
      <c r="G251" s="14" t="s">
        <v>10427</v>
      </c>
      <c r="H251" s="15" t="s">
        <v>10428</v>
      </c>
      <c r="I251" s="74" t="s">
        <v>9674</v>
      </c>
    </row>
    <row r="252">
      <c r="A252" s="50">
        <v>242.0</v>
      </c>
      <c r="B252" s="13" t="s">
        <v>10453</v>
      </c>
      <c r="C252" s="72" t="s">
        <v>10454</v>
      </c>
      <c r="D252" s="12" t="s">
        <v>31</v>
      </c>
      <c r="E252" s="13" t="s">
        <v>10455</v>
      </c>
      <c r="F252" s="12">
        <v>21.0</v>
      </c>
      <c r="G252" s="14" t="s">
        <v>10427</v>
      </c>
      <c r="H252" s="15" t="s">
        <v>10428</v>
      </c>
      <c r="I252" s="74" t="s">
        <v>9674</v>
      </c>
    </row>
    <row r="253">
      <c r="A253" s="50">
        <v>243.0</v>
      </c>
      <c r="B253" s="13" t="s">
        <v>10456</v>
      </c>
      <c r="C253" s="72" t="s">
        <v>10457</v>
      </c>
      <c r="D253" s="12" t="s">
        <v>31</v>
      </c>
      <c r="E253" s="13" t="s">
        <v>10458</v>
      </c>
      <c r="F253" s="12">
        <v>31.0</v>
      </c>
      <c r="G253" s="14" t="s">
        <v>10427</v>
      </c>
      <c r="H253" s="15" t="s">
        <v>10428</v>
      </c>
      <c r="I253" s="74" t="s">
        <v>9674</v>
      </c>
    </row>
    <row r="254">
      <c r="A254" s="50">
        <v>244.0</v>
      </c>
      <c r="B254" s="13" t="s">
        <v>10459</v>
      </c>
      <c r="C254" s="72" t="s">
        <v>10460</v>
      </c>
      <c r="D254" s="12" t="s">
        <v>31</v>
      </c>
      <c r="E254" s="13" t="s">
        <v>10461</v>
      </c>
      <c r="F254" s="12">
        <v>24.0</v>
      </c>
      <c r="G254" s="14" t="s">
        <v>10427</v>
      </c>
      <c r="H254" s="15" t="s">
        <v>10428</v>
      </c>
      <c r="I254" s="74" t="s">
        <v>9674</v>
      </c>
    </row>
    <row r="255">
      <c r="A255" s="50">
        <v>245.0</v>
      </c>
      <c r="B255" s="13" t="s">
        <v>10462</v>
      </c>
      <c r="C255" s="72" t="s">
        <v>10463</v>
      </c>
      <c r="D255" s="12" t="s">
        <v>98</v>
      </c>
      <c r="E255" s="13" t="s">
        <v>10464</v>
      </c>
      <c r="F255" s="12">
        <v>32.0</v>
      </c>
      <c r="G255" s="14" t="s">
        <v>10427</v>
      </c>
      <c r="H255" s="15" t="s">
        <v>10428</v>
      </c>
      <c r="I255" s="74" t="s">
        <v>9674</v>
      </c>
    </row>
    <row r="256">
      <c r="A256" s="50">
        <v>246.0</v>
      </c>
      <c r="B256" s="13" t="s">
        <v>10465</v>
      </c>
      <c r="C256" s="72" t="s">
        <v>10466</v>
      </c>
      <c r="D256" s="12" t="s">
        <v>41</v>
      </c>
      <c r="E256" s="13" t="s">
        <v>10467</v>
      </c>
      <c r="F256" s="12">
        <v>23.0</v>
      </c>
      <c r="G256" s="14" t="s">
        <v>10427</v>
      </c>
      <c r="H256" s="15" t="s">
        <v>10428</v>
      </c>
      <c r="I256" s="74" t="s">
        <v>9674</v>
      </c>
    </row>
    <row r="257">
      <c r="A257" s="50">
        <v>247.0</v>
      </c>
      <c r="B257" s="13" t="s">
        <v>10468</v>
      </c>
      <c r="C257" s="72" t="s">
        <v>10469</v>
      </c>
      <c r="D257" s="12" t="s">
        <v>98</v>
      </c>
      <c r="E257" s="13" t="s">
        <v>10470</v>
      </c>
      <c r="F257" s="12">
        <v>33.0</v>
      </c>
      <c r="G257" s="14" t="s">
        <v>10427</v>
      </c>
      <c r="H257" s="15" t="s">
        <v>10428</v>
      </c>
      <c r="I257" s="73"/>
    </row>
    <row r="258">
      <c r="A258" s="50">
        <v>248.0</v>
      </c>
      <c r="B258" s="74" t="s">
        <v>10471</v>
      </c>
      <c r="C258" s="75"/>
      <c r="D258" s="12" t="s">
        <v>10472</v>
      </c>
      <c r="E258" s="13" t="s">
        <v>10473</v>
      </c>
      <c r="F258" s="12">
        <v>18.0</v>
      </c>
      <c r="G258" s="14" t="s">
        <v>10427</v>
      </c>
      <c r="H258" s="15" t="s">
        <v>10428</v>
      </c>
      <c r="I258" s="74" t="s">
        <v>9674</v>
      </c>
    </row>
    <row r="259">
      <c r="A259" s="50">
        <v>249.0</v>
      </c>
      <c r="B259" s="13" t="s">
        <v>10474</v>
      </c>
      <c r="C259" s="72" t="s">
        <v>10475</v>
      </c>
      <c r="D259" s="12" t="s">
        <v>98</v>
      </c>
      <c r="E259" s="13" t="s">
        <v>10476</v>
      </c>
      <c r="F259" s="12">
        <v>27.0</v>
      </c>
      <c r="G259" s="14" t="s">
        <v>10427</v>
      </c>
      <c r="H259" s="15" t="s">
        <v>10428</v>
      </c>
      <c r="I259" s="74" t="s">
        <v>9674</v>
      </c>
    </row>
    <row r="260">
      <c r="A260" s="50">
        <v>250.0</v>
      </c>
      <c r="B260" s="13" t="s">
        <v>10477</v>
      </c>
      <c r="C260" s="72" t="s">
        <v>10478</v>
      </c>
      <c r="D260" s="12" t="s">
        <v>41</v>
      </c>
      <c r="E260" s="13" t="s">
        <v>10479</v>
      </c>
      <c r="F260" s="12">
        <v>34.0</v>
      </c>
      <c r="G260" s="14" t="s">
        <v>10427</v>
      </c>
      <c r="H260" s="15" t="s">
        <v>10428</v>
      </c>
      <c r="I260" s="74" t="s">
        <v>9674</v>
      </c>
    </row>
    <row r="261">
      <c r="A261" s="37" t="s">
        <v>3</v>
      </c>
      <c r="B261" s="51" t="s">
        <v>4</v>
      </c>
      <c r="C261" s="40" t="s">
        <v>5</v>
      </c>
      <c r="D261" s="39" t="s">
        <v>6</v>
      </c>
      <c r="E261" s="39" t="s">
        <v>7</v>
      </c>
      <c r="F261" s="39" t="s">
        <v>8</v>
      </c>
      <c r="G261" s="40" t="s">
        <v>9617</v>
      </c>
      <c r="H261" s="39" t="s">
        <v>9618</v>
      </c>
      <c r="I261" s="39" t="s">
        <v>9619</v>
      </c>
    </row>
    <row r="262">
      <c r="A262" s="50">
        <v>251.0</v>
      </c>
      <c r="B262" s="13" t="s">
        <v>10480</v>
      </c>
      <c r="C262" s="72" t="s">
        <v>10481</v>
      </c>
      <c r="D262" s="12" t="s">
        <v>31</v>
      </c>
      <c r="E262" s="13" t="s">
        <v>10482</v>
      </c>
      <c r="F262" s="12">
        <v>39.0</v>
      </c>
      <c r="G262" s="14" t="s">
        <v>10427</v>
      </c>
      <c r="H262" s="15" t="s">
        <v>10428</v>
      </c>
      <c r="I262" s="74" t="s">
        <v>9674</v>
      </c>
    </row>
    <row r="263">
      <c r="A263" s="50">
        <v>252.0</v>
      </c>
      <c r="B263" s="13" t="s">
        <v>10483</v>
      </c>
      <c r="C263" s="72" t="s">
        <v>10484</v>
      </c>
      <c r="D263" s="12" t="s">
        <v>36</v>
      </c>
      <c r="E263" s="13" t="s">
        <v>10485</v>
      </c>
      <c r="F263" s="12">
        <v>25.0</v>
      </c>
      <c r="G263" s="14" t="s">
        <v>10427</v>
      </c>
      <c r="H263" s="15" t="s">
        <v>10428</v>
      </c>
      <c r="I263" s="74" t="s">
        <v>9674</v>
      </c>
    </row>
    <row r="264">
      <c r="A264" s="50">
        <v>253.0</v>
      </c>
      <c r="B264" s="13" t="s">
        <v>10486</v>
      </c>
      <c r="C264" s="72" t="s">
        <v>10487</v>
      </c>
      <c r="D264" s="12" t="s">
        <v>36</v>
      </c>
      <c r="E264" s="13" t="s">
        <v>10488</v>
      </c>
      <c r="F264" s="12">
        <v>27.0</v>
      </c>
      <c r="G264" s="14" t="s">
        <v>10427</v>
      </c>
      <c r="H264" s="15" t="s">
        <v>10428</v>
      </c>
      <c r="I264" s="74" t="s">
        <v>9674</v>
      </c>
    </row>
    <row r="265">
      <c r="A265" s="50">
        <v>254.0</v>
      </c>
      <c r="B265" s="13" t="s">
        <v>10489</v>
      </c>
      <c r="C265" s="72" t="s">
        <v>10490</v>
      </c>
      <c r="D265" s="12" t="s">
        <v>41</v>
      </c>
      <c r="E265" s="13" t="s">
        <v>10491</v>
      </c>
      <c r="F265" s="12">
        <v>27.0</v>
      </c>
      <c r="G265" s="14" t="s">
        <v>10427</v>
      </c>
      <c r="H265" s="15" t="s">
        <v>10428</v>
      </c>
      <c r="I265" s="74" t="s">
        <v>9674</v>
      </c>
    </row>
    <row r="266">
      <c r="A266" s="50">
        <v>255.0</v>
      </c>
      <c r="B266" s="13" t="s">
        <v>10492</v>
      </c>
      <c r="C266" s="72" t="s">
        <v>10493</v>
      </c>
      <c r="D266" s="12" t="s">
        <v>41</v>
      </c>
      <c r="E266" s="13" t="s">
        <v>10494</v>
      </c>
      <c r="F266" s="12">
        <v>23.0</v>
      </c>
      <c r="G266" s="14" t="s">
        <v>10427</v>
      </c>
      <c r="H266" s="15" t="s">
        <v>10428</v>
      </c>
      <c r="I266" s="74" t="s">
        <v>9674</v>
      </c>
    </row>
    <row r="267">
      <c r="A267" s="50">
        <v>256.0</v>
      </c>
      <c r="B267" s="13" t="s">
        <v>10495</v>
      </c>
      <c r="C267" s="72" t="s">
        <v>10496</v>
      </c>
      <c r="D267" s="12" t="s">
        <v>36</v>
      </c>
      <c r="E267" s="13" t="s">
        <v>10497</v>
      </c>
      <c r="F267" s="12">
        <v>28.0</v>
      </c>
      <c r="G267" s="14" t="s">
        <v>10427</v>
      </c>
      <c r="H267" s="15" t="s">
        <v>10428</v>
      </c>
      <c r="I267" s="74" t="s">
        <v>9674</v>
      </c>
    </row>
    <row r="268">
      <c r="A268" s="50">
        <v>257.0</v>
      </c>
      <c r="B268" s="13" t="s">
        <v>10498</v>
      </c>
      <c r="C268" s="72" t="s">
        <v>10499</v>
      </c>
      <c r="D268" s="12" t="s">
        <v>345</v>
      </c>
      <c r="E268" s="13" t="s">
        <v>10500</v>
      </c>
      <c r="F268" s="12">
        <v>27.0</v>
      </c>
      <c r="G268" s="14" t="s">
        <v>10427</v>
      </c>
      <c r="H268" s="15" t="s">
        <v>10428</v>
      </c>
      <c r="I268" s="74" t="s">
        <v>9674</v>
      </c>
    </row>
    <row r="269">
      <c r="A269" s="50">
        <v>258.0</v>
      </c>
      <c r="B269" s="13" t="s">
        <v>10501</v>
      </c>
      <c r="C269" s="72" t="s">
        <v>10502</v>
      </c>
      <c r="D269" s="12" t="s">
        <v>41</v>
      </c>
      <c r="E269" s="13" t="s">
        <v>10503</v>
      </c>
      <c r="F269" s="12">
        <v>24.0</v>
      </c>
      <c r="G269" s="14" t="s">
        <v>10427</v>
      </c>
      <c r="H269" s="15" t="s">
        <v>10428</v>
      </c>
      <c r="I269" s="74" t="s">
        <v>9674</v>
      </c>
    </row>
    <row r="270">
      <c r="A270" s="50">
        <v>259.0</v>
      </c>
      <c r="B270" s="13" t="s">
        <v>10504</v>
      </c>
      <c r="C270" s="72" t="s">
        <v>10505</v>
      </c>
      <c r="D270" s="12" t="s">
        <v>98</v>
      </c>
      <c r="E270" s="13" t="s">
        <v>10506</v>
      </c>
      <c r="F270" s="12">
        <v>30.0</v>
      </c>
      <c r="G270" s="14" t="s">
        <v>10427</v>
      </c>
      <c r="H270" s="15" t="s">
        <v>10428</v>
      </c>
      <c r="I270" s="74" t="s">
        <v>9674</v>
      </c>
    </row>
    <row r="271">
      <c r="A271" s="50">
        <v>260.0</v>
      </c>
      <c r="B271" s="13" t="s">
        <v>10507</v>
      </c>
      <c r="C271" s="72" t="s">
        <v>10508</v>
      </c>
      <c r="D271" s="12" t="s">
        <v>36</v>
      </c>
      <c r="E271" s="13" t="s">
        <v>10509</v>
      </c>
      <c r="F271" s="12">
        <v>26.0</v>
      </c>
      <c r="G271" s="14" t="s">
        <v>10510</v>
      </c>
      <c r="H271" s="15" t="s">
        <v>10511</v>
      </c>
      <c r="I271" s="73"/>
    </row>
    <row r="272">
      <c r="A272" s="50">
        <v>261.0</v>
      </c>
      <c r="B272" s="13" t="s">
        <v>10512</v>
      </c>
      <c r="C272" s="72" t="s">
        <v>10513</v>
      </c>
      <c r="D272" s="12" t="s">
        <v>98</v>
      </c>
      <c r="E272" s="13" t="s">
        <v>10514</v>
      </c>
      <c r="F272" s="12">
        <v>29.0</v>
      </c>
      <c r="G272" s="14" t="s">
        <v>10515</v>
      </c>
      <c r="H272" s="15" t="s">
        <v>10516</v>
      </c>
      <c r="I272" s="74" t="s">
        <v>9674</v>
      </c>
    </row>
    <row r="273">
      <c r="A273" s="50">
        <v>262.0</v>
      </c>
      <c r="B273" s="13" t="s">
        <v>10517</v>
      </c>
      <c r="C273" s="72" t="s">
        <v>10518</v>
      </c>
      <c r="D273" s="12" t="s">
        <v>26</v>
      </c>
      <c r="E273" s="13" t="s">
        <v>10519</v>
      </c>
      <c r="F273" s="12">
        <v>20.0</v>
      </c>
      <c r="G273" s="14" t="s">
        <v>10520</v>
      </c>
      <c r="H273" s="15" t="s">
        <v>10521</v>
      </c>
      <c r="I273" s="74" t="s">
        <v>9674</v>
      </c>
    </row>
    <row r="274">
      <c r="A274" s="50">
        <v>263.0</v>
      </c>
      <c r="B274" s="13" t="s">
        <v>10522</v>
      </c>
      <c r="C274" s="72" t="s">
        <v>10523</v>
      </c>
      <c r="D274" s="12" t="s">
        <v>31</v>
      </c>
      <c r="E274" s="13" t="s">
        <v>10524</v>
      </c>
      <c r="F274" s="12">
        <v>28.0</v>
      </c>
      <c r="G274" s="14" t="s">
        <v>10520</v>
      </c>
      <c r="H274" s="15" t="s">
        <v>10521</v>
      </c>
      <c r="I274" s="74" t="s">
        <v>9674</v>
      </c>
    </row>
    <row r="275">
      <c r="A275" s="50">
        <v>264.0</v>
      </c>
      <c r="B275" s="13" t="s">
        <v>10525</v>
      </c>
      <c r="C275" s="72" t="s">
        <v>10526</v>
      </c>
      <c r="D275" s="12" t="s">
        <v>36</v>
      </c>
      <c r="E275" s="13" t="s">
        <v>10527</v>
      </c>
      <c r="F275" s="12">
        <v>25.0</v>
      </c>
      <c r="G275" s="14" t="s">
        <v>10520</v>
      </c>
      <c r="H275" s="15" t="s">
        <v>10521</v>
      </c>
      <c r="I275" s="74" t="s">
        <v>9674</v>
      </c>
    </row>
    <row r="276">
      <c r="A276" s="50">
        <v>265.0</v>
      </c>
      <c r="B276" s="13" t="s">
        <v>10528</v>
      </c>
      <c r="C276" s="72" t="s">
        <v>10529</v>
      </c>
      <c r="D276" s="12" t="s">
        <v>36</v>
      </c>
      <c r="E276" s="13" t="s">
        <v>10530</v>
      </c>
      <c r="F276" s="12">
        <v>28.0</v>
      </c>
      <c r="G276" s="14" t="s">
        <v>10520</v>
      </c>
      <c r="H276" s="15" t="s">
        <v>10521</v>
      </c>
      <c r="I276" s="74" t="s">
        <v>9674</v>
      </c>
    </row>
    <row r="277">
      <c r="A277" s="50">
        <v>266.0</v>
      </c>
      <c r="B277" s="13" t="s">
        <v>10531</v>
      </c>
      <c r="C277" s="72" t="s">
        <v>10532</v>
      </c>
      <c r="D277" s="12" t="s">
        <v>36</v>
      </c>
      <c r="E277" s="13" t="s">
        <v>10533</v>
      </c>
      <c r="F277" s="12">
        <v>18.0</v>
      </c>
      <c r="G277" s="14" t="s">
        <v>10520</v>
      </c>
      <c r="H277" s="15" t="s">
        <v>10521</v>
      </c>
      <c r="I277" s="74" t="s">
        <v>9674</v>
      </c>
    </row>
    <row r="278">
      <c r="A278" s="50">
        <v>267.0</v>
      </c>
      <c r="B278" s="13" t="s">
        <v>10534</v>
      </c>
      <c r="C278" s="72" t="s">
        <v>10535</v>
      </c>
      <c r="D278" s="12" t="s">
        <v>36</v>
      </c>
      <c r="E278" s="13" t="s">
        <v>10536</v>
      </c>
      <c r="F278" s="12">
        <v>31.0</v>
      </c>
      <c r="G278" s="14" t="s">
        <v>10520</v>
      </c>
      <c r="H278" s="15" t="s">
        <v>10521</v>
      </c>
      <c r="I278" s="74" t="s">
        <v>9674</v>
      </c>
    </row>
    <row r="279">
      <c r="A279" s="50">
        <v>268.0</v>
      </c>
      <c r="B279" s="13" t="s">
        <v>10537</v>
      </c>
      <c r="C279" s="72" t="s">
        <v>10538</v>
      </c>
      <c r="D279" s="12" t="s">
        <v>31</v>
      </c>
      <c r="E279" s="13" t="s">
        <v>10539</v>
      </c>
      <c r="F279" s="12">
        <v>29.0</v>
      </c>
      <c r="G279" s="14" t="s">
        <v>10520</v>
      </c>
      <c r="H279" s="15" t="s">
        <v>10521</v>
      </c>
      <c r="I279" s="74" t="s">
        <v>9674</v>
      </c>
    </row>
    <row r="280">
      <c r="A280" s="50">
        <v>269.0</v>
      </c>
      <c r="B280" s="13" t="s">
        <v>10540</v>
      </c>
      <c r="C280" s="72" t="s">
        <v>10541</v>
      </c>
      <c r="D280" s="12" t="s">
        <v>31</v>
      </c>
      <c r="E280" s="13" t="s">
        <v>10542</v>
      </c>
      <c r="F280" s="12">
        <v>21.0</v>
      </c>
      <c r="G280" s="14" t="s">
        <v>10520</v>
      </c>
      <c r="H280" s="15" t="s">
        <v>10521</v>
      </c>
      <c r="I280" s="74" t="s">
        <v>9674</v>
      </c>
    </row>
    <row r="281">
      <c r="A281" s="50">
        <v>270.0</v>
      </c>
      <c r="B281" s="13" t="s">
        <v>10543</v>
      </c>
      <c r="C281" s="72" t="s">
        <v>10544</v>
      </c>
      <c r="D281" s="12" t="s">
        <v>36</v>
      </c>
      <c r="E281" s="13" t="s">
        <v>10545</v>
      </c>
      <c r="F281" s="12">
        <v>30.0</v>
      </c>
      <c r="G281" s="14" t="s">
        <v>10520</v>
      </c>
      <c r="H281" s="15" t="s">
        <v>10521</v>
      </c>
      <c r="I281" s="73"/>
    </row>
    <row r="282">
      <c r="A282" s="50">
        <v>271.0</v>
      </c>
      <c r="B282" s="13" t="s">
        <v>10546</v>
      </c>
      <c r="C282" s="72" t="s">
        <v>10547</v>
      </c>
      <c r="D282" s="12" t="s">
        <v>98</v>
      </c>
      <c r="E282" s="13" t="s">
        <v>10548</v>
      </c>
      <c r="F282" s="12">
        <v>26.0</v>
      </c>
      <c r="G282" s="14" t="s">
        <v>10520</v>
      </c>
      <c r="H282" s="15" t="s">
        <v>10521</v>
      </c>
      <c r="I282" s="74" t="s">
        <v>9674</v>
      </c>
    </row>
    <row r="283">
      <c r="A283" s="50">
        <v>272.0</v>
      </c>
      <c r="B283" s="13" t="s">
        <v>10549</v>
      </c>
      <c r="C283" s="72" t="s">
        <v>10550</v>
      </c>
      <c r="D283" s="12" t="s">
        <v>10551</v>
      </c>
      <c r="E283" s="13" t="s">
        <v>10552</v>
      </c>
      <c r="F283" s="12">
        <v>31.0</v>
      </c>
      <c r="G283" s="14" t="s">
        <v>10520</v>
      </c>
      <c r="H283" s="15" t="s">
        <v>10521</v>
      </c>
      <c r="I283" s="74" t="s">
        <v>9674</v>
      </c>
    </row>
    <row r="284">
      <c r="A284" s="50">
        <v>273.0</v>
      </c>
      <c r="B284" s="13" t="s">
        <v>10553</v>
      </c>
      <c r="C284" s="72" t="s">
        <v>10554</v>
      </c>
      <c r="D284" s="12" t="s">
        <v>345</v>
      </c>
      <c r="E284" s="13" t="s">
        <v>10555</v>
      </c>
      <c r="F284" s="12">
        <v>24.0</v>
      </c>
      <c r="G284" s="14" t="s">
        <v>10520</v>
      </c>
      <c r="H284" s="15" t="s">
        <v>10521</v>
      </c>
      <c r="I284" s="74" t="s">
        <v>9674</v>
      </c>
    </row>
    <row r="285">
      <c r="A285" s="50">
        <v>274.0</v>
      </c>
      <c r="B285" s="13" t="s">
        <v>10556</v>
      </c>
      <c r="C285" s="72" t="s">
        <v>10557</v>
      </c>
      <c r="D285" s="12" t="s">
        <v>36</v>
      </c>
      <c r="E285" s="13" t="s">
        <v>10558</v>
      </c>
      <c r="F285" s="12">
        <v>36.0</v>
      </c>
      <c r="G285" s="14" t="s">
        <v>10520</v>
      </c>
      <c r="H285" s="15" t="s">
        <v>10521</v>
      </c>
      <c r="I285" s="74" t="s">
        <v>9674</v>
      </c>
    </row>
    <row r="286">
      <c r="A286" s="50">
        <v>275.0</v>
      </c>
      <c r="B286" s="13" t="s">
        <v>10559</v>
      </c>
      <c r="C286" s="72" t="s">
        <v>10560</v>
      </c>
      <c r="D286" s="12" t="s">
        <v>31</v>
      </c>
      <c r="E286" s="13" t="s">
        <v>10561</v>
      </c>
      <c r="F286" s="12">
        <v>21.0</v>
      </c>
      <c r="G286" s="14" t="s">
        <v>10520</v>
      </c>
      <c r="H286" s="15" t="s">
        <v>10521</v>
      </c>
      <c r="I286" s="74" t="s">
        <v>9674</v>
      </c>
    </row>
    <row r="287">
      <c r="A287" s="37" t="s">
        <v>3</v>
      </c>
      <c r="B287" s="51" t="s">
        <v>4</v>
      </c>
      <c r="C287" s="40" t="s">
        <v>5</v>
      </c>
      <c r="D287" s="39" t="s">
        <v>6</v>
      </c>
      <c r="E287" s="39" t="s">
        <v>7</v>
      </c>
      <c r="F287" s="39" t="s">
        <v>8</v>
      </c>
      <c r="G287" s="40" t="s">
        <v>9617</v>
      </c>
      <c r="H287" s="39" t="s">
        <v>9618</v>
      </c>
      <c r="I287" s="39" t="s">
        <v>9619</v>
      </c>
    </row>
    <row r="288">
      <c r="A288" s="50">
        <v>276.0</v>
      </c>
      <c r="B288" s="13" t="s">
        <v>10562</v>
      </c>
      <c r="C288" s="72" t="s">
        <v>10563</v>
      </c>
      <c r="D288" s="12" t="s">
        <v>31</v>
      </c>
      <c r="E288" s="13" t="s">
        <v>10564</v>
      </c>
      <c r="F288" s="12">
        <v>28.0</v>
      </c>
      <c r="G288" s="14" t="s">
        <v>10520</v>
      </c>
      <c r="H288" s="15" t="s">
        <v>10521</v>
      </c>
      <c r="I288" s="74" t="s">
        <v>9674</v>
      </c>
    </row>
    <row r="289">
      <c r="A289" s="50">
        <v>277.0</v>
      </c>
      <c r="B289" s="13" t="s">
        <v>10565</v>
      </c>
      <c r="C289" s="72" t="s">
        <v>10566</v>
      </c>
      <c r="D289" s="12" t="s">
        <v>31</v>
      </c>
      <c r="E289" s="13" t="s">
        <v>10567</v>
      </c>
      <c r="F289" s="12">
        <v>27.0</v>
      </c>
      <c r="G289" s="14" t="s">
        <v>10520</v>
      </c>
      <c r="H289" s="15" t="s">
        <v>10521</v>
      </c>
      <c r="I289" s="74" t="s">
        <v>9674</v>
      </c>
    </row>
    <row r="290">
      <c r="A290" s="50">
        <v>278.0</v>
      </c>
      <c r="B290" s="13" t="s">
        <v>10568</v>
      </c>
      <c r="C290" s="72" t="s">
        <v>10569</v>
      </c>
      <c r="D290" s="12" t="s">
        <v>36</v>
      </c>
      <c r="E290" s="13" t="s">
        <v>10570</v>
      </c>
      <c r="F290" s="12">
        <v>21.0</v>
      </c>
      <c r="G290" s="14" t="s">
        <v>10520</v>
      </c>
      <c r="H290" s="15" t="s">
        <v>10521</v>
      </c>
      <c r="I290" s="74" t="s">
        <v>9674</v>
      </c>
    </row>
    <row r="291">
      <c r="A291" s="50">
        <v>279.0</v>
      </c>
      <c r="B291" s="13" t="s">
        <v>10571</v>
      </c>
      <c r="C291" s="72" t="s">
        <v>10572</v>
      </c>
      <c r="D291" s="12" t="s">
        <v>10091</v>
      </c>
      <c r="E291" s="13" t="s">
        <v>10573</v>
      </c>
      <c r="F291" s="12">
        <v>25.0</v>
      </c>
      <c r="G291" s="14" t="s">
        <v>10574</v>
      </c>
      <c r="H291" s="15" t="s">
        <v>10575</v>
      </c>
      <c r="I291" s="73"/>
    </row>
    <row r="292">
      <c r="A292" s="50">
        <v>280.0</v>
      </c>
      <c r="B292" s="13" t="s">
        <v>10576</v>
      </c>
      <c r="C292" s="72" t="s">
        <v>10577</v>
      </c>
      <c r="D292" s="12" t="s">
        <v>41</v>
      </c>
      <c r="E292" s="13" t="s">
        <v>10578</v>
      </c>
      <c r="F292" s="12">
        <v>28.0</v>
      </c>
      <c r="G292" s="14" t="s">
        <v>10574</v>
      </c>
      <c r="H292" s="15" t="s">
        <v>10575</v>
      </c>
      <c r="I292" s="73"/>
    </row>
    <row r="293">
      <c r="A293" s="50">
        <v>281.0</v>
      </c>
      <c r="B293" s="13" t="s">
        <v>10579</v>
      </c>
      <c r="C293" s="72" t="s">
        <v>10580</v>
      </c>
      <c r="D293" s="12" t="s">
        <v>36</v>
      </c>
      <c r="E293" s="13" t="s">
        <v>10581</v>
      </c>
      <c r="F293" s="12">
        <v>25.0</v>
      </c>
      <c r="G293" s="14" t="s">
        <v>10574</v>
      </c>
      <c r="H293" s="15" t="s">
        <v>10575</v>
      </c>
      <c r="I293" s="74" t="s">
        <v>9674</v>
      </c>
    </row>
    <row r="294">
      <c r="A294" s="50">
        <v>282.0</v>
      </c>
      <c r="B294" s="13" t="s">
        <v>10582</v>
      </c>
      <c r="C294" s="72" t="s">
        <v>10583</v>
      </c>
      <c r="D294" s="12" t="s">
        <v>264</v>
      </c>
      <c r="E294" s="13" t="s">
        <v>10584</v>
      </c>
      <c r="F294" s="12">
        <v>34.0</v>
      </c>
      <c r="G294" s="14" t="s">
        <v>10574</v>
      </c>
      <c r="H294" s="15" t="s">
        <v>10575</v>
      </c>
      <c r="I294" s="74" t="s">
        <v>9674</v>
      </c>
    </row>
    <row r="295">
      <c r="A295" s="50">
        <v>283.0</v>
      </c>
      <c r="B295" s="13" t="s">
        <v>10585</v>
      </c>
      <c r="C295" s="72" t="s">
        <v>10586</v>
      </c>
      <c r="D295" s="12" t="s">
        <v>31</v>
      </c>
      <c r="E295" s="13" t="s">
        <v>10587</v>
      </c>
      <c r="F295" s="12">
        <v>28.0</v>
      </c>
      <c r="G295" s="14" t="s">
        <v>10574</v>
      </c>
      <c r="H295" s="15" t="s">
        <v>10575</v>
      </c>
      <c r="I295" s="73"/>
    </row>
    <row r="296">
      <c r="A296" s="50">
        <v>284.0</v>
      </c>
      <c r="B296" s="13" t="s">
        <v>10588</v>
      </c>
      <c r="C296" s="72" t="s">
        <v>10589</v>
      </c>
      <c r="D296" s="12" t="s">
        <v>36</v>
      </c>
      <c r="E296" s="13" t="s">
        <v>10590</v>
      </c>
      <c r="F296" s="12">
        <v>28.0</v>
      </c>
      <c r="G296" s="14" t="s">
        <v>10574</v>
      </c>
      <c r="H296" s="15" t="s">
        <v>10575</v>
      </c>
      <c r="I296" s="74" t="s">
        <v>9674</v>
      </c>
    </row>
    <row r="297">
      <c r="A297" s="50">
        <v>285.0</v>
      </c>
      <c r="B297" s="13" t="s">
        <v>10591</v>
      </c>
      <c r="C297" s="72" t="s">
        <v>10592</v>
      </c>
      <c r="D297" s="12" t="s">
        <v>98</v>
      </c>
      <c r="E297" s="13" t="s">
        <v>10593</v>
      </c>
      <c r="F297" s="12">
        <v>27.0</v>
      </c>
      <c r="G297" s="14" t="s">
        <v>10574</v>
      </c>
      <c r="H297" s="15" t="s">
        <v>10575</v>
      </c>
      <c r="I297" s="74" t="s">
        <v>9674</v>
      </c>
    </row>
    <row r="298">
      <c r="A298" s="50">
        <v>286.0</v>
      </c>
      <c r="B298" s="13" t="s">
        <v>10594</v>
      </c>
      <c r="C298" s="72" t="s">
        <v>10595</v>
      </c>
      <c r="D298" s="12" t="s">
        <v>36</v>
      </c>
      <c r="E298" s="13" t="s">
        <v>10596</v>
      </c>
      <c r="F298" s="12">
        <v>25.0</v>
      </c>
      <c r="G298" s="14" t="s">
        <v>10574</v>
      </c>
      <c r="H298" s="15" t="s">
        <v>10575</v>
      </c>
      <c r="I298" s="74" t="s">
        <v>9674</v>
      </c>
    </row>
    <row r="299">
      <c r="A299" s="50">
        <v>287.0</v>
      </c>
      <c r="B299" s="13" t="s">
        <v>10597</v>
      </c>
      <c r="C299" s="72" t="s">
        <v>10598</v>
      </c>
      <c r="D299" s="12" t="s">
        <v>41</v>
      </c>
      <c r="E299" s="13" t="s">
        <v>10599</v>
      </c>
      <c r="F299" s="12">
        <v>33.0</v>
      </c>
      <c r="G299" s="14" t="s">
        <v>10574</v>
      </c>
      <c r="H299" s="15" t="s">
        <v>10575</v>
      </c>
      <c r="I299" s="74" t="s">
        <v>9674</v>
      </c>
    </row>
    <row r="300">
      <c r="A300" s="50">
        <v>288.0</v>
      </c>
      <c r="B300" s="13" t="s">
        <v>10600</v>
      </c>
      <c r="C300" s="72" t="s">
        <v>10601</v>
      </c>
      <c r="D300" s="12" t="s">
        <v>36</v>
      </c>
      <c r="E300" s="13" t="s">
        <v>10602</v>
      </c>
      <c r="F300" s="12">
        <v>27.0</v>
      </c>
      <c r="G300" s="14" t="s">
        <v>10574</v>
      </c>
      <c r="H300" s="15" t="s">
        <v>10575</v>
      </c>
      <c r="I300" s="74" t="s">
        <v>9674</v>
      </c>
    </row>
    <row r="301">
      <c r="A301" s="50">
        <v>289.0</v>
      </c>
      <c r="B301" s="13" t="s">
        <v>10603</v>
      </c>
      <c r="C301" s="72" t="s">
        <v>10604</v>
      </c>
      <c r="D301" s="12" t="s">
        <v>98</v>
      </c>
      <c r="E301" s="13" t="s">
        <v>10605</v>
      </c>
      <c r="F301" s="12">
        <v>40.0</v>
      </c>
      <c r="G301" s="14" t="s">
        <v>10574</v>
      </c>
      <c r="H301" s="15" t="s">
        <v>10575</v>
      </c>
      <c r="I301" s="74" t="s">
        <v>9674</v>
      </c>
    </row>
    <row r="302">
      <c r="A302" s="50">
        <v>290.0</v>
      </c>
      <c r="B302" s="13" t="s">
        <v>10606</v>
      </c>
      <c r="C302" s="72" t="s">
        <v>10607</v>
      </c>
      <c r="D302" s="12" t="s">
        <v>264</v>
      </c>
      <c r="E302" s="13" t="s">
        <v>10608</v>
      </c>
      <c r="F302" s="12">
        <v>24.0</v>
      </c>
      <c r="G302" s="14" t="s">
        <v>10574</v>
      </c>
      <c r="H302" s="15" t="s">
        <v>10575</v>
      </c>
      <c r="I302" s="74" t="s">
        <v>9674</v>
      </c>
    </row>
    <row r="303">
      <c r="A303" s="50">
        <v>291.0</v>
      </c>
      <c r="B303" s="13" t="s">
        <v>10609</v>
      </c>
      <c r="C303" s="72" t="s">
        <v>10610</v>
      </c>
      <c r="D303" s="12" t="s">
        <v>36</v>
      </c>
      <c r="E303" s="13" t="s">
        <v>10611</v>
      </c>
      <c r="F303" s="12">
        <v>32.0</v>
      </c>
      <c r="G303" s="14" t="s">
        <v>10574</v>
      </c>
      <c r="H303" s="15" t="s">
        <v>10575</v>
      </c>
      <c r="I303" s="74" t="s">
        <v>9674</v>
      </c>
    </row>
    <row r="304">
      <c r="A304" s="50">
        <v>292.0</v>
      </c>
      <c r="B304" s="13" t="s">
        <v>10612</v>
      </c>
      <c r="C304" s="72" t="s">
        <v>10613</v>
      </c>
      <c r="D304" s="12" t="s">
        <v>345</v>
      </c>
      <c r="E304" s="13" t="s">
        <v>10614</v>
      </c>
      <c r="F304" s="12">
        <v>33.0</v>
      </c>
      <c r="G304" s="14" t="s">
        <v>10574</v>
      </c>
      <c r="H304" s="15" t="s">
        <v>10575</v>
      </c>
      <c r="I304" s="74" t="s">
        <v>9674</v>
      </c>
    </row>
    <row r="305">
      <c r="A305" s="50">
        <v>293.0</v>
      </c>
      <c r="B305" s="13" t="s">
        <v>10615</v>
      </c>
      <c r="C305" s="72" t="s">
        <v>10616</v>
      </c>
      <c r="D305" s="12" t="s">
        <v>98</v>
      </c>
      <c r="E305" s="13" t="s">
        <v>10617</v>
      </c>
      <c r="F305" s="12">
        <v>32.0</v>
      </c>
      <c r="G305" s="14" t="s">
        <v>10574</v>
      </c>
      <c r="H305" s="15" t="s">
        <v>10575</v>
      </c>
      <c r="I305" s="74" t="s">
        <v>9674</v>
      </c>
    </row>
    <row r="306">
      <c r="A306" s="50">
        <v>294.0</v>
      </c>
      <c r="B306" s="13" t="s">
        <v>10618</v>
      </c>
      <c r="C306" s="72" t="s">
        <v>10619</v>
      </c>
      <c r="D306" s="12" t="s">
        <v>31</v>
      </c>
      <c r="E306" s="13" t="s">
        <v>10620</v>
      </c>
      <c r="F306" s="12">
        <v>21.0</v>
      </c>
      <c r="G306" s="14" t="s">
        <v>10574</v>
      </c>
      <c r="H306" s="15" t="s">
        <v>10575</v>
      </c>
      <c r="I306" s="74" t="s">
        <v>9674</v>
      </c>
    </row>
    <row r="307">
      <c r="A307" s="50">
        <v>295.0</v>
      </c>
      <c r="B307" s="13" t="s">
        <v>10621</v>
      </c>
      <c r="C307" s="72" t="s">
        <v>10622</v>
      </c>
      <c r="D307" s="12" t="s">
        <v>36</v>
      </c>
      <c r="E307" s="13" t="s">
        <v>10623</v>
      </c>
      <c r="F307" s="12">
        <v>31.0</v>
      </c>
      <c r="G307" s="14" t="s">
        <v>10574</v>
      </c>
      <c r="H307" s="15" t="s">
        <v>10575</v>
      </c>
      <c r="I307" s="74" t="s">
        <v>9674</v>
      </c>
    </row>
    <row r="308">
      <c r="A308" s="50">
        <v>296.0</v>
      </c>
      <c r="B308" s="13" t="s">
        <v>10624</v>
      </c>
      <c r="C308" s="72" t="s">
        <v>10625</v>
      </c>
      <c r="D308" s="12" t="s">
        <v>26</v>
      </c>
      <c r="E308" s="13" t="s">
        <v>10626</v>
      </c>
      <c r="F308" s="12">
        <v>26.0</v>
      </c>
      <c r="G308" s="14" t="s">
        <v>10574</v>
      </c>
      <c r="H308" s="15" t="s">
        <v>10575</v>
      </c>
      <c r="I308" s="74" t="s">
        <v>9674</v>
      </c>
    </row>
    <row r="309">
      <c r="A309" s="50">
        <v>297.0</v>
      </c>
      <c r="B309" s="13" t="s">
        <v>10627</v>
      </c>
      <c r="C309" s="72" t="s">
        <v>10628</v>
      </c>
      <c r="D309" s="12" t="s">
        <v>36</v>
      </c>
      <c r="E309" s="13" t="s">
        <v>10629</v>
      </c>
      <c r="F309" s="12">
        <v>23.0</v>
      </c>
      <c r="G309" s="14" t="s">
        <v>10574</v>
      </c>
      <c r="H309" s="15" t="s">
        <v>10575</v>
      </c>
      <c r="I309" s="74" t="s">
        <v>9674</v>
      </c>
    </row>
    <row r="310">
      <c r="A310" s="50">
        <v>298.0</v>
      </c>
      <c r="B310" s="13" t="s">
        <v>10630</v>
      </c>
      <c r="C310" s="72" t="s">
        <v>10631</v>
      </c>
      <c r="D310" s="12" t="s">
        <v>36</v>
      </c>
      <c r="E310" s="13" t="s">
        <v>10632</v>
      </c>
      <c r="F310" s="12">
        <v>22.0</v>
      </c>
      <c r="G310" s="14" t="s">
        <v>10574</v>
      </c>
      <c r="H310" s="15" t="s">
        <v>10575</v>
      </c>
      <c r="I310" s="74" t="s">
        <v>9674</v>
      </c>
    </row>
    <row r="311">
      <c r="A311" s="50">
        <v>299.0</v>
      </c>
      <c r="B311" s="13" t="s">
        <v>10633</v>
      </c>
      <c r="C311" s="72" t="s">
        <v>10634</v>
      </c>
      <c r="D311" s="12" t="s">
        <v>36</v>
      </c>
      <c r="E311" s="13" t="s">
        <v>10635</v>
      </c>
      <c r="F311" s="12">
        <v>21.0</v>
      </c>
      <c r="G311" s="14" t="s">
        <v>10574</v>
      </c>
      <c r="H311" s="15" t="s">
        <v>10575</v>
      </c>
      <c r="I311" s="74" t="s">
        <v>9674</v>
      </c>
    </row>
    <row r="312">
      <c r="A312" s="50">
        <v>300.0</v>
      </c>
      <c r="B312" s="13" t="s">
        <v>10636</v>
      </c>
      <c r="C312" s="72" t="s">
        <v>10637</v>
      </c>
      <c r="D312" s="12" t="s">
        <v>98</v>
      </c>
      <c r="E312" s="13" t="s">
        <v>10638</v>
      </c>
      <c r="F312" s="12">
        <v>22.0</v>
      </c>
      <c r="G312" s="14" t="s">
        <v>10574</v>
      </c>
      <c r="H312" s="15" t="s">
        <v>10575</v>
      </c>
      <c r="I312" s="74" t="s">
        <v>9674</v>
      </c>
    </row>
    <row r="313">
      <c r="A313" s="37" t="s">
        <v>3</v>
      </c>
      <c r="B313" s="51" t="s">
        <v>4</v>
      </c>
      <c r="C313" s="40" t="s">
        <v>5</v>
      </c>
      <c r="D313" s="39" t="s">
        <v>6</v>
      </c>
      <c r="E313" s="39" t="s">
        <v>7</v>
      </c>
      <c r="F313" s="39" t="s">
        <v>8</v>
      </c>
      <c r="G313" s="40" t="s">
        <v>9617</v>
      </c>
      <c r="H313" s="39" t="s">
        <v>9618</v>
      </c>
      <c r="I313" s="39" t="s">
        <v>9619</v>
      </c>
    </row>
    <row r="314">
      <c r="A314" s="50">
        <v>301.0</v>
      </c>
      <c r="B314" s="13" t="s">
        <v>10639</v>
      </c>
      <c r="C314" s="72" t="s">
        <v>10640</v>
      </c>
      <c r="D314" s="12" t="s">
        <v>26</v>
      </c>
      <c r="E314" s="13" t="s">
        <v>10641</v>
      </c>
      <c r="F314" s="12">
        <v>23.0</v>
      </c>
      <c r="G314" s="14" t="s">
        <v>10574</v>
      </c>
      <c r="H314" s="15" t="s">
        <v>10575</v>
      </c>
      <c r="I314" s="74" t="s">
        <v>9674</v>
      </c>
    </row>
    <row r="315">
      <c r="A315" s="50">
        <v>302.0</v>
      </c>
      <c r="B315" s="13" t="s">
        <v>10642</v>
      </c>
      <c r="C315" s="72" t="s">
        <v>10643</v>
      </c>
      <c r="D315" s="12" t="s">
        <v>41</v>
      </c>
      <c r="E315" s="13" t="s">
        <v>10644</v>
      </c>
      <c r="F315" s="12">
        <v>24.0</v>
      </c>
      <c r="G315" s="14" t="s">
        <v>10574</v>
      </c>
      <c r="H315" s="15" t="s">
        <v>10575</v>
      </c>
      <c r="I315" s="74" t="s">
        <v>9674</v>
      </c>
    </row>
    <row r="316">
      <c r="A316" s="50">
        <v>303.0</v>
      </c>
      <c r="B316" s="13" t="s">
        <v>10645</v>
      </c>
      <c r="C316" s="72" t="s">
        <v>10646</v>
      </c>
      <c r="D316" s="12" t="s">
        <v>345</v>
      </c>
      <c r="E316" s="13" t="s">
        <v>10647</v>
      </c>
      <c r="F316" s="12">
        <v>24.0</v>
      </c>
      <c r="G316" s="14" t="s">
        <v>10574</v>
      </c>
      <c r="H316" s="15" t="s">
        <v>10575</v>
      </c>
      <c r="I316" s="74" t="s">
        <v>9674</v>
      </c>
    </row>
    <row r="317">
      <c r="A317" s="50">
        <v>304.0</v>
      </c>
      <c r="B317" s="13" t="s">
        <v>10648</v>
      </c>
      <c r="C317" s="72" t="s">
        <v>10649</v>
      </c>
      <c r="D317" s="12" t="s">
        <v>31</v>
      </c>
      <c r="E317" s="13" t="s">
        <v>10650</v>
      </c>
      <c r="F317" s="12">
        <v>29.0</v>
      </c>
      <c r="G317" s="14" t="s">
        <v>10574</v>
      </c>
      <c r="H317" s="15" t="s">
        <v>10575</v>
      </c>
      <c r="I317" s="74" t="s">
        <v>9674</v>
      </c>
    </row>
    <row r="318">
      <c r="A318" s="50">
        <v>305.0</v>
      </c>
      <c r="B318" s="13" t="s">
        <v>10651</v>
      </c>
      <c r="C318" s="72" t="s">
        <v>10652</v>
      </c>
      <c r="D318" s="12" t="s">
        <v>98</v>
      </c>
      <c r="E318" s="13" t="s">
        <v>10653</v>
      </c>
      <c r="F318" s="12">
        <v>23.0</v>
      </c>
      <c r="G318" s="14" t="s">
        <v>10574</v>
      </c>
      <c r="H318" s="15" t="s">
        <v>10575</v>
      </c>
      <c r="I318" s="74" t="s">
        <v>9674</v>
      </c>
    </row>
    <row r="319">
      <c r="A319" s="50">
        <v>306.0</v>
      </c>
      <c r="B319" s="13" t="s">
        <v>10654</v>
      </c>
      <c r="C319" s="72" t="s">
        <v>10655</v>
      </c>
      <c r="D319" s="12" t="s">
        <v>41</v>
      </c>
      <c r="E319" s="13" t="s">
        <v>10656</v>
      </c>
      <c r="F319" s="12">
        <v>19.0</v>
      </c>
      <c r="G319" s="14" t="s">
        <v>10574</v>
      </c>
      <c r="H319" s="15" t="s">
        <v>10575</v>
      </c>
      <c r="I319" s="73"/>
    </row>
    <row r="320">
      <c r="A320" s="50">
        <v>307.0</v>
      </c>
      <c r="B320" s="13" t="s">
        <v>10657</v>
      </c>
      <c r="C320" s="72" t="s">
        <v>10658</v>
      </c>
      <c r="D320" s="12" t="s">
        <v>36</v>
      </c>
      <c r="E320" s="13" t="s">
        <v>10659</v>
      </c>
      <c r="F320" s="12">
        <v>26.0</v>
      </c>
      <c r="G320" s="14" t="s">
        <v>10574</v>
      </c>
      <c r="H320" s="15" t="s">
        <v>10575</v>
      </c>
      <c r="I320" s="74" t="s">
        <v>9674</v>
      </c>
    </row>
    <row r="321">
      <c r="A321" s="50">
        <v>308.0</v>
      </c>
      <c r="B321" s="13" t="s">
        <v>10660</v>
      </c>
      <c r="C321" s="72" t="s">
        <v>10661</v>
      </c>
      <c r="D321" s="12" t="s">
        <v>31</v>
      </c>
      <c r="E321" s="13" t="s">
        <v>10662</v>
      </c>
      <c r="F321" s="12">
        <v>21.0</v>
      </c>
      <c r="G321" s="14" t="s">
        <v>10574</v>
      </c>
      <c r="H321" s="15" t="s">
        <v>10575</v>
      </c>
      <c r="I321" s="74" t="s">
        <v>9674</v>
      </c>
    </row>
    <row r="322">
      <c r="A322" s="50">
        <v>309.0</v>
      </c>
      <c r="B322" s="13" t="s">
        <v>10663</v>
      </c>
      <c r="C322" s="72" t="s">
        <v>10664</v>
      </c>
      <c r="D322" s="12" t="s">
        <v>36</v>
      </c>
      <c r="E322" s="13" t="s">
        <v>10665</v>
      </c>
      <c r="F322" s="12">
        <v>25.0</v>
      </c>
      <c r="G322" s="14" t="s">
        <v>10574</v>
      </c>
      <c r="H322" s="15" t="s">
        <v>10575</v>
      </c>
      <c r="I322" s="74" t="s">
        <v>9674</v>
      </c>
    </row>
    <row r="323">
      <c r="A323" s="50">
        <v>310.0</v>
      </c>
      <c r="B323" s="13" t="s">
        <v>10666</v>
      </c>
      <c r="C323" s="72" t="s">
        <v>10667</v>
      </c>
      <c r="D323" s="12" t="s">
        <v>36</v>
      </c>
      <c r="E323" s="13" t="s">
        <v>10668</v>
      </c>
      <c r="F323" s="12">
        <v>33.0</v>
      </c>
      <c r="G323" s="14" t="s">
        <v>10574</v>
      </c>
      <c r="H323" s="15" t="s">
        <v>10575</v>
      </c>
      <c r="I323" s="74" t="s">
        <v>9674</v>
      </c>
    </row>
    <row r="324">
      <c r="A324" s="50">
        <v>311.0</v>
      </c>
      <c r="B324" s="13" t="s">
        <v>10669</v>
      </c>
      <c r="C324" s="72" t="s">
        <v>10670</v>
      </c>
      <c r="D324" s="12" t="s">
        <v>31</v>
      </c>
      <c r="E324" s="13" t="s">
        <v>10671</v>
      </c>
      <c r="F324" s="12">
        <v>31.0</v>
      </c>
      <c r="G324" s="14" t="s">
        <v>10574</v>
      </c>
      <c r="H324" s="15" t="s">
        <v>10575</v>
      </c>
      <c r="I324" s="74" t="s">
        <v>9674</v>
      </c>
    </row>
    <row r="325">
      <c r="A325" s="50">
        <v>312.0</v>
      </c>
      <c r="B325" s="13" t="s">
        <v>10672</v>
      </c>
      <c r="C325" s="72" t="s">
        <v>10673</v>
      </c>
      <c r="D325" s="12" t="s">
        <v>41</v>
      </c>
      <c r="E325" s="13" t="s">
        <v>10674</v>
      </c>
      <c r="F325" s="12">
        <v>24.0</v>
      </c>
      <c r="G325" s="14" t="s">
        <v>10574</v>
      </c>
      <c r="H325" s="15" t="s">
        <v>10575</v>
      </c>
      <c r="I325" s="74" t="s">
        <v>9674</v>
      </c>
    </row>
    <row r="326">
      <c r="A326" s="50">
        <v>313.0</v>
      </c>
      <c r="B326" s="13" t="s">
        <v>10675</v>
      </c>
      <c r="C326" s="72" t="s">
        <v>10676</v>
      </c>
      <c r="D326" s="12" t="s">
        <v>31</v>
      </c>
      <c r="E326" s="13" t="s">
        <v>10677</v>
      </c>
      <c r="F326" s="12">
        <v>27.0</v>
      </c>
      <c r="G326" s="14" t="s">
        <v>10574</v>
      </c>
      <c r="H326" s="15" t="s">
        <v>10575</v>
      </c>
      <c r="I326" s="74" t="s">
        <v>9674</v>
      </c>
    </row>
    <row r="327">
      <c r="A327" s="50">
        <v>314.0</v>
      </c>
      <c r="B327" s="13" t="s">
        <v>10678</v>
      </c>
      <c r="C327" s="72" t="s">
        <v>10679</v>
      </c>
      <c r="D327" s="12" t="s">
        <v>41</v>
      </c>
      <c r="E327" s="13" t="s">
        <v>10680</v>
      </c>
      <c r="F327" s="12">
        <v>27.0</v>
      </c>
      <c r="G327" s="14" t="s">
        <v>10574</v>
      </c>
      <c r="H327" s="15" t="s">
        <v>10575</v>
      </c>
      <c r="I327" s="74" t="s">
        <v>9674</v>
      </c>
    </row>
    <row r="328">
      <c r="A328" s="50">
        <v>315.0</v>
      </c>
      <c r="B328" s="13" t="s">
        <v>10681</v>
      </c>
      <c r="C328" s="72" t="s">
        <v>10682</v>
      </c>
      <c r="D328" s="12" t="s">
        <v>31</v>
      </c>
      <c r="E328" s="13" t="s">
        <v>10683</v>
      </c>
      <c r="F328" s="12">
        <v>30.0</v>
      </c>
      <c r="G328" s="14" t="s">
        <v>10574</v>
      </c>
      <c r="H328" s="15" t="s">
        <v>10575</v>
      </c>
      <c r="I328" s="74" t="s">
        <v>9674</v>
      </c>
    </row>
    <row r="329">
      <c r="A329" s="50">
        <v>316.0</v>
      </c>
      <c r="B329" s="13" t="s">
        <v>10684</v>
      </c>
      <c r="C329" s="72" t="s">
        <v>10685</v>
      </c>
      <c r="D329" s="12" t="s">
        <v>31</v>
      </c>
      <c r="E329" s="13" t="s">
        <v>10686</v>
      </c>
      <c r="F329" s="12">
        <v>22.0</v>
      </c>
      <c r="G329" s="14" t="s">
        <v>10574</v>
      </c>
      <c r="H329" s="15" t="s">
        <v>10575</v>
      </c>
      <c r="I329" s="74" t="s">
        <v>9674</v>
      </c>
    </row>
    <row r="330">
      <c r="A330" s="50">
        <v>317.0</v>
      </c>
      <c r="B330" s="74" t="s">
        <v>10687</v>
      </c>
      <c r="C330" s="75"/>
      <c r="D330" s="12" t="s">
        <v>10688</v>
      </c>
      <c r="E330" s="13" t="s">
        <v>10689</v>
      </c>
      <c r="F330" s="12">
        <v>19.0</v>
      </c>
      <c r="G330" s="14" t="s">
        <v>10690</v>
      </c>
      <c r="H330" s="15" t="s">
        <v>10691</v>
      </c>
      <c r="I330" s="74" t="s">
        <v>9674</v>
      </c>
    </row>
    <row r="331">
      <c r="A331" s="50">
        <v>318.0</v>
      </c>
      <c r="B331" s="13" t="s">
        <v>10692</v>
      </c>
      <c r="C331" s="72" t="s">
        <v>10693</v>
      </c>
      <c r="D331" s="12" t="s">
        <v>36</v>
      </c>
      <c r="E331" s="13" t="s">
        <v>10694</v>
      </c>
      <c r="F331" s="12">
        <v>27.0</v>
      </c>
      <c r="G331" s="14" t="s">
        <v>10690</v>
      </c>
      <c r="H331" s="15" t="s">
        <v>10691</v>
      </c>
      <c r="I331" s="73"/>
    </row>
    <row r="332">
      <c r="A332" s="50">
        <v>319.0</v>
      </c>
      <c r="B332" s="13" t="s">
        <v>10695</v>
      </c>
      <c r="C332" s="72" t="s">
        <v>10696</v>
      </c>
      <c r="D332" s="12" t="s">
        <v>98</v>
      </c>
      <c r="E332" s="13" t="s">
        <v>10697</v>
      </c>
      <c r="F332" s="12">
        <v>32.0</v>
      </c>
      <c r="G332" s="14" t="s">
        <v>10690</v>
      </c>
      <c r="H332" s="15" t="s">
        <v>10691</v>
      </c>
      <c r="I332" s="74" t="s">
        <v>9674</v>
      </c>
    </row>
    <row r="333">
      <c r="A333" s="50">
        <v>320.0</v>
      </c>
      <c r="B333" s="13" t="s">
        <v>10698</v>
      </c>
      <c r="C333" s="72" t="s">
        <v>10699</v>
      </c>
      <c r="D333" s="12" t="s">
        <v>98</v>
      </c>
      <c r="E333" s="13" t="s">
        <v>10700</v>
      </c>
      <c r="F333" s="12">
        <v>39.0</v>
      </c>
      <c r="G333" s="14" t="s">
        <v>10701</v>
      </c>
      <c r="H333" s="15" t="s">
        <v>10702</v>
      </c>
      <c r="I333" s="73"/>
    </row>
    <row r="334">
      <c r="A334" s="50">
        <v>321.0</v>
      </c>
      <c r="B334" s="13" t="s">
        <v>10703</v>
      </c>
      <c r="C334" s="72" t="s">
        <v>10704</v>
      </c>
      <c r="D334" s="12" t="s">
        <v>31</v>
      </c>
      <c r="E334" s="13" t="s">
        <v>10705</v>
      </c>
      <c r="F334" s="12">
        <v>26.0</v>
      </c>
      <c r="G334" s="14" t="s">
        <v>10701</v>
      </c>
      <c r="H334" s="15" t="s">
        <v>10702</v>
      </c>
      <c r="I334" s="74" t="s">
        <v>9674</v>
      </c>
    </row>
    <row r="335">
      <c r="A335" s="50">
        <v>322.0</v>
      </c>
      <c r="B335" s="13" t="s">
        <v>10706</v>
      </c>
      <c r="C335" s="72" t="s">
        <v>10707</v>
      </c>
      <c r="D335" s="12" t="s">
        <v>26</v>
      </c>
      <c r="E335" s="13" t="s">
        <v>10708</v>
      </c>
      <c r="F335" s="12">
        <v>24.0</v>
      </c>
      <c r="G335" s="14" t="s">
        <v>10701</v>
      </c>
      <c r="H335" s="15" t="s">
        <v>10702</v>
      </c>
      <c r="I335" s="73"/>
    </row>
    <row r="336">
      <c r="A336" s="50">
        <v>323.0</v>
      </c>
      <c r="B336" s="13" t="s">
        <v>10709</v>
      </c>
      <c r="C336" s="72" t="s">
        <v>10710</v>
      </c>
      <c r="D336" s="12" t="s">
        <v>36</v>
      </c>
      <c r="E336" s="13" t="s">
        <v>10711</v>
      </c>
      <c r="F336" s="12">
        <v>26.0</v>
      </c>
      <c r="G336" s="14" t="s">
        <v>10701</v>
      </c>
      <c r="H336" s="15" t="s">
        <v>10702</v>
      </c>
      <c r="I336" s="74" t="s">
        <v>9674</v>
      </c>
    </row>
    <row r="337">
      <c r="A337" s="50">
        <v>324.0</v>
      </c>
      <c r="B337" s="13" t="s">
        <v>10712</v>
      </c>
      <c r="C337" s="72" t="s">
        <v>10713</v>
      </c>
      <c r="D337" s="12" t="s">
        <v>36</v>
      </c>
      <c r="E337" s="13" t="s">
        <v>10714</v>
      </c>
      <c r="F337" s="12">
        <v>26.0</v>
      </c>
      <c r="G337" s="14" t="s">
        <v>10701</v>
      </c>
      <c r="H337" s="15" t="s">
        <v>10702</v>
      </c>
      <c r="I337" s="74" t="s">
        <v>9674</v>
      </c>
    </row>
    <row r="338">
      <c r="A338" s="50">
        <v>325.0</v>
      </c>
      <c r="B338" s="13" t="s">
        <v>10715</v>
      </c>
      <c r="C338" s="72" t="s">
        <v>10716</v>
      </c>
      <c r="D338" s="12" t="s">
        <v>26</v>
      </c>
      <c r="E338" s="13" t="s">
        <v>10717</v>
      </c>
      <c r="F338" s="12">
        <v>23.0</v>
      </c>
      <c r="G338" s="14" t="s">
        <v>10701</v>
      </c>
      <c r="H338" s="15" t="s">
        <v>10702</v>
      </c>
      <c r="I338" s="74" t="s">
        <v>9674</v>
      </c>
    </row>
    <row r="339">
      <c r="A339" s="37" t="s">
        <v>3</v>
      </c>
      <c r="B339" s="51" t="s">
        <v>4</v>
      </c>
      <c r="C339" s="40" t="s">
        <v>5</v>
      </c>
      <c r="D339" s="39" t="s">
        <v>6</v>
      </c>
      <c r="E339" s="39" t="s">
        <v>7</v>
      </c>
      <c r="F339" s="39" t="s">
        <v>8</v>
      </c>
      <c r="G339" s="40" t="s">
        <v>9617</v>
      </c>
      <c r="H339" s="39" t="s">
        <v>9618</v>
      </c>
      <c r="I339" s="39" t="s">
        <v>9619</v>
      </c>
    </row>
    <row r="340">
      <c r="A340" s="50">
        <v>326.0</v>
      </c>
      <c r="B340" s="13" t="s">
        <v>10718</v>
      </c>
      <c r="C340" s="72" t="s">
        <v>10719</v>
      </c>
      <c r="D340" s="12" t="s">
        <v>98</v>
      </c>
      <c r="E340" s="13" t="s">
        <v>10720</v>
      </c>
      <c r="F340" s="12">
        <v>25.0</v>
      </c>
      <c r="G340" s="14" t="s">
        <v>10701</v>
      </c>
      <c r="H340" s="15" t="s">
        <v>10702</v>
      </c>
      <c r="I340" s="74" t="s">
        <v>9674</v>
      </c>
    </row>
    <row r="341">
      <c r="A341" s="50">
        <v>327.0</v>
      </c>
      <c r="B341" s="13" t="s">
        <v>10721</v>
      </c>
      <c r="C341" s="72" t="s">
        <v>10722</v>
      </c>
      <c r="D341" s="12" t="s">
        <v>98</v>
      </c>
      <c r="E341" s="13" t="s">
        <v>10723</v>
      </c>
      <c r="F341" s="12">
        <v>34.0</v>
      </c>
      <c r="G341" s="14" t="s">
        <v>10701</v>
      </c>
      <c r="H341" s="15" t="s">
        <v>10702</v>
      </c>
      <c r="I341" s="74" t="s">
        <v>9674</v>
      </c>
    </row>
    <row r="342">
      <c r="A342" s="50">
        <v>328.0</v>
      </c>
      <c r="B342" s="13" t="s">
        <v>10724</v>
      </c>
      <c r="C342" s="72" t="s">
        <v>10725</v>
      </c>
      <c r="D342" s="12" t="s">
        <v>345</v>
      </c>
      <c r="E342" s="13" t="s">
        <v>10726</v>
      </c>
      <c r="F342" s="12">
        <v>26.0</v>
      </c>
      <c r="G342" s="14" t="s">
        <v>10701</v>
      </c>
      <c r="H342" s="15" t="s">
        <v>10702</v>
      </c>
      <c r="I342" s="74" t="s">
        <v>9674</v>
      </c>
    </row>
    <row r="343">
      <c r="A343" s="50">
        <v>329.0</v>
      </c>
      <c r="B343" s="13" t="s">
        <v>10727</v>
      </c>
      <c r="C343" s="72" t="s">
        <v>10728</v>
      </c>
      <c r="D343" s="12" t="s">
        <v>345</v>
      </c>
      <c r="E343" s="13" t="s">
        <v>10729</v>
      </c>
      <c r="F343" s="12">
        <v>23.0</v>
      </c>
      <c r="G343" s="14" t="s">
        <v>10701</v>
      </c>
      <c r="H343" s="15" t="s">
        <v>10702</v>
      </c>
      <c r="I343" s="74" t="s">
        <v>9674</v>
      </c>
    </row>
    <row r="344">
      <c r="A344" s="50">
        <v>330.0</v>
      </c>
      <c r="B344" s="13" t="s">
        <v>10730</v>
      </c>
      <c r="C344" s="72" t="s">
        <v>10731</v>
      </c>
      <c r="D344" s="12" t="s">
        <v>41</v>
      </c>
      <c r="E344" s="13" t="s">
        <v>10732</v>
      </c>
      <c r="F344" s="12">
        <v>23.0</v>
      </c>
      <c r="G344" s="14" t="s">
        <v>10701</v>
      </c>
      <c r="H344" s="15" t="s">
        <v>10702</v>
      </c>
      <c r="I344" s="74" t="s">
        <v>9674</v>
      </c>
    </row>
    <row r="345">
      <c r="A345" s="50">
        <v>331.0</v>
      </c>
      <c r="B345" s="13" t="s">
        <v>10733</v>
      </c>
      <c r="C345" s="72" t="s">
        <v>10734</v>
      </c>
      <c r="D345" s="12" t="s">
        <v>36</v>
      </c>
      <c r="E345" s="13" t="s">
        <v>10735</v>
      </c>
      <c r="F345" s="12">
        <v>27.0</v>
      </c>
      <c r="G345" s="14" t="s">
        <v>10701</v>
      </c>
      <c r="H345" s="15" t="s">
        <v>10702</v>
      </c>
      <c r="I345" s="74" t="s">
        <v>9674</v>
      </c>
    </row>
    <row r="346">
      <c r="A346" s="50">
        <v>332.0</v>
      </c>
      <c r="B346" s="13" t="s">
        <v>10736</v>
      </c>
      <c r="C346" s="72" t="s">
        <v>10737</v>
      </c>
      <c r="D346" s="12" t="s">
        <v>26</v>
      </c>
      <c r="E346" s="13" t="s">
        <v>10738</v>
      </c>
      <c r="F346" s="12">
        <v>26.0</v>
      </c>
      <c r="G346" s="14" t="s">
        <v>10701</v>
      </c>
      <c r="H346" s="15" t="s">
        <v>10702</v>
      </c>
      <c r="I346" s="74" t="s">
        <v>9674</v>
      </c>
    </row>
    <row r="347">
      <c r="A347" s="50">
        <v>333.0</v>
      </c>
      <c r="B347" s="13" t="s">
        <v>10739</v>
      </c>
      <c r="C347" s="72" t="s">
        <v>10740</v>
      </c>
      <c r="D347" s="12" t="s">
        <v>31</v>
      </c>
      <c r="E347" s="13" t="s">
        <v>10741</v>
      </c>
      <c r="F347" s="12">
        <v>25.0</v>
      </c>
      <c r="G347" s="14" t="s">
        <v>10701</v>
      </c>
      <c r="H347" s="15" t="s">
        <v>10702</v>
      </c>
      <c r="I347" s="74" t="s">
        <v>9674</v>
      </c>
    </row>
    <row r="348">
      <c r="A348" s="50">
        <v>334.0</v>
      </c>
      <c r="B348" s="13" t="s">
        <v>10742</v>
      </c>
      <c r="C348" s="72" t="s">
        <v>10743</v>
      </c>
      <c r="D348" s="12" t="s">
        <v>26</v>
      </c>
      <c r="E348" s="13" t="s">
        <v>10744</v>
      </c>
      <c r="F348" s="12">
        <v>21.0</v>
      </c>
      <c r="G348" s="14" t="s">
        <v>10701</v>
      </c>
      <c r="H348" s="15" t="s">
        <v>10702</v>
      </c>
      <c r="I348" s="74" t="s">
        <v>9674</v>
      </c>
    </row>
    <row r="349">
      <c r="A349" s="50">
        <v>335.0</v>
      </c>
      <c r="B349" s="13" t="s">
        <v>10745</v>
      </c>
      <c r="C349" s="72" t="s">
        <v>10746</v>
      </c>
      <c r="D349" s="12" t="s">
        <v>36</v>
      </c>
      <c r="E349" s="13" t="s">
        <v>10747</v>
      </c>
      <c r="F349" s="12">
        <v>23.0</v>
      </c>
      <c r="G349" s="14" t="s">
        <v>10701</v>
      </c>
      <c r="H349" s="15" t="s">
        <v>10702</v>
      </c>
      <c r="I349" s="74" t="s">
        <v>9674</v>
      </c>
    </row>
    <row r="350">
      <c r="A350" s="50">
        <v>336.0</v>
      </c>
      <c r="B350" s="13" t="s">
        <v>10748</v>
      </c>
      <c r="C350" s="72" t="s">
        <v>10749</v>
      </c>
      <c r="D350" s="12" t="s">
        <v>36</v>
      </c>
      <c r="E350" s="13" t="s">
        <v>10750</v>
      </c>
      <c r="F350" s="12">
        <v>20.0</v>
      </c>
      <c r="G350" s="14" t="s">
        <v>10701</v>
      </c>
      <c r="H350" s="15" t="s">
        <v>10702</v>
      </c>
      <c r="I350" s="74" t="s">
        <v>9674</v>
      </c>
    </row>
    <row r="351">
      <c r="A351" s="50">
        <v>337.0</v>
      </c>
      <c r="B351" s="13" t="s">
        <v>10751</v>
      </c>
      <c r="C351" s="72" t="s">
        <v>10752</v>
      </c>
      <c r="D351" s="12" t="s">
        <v>345</v>
      </c>
      <c r="E351" s="13" t="s">
        <v>10753</v>
      </c>
      <c r="F351" s="12">
        <v>22.0</v>
      </c>
      <c r="G351" s="14" t="s">
        <v>10701</v>
      </c>
      <c r="H351" s="15" t="s">
        <v>10702</v>
      </c>
      <c r="I351" s="74" t="s">
        <v>9674</v>
      </c>
    </row>
    <row r="352">
      <c r="A352" s="50">
        <v>338.0</v>
      </c>
      <c r="B352" s="13" t="s">
        <v>10754</v>
      </c>
      <c r="C352" s="72" t="s">
        <v>10755</v>
      </c>
      <c r="D352" s="12" t="s">
        <v>31</v>
      </c>
      <c r="E352" s="13" t="s">
        <v>10756</v>
      </c>
      <c r="F352" s="12">
        <v>21.0</v>
      </c>
      <c r="G352" s="14" t="s">
        <v>10701</v>
      </c>
      <c r="H352" s="15" t="s">
        <v>10702</v>
      </c>
      <c r="I352" s="74" t="s">
        <v>9674</v>
      </c>
    </row>
    <row r="353">
      <c r="A353" s="50">
        <v>339.0</v>
      </c>
      <c r="B353" s="13" t="s">
        <v>10757</v>
      </c>
      <c r="C353" s="72" t="s">
        <v>10758</v>
      </c>
      <c r="D353" s="12" t="s">
        <v>31</v>
      </c>
      <c r="E353" s="13" t="s">
        <v>10759</v>
      </c>
      <c r="F353" s="12">
        <v>25.0</v>
      </c>
      <c r="G353" s="14" t="s">
        <v>10701</v>
      </c>
      <c r="H353" s="15" t="s">
        <v>10702</v>
      </c>
      <c r="I353" s="74" t="s">
        <v>9674</v>
      </c>
    </row>
    <row r="354">
      <c r="A354" s="50">
        <v>340.0</v>
      </c>
      <c r="B354" s="13" t="s">
        <v>10760</v>
      </c>
      <c r="C354" s="72" t="s">
        <v>10761</v>
      </c>
      <c r="D354" s="12" t="s">
        <v>41</v>
      </c>
      <c r="E354" s="13" t="s">
        <v>10762</v>
      </c>
      <c r="F354" s="12">
        <v>22.0</v>
      </c>
      <c r="G354" s="14" t="s">
        <v>10701</v>
      </c>
      <c r="H354" s="15" t="s">
        <v>10702</v>
      </c>
      <c r="I354" s="74" t="s">
        <v>9674</v>
      </c>
    </row>
    <row r="355">
      <c r="A355" s="50">
        <v>341.0</v>
      </c>
      <c r="B355" s="13" t="s">
        <v>10763</v>
      </c>
      <c r="C355" s="72" t="s">
        <v>10764</v>
      </c>
      <c r="D355" s="12" t="s">
        <v>36</v>
      </c>
      <c r="E355" s="13" t="s">
        <v>10765</v>
      </c>
      <c r="F355" s="12">
        <v>22.0</v>
      </c>
      <c r="G355" s="14" t="s">
        <v>10701</v>
      </c>
      <c r="H355" s="15" t="s">
        <v>10702</v>
      </c>
      <c r="I355" s="73"/>
    </row>
    <row r="356">
      <c r="A356" s="50">
        <v>342.0</v>
      </c>
      <c r="B356" s="13" t="s">
        <v>10766</v>
      </c>
      <c r="C356" s="72" t="s">
        <v>10767</v>
      </c>
      <c r="D356" s="12" t="s">
        <v>36</v>
      </c>
      <c r="E356" s="13" t="s">
        <v>10768</v>
      </c>
      <c r="F356" s="12">
        <v>25.0</v>
      </c>
      <c r="G356" s="14" t="s">
        <v>10701</v>
      </c>
      <c r="H356" s="15" t="s">
        <v>10702</v>
      </c>
      <c r="I356" s="74" t="s">
        <v>9674</v>
      </c>
    </row>
    <row r="357">
      <c r="A357" s="50">
        <v>343.0</v>
      </c>
      <c r="B357" s="13" t="s">
        <v>10769</v>
      </c>
      <c r="C357" s="72" t="s">
        <v>10770</v>
      </c>
      <c r="D357" s="12" t="s">
        <v>345</v>
      </c>
      <c r="E357" s="13" t="s">
        <v>10771</v>
      </c>
      <c r="F357" s="12">
        <v>25.0</v>
      </c>
      <c r="G357" s="14" t="s">
        <v>10701</v>
      </c>
      <c r="H357" s="15" t="s">
        <v>10702</v>
      </c>
      <c r="I357" s="74" t="s">
        <v>9674</v>
      </c>
    </row>
    <row r="358">
      <c r="A358" s="50">
        <v>344.0</v>
      </c>
      <c r="B358" s="13" t="s">
        <v>10772</v>
      </c>
      <c r="C358" s="72" t="s">
        <v>10773</v>
      </c>
      <c r="D358" s="12" t="s">
        <v>264</v>
      </c>
      <c r="E358" s="13" t="s">
        <v>10774</v>
      </c>
      <c r="F358" s="12">
        <v>18.0</v>
      </c>
      <c r="G358" s="14" t="s">
        <v>10701</v>
      </c>
      <c r="H358" s="15" t="s">
        <v>10702</v>
      </c>
      <c r="I358" s="74" t="s">
        <v>9674</v>
      </c>
    </row>
    <row r="359">
      <c r="A359" s="50">
        <v>345.0</v>
      </c>
      <c r="B359" s="74" t="s">
        <v>10775</v>
      </c>
      <c r="C359" s="75"/>
      <c r="D359" s="12" t="s">
        <v>10776</v>
      </c>
      <c r="E359" s="13" t="s">
        <v>10777</v>
      </c>
      <c r="F359" s="12">
        <v>20.0</v>
      </c>
      <c r="G359" s="14" t="s">
        <v>10778</v>
      </c>
      <c r="H359" s="15" t="s">
        <v>10779</v>
      </c>
      <c r="I359" s="73"/>
    </row>
    <row r="360">
      <c r="A360" s="50">
        <v>346.0</v>
      </c>
      <c r="B360" s="13" t="s">
        <v>10780</v>
      </c>
      <c r="C360" s="72" t="s">
        <v>10781</v>
      </c>
      <c r="D360" s="12" t="s">
        <v>98</v>
      </c>
      <c r="E360" s="13" t="s">
        <v>10782</v>
      </c>
      <c r="F360" s="12">
        <v>37.0</v>
      </c>
      <c r="G360" s="14" t="s">
        <v>10778</v>
      </c>
      <c r="H360" s="15" t="s">
        <v>10779</v>
      </c>
      <c r="I360" s="74" t="s">
        <v>9674</v>
      </c>
    </row>
    <row r="361">
      <c r="A361" s="50">
        <v>347.0</v>
      </c>
      <c r="B361" s="13" t="s">
        <v>10783</v>
      </c>
      <c r="C361" s="72" t="s">
        <v>10784</v>
      </c>
      <c r="D361" s="12" t="s">
        <v>36</v>
      </c>
      <c r="E361" s="13" t="s">
        <v>10785</v>
      </c>
      <c r="F361" s="12">
        <v>27.0</v>
      </c>
      <c r="G361" s="14" t="s">
        <v>10778</v>
      </c>
      <c r="H361" s="15" t="s">
        <v>10779</v>
      </c>
      <c r="I361" s="74" t="s">
        <v>9674</v>
      </c>
    </row>
    <row r="362">
      <c r="A362" s="50">
        <v>348.0</v>
      </c>
      <c r="B362" s="13" t="s">
        <v>10786</v>
      </c>
      <c r="C362" s="72" t="s">
        <v>10787</v>
      </c>
      <c r="D362" s="12" t="s">
        <v>31</v>
      </c>
      <c r="E362" s="13" t="s">
        <v>10788</v>
      </c>
      <c r="F362" s="12">
        <v>20.0</v>
      </c>
      <c r="G362" s="14" t="s">
        <v>10789</v>
      </c>
      <c r="H362" s="15" t="s">
        <v>10790</v>
      </c>
      <c r="I362" s="73"/>
    </row>
    <row r="363">
      <c r="A363" s="50">
        <v>349.0</v>
      </c>
      <c r="B363" s="13" t="s">
        <v>10791</v>
      </c>
      <c r="C363" s="72" t="s">
        <v>10792</v>
      </c>
      <c r="D363" s="12" t="s">
        <v>345</v>
      </c>
      <c r="E363" s="13" t="s">
        <v>10793</v>
      </c>
      <c r="F363" s="12">
        <v>24.0</v>
      </c>
      <c r="G363" s="14" t="s">
        <v>10789</v>
      </c>
      <c r="H363" s="15" t="s">
        <v>10790</v>
      </c>
      <c r="I363" s="73"/>
    </row>
    <row r="364">
      <c r="A364" s="50">
        <v>350.0</v>
      </c>
      <c r="B364" s="13" t="s">
        <v>10794</v>
      </c>
      <c r="C364" s="72" t="s">
        <v>10795</v>
      </c>
      <c r="D364" s="12" t="s">
        <v>26</v>
      </c>
      <c r="E364" s="13" t="s">
        <v>10796</v>
      </c>
      <c r="F364" s="12">
        <v>20.0</v>
      </c>
      <c r="G364" s="14" t="s">
        <v>10789</v>
      </c>
      <c r="H364" s="15" t="s">
        <v>10790</v>
      </c>
      <c r="I364" s="74" t="s">
        <v>9674</v>
      </c>
    </row>
    <row r="365">
      <c r="A365" s="37" t="s">
        <v>3</v>
      </c>
      <c r="B365" s="51" t="s">
        <v>4</v>
      </c>
      <c r="C365" s="40" t="s">
        <v>5</v>
      </c>
      <c r="D365" s="39" t="s">
        <v>6</v>
      </c>
      <c r="E365" s="39" t="s">
        <v>7</v>
      </c>
      <c r="F365" s="39" t="s">
        <v>8</v>
      </c>
      <c r="G365" s="40" t="s">
        <v>9617</v>
      </c>
      <c r="H365" s="39" t="s">
        <v>9618</v>
      </c>
      <c r="I365" s="39" t="s">
        <v>9619</v>
      </c>
    </row>
    <row r="366">
      <c r="A366" s="50">
        <v>351.0</v>
      </c>
      <c r="B366" s="13" t="s">
        <v>10797</v>
      </c>
      <c r="C366" s="72" t="s">
        <v>10798</v>
      </c>
      <c r="D366" s="12" t="s">
        <v>31</v>
      </c>
      <c r="E366" s="13" t="s">
        <v>10799</v>
      </c>
      <c r="F366" s="12">
        <v>25.0</v>
      </c>
      <c r="G366" s="14" t="s">
        <v>10789</v>
      </c>
      <c r="H366" s="15" t="s">
        <v>10790</v>
      </c>
      <c r="I366" s="74" t="s">
        <v>9674</v>
      </c>
    </row>
    <row r="367">
      <c r="A367" s="50">
        <v>352.0</v>
      </c>
      <c r="B367" s="13" t="s">
        <v>10800</v>
      </c>
      <c r="C367" s="72" t="s">
        <v>10801</v>
      </c>
      <c r="D367" s="12" t="s">
        <v>36</v>
      </c>
      <c r="E367" s="13" t="s">
        <v>10802</v>
      </c>
      <c r="F367" s="12">
        <v>34.0</v>
      </c>
      <c r="G367" s="14" t="s">
        <v>10789</v>
      </c>
      <c r="H367" s="15" t="s">
        <v>10790</v>
      </c>
      <c r="I367" s="74" t="s">
        <v>9674</v>
      </c>
    </row>
    <row r="368">
      <c r="A368" s="50">
        <v>353.0</v>
      </c>
      <c r="B368" s="13" t="s">
        <v>10803</v>
      </c>
      <c r="C368" s="72" t="s">
        <v>10804</v>
      </c>
      <c r="D368" s="12" t="s">
        <v>31</v>
      </c>
      <c r="E368" s="13" t="s">
        <v>10805</v>
      </c>
      <c r="F368" s="12">
        <v>21.0</v>
      </c>
      <c r="G368" s="14" t="s">
        <v>10789</v>
      </c>
      <c r="H368" s="15" t="s">
        <v>10790</v>
      </c>
      <c r="I368" s="74" t="s">
        <v>9674</v>
      </c>
    </row>
    <row r="369">
      <c r="A369" s="50">
        <v>354.0</v>
      </c>
      <c r="B369" s="13" t="s">
        <v>10806</v>
      </c>
      <c r="C369" s="72" t="s">
        <v>10807</v>
      </c>
      <c r="D369" s="12" t="s">
        <v>31</v>
      </c>
      <c r="E369" s="13" t="s">
        <v>10808</v>
      </c>
      <c r="F369" s="12">
        <v>24.0</v>
      </c>
      <c r="G369" s="14" t="s">
        <v>10789</v>
      </c>
      <c r="H369" s="15" t="s">
        <v>10790</v>
      </c>
      <c r="I369" s="74" t="s">
        <v>9674</v>
      </c>
    </row>
    <row r="370">
      <c r="A370" s="50">
        <v>355.0</v>
      </c>
      <c r="B370" s="13" t="s">
        <v>10809</v>
      </c>
      <c r="C370" s="72" t="s">
        <v>10810</v>
      </c>
      <c r="D370" s="12" t="s">
        <v>345</v>
      </c>
      <c r="E370" s="13" t="s">
        <v>10811</v>
      </c>
      <c r="F370" s="12">
        <v>26.0</v>
      </c>
      <c r="G370" s="14" t="s">
        <v>10789</v>
      </c>
      <c r="H370" s="15" t="s">
        <v>10790</v>
      </c>
      <c r="I370" s="74" t="s">
        <v>9674</v>
      </c>
    </row>
    <row r="371">
      <c r="A371" s="50">
        <v>356.0</v>
      </c>
      <c r="B371" s="13" t="s">
        <v>10812</v>
      </c>
      <c r="C371" s="72" t="s">
        <v>10813</v>
      </c>
      <c r="D371" s="12" t="s">
        <v>36</v>
      </c>
      <c r="E371" s="13" t="s">
        <v>10814</v>
      </c>
      <c r="F371" s="12">
        <v>27.0</v>
      </c>
      <c r="G371" s="14" t="s">
        <v>10789</v>
      </c>
      <c r="H371" s="15" t="s">
        <v>10790</v>
      </c>
      <c r="I371" s="74" t="s">
        <v>9674</v>
      </c>
    </row>
    <row r="372">
      <c r="A372" s="50">
        <v>357.0</v>
      </c>
      <c r="B372" s="13" t="s">
        <v>10815</v>
      </c>
      <c r="C372" s="72" t="s">
        <v>10816</v>
      </c>
      <c r="D372" s="12" t="s">
        <v>41</v>
      </c>
      <c r="E372" s="13" t="s">
        <v>10817</v>
      </c>
      <c r="F372" s="12">
        <v>25.0</v>
      </c>
      <c r="G372" s="14" t="s">
        <v>10789</v>
      </c>
      <c r="H372" s="15" t="s">
        <v>10790</v>
      </c>
      <c r="I372" s="74" t="s">
        <v>9674</v>
      </c>
    </row>
    <row r="373">
      <c r="A373" s="50">
        <v>358.0</v>
      </c>
      <c r="B373" s="13" t="s">
        <v>10818</v>
      </c>
      <c r="C373" s="72" t="s">
        <v>10819</v>
      </c>
      <c r="D373" s="12" t="s">
        <v>41</v>
      </c>
      <c r="E373" s="13" t="s">
        <v>10820</v>
      </c>
      <c r="F373" s="12">
        <v>21.0</v>
      </c>
      <c r="G373" s="14" t="s">
        <v>10789</v>
      </c>
      <c r="H373" s="15" t="s">
        <v>10790</v>
      </c>
      <c r="I373" s="74" t="s">
        <v>9674</v>
      </c>
    </row>
    <row r="374">
      <c r="A374" s="50">
        <v>359.0</v>
      </c>
      <c r="B374" s="13" t="s">
        <v>10821</v>
      </c>
      <c r="C374" s="72" t="s">
        <v>10822</v>
      </c>
      <c r="D374" s="12" t="s">
        <v>9861</v>
      </c>
      <c r="E374" s="13" t="s">
        <v>10823</v>
      </c>
      <c r="F374" s="12">
        <v>21.0</v>
      </c>
      <c r="G374" s="14" t="s">
        <v>10789</v>
      </c>
      <c r="H374" s="15" t="s">
        <v>10790</v>
      </c>
      <c r="I374" s="74" t="s">
        <v>9674</v>
      </c>
    </row>
    <row r="375">
      <c r="A375" s="50">
        <v>360.0</v>
      </c>
      <c r="B375" s="13" t="s">
        <v>10824</v>
      </c>
      <c r="C375" s="72" t="s">
        <v>10825</v>
      </c>
      <c r="D375" s="12" t="s">
        <v>264</v>
      </c>
      <c r="E375" s="13" t="s">
        <v>10826</v>
      </c>
      <c r="F375" s="12">
        <v>23.0</v>
      </c>
      <c r="G375" s="14" t="s">
        <v>10789</v>
      </c>
      <c r="H375" s="15" t="s">
        <v>10790</v>
      </c>
      <c r="I375" s="73"/>
    </row>
    <row r="376">
      <c r="A376" s="50">
        <v>361.0</v>
      </c>
      <c r="B376" s="13" t="s">
        <v>10827</v>
      </c>
      <c r="C376" s="72" t="s">
        <v>10828</v>
      </c>
      <c r="D376" s="12" t="s">
        <v>36</v>
      </c>
      <c r="E376" s="13" t="s">
        <v>10829</v>
      </c>
      <c r="F376" s="12">
        <v>26.0</v>
      </c>
      <c r="G376" s="14" t="s">
        <v>10789</v>
      </c>
      <c r="H376" s="15" t="s">
        <v>10790</v>
      </c>
      <c r="I376" s="74" t="s">
        <v>9674</v>
      </c>
    </row>
    <row r="377">
      <c r="A377" s="50">
        <v>362.0</v>
      </c>
      <c r="B377" s="13" t="s">
        <v>10830</v>
      </c>
      <c r="C377" s="72" t="s">
        <v>10831</v>
      </c>
      <c r="D377" s="12" t="s">
        <v>26</v>
      </c>
      <c r="E377" s="13" t="s">
        <v>10832</v>
      </c>
      <c r="F377" s="12">
        <v>20.0</v>
      </c>
      <c r="G377" s="14" t="s">
        <v>10789</v>
      </c>
      <c r="H377" s="15" t="s">
        <v>10790</v>
      </c>
      <c r="I377" s="74" t="s">
        <v>9674</v>
      </c>
    </row>
    <row r="378">
      <c r="A378" s="50">
        <v>363.0</v>
      </c>
      <c r="B378" s="13" t="s">
        <v>10833</v>
      </c>
      <c r="C378" s="72" t="s">
        <v>10834</v>
      </c>
      <c r="D378" s="12" t="s">
        <v>31</v>
      </c>
      <c r="E378" s="13" t="s">
        <v>10835</v>
      </c>
      <c r="F378" s="12">
        <v>20.0</v>
      </c>
      <c r="G378" s="14" t="s">
        <v>10789</v>
      </c>
      <c r="H378" s="15" t="s">
        <v>10790</v>
      </c>
      <c r="I378" s="74" t="s">
        <v>9674</v>
      </c>
    </row>
    <row r="379">
      <c r="A379" s="50">
        <v>364.0</v>
      </c>
      <c r="B379" s="13" t="s">
        <v>10836</v>
      </c>
      <c r="C379" s="72" t="s">
        <v>10837</v>
      </c>
      <c r="D379" s="12" t="s">
        <v>345</v>
      </c>
      <c r="E379" s="13" t="s">
        <v>10838</v>
      </c>
      <c r="F379" s="12">
        <v>22.0</v>
      </c>
      <c r="G379" s="14" t="s">
        <v>10789</v>
      </c>
      <c r="H379" s="15" t="s">
        <v>10790</v>
      </c>
      <c r="I379" s="74" t="s">
        <v>9674</v>
      </c>
    </row>
    <row r="380">
      <c r="A380" s="50">
        <v>365.0</v>
      </c>
      <c r="B380" s="13" t="s">
        <v>10839</v>
      </c>
      <c r="C380" s="72" t="s">
        <v>10840</v>
      </c>
      <c r="D380" s="12" t="s">
        <v>31</v>
      </c>
      <c r="E380" s="13" t="s">
        <v>10841</v>
      </c>
      <c r="F380" s="12">
        <v>25.0</v>
      </c>
      <c r="G380" s="14" t="s">
        <v>10789</v>
      </c>
      <c r="H380" s="15" t="s">
        <v>10790</v>
      </c>
      <c r="I380" s="74" t="s">
        <v>9674</v>
      </c>
    </row>
    <row r="381">
      <c r="A381" s="50">
        <v>366.0</v>
      </c>
      <c r="B381" s="13" t="s">
        <v>10842</v>
      </c>
      <c r="C381" s="72" t="s">
        <v>10843</v>
      </c>
      <c r="D381" s="12" t="s">
        <v>36</v>
      </c>
      <c r="E381" s="13" t="s">
        <v>10844</v>
      </c>
      <c r="F381" s="12">
        <v>28.0</v>
      </c>
      <c r="G381" s="14" t="s">
        <v>10789</v>
      </c>
      <c r="H381" s="15" t="s">
        <v>10790</v>
      </c>
      <c r="I381" s="74" t="s">
        <v>9674</v>
      </c>
    </row>
    <row r="382">
      <c r="A382" s="50">
        <v>367.0</v>
      </c>
      <c r="B382" s="13" t="s">
        <v>10845</v>
      </c>
      <c r="C382" s="72" t="s">
        <v>10846</v>
      </c>
      <c r="D382" s="12" t="s">
        <v>98</v>
      </c>
      <c r="E382" s="13" t="s">
        <v>10847</v>
      </c>
      <c r="F382" s="12">
        <v>36.0</v>
      </c>
      <c r="G382" s="14" t="s">
        <v>10789</v>
      </c>
      <c r="H382" s="15" t="s">
        <v>10790</v>
      </c>
      <c r="I382" s="74" t="s">
        <v>9674</v>
      </c>
    </row>
    <row r="383">
      <c r="A383" s="50">
        <v>368.0</v>
      </c>
      <c r="B383" s="13" t="s">
        <v>10848</v>
      </c>
      <c r="C383" s="72" t="s">
        <v>10849</v>
      </c>
      <c r="D383" s="12" t="s">
        <v>10850</v>
      </c>
      <c r="E383" s="13" t="s">
        <v>10851</v>
      </c>
      <c r="F383" s="12">
        <v>29.0</v>
      </c>
      <c r="G383" s="14" t="s">
        <v>10789</v>
      </c>
      <c r="H383" s="15" t="s">
        <v>10790</v>
      </c>
      <c r="I383" s="73"/>
    </row>
    <row r="384">
      <c r="A384" s="50">
        <v>369.0</v>
      </c>
      <c r="B384" s="13" t="s">
        <v>10852</v>
      </c>
      <c r="C384" s="72" t="s">
        <v>10853</v>
      </c>
      <c r="D384" s="12" t="s">
        <v>31</v>
      </c>
      <c r="E384" s="13" t="s">
        <v>10854</v>
      </c>
      <c r="F384" s="12">
        <v>22.0</v>
      </c>
      <c r="G384" s="14" t="s">
        <v>10789</v>
      </c>
      <c r="H384" s="15" t="s">
        <v>10790</v>
      </c>
      <c r="I384" s="74" t="s">
        <v>9674</v>
      </c>
    </row>
    <row r="385">
      <c r="A385" s="50">
        <v>370.0</v>
      </c>
      <c r="B385" s="13" t="s">
        <v>10855</v>
      </c>
      <c r="C385" s="72" t="s">
        <v>10856</v>
      </c>
      <c r="D385" s="12" t="s">
        <v>31</v>
      </c>
      <c r="E385" s="13" t="s">
        <v>10857</v>
      </c>
      <c r="F385" s="12">
        <v>27.0</v>
      </c>
      <c r="G385" s="14" t="s">
        <v>10789</v>
      </c>
      <c r="H385" s="15" t="s">
        <v>10790</v>
      </c>
      <c r="I385" s="74" t="s">
        <v>9674</v>
      </c>
    </row>
    <row r="386">
      <c r="A386" s="50">
        <v>371.0</v>
      </c>
      <c r="B386" s="13" t="s">
        <v>10858</v>
      </c>
      <c r="C386" s="72" t="s">
        <v>10859</v>
      </c>
      <c r="D386" s="12" t="s">
        <v>36</v>
      </c>
      <c r="E386" s="13" t="s">
        <v>10860</v>
      </c>
      <c r="F386" s="12">
        <v>27.0</v>
      </c>
      <c r="G386" s="14" t="s">
        <v>10789</v>
      </c>
      <c r="H386" s="15" t="s">
        <v>10790</v>
      </c>
      <c r="I386" s="74" t="s">
        <v>9674</v>
      </c>
    </row>
    <row r="387">
      <c r="A387" s="50">
        <v>372.0</v>
      </c>
      <c r="B387" s="13" t="s">
        <v>10861</v>
      </c>
      <c r="C387" s="72" t="s">
        <v>10862</v>
      </c>
      <c r="D387" s="12" t="s">
        <v>36</v>
      </c>
      <c r="E387" s="13" t="s">
        <v>10863</v>
      </c>
      <c r="F387" s="12">
        <v>21.0</v>
      </c>
      <c r="G387" s="14" t="s">
        <v>10789</v>
      </c>
      <c r="H387" s="15" t="s">
        <v>10790</v>
      </c>
      <c r="I387" s="74" t="s">
        <v>9674</v>
      </c>
    </row>
    <row r="388">
      <c r="A388" s="50">
        <v>373.0</v>
      </c>
      <c r="B388" s="13" t="s">
        <v>10864</v>
      </c>
      <c r="C388" s="72" t="s">
        <v>10865</v>
      </c>
      <c r="D388" s="12" t="s">
        <v>31</v>
      </c>
      <c r="E388" s="13" t="s">
        <v>10866</v>
      </c>
      <c r="F388" s="12">
        <v>20.0</v>
      </c>
      <c r="G388" s="14" t="s">
        <v>10789</v>
      </c>
      <c r="H388" s="15" t="s">
        <v>10790</v>
      </c>
      <c r="I388" s="74" t="s">
        <v>9674</v>
      </c>
    </row>
    <row r="389">
      <c r="A389" s="50">
        <v>374.0</v>
      </c>
      <c r="B389" s="13" t="s">
        <v>10867</v>
      </c>
      <c r="C389" s="72" t="s">
        <v>10868</v>
      </c>
      <c r="D389" s="12" t="s">
        <v>98</v>
      </c>
      <c r="E389" s="13" t="s">
        <v>10869</v>
      </c>
      <c r="F389" s="12">
        <v>21.0</v>
      </c>
      <c r="G389" s="14" t="s">
        <v>10789</v>
      </c>
      <c r="H389" s="15" t="s">
        <v>10790</v>
      </c>
      <c r="I389" s="74" t="s">
        <v>9674</v>
      </c>
    </row>
    <row r="390">
      <c r="A390" s="50">
        <v>375.0</v>
      </c>
      <c r="B390" s="13" t="s">
        <v>10870</v>
      </c>
      <c r="C390" s="72" t="s">
        <v>10871</v>
      </c>
      <c r="D390" s="12" t="s">
        <v>41</v>
      </c>
      <c r="E390" s="13" t="s">
        <v>10872</v>
      </c>
      <c r="F390" s="12">
        <v>18.0</v>
      </c>
      <c r="G390" s="14" t="s">
        <v>10789</v>
      </c>
      <c r="H390" s="15" t="s">
        <v>10790</v>
      </c>
      <c r="I390" s="74" t="s">
        <v>9674</v>
      </c>
    </row>
    <row r="391">
      <c r="A391" s="37" t="s">
        <v>3</v>
      </c>
      <c r="B391" s="51" t="s">
        <v>4</v>
      </c>
      <c r="C391" s="40" t="s">
        <v>5</v>
      </c>
      <c r="D391" s="39" t="s">
        <v>6</v>
      </c>
      <c r="E391" s="39" t="s">
        <v>7</v>
      </c>
      <c r="F391" s="39" t="s">
        <v>8</v>
      </c>
      <c r="G391" s="40" t="s">
        <v>9617</v>
      </c>
      <c r="H391" s="39" t="s">
        <v>9618</v>
      </c>
      <c r="I391" s="39" t="s">
        <v>9619</v>
      </c>
    </row>
    <row r="392">
      <c r="A392" s="50">
        <v>376.0</v>
      </c>
      <c r="B392" s="13" t="s">
        <v>10873</v>
      </c>
      <c r="C392" s="72" t="s">
        <v>10874</v>
      </c>
      <c r="D392" s="12" t="s">
        <v>31</v>
      </c>
      <c r="E392" s="13" t="s">
        <v>10875</v>
      </c>
      <c r="F392" s="12">
        <v>21.0</v>
      </c>
      <c r="G392" s="14" t="s">
        <v>10789</v>
      </c>
      <c r="H392" s="15" t="s">
        <v>10790</v>
      </c>
      <c r="I392" s="74" t="s">
        <v>9674</v>
      </c>
    </row>
    <row r="393">
      <c r="A393" s="50">
        <v>377.0</v>
      </c>
      <c r="B393" s="74" t="s">
        <v>10876</v>
      </c>
      <c r="C393" s="75"/>
      <c r="D393" s="12" t="s">
        <v>10472</v>
      </c>
      <c r="E393" s="13" t="s">
        <v>10877</v>
      </c>
      <c r="F393" s="12">
        <v>19.0</v>
      </c>
      <c r="G393" s="14" t="s">
        <v>10789</v>
      </c>
      <c r="H393" s="15" t="s">
        <v>10790</v>
      </c>
      <c r="I393" s="74" t="s">
        <v>9674</v>
      </c>
    </row>
    <row r="394">
      <c r="A394" s="50">
        <v>378.0</v>
      </c>
      <c r="B394" s="13" t="s">
        <v>10878</v>
      </c>
      <c r="C394" s="72" t="s">
        <v>10879</v>
      </c>
      <c r="D394" s="12" t="s">
        <v>31</v>
      </c>
      <c r="E394" s="13" t="s">
        <v>10880</v>
      </c>
      <c r="F394" s="12">
        <v>22.0</v>
      </c>
      <c r="G394" s="14" t="s">
        <v>10789</v>
      </c>
      <c r="H394" s="15" t="s">
        <v>10790</v>
      </c>
      <c r="I394" s="74" t="s">
        <v>9674</v>
      </c>
    </row>
    <row r="395">
      <c r="A395" s="50">
        <v>379.0</v>
      </c>
      <c r="B395" s="13" t="s">
        <v>10881</v>
      </c>
      <c r="C395" s="72" t="s">
        <v>10882</v>
      </c>
      <c r="D395" s="12" t="s">
        <v>31</v>
      </c>
      <c r="E395" s="13" t="s">
        <v>10883</v>
      </c>
      <c r="F395" s="12">
        <v>22.0</v>
      </c>
      <c r="G395" s="14" t="s">
        <v>10789</v>
      </c>
      <c r="H395" s="15" t="s">
        <v>10790</v>
      </c>
      <c r="I395" s="74" t="s">
        <v>9674</v>
      </c>
    </row>
    <row r="396">
      <c r="A396" s="50">
        <v>380.0</v>
      </c>
      <c r="B396" s="13" t="s">
        <v>10884</v>
      </c>
      <c r="C396" s="72" t="s">
        <v>10885</v>
      </c>
      <c r="D396" s="12" t="s">
        <v>98</v>
      </c>
      <c r="E396" s="13" t="s">
        <v>10886</v>
      </c>
      <c r="F396" s="12">
        <v>29.0</v>
      </c>
      <c r="G396" s="14" t="s">
        <v>10789</v>
      </c>
      <c r="H396" s="15" t="s">
        <v>10790</v>
      </c>
      <c r="I396" s="74" t="s">
        <v>9674</v>
      </c>
    </row>
    <row r="397">
      <c r="A397" s="50">
        <v>381.0</v>
      </c>
      <c r="B397" s="13" t="s">
        <v>10887</v>
      </c>
      <c r="C397" s="72" t="s">
        <v>10888</v>
      </c>
      <c r="D397" s="12" t="s">
        <v>98</v>
      </c>
      <c r="E397" s="13" t="s">
        <v>10889</v>
      </c>
      <c r="F397" s="12">
        <v>33.0</v>
      </c>
      <c r="G397" s="14" t="s">
        <v>10789</v>
      </c>
      <c r="H397" s="15" t="s">
        <v>10790</v>
      </c>
      <c r="I397" s="74" t="s">
        <v>9674</v>
      </c>
    </row>
    <row r="398">
      <c r="A398" s="50">
        <v>382.0</v>
      </c>
      <c r="B398" s="13" t="s">
        <v>10890</v>
      </c>
      <c r="C398" s="72" t="s">
        <v>10891</v>
      </c>
      <c r="D398" s="12" t="s">
        <v>36</v>
      </c>
      <c r="E398" s="13" t="s">
        <v>10892</v>
      </c>
      <c r="F398" s="12">
        <v>34.0</v>
      </c>
      <c r="G398" s="14" t="s">
        <v>10789</v>
      </c>
      <c r="H398" s="15" t="s">
        <v>10790</v>
      </c>
      <c r="I398" s="74" t="s">
        <v>9674</v>
      </c>
    </row>
    <row r="399">
      <c r="A399" s="50">
        <v>383.0</v>
      </c>
      <c r="B399" s="13" t="s">
        <v>10893</v>
      </c>
      <c r="C399" s="72" t="s">
        <v>10894</v>
      </c>
      <c r="D399" s="12" t="s">
        <v>31</v>
      </c>
      <c r="E399" s="13" t="s">
        <v>10895</v>
      </c>
      <c r="F399" s="12">
        <v>24.0</v>
      </c>
      <c r="G399" s="14" t="s">
        <v>10896</v>
      </c>
      <c r="H399" s="15" t="s">
        <v>10897</v>
      </c>
      <c r="I399" s="74" t="s">
        <v>9674</v>
      </c>
    </row>
    <row r="400">
      <c r="A400" s="50">
        <v>384.0</v>
      </c>
      <c r="B400" s="13" t="s">
        <v>10898</v>
      </c>
      <c r="C400" s="72" t="s">
        <v>10899</v>
      </c>
      <c r="D400" s="12" t="s">
        <v>26</v>
      </c>
      <c r="E400" s="13" t="s">
        <v>10900</v>
      </c>
      <c r="F400" s="12">
        <v>24.0</v>
      </c>
      <c r="G400" s="14" t="s">
        <v>10901</v>
      </c>
      <c r="H400" s="15" t="s">
        <v>10902</v>
      </c>
      <c r="I400" s="74" t="s">
        <v>9674</v>
      </c>
    </row>
    <row r="401">
      <c r="A401" s="50">
        <v>385.0</v>
      </c>
      <c r="B401" s="13" t="s">
        <v>10903</v>
      </c>
      <c r="C401" s="72" t="s">
        <v>10904</v>
      </c>
      <c r="D401" s="12" t="s">
        <v>36</v>
      </c>
      <c r="E401" s="13" t="s">
        <v>10905</v>
      </c>
      <c r="F401" s="12">
        <v>19.0</v>
      </c>
      <c r="G401" s="14" t="s">
        <v>10901</v>
      </c>
      <c r="H401" s="15" t="s">
        <v>10902</v>
      </c>
      <c r="I401" s="74" t="s">
        <v>9674</v>
      </c>
    </row>
    <row r="402">
      <c r="A402" s="50">
        <v>386.0</v>
      </c>
      <c r="B402" s="13" t="s">
        <v>10906</v>
      </c>
      <c r="C402" s="72" t="s">
        <v>10907</v>
      </c>
      <c r="D402" s="12" t="s">
        <v>345</v>
      </c>
      <c r="E402" s="13" t="s">
        <v>10908</v>
      </c>
      <c r="F402" s="12">
        <v>22.0</v>
      </c>
      <c r="G402" s="14" t="s">
        <v>10901</v>
      </c>
      <c r="H402" s="15" t="s">
        <v>10902</v>
      </c>
      <c r="I402" s="74" t="s">
        <v>9674</v>
      </c>
    </row>
    <row r="403">
      <c r="A403" s="50">
        <v>387.0</v>
      </c>
      <c r="B403" s="13" t="s">
        <v>10909</v>
      </c>
      <c r="C403" s="72" t="s">
        <v>10910</v>
      </c>
      <c r="D403" s="12" t="s">
        <v>98</v>
      </c>
      <c r="E403" s="13" t="s">
        <v>10911</v>
      </c>
      <c r="F403" s="12">
        <v>27.0</v>
      </c>
      <c r="G403" s="14" t="s">
        <v>10912</v>
      </c>
      <c r="H403" s="15" t="s">
        <v>10913</v>
      </c>
      <c r="I403" s="74" t="s">
        <v>9674</v>
      </c>
    </row>
    <row r="404">
      <c r="A404" s="50">
        <v>388.0</v>
      </c>
      <c r="B404" s="13" t="s">
        <v>10914</v>
      </c>
      <c r="C404" s="72" t="s">
        <v>10915</v>
      </c>
      <c r="D404" s="12" t="s">
        <v>31</v>
      </c>
      <c r="E404" s="13" t="s">
        <v>10916</v>
      </c>
      <c r="F404" s="12">
        <v>21.0</v>
      </c>
      <c r="G404" s="14" t="s">
        <v>10912</v>
      </c>
      <c r="H404" s="15" t="s">
        <v>10913</v>
      </c>
      <c r="I404" s="74" t="s">
        <v>9674</v>
      </c>
    </row>
    <row r="405">
      <c r="A405" s="50">
        <v>389.0</v>
      </c>
      <c r="B405" s="13" t="s">
        <v>10917</v>
      </c>
      <c r="C405" s="72" t="s">
        <v>10918</v>
      </c>
      <c r="D405" s="12" t="s">
        <v>345</v>
      </c>
      <c r="E405" s="13" t="s">
        <v>10919</v>
      </c>
      <c r="F405" s="12">
        <v>27.0</v>
      </c>
      <c r="G405" s="14" t="s">
        <v>10912</v>
      </c>
      <c r="H405" s="15" t="s">
        <v>10913</v>
      </c>
      <c r="I405" s="74" t="s">
        <v>9674</v>
      </c>
    </row>
    <row r="406">
      <c r="A406" s="50">
        <v>390.0</v>
      </c>
      <c r="B406" s="13" t="s">
        <v>10920</v>
      </c>
      <c r="C406" s="72" t="s">
        <v>10921</v>
      </c>
      <c r="D406" s="12" t="s">
        <v>98</v>
      </c>
      <c r="E406" s="13" t="s">
        <v>10922</v>
      </c>
      <c r="F406" s="12">
        <v>32.0</v>
      </c>
      <c r="G406" s="14" t="s">
        <v>10912</v>
      </c>
      <c r="H406" s="15" t="s">
        <v>10913</v>
      </c>
      <c r="I406" s="74" t="s">
        <v>9674</v>
      </c>
    </row>
    <row r="407">
      <c r="A407" s="50">
        <v>391.0</v>
      </c>
      <c r="B407" s="13" t="s">
        <v>10923</v>
      </c>
      <c r="C407" s="72" t="s">
        <v>10924</v>
      </c>
      <c r="D407" s="12" t="s">
        <v>36</v>
      </c>
      <c r="E407" s="13" t="s">
        <v>10925</v>
      </c>
      <c r="F407" s="12">
        <v>23.0</v>
      </c>
      <c r="G407" s="14" t="s">
        <v>10912</v>
      </c>
      <c r="H407" s="15" t="s">
        <v>10913</v>
      </c>
      <c r="I407" s="74" t="s">
        <v>9674</v>
      </c>
    </row>
    <row r="408">
      <c r="A408" s="50">
        <v>392.0</v>
      </c>
      <c r="B408" s="13" t="s">
        <v>10926</v>
      </c>
      <c r="C408" s="72" t="s">
        <v>10927</v>
      </c>
      <c r="D408" s="12" t="s">
        <v>10091</v>
      </c>
      <c r="E408" s="13" t="s">
        <v>10928</v>
      </c>
      <c r="F408" s="12">
        <v>26.0</v>
      </c>
      <c r="G408" s="14" t="s">
        <v>10912</v>
      </c>
      <c r="H408" s="15" t="s">
        <v>10913</v>
      </c>
      <c r="I408" s="74" t="s">
        <v>9674</v>
      </c>
    </row>
    <row r="409">
      <c r="A409" s="50">
        <v>393.0</v>
      </c>
      <c r="B409" s="13" t="s">
        <v>10929</v>
      </c>
      <c r="C409" s="72" t="s">
        <v>10930</v>
      </c>
      <c r="D409" s="12" t="s">
        <v>31</v>
      </c>
      <c r="E409" s="13" t="s">
        <v>10931</v>
      </c>
      <c r="F409" s="12">
        <v>27.0</v>
      </c>
      <c r="G409" s="14" t="s">
        <v>10912</v>
      </c>
      <c r="H409" s="15" t="s">
        <v>10913</v>
      </c>
      <c r="I409" s="74" t="s">
        <v>9674</v>
      </c>
    </row>
    <row r="410">
      <c r="A410" s="50">
        <v>394.0</v>
      </c>
      <c r="B410" s="13" t="s">
        <v>10932</v>
      </c>
      <c r="C410" s="72" t="s">
        <v>10933</v>
      </c>
      <c r="D410" s="12" t="s">
        <v>345</v>
      </c>
      <c r="E410" s="13" t="s">
        <v>10934</v>
      </c>
      <c r="F410" s="12">
        <v>27.0</v>
      </c>
      <c r="G410" s="14" t="s">
        <v>10912</v>
      </c>
      <c r="H410" s="15" t="s">
        <v>10913</v>
      </c>
      <c r="I410" s="74" t="s">
        <v>9674</v>
      </c>
    </row>
    <row r="411">
      <c r="A411" s="50">
        <v>395.0</v>
      </c>
      <c r="B411" s="13" t="s">
        <v>10935</v>
      </c>
      <c r="C411" s="72" t="s">
        <v>10936</v>
      </c>
      <c r="D411" s="12" t="s">
        <v>41</v>
      </c>
      <c r="E411" s="13" t="s">
        <v>10937</v>
      </c>
      <c r="F411" s="12">
        <v>26.0</v>
      </c>
      <c r="G411" s="14" t="s">
        <v>10912</v>
      </c>
      <c r="H411" s="15" t="s">
        <v>10913</v>
      </c>
      <c r="I411" s="74" t="s">
        <v>9674</v>
      </c>
    </row>
    <row r="412">
      <c r="A412" s="50">
        <v>396.0</v>
      </c>
      <c r="B412" s="13" t="s">
        <v>10938</v>
      </c>
      <c r="C412" s="72" t="s">
        <v>10939</v>
      </c>
      <c r="D412" s="12" t="s">
        <v>345</v>
      </c>
      <c r="E412" s="13" t="s">
        <v>10940</v>
      </c>
      <c r="F412" s="12">
        <v>20.0</v>
      </c>
      <c r="G412" s="14" t="s">
        <v>10912</v>
      </c>
      <c r="H412" s="15" t="s">
        <v>10913</v>
      </c>
      <c r="I412" s="74" t="s">
        <v>9674</v>
      </c>
    </row>
    <row r="413">
      <c r="A413" s="50">
        <v>397.0</v>
      </c>
      <c r="B413" s="13" t="s">
        <v>10941</v>
      </c>
      <c r="C413" s="72" t="s">
        <v>10942</v>
      </c>
      <c r="D413" s="12" t="s">
        <v>31</v>
      </c>
      <c r="E413" s="13" t="s">
        <v>10943</v>
      </c>
      <c r="F413" s="12">
        <v>21.0</v>
      </c>
      <c r="G413" s="14" t="s">
        <v>10912</v>
      </c>
      <c r="H413" s="15" t="s">
        <v>10913</v>
      </c>
      <c r="I413" s="74" t="s">
        <v>9674</v>
      </c>
    </row>
    <row r="414">
      <c r="A414" s="50">
        <v>398.0</v>
      </c>
      <c r="B414" s="13" t="s">
        <v>10944</v>
      </c>
      <c r="C414" s="72" t="s">
        <v>10945</v>
      </c>
      <c r="D414" s="12" t="s">
        <v>31</v>
      </c>
      <c r="E414" s="13" t="s">
        <v>10946</v>
      </c>
      <c r="F414" s="12">
        <v>18.0</v>
      </c>
      <c r="G414" s="14" t="s">
        <v>10912</v>
      </c>
      <c r="H414" s="15" t="s">
        <v>10913</v>
      </c>
      <c r="I414" s="74" t="s">
        <v>9674</v>
      </c>
    </row>
    <row r="415">
      <c r="A415" s="50">
        <v>399.0</v>
      </c>
      <c r="B415" s="13" t="s">
        <v>10947</v>
      </c>
      <c r="C415" s="72" t="s">
        <v>10948</v>
      </c>
      <c r="D415" s="12" t="s">
        <v>36</v>
      </c>
      <c r="E415" s="13" t="s">
        <v>10949</v>
      </c>
      <c r="F415" s="12">
        <v>25.0</v>
      </c>
      <c r="G415" s="14" t="s">
        <v>10912</v>
      </c>
      <c r="H415" s="15" t="s">
        <v>10913</v>
      </c>
      <c r="I415" s="74" t="s">
        <v>9674</v>
      </c>
    </row>
    <row r="416">
      <c r="A416" s="50">
        <v>400.0</v>
      </c>
      <c r="B416" s="13" t="s">
        <v>10950</v>
      </c>
      <c r="C416" s="72" t="s">
        <v>10951</v>
      </c>
      <c r="D416" s="12" t="s">
        <v>345</v>
      </c>
      <c r="E416" s="13" t="s">
        <v>10952</v>
      </c>
      <c r="F416" s="12">
        <v>29.0</v>
      </c>
      <c r="G416" s="14" t="s">
        <v>10912</v>
      </c>
      <c r="H416" s="15" t="s">
        <v>10913</v>
      </c>
      <c r="I416" s="74" t="s">
        <v>9674</v>
      </c>
    </row>
    <row r="417">
      <c r="A417" s="37" t="s">
        <v>3</v>
      </c>
      <c r="B417" s="51" t="s">
        <v>4</v>
      </c>
      <c r="C417" s="40" t="s">
        <v>5</v>
      </c>
      <c r="D417" s="39" t="s">
        <v>6</v>
      </c>
      <c r="E417" s="39" t="s">
        <v>7</v>
      </c>
      <c r="F417" s="39" t="s">
        <v>8</v>
      </c>
      <c r="G417" s="40" t="s">
        <v>9617</v>
      </c>
      <c r="H417" s="39" t="s">
        <v>9618</v>
      </c>
      <c r="I417" s="39" t="s">
        <v>9619</v>
      </c>
    </row>
    <row r="418">
      <c r="A418" s="50">
        <v>401.0</v>
      </c>
      <c r="B418" s="13" t="s">
        <v>10953</v>
      </c>
      <c r="C418" s="72" t="s">
        <v>10954</v>
      </c>
      <c r="D418" s="12" t="s">
        <v>107</v>
      </c>
      <c r="E418" s="13" t="s">
        <v>10955</v>
      </c>
      <c r="F418" s="12">
        <v>24.0</v>
      </c>
      <c r="G418" s="14" t="s">
        <v>10912</v>
      </c>
      <c r="H418" s="15" t="s">
        <v>10913</v>
      </c>
      <c r="I418" s="74" t="s">
        <v>9674</v>
      </c>
    </row>
    <row r="419">
      <c r="A419" s="50">
        <v>402.0</v>
      </c>
      <c r="B419" s="13" t="s">
        <v>10956</v>
      </c>
      <c r="C419" s="72" t="s">
        <v>10957</v>
      </c>
      <c r="D419" s="12" t="s">
        <v>107</v>
      </c>
      <c r="E419" s="13" t="s">
        <v>10958</v>
      </c>
      <c r="F419" s="12">
        <v>30.0</v>
      </c>
      <c r="G419" s="14" t="s">
        <v>10912</v>
      </c>
      <c r="H419" s="15" t="s">
        <v>10913</v>
      </c>
      <c r="I419" s="74" t="s">
        <v>9674</v>
      </c>
    </row>
    <row r="420">
      <c r="A420" s="50">
        <v>403.0</v>
      </c>
      <c r="B420" s="13" t="s">
        <v>10959</v>
      </c>
      <c r="C420" s="72" t="s">
        <v>10960</v>
      </c>
      <c r="D420" s="12" t="s">
        <v>98</v>
      </c>
      <c r="E420" s="13" t="s">
        <v>10961</v>
      </c>
      <c r="F420" s="12">
        <v>33.0</v>
      </c>
      <c r="G420" s="14" t="s">
        <v>10912</v>
      </c>
      <c r="H420" s="15" t="s">
        <v>10913</v>
      </c>
      <c r="I420" s="74" t="s">
        <v>9674</v>
      </c>
    </row>
    <row r="421">
      <c r="A421" s="50">
        <v>404.0</v>
      </c>
      <c r="B421" s="13" t="s">
        <v>10962</v>
      </c>
      <c r="C421" s="72" t="s">
        <v>10963</v>
      </c>
      <c r="D421" s="12" t="s">
        <v>36</v>
      </c>
      <c r="E421" s="13" t="s">
        <v>10964</v>
      </c>
      <c r="F421" s="12">
        <v>28.0</v>
      </c>
      <c r="G421" s="14" t="s">
        <v>10912</v>
      </c>
      <c r="H421" s="15" t="s">
        <v>10913</v>
      </c>
      <c r="I421" s="74" t="s">
        <v>9674</v>
      </c>
    </row>
    <row r="422">
      <c r="A422" s="50">
        <v>405.0</v>
      </c>
      <c r="B422" s="13" t="s">
        <v>10965</v>
      </c>
      <c r="C422" s="72" t="s">
        <v>10966</v>
      </c>
      <c r="D422" s="12" t="s">
        <v>31</v>
      </c>
      <c r="E422" s="13" t="s">
        <v>10967</v>
      </c>
      <c r="F422" s="12">
        <v>21.0</v>
      </c>
      <c r="G422" s="14" t="s">
        <v>10912</v>
      </c>
      <c r="H422" s="15" t="s">
        <v>10913</v>
      </c>
      <c r="I422" s="74" t="s">
        <v>9674</v>
      </c>
    </row>
    <row r="423">
      <c r="A423" s="50">
        <v>406.0</v>
      </c>
      <c r="B423" s="13" t="s">
        <v>10968</v>
      </c>
      <c r="C423" s="72" t="s">
        <v>10969</v>
      </c>
      <c r="D423" s="12" t="s">
        <v>98</v>
      </c>
      <c r="E423" s="13" t="s">
        <v>10970</v>
      </c>
      <c r="F423" s="12">
        <v>22.0</v>
      </c>
      <c r="G423" s="14" t="s">
        <v>10912</v>
      </c>
      <c r="H423" s="15" t="s">
        <v>10913</v>
      </c>
      <c r="I423" s="74" t="s">
        <v>9674</v>
      </c>
    </row>
    <row r="424">
      <c r="A424" s="50">
        <v>407.0</v>
      </c>
      <c r="B424" s="13" t="s">
        <v>10971</v>
      </c>
      <c r="C424" s="72" t="s">
        <v>10972</v>
      </c>
      <c r="D424" s="12" t="s">
        <v>36</v>
      </c>
      <c r="E424" s="13" t="s">
        <v>10973</v>
      </c>
      <c r="F424" s="12">
        <v>24.0</v>
      </c>
      <c r="G424" s="14" t="s">
        <v>10912</v>
      </c>
      <c r="H424" s="15" t="s">
        <v>10913</v>
      </c>
      <c r="I424" s="74" t="s">
        <v>9674</v>
      </c>
    </row>
    <row r="425">
      <c r="A425" s="50">
        <v>408.0</v>
      </c>
      <c r="B425" s="13" t="s">
        <v>10974</v>
      </c>
      <c r="C425" s="72" t="s">
        <v>10975</v>
      </c>
      <c r="D425" s="12" t="s">
        <v>10850</v>
      </c>
      <c r="E425" s="13" t="s">
        <v>10976</v>
      </c>
      <c r="F425" s="12">
        <v>22.0</v>
      </c>
      <c r="G425" s="14" t="s">
        <v>10912</v>
      </c>
      <c r="H425" s="15" t="s">
        <v>10913</v>
      </c>
      <c r="I425" s="74" t="s">
        <v>9674</v>
      </c>
    </row>
    <row r="426">
      <c r="A426" s="50">
        <v>409.0</v>
      </c>
      <c r="B426" s="13" t="s">
        <v>10977</v>
      </c>
      <c r="C426" s="72" t="s">
        <v>10978</v>
      </c>
      <c r="D426" s="12" t="s">
        <v>36</v>
      </c>
      <c r="E426" s="13" t="s">
        <v>10979</v>
      </c>
      <c r="F426" s="12">
        <v>20.0</v>
      </c>
      <c r="G426" s="14" t="s">
        <v>10912</v>
      </c>
      <c r="H426" s="15" t="s">
        <v>10913</v>
      </c>
      <c r="I426" s="74" t="s">
        <v>9674</v>
      </c>
    </row>
    <row r="427">
      <c r="A427" s="50">
        <v>410.0</v>
      </c>
      <c r="B427" s="13" t="s">
        <v>10980</v>
      </c>
      <c r="C427" s="72" t="s">
        <v>10981</v>
      </c>
      <c r="D427" s="12" t="s">
        <v>36</v>
      </c>
      <c r="E427" s="13" t="s">
        <v>10982</v>
      </c>
      <c r="F427" s="12">
        <v>24.0</v>
      </c>
      <c r="G427" s="14" t="s">
        <v>10912</v>
      </c>
      <c r="H427" s="15" t="s">
        <v>10913</v>
      </c>
      <c r="I427" s="74" t="s">
        <v>9674</v>
      </c>
    </row>
    <row r="428">
      <c r="A428" s="50">
        <v>411.0</v>
      </c>
      <c r="B428" s="13" t="s">
        <v>10983</v>
      </c>
      <c r="C428" s="72" t="s">
        <v>10984</v>
      </c>
      <c r="D428" s="12" t="s">
        <v>31</v>
      </c>
      <c r="E428" s="13" t="s">
        <v>10985</v>
      </c>
      <c r="F428" s="12">
        <v>27.0</v>
      </c>
      <c r="G428" s="14" t="s">
        <v>10912</v>
      </c>
      <c r="H428" s="15" t="s">
        <v>10913</v>
      </c>
      <c r="I428" s="74" t="s">
        <v>9674</v>
      </c>
    </row>
    <row r="429">
      <c r="A429" s="50">
        <v>412.0</v>
      </c>
      <c r="B429" s="13" t="s">
        <v>10986</v>
      </c>
      <c r="C429" s="72" t="s">
        <v>10987</v>
      </c>
      <c r="D429" s="12" t="s">
        <v>31</v>
      </c>
      <c r="E429" s="13" t="s">
        <v>10988</v>
      </c>
      <c r="F429" s="12">
        <v>34.0</v>
      </c>
      <c r="G429" s="14" t="s">
        <v>10912</v>
      </c>
      <c r="H429" s="15" t="s">
        <v>10913</v>
      </c>
      <c r="I429" s="73"/>
    </row>
    <row r="430">
      <c r="A430" s="50">
        <v>413.0</v>
      </c>
      <c r="B430" s="13" t="s">
        <v>10989</v>
      </c>
      <c r="C430" s="72" t="s">
        <v>10990</v>
      </c>
      <c r="D430" s="12" t="s">
        <v>31</v>
      </c>
      <c r="E430" s="13" t="s">
        <v>10991</v>
      </c>
      <c r="F430" s="12">
        <v>15.0</v>
      </c>
      <c r="G430" s="14" t="s">
        <v>10912</v>
      </c>
      <c r="H430" s="15" t="s">
        <v>10913</v>
      </c>
      <c r="I430" s="74" t="s">
        <v>9674</v>
      </c>
    </row>
    <row r="431">
      <c r="A431" s="50">
        <v>414.0</v>
      </c>
      <c r="B431" s="13" t="s">
        <v>10992</v>
      </c>
      <c r="C431" s="72" t="s">
        <v>10993</v>
      </c>
      <c r="D431" s="12" t="s">
        <v>41</v>
      </c>
      <c r="E431" s="13" t="s">
        <v>10994</v>
      </c>
      <c r="F431" s="12">
        <v>24.0</v>
      </c>
      <c r="G431" s="14" t="s">
        <v>10995</v>
      </c>
      <c r="H431" s="15" t="s">
        <v>10996</v>
      </c>
      <c r="I431" s="74" t="s">
        <v>9674</v>
      </c>
    </row>
    <row r="432">
      <c r="A432" s="50">
        <v>415.0</v>
      </c>
      <c r="B432" s="13" t="s">
        <v>10997</v>
      </c>
      <c r="C432" s="72" t="s">
        <v>10998</v>
      </c>
      <c r="D432" s="12" t="s">
        <v>31</v>
      </c>
      <c r="E432" s="13" t="s">
        <v>10999</v>
      </c>
      <c r="F432" s="12">
        <v>26.0</v>
      </c>
      <c r="G432" s="14" t="s">
        <v>11000</v>
      </c>
      <c r="H432" s="15" t="s">
        <v>11001</v>
      </c>
      <c r="I432" s="74" t="s">
        <v>9674</v>
      </c>
    </row>
    <row r="433">
      <c r="A433" s="50">
        <v>416.0</v>
      </c>
      <c r="B433" s="13" t="s">
        <v>11002</v>
      </c>
      <c r="C433" s="72" t="s">
        <v>11003</v>
      </c>
      <c r="D433" s="12" t="s">
        <v>98</v>
      </c>
      <c r="E433" s="13" t="s">
        <v>11004</v>
      </c>
      <c r="F433" s="12">
        <v>22.0</v>
      </c>
      <c r="G433" s="14" t="s">
        <v>11005</v>
      </c>
      <c r="H433" s="15" t="s">
        <v>11006</v>
      </c>
      <c r="I433" s="74" t="s">
        <v>9674</v>
      </c>
    </row>
    <row r="434">
      <c r="A434" s="50">
        <v>417.0</v>
      </c>
      <c r="B434" s="13" t="s">
        <v>11007</v>
      </c>
      <c r="C434" s="72" t="s">
        <v>11008</v>
      </c>
      <c r="D434" s="12" t="s">
        <v>36</v>
      </c>
      <c r="E434" s="13" t="s">
        <v>11009</v>
      </c>
      <c r="F434" s="12">
        <v>22.0</v>
      </c>
      <c r="G434" s="14" t="s">
        <v>11005</v>
      </c>
      <c r="H434" s="15" t="s">
        <v>11006</v>
      </c>
      <c r="I434" s="74" t="s">
        <v>9674</v>
      </c>
    </row>
    <row r="435">
      <c r="A435" s="50">
        <v>418.0</v>
      </c>
      <c r="B435" s="13" t="s">
        <v>11010</v>
      </c>
      <c r="C435" s="72" t="s">
        <v>11011</v>
      </c>
      <c r="D435" s="12" t="s">
        <v>41</v>
      </c>
      <c r="E435" s="13" t="s">
        <v>11012</v>
      </c>
      <c r="F435" s="12">
        <v>22.0</v>
      </c>
      <c r="G435" s="14" t="s">
        <v>11005</v>
      </c>
      <c r="H435" s="15" t="s">
        <v>11006</v>
      </c>
      <c r="I435" s="74" t="s">
        <v>9674</v>
      </c>
    </row>
    <row r="436">
      <c r="A436" s="50">
        <v>419.0</v>
      </c>
      <c r="B436" s="74" t="s">
        <v>11013</v>
      </c>
      <c r="C436" s="75"/>
      <c r="D436" s="12" t="s">
        <v>10472</v>
      </c>
      <c r="E436" s="13" t="s">
        <v>11014</v>
      </c>
      <c r="F436" s="12">
        <v>20.0</v>
      </c>
      <c r="G436" s="14" t="s">
        <v>11005</v>
      </c>
      <c r="H436" s="15" t="s">
        <v>11006</v>
      </c>
      <c r="I436" s="74" t="s">
        <v>9674</v>
      </c>
    </row>
    <row r="437">
      <c r="A437" s="50">
        <v>420.0</v>
      </c>
      <c r="B437" s="13" t="s">
        <v>11015</v>
      </c>
      <c r="C437" s="72" t="s">
        <v>11016</v>
      </c>
      <c r="D437" s="12" t="s">
        <v>98</v>
      </c>
      <c r="E437" s="13" t="s">
        <v>11017</v>
      </c>
      <c r="F437" s="12">
        <v>25.0</v>
      </c>
      <c r="G437" s="14" t="s">
        <v>11005</v>
      </c>
      <c r="H437" s="15" t="s">
        <v>11006</v>
      </c>
      <c r="I437" s="74" t="s">
        <v>9674</v>
      </c>
    </row>
    <row r="438">
      <c r="A438" s="50">
        <v>421.0</v>
      </c>
      <c r="B438" s="13" t="s">
        <v>11018</v>
      </c>
      <c r="C438" s="72" t="s">
        <v>11019</v>
      </c>
      <c r="D438" s="12" t="s">
        <v>264</v>
      </c>
      <c r="E438" s="13" t="s">
        <v>11020</v>
      </c>
      <c r="F438" s="12">
        <v>25.0</v>
      </c>
      <c r="G438" s="14" t="s">
        <v>11005</v>
      </c>
      <c r="H438" s="15" t="s">
        <v>11006</v>
      </c>
      <c r="I438" s="74" t="s">
        <v>9674</v>
      </c>
    </row>
    <row r="439">
      <c r="A439" s="50">
        <v>422.0</v>
      </c>
      <c r="B439" s="13" t="s">
        <v>11021</v>
      </c>
      <c r="C439" s="72" t="s">
        <v>11022</v>
      </c>
      <c r="D439" s="12" t="s">
        <v>98</v>
      </c>
      <c r="E439" s="13" t="s">
        <v>11023</v>
      </c>
      <c r="F439" s="12">
        <v>34.0</v>
      </c>
      <c r="G439" s="14" t="s">
        <v>11005</v>
      </c>
      <c r="H439" s="15" t="s">
        <v>11006</v>
      </c>
      <c r="I439" s="74" t="s">
        <v>9674</v>
      </c>
    </row>
    <row r="440">
      <c r="A440" s="50">
        <v>423.0</v>
      </c>
      <c r="B440" s="13" t="s">
        <v>11024</v>
      </c>
      <c r="C440" s="72" t="s">
        <v>11025</v>
      </c>
      <c r="D440" s="12" t="s">
        <v>264</v>
      </c>
      <c r="E440" s="13" t="s">
        <v>11026</v>
      </c>
      <c r="F440" s="12">
        <v>21.0</v>
      </c>
      <c r="G440" s="14" t="s">
        <v>11005</v>
      </c>
      <c r="H440" s="15" t="s">
        <v>11006</v>
      </c>
      <c r="I440" s="74" t="s">
        <v>9674</v>
      </c>
    </row>
    <row r="441">
      <c r="A441" s="50">
        <v>424.0</v>
      </c>
      <c r="B441" s="13" t="s">
        <v>11027</v>
      </c>
      <c r="C441" s="72" t="s">
        <v>11028</v>
      </c>
      <c r="D441" s="12" t="s">
        <v>264</v>
      </c>
      <c r="E441" s="13" t="s">
        <v>11029</v>
      </c>
      <c r="F441" s="12">
        <v>23.0</v>
      </c>
      <c r="G441" s="14" t="s">
        <v>11005</v>
      </c>
      <c r="H441" s="15" t="s">
        <v>11006</v>
      </c>
      <c r="I441" s="74" t="s">
        <v>9674</v>
      </c>
    </row>
    <row r="442">
      <c r="A442" s="50">
        <v>425.0</v>
      </c>
      <c r="B442" s="13" t="s">
        <v>11030</v>
      </c>
      <c r="C442" s="72" t="s">
        <v>11031</v>
      </c>
      <c r="D442" s="12" t="s">
        <v>36</v>
      </c>
      <c r="E442" s="13" t="s">
        <v>11032</v>
      </c>
      <c r="F442" s="12">
        <v>24.0</v>
      </c>
      <c r="G442" s="14" t="s">
        <v>11005</v>
      </c>
      <c r="H442" s="15" t="s">
        <v>11006</v>
      </c>
      <c r="I442" s="74" t="s">
        <v>9674</v>
      </c>
    </row>
    <row r="443">
      <c r="A443" s="37" t="s">
        <v>3</v>
      </c>
      <c r="B443" s="51" t="s">
        <v>4</v>
      </c>
      <c r="C443" s="40" t="s">
        <v>5</v>
      </c>
      <c r="D443" s="39" t="s">
        <v>6</v>
      </c>
      <c r="E443" s="39" t="s">
        <v>7</v>
      </c>
      <c r="F443" s="39" t="s">
        <v>8</v>
      </c>
      <c r="G443" s="40" t="s">
        <v>9617</v>
      </c>
      <c r="H443" s="39" t="s">
        <v>9618</v>
      </c>
      <c r="I443" s="39" t="s">
        <v>9619</v>
      </c>
    </row>
    <row r="444">
      <c r="A444" s="50">
        <v>426.0</v>
      </c>
      <c r="B444" s="13" t="s">
        <v>11033</v>
      </c>
      <c r="C444" s="72" t="s">
        <v>11034</v>
      </c>
      <c r="D444" s="12" t="s">
        <v>107</v>
      </c>
      <c r="E444" s="13" t="s">
        <v>11035</v>
      </c>
      <c r="F444" s="12">
        <v>20.0</v>
      </c>
      <c r="G444" s="14" t="s">
        <v>11005</v>
      </c>
      <c r="H444" s="15" t="s">
        <v>11006</v>
      </c>
      <c r="I444" s="74" t="s">
        <v>9674</v>
      </c>
    </row>
    <row r="445">
      <c r="A445" s="50">
        <v>427.0</v>
      </c>
      <c r="B445" s="13" t="s">
        <v>11036</v>
      </c>
      <c r="C445" s="72" t="s">
        <v>11037</v>
      </c>
      <c r="D445" s="12" t="s">
        <v>98</v>
      </c>
      <c r="E445" s="13" t="s">
        <v>11038</v>
      </c>
      <c r="F445" s="12">
        <v>22.0</v>
      </c>
      <c r="G445" s="14" t="s">
        <v>11005</v>
      </c>
      <c r="H445" s="15" t="s">
        <v>11006</v>
      </c>
      <c r="I445" s="74" t="s">
        <v>9674</v>
      </c>
    </row>
    <row r="446">
      <c r="A446" s="50">
        <v>428.0</v>
      </c>
      <c r="B446" s="13" t="s">
        <v>11039</v>
      </c>
      <c r="C446" s="72" t="s">
        <v>11040</v>
      </c>
      <c r="D446" s="12" t="s">
        <v>107</v>
      </c>
      <c r="E446" s="13" t="s">
        <v>11041</v>
      </c>
      <c r="F446" s="12">
        <v>26.0</v>
      </c>
      <c r="G446" s="14" t="s">
        <v>11005</v>
      </c>
      <c r="H446" s="15" t="s">
        <v>11006</v>
      </c>
      <c r="I446" s="74" t="s">
        <v>9674</v>
      </c>
    </row>
    <row r="447">
      <c r="A447" s="50">
        <v>429.0</v>
      </c>
      <c r="B447" s="13" t="s">
        <v>11042</v>
      </c>
      <c r="C447" s="72" t="s">
        <v>11043</v>
      </c>
      <c r="D447" s="12" t="s">
        <v>264</v>
      </c>
      <c r="E447" s="13" t="s">
        <v>11044</v>
      </c>
      <c r="F447" s="12">
        <v>19.0</v>
      </c>
      <c r="G447" s="14" t="s">
        <v>11005</v>
      </c>
      <c r="H447" s="15" t="s">
        <v>11006</v>
      </c>
      <c r="I447" s="74" t="s">
        <v>9674</v>
      </c>
    </row>
    <row r="448">
      <c r="A448" s="50">
        <v>430.0</v>
      </c>
      <c r="B448" s="74" t="s">
        <v>11045</v>
      </c>
      <c r="C448" s="75"/>
      <c r="D448" s="12" t="s">
        <v>10776</v>
      </c>
      <c r="E448" s="13" t="s">
        <v>11046</v>
      </c>
      <c r="F448" s="12">
        <v>20.0</v>
      </c>
      <c r="G448" s="14" t="s">
        <v>11005</v>
      </c>
      <c r="H448" s="15" t="s">
        <v>11006</v>
      </c>
      <c r="I448" s="74" t="s">
        <v>9674</v>
      </c>
    </row>
    <row r="449">
      <c r="A449" s="50">
        <v>431.0</v>
      </c>
      <c r="B449" s="13" t="s">
        <v>11047</v>
      </c>
      <c r="C449" s="72" t="s">
        <v>11048</v>
      </c>
      <c r="D449" s="12" t="s">
        <v>31</v>
      </c>
      <c r="E449" s="13" t="s">
        <v>11049</v>
      </c>
      <c r="F449" s="12">
        <v>20.0</v>
      </c>
      <c r="G449" s="14" t="s">
        <v>11005</v>
      </c>
      <c r="H449" s="15" t="s">
        <v>11006</v>
      </c>
      <c r="I449" s="74" t="s">
        <v>9674</v>
      </c>
    </row>
    <row r="450">
      <c r="A450" s="50">
        <v>432.0</v>
      </c>
      <c r="B450" s="13" t="s">
        <v>11050</v>
      </c>
      <c r="C450" s="72" t="s">
        <v>11051</v>
      </c>
      <c r="D450" s="12" t="s">
        <v>36</v>
      </c>
      <c r="E450" s="13" t="s">
        <v>11052</v>
      </c>
      <c r="F450" s="12">
        <v>32.0</v>
      </c>
      <c r="G450" s="14" t="s">
        <v>11005</v>
      </c>
      <c r="H450" s="15" t="s">
        <v>11006</v>
      </c>
      <c r="I450" s="74" t="s">
        <v>9674</v>
      </c>
    </row>
    <row r="451">
      <c r="A451" s="50">
        <v>433.0</v>
      </c>
      <c r="B451" s="13" t="s">
        <v>11053</v>
      </c>
      <c r="C451" s="72" t="s">
        <v>11054</v>
      </c>
      <c r="D451" s="12" t="s">
        <v>36</v>
      </c>
      <c r="E451" s="13" t="s">
        <v>11055</v>
      </c>
      <c r="F451" s="12">
        <v>24.0</v>
      </c>
      <c r="G451" s="14" t="s">
        <v>11005</v>
      </c>
      <c r="H451" s="15" t="s">
        <v>11006</v>
      </c>
      <c r="I451" s="74" t="s">
        <v>9674</v>
      </c>
    </row>
    <row r="452">
      <c r="A452" s="50">
        <v>434.0</v>
      </c>
      <c r="B452" s="13" t="s">
        <v>11056</v>
      </c>
      <c r="C452" s="72" t="s">
        <v>11057</v>
      </c>
      <c r="D452" s="12" t="s">
        <v>31</v>
      </c>
      <c r="E452" s="13" t="s">
        <v>11058</v>
      </c>
      <c r="F452" s="12">
        <v>27.0</v>
      </c>
      <c r="G452" s="14" t="s">
        <v>11005</v>
      </c>
      <c r="H452" s="15" t="s">
        <v>11006</v>
      </c>
      <c r="I452" s="74" t="s">
        <v>9674</v>
      </c>
    </row>
    <row r="453">
      <c r="A453" s="50">
        <v>435.0</v>
      </c>
      <c r="B453" s="13" t="s">
        <v>11059</v>
      </c>
      <c r="C453" s="72" t="s">
        <v>11060</v>
      </c>
      <c r="D453" s="12" t="s">
        <v>264</v>
      </c>
      <c r="E453" s="13" t="s">
        <v>11061</v>
      </c>
      <c r="F453" s="12">
        <v>24.0</v>
      </c>
      <c r="G453" s="14" t="s">
        <v>11005</v>
      </c>
      <c r="H453" s="15" t="s">
        <v>11006</v>
      </c>
      <c r="I453" s="74" t="s">
        <v>9674</v>
      </c>
    </row>
    <row r="454">
      <c r="A454" s="50">
        <v>436.0</v>
      </c>
      <c r="B454" s="13" t="s">
        <v>11062</v>
      </c>
      <c r="C454" s="72" t="s">
        <v>11063</v>
      </c>
      <c r="D454" s="12" t="s">
        <v>98</v>
      </c>
      <c r="E454" s="13" t="s">
        <v>11064</v>
      </c>
      <c r="F454" s="12">
        <v>29.0</v>
      </c>
      <c r="G454" s="14" t="s">
        <v>11005</v>
      </c>
      <c r="H454" s="15" t="s">
        <v>11006</v>
      </c>
      <c r="I454" s="74" t="s">
        <v>9674</v>
      </c>
    </row>
    <row r="455">
      <c r="A455" s="50">
        <v>437.0</v>
      </c>
      <c r="B455" s="13" t="s">
        <v>11065</v>
      </c>
      <c r="C455" s="72" t="s">
        <v>11066</v>
      </c>
      <c r="D455" s="12" t="s">
        <v>98</v>
      </c>
      <c r="E455" s="13" t="s">
        <v>11067</v>
      </c>
      <c r="F455" s="12">
        <v>34.0</v>
      </c>
      <c r="G455" s="14" t="s">
        <v>11005</v>
      </c>
      <c r="H455" s="15" t="s">
        <v>11006</v>
      </c>
      <c r="I455" s="74" t="s">
        <v>9674</v>
      </c>
    </row>
    <row r="456">
      <c r="A456" s="50">
        <v>438.0</v>
      </c>
      <c r="B456" s="13" t="s">
        <v>11068</v>
      </c>
      <c r="C456" s="72" t="s">
        <v>11069</v>
      </c>
      <c r="D456" s="12" t="s">
        <v>36</v>
      </c>
      <c r="E456" s="13" t="s">
        <v>11070</v>
      </c>
      <c r="F456" s="12">
        <v>23.0</v>
      </c>
      <c r="G456" s="14" t="s">
        <v>11071</v>
      </c>
      <c r="H456" s="15" t="s">
        <v>11072</v>
      </c>
      <c r="I456" s="73"/>
    </row>
    <row r="457">
      <c r="A457" s="50">
        <v>439.0</v>
      </c>
      <c r="B457" s="13" t="s">
        <v>11073</v>
      </c>
      <c r="C457" s="72" t="s">
        <v>11074</v>
      </c>
      <c r="D457" s="12" t="s">
        <v>9861</v>
      </c>
      <c r="E457" s="13" t="s">
        <v>11075</v>
      </c>
      <c r="F457" s="12">
        <v>24.0</v>
      </c>
      <c r="G457" s="14" t="s">
        <v>11076</v>
      </c>
      <c r="H457" s="15" t="s">
        <v>11077</v>
      </c>
      <c r="I457" s="73"/>
    </row>
    <row r="458">
      <c r="A458" s="50">
        <v>440.0</v>
      </c>
      <c r="B458" s="74" t="s">
        <v>11078</v>
      </c>
      <c r="C458" s="75"/>
      <c r="D458" s="12" t="s">
        <v>10850</v>
      </c>
      <c r="E458" s="13" t="s">
        <v>11079</v>
      </c>
      <c r="F458" s="12">
        <v>19.0</v>
      </c>
      <c r="G458" s="14" t="s">
        <v>11080</v>
      </c>
      <c r="H458" s="15" t="s">
        <v>11081</v>
      </c>
      <c r="I458" s="74" t="s">
        <v>9674</v>
      </c>
    </row>
    <row r="459">
      <c r="A459" s="50">
        <v>441.0</v>
      </c>
      <c r="B459" s="13" t="s">
        <v>11082</v>
      </c>
      <c r="C459" s="72" t="s">
        <v>11083</v>
      </c>
      <c r="D459" s="12" t="s">
        <v>26</v>
      </c>
      <c r="E459" s="13" t="s">
        <v>11084</v>
      </c>
      <c r="F459" s="12">
        <v>21.0</v>
      </c>
      <c r="G459" s="14" t="s">
        <v>11080</v>
      </c>
      <c r="H459" s="15" t="s">
        <v>11081</v>
      </c>
      <c r="I459" s="74" t="s">
        <v>9674</v>
      </c>
    </row>
    <row r="460">
      <c r="A460" s="50">
        <v>442.0</v>
      </c>
      <c r="B460" s="13" t="s">
        <v>11085</v>
      </c>
      <c r="C460" s="72" t="s">
        <v>11086</v>
      </c>
      <c r="D460" s="12" t="s">
        <v>31</v>
      </c>
      <c r="E460" s="13" t="s">
        <v>11087</v>
      </c>
      <c r="F460" s="12">
        <v>22.0</v>
      </c>
      <c r="G460" s="14" t="s">
        <v>11080</v>
      </c>
      <c r="H460" s="15" t="s">
        <v>11081</v>
      </c>
      <c r="I460" s="74" t="s">
        <v>9674</v>
      </c>
    </row>
    <row r="461">
      <c r="A461" s="50">
        <v>443.0</v>
      </c>
      <c r="B461" s="13" t="s">
        <v>11088</v>
      </c>
      <c r="C461" s="72" t="s">
        <v>11089</v>
      </c>
      <c r="D461" s="12" t="s">
        <v>36</v>
      </c>
      <c r="E461" s="13" t="s">
        <v>11090</v>
      </c>
      <c r="F461" s="12">
        <v>18.0</v>
      </c>
      <c r="G461" s="14" t="s">
        <v>11091</v>
      </c>
      <c r="H461" s="15" t="s">
        <v>11092</v>
      </c>
      <c r="I461" s="74" t="s">
        <v>9674</v>
      </c>
    </row>
    <row r="462">
      <c r="A462" s="50">
        <v>444.0</v>
      </c>
      <c r="B462" s="13" t="s">
        <v>11093</v>
      </c>
      <c r="C462" s="72" t="s">
        <v>11094</v>
      </c>
      <c r="D462" s="12" t="s">
        <v>36</v>
      </c>
      <c r="E462" s="13" t="s">
        <v>11095</v>
      </c>
      <c r="F462" s="12">
        <v>18.0</v>
      </c>
      <c r="G462" s="14" t="s">
        <v>11091</v>
      </c>
      <c r="H462" s="15" t="s">
        <v>11092</v>
      </c>
      <c r="I462" s="74" t="s">
        <v>9674</v>
      </c>
    </row>
    <row r="463">
      <c r="A463" s="50">
        <v>445.0</v>
      </c>
      <c r="B463" s="13" t="s">
        <v>11096</v>
      </c>
      <c r="C463" s="72" t="s">
        <v>11097</v>
      </c>
      <c r="D463" s="12" t="s">
        <v>31</v>
      </c>
      <c r="E463" s="13" t="s">
        <v>11098</v>
      </c>
      <c r="F463" s="12">
        <v>20.0</v>
      </c>
      <c r="G463" s="14" t="s">
        <v>11091</v>
      </c>
      <c r="H463" s="15" t="s">
        <v>11092</v>
      </c>
      <c r="I463" s="73"/>
    </row>
    <row r="464">
      <c r="A464" s="50">
        <v>446.0</v>
      </c>
      <c r="B464" s="13" t="s">
        <v>11099</v>
      </c>
      <c r="C464" s="72" t="s">
        <v>11100</v>
      </c>
      <c r="D464" s="12" t="s">
        <v>36</v>
      </c>
      <c r="E464" s="13" t="s">
        <v>11101</v>
      </c>
      <c r="F464" s="12">
        <v>20.0</v>
      </c>
      <c r="G464" s="14" t="s">
        <v>11091</v>
      </c>
      <c r="H464" s="15" t="s">
        <v>11092</v>
      </c>
      <c r="I464" s="73"/>
    </row>
    <row r="465">
      <c r="A465" s="50">
        <v>447.0</v>
      </c>
      <c r="B465" s="13" t="s">
        <v>11102</v>
      </c>
      <c r="C465" s="72" t="s">
        <v>11103</v>
      </c>
      <c r="D465" s="12" t="s">
        <v>36</v>
      </c>
      <c r="E465" s="13" t="s">
        <v>11104</v>
      </c>
      <c r="F465" s="12">
        <v>20.0</v>
      </c>
      <c r="G465" s="14" t="s">
        <v>11091</v>
      </c>
      <c r="H465" s="15" t="s">
        <v>11092</v>
      </c>
      <c r="I465" s="74" t="s">
        <v>9674</v>
      </c>
    </row>
    <row r="466">
      <c r="A466" s="50">
        <v>448.0</v>
      </c>
      <c r="B466" s="13" t="s">
        <v>11105</v>
      </c>
      <c r="C466" s="72" t="s">
        <v>11106</v>
      </c>
      <c r="D466" s="12" t="s">
        <v>36</v>
      </c>
      <c r="E466" s="13" t="s">
        <v>11107</v>
      </c>
      <c r="F466" s="12">
        <v>19.0</v>
      </c>
      <c r="G466" s="14" t="s">
        <v>11091</v>
      </c>
      <c r="H466" s="15" t="s">
        <v>11092</v>
      </c>
      <c r="I466" s="74" t="s">
        <v>9674</v>
      </c>
    </row>
    <row r="467">
      <c r="A467" s="50">
        <v>449.0</v>
      </c>
      <c r="B467" s="13" t="s">
        <v>11108</v>
      </c>
      <c r="C467" s="72" t="s">
        <v>11109</v>
      </c>
      <c r="D467" s="12" t="s">
        <v>36</v>
      </c>
      <c r="E467" s="13" t="s">
        <v>11110</v>
      </c>
      <c r="F467" s="12">
        <v>23.0</v>
      </c>
      <c r="G467" s="14" t="s">
        <v>11091</v>
      </c>
      <c r="H467" s="15" t="s">
        <v>11092</v>
      </c>
      <c r="I467" s="74" t="s">
        <v>9674</v>
      </c>
    </row>
    <row r="468">
      <c r="A468" s="50">
        <v>450.0</v>
      </c>
      <c r="B468" s="13" t="s">
        <v>11111</v>
      </c>
      <c r="C468" s="72" t="s">
        <v>11112</v>
      </c>
      <c r="D468" s="12" t="s">
        <v>36</v>
      </c>
      <c r="E468" s="13" t="s">
        <v>11113</v>
      </c>
      <c r="F468" s="12">
        <v>23.0</v>
      </c>
      <c r="G468" s="14" t="s">
        <v>11091</v>
      </c>
      <c r="H468" s="15" t="s">
        <v>11092</v>
      </c>
      <c r="I468" s="74" t="s">
        <v>9674</v>
      </c>
    </row>
    <row r="469">
      <c r="A469" s="37" t="s">
        <v>3</v>
      </c>
      <c r="B469" s="51" t="s">
        <v>4</v>
      </c>
      <c r="C469" s="40" t="s">
        <v>5</v>
      </c>
      <c r="D469" s="39" t="s">
        <v>6</v>
      </c>
      <c r="E469" s="39" t="s">
        <v>7</v>
      </c>
      <c r="F469" s="39" t="s">
        <v>8</v>
      </c>
      <c r="G469" s="40" t="s">
        <v>9617</v>
      </c>
      <c r="H469" s="39" t="s">
        <v>9618</v>
      </c>
      <c r="I469" s="39" t="s">
        <v>9619</v>
      </c>
    </row>
    <row r="470">
      <c r="A470" s="50">
        <v>451.0</v>
      </c>
      <c r="B470" s="13" t="s">
        <v>11114</v>
      </c>
      <c r="C470" s="72" t="s">
        <v>11115</v>
      </c>
      <c r="D470" s="12" t="s">
        <v>36</v>
      </c>
      <c r="E470" s="13" t="s">
        <v>11116</v>
      </c>
      <c r="F470" s="12">
        <v>18.0</v>
      </c>
      <c r="G470" s="14" t="s">
        <v>11091</v>
      </c>
      <c r="H470" s="15" t="s">
        <v>11092</v>
      </c>
      <c r="I470" s="74" t="s">
        <v>9674</v>
      </c>
    </row>
    <row r="471">
      <c r="A471" s="50">
        <v>452.0</v>
      </c>
      <c r="B471" s="13" t="s">
        <v>11117</v>
      </c>
      <c r="C471" s="72" t="s">
        <v>11118</v>
      </c>
      <c r="D471" s="12" t="s">
        <v>31</v>
      </c>
      <c r="E471" s="13" t="s">
        <v>11119</v>
      </c>
      <c r="F471" s="12">
        <v>26.0</v>
      </c>
      <c r="G471" s="14" t="s">
        <v>11091</v>
      </c>
      <c r="H471" s="15" t="s">
        <v>11092</v>
      </c>
      <c r="I471" s="74" t="s">
        <v>9674</v>
      </c>
    </row>
    <row r="472">
      <c r="A472" s="50">
        <v>453.0</v>
      </c>
      <c r="B472" s="13" t="s">
        <v>11120</v>
      </c>
      <c r="C472" s="72" t="s">
        <v>11121</v>
      </c>
      <c r="D472" s="12" t="s">
        <v>345</v>
      </c>
      <c r="E472" s="13" t="s">
        <v>11122</v>
      </c>
      <c r="F472" s="12">
        <v>31.0</v>
      </c>
      <c r="G472" s="14" t="s">
        <v>11091</v>
      </c>
      <c r="H472" s="15" t="s">
        <v>11092</v>
      </c>
      <c r="I472" s="74" t="s">
        <v>9674</v>
      </c>
    </row>
    <row r="473">
      <c r="A473" s="50">
        <v>454.0</v>
      </c>
      <c r="B473" s="13" t="s">
        <v>11123</v>
      </c>
      <c r="C473" s="72" t="s">
        <v>11124</v>
      </c>
      <c r="D473" s="12" t="s">
        <v>98</v>
      </c>
      <c r="E473" s="13" t="s">
        <v>11125</v>
      </c>
      <c r="F473" s="12">
        <v>28.0</v>
      </c>
      <c r="G473" s="14" t="s">
        <v>11091</v>
      </c>
      <c r="H473" s="15" t="s">
        <v>11092</v>
      </c>
      <c r="I473" s="74" t="s">
        <v>9674</v>
      </c>
    </row>
    <row r="474">
      <c r="A474" s="50">
        <v>455.0</v>
      </c>
      <c r="B474" s="13" t="s">
        <v>11126</v>
      </c>
      <c r="C474" s="72" t="s">
        <v>11127</v>
      </c>
      <c r="D474" s="12" t="s">
        <v>31</v>
      </c>
      <c r="E474" s="13" t="s">
        <v>11128</v>
      </c>
      <c r="F474" s="12">
        <v>16.0</v>
      </c>
      <c r="G474" s="14" t="s">
        <v>11091</v>
      </c>
      <c r="H474" s="15" t="s">
        <v>11092</v>
      </c>
      <c r="I474" s="74" t="s">
        <v>9674</v>
      </c>
    </row>
    <row r="475">
      <c r="A475" s="50">
        <v>456.0</v>
      </c>
      <c r="B475" s="13" t="s">
        <v>11129</v>
      </c>
      <c r="C475" s="72" t="s">
        <v>11130</v>
      </c>
      <c r="D475" s="12" t="s">
        <v>31</v>
      </c>
      <c r="E475" s="13" t="s">
        <v>11131</v>
      </c>
      <c r="F475" s="12">
        <v>18.0</v>
      </c>
      <c r="G475" s="14" t="s">
        <v>11091</v>
      </c>
      <c r="H475" s="15" t="s">
        <v>11092</v>
      </c>
      <c r="I475" s="74" t="s">
        <v>9674</v>
      </c>
    </row>
    <row r="476">
      <c r="A476" s="50">
        <v>457.0</v>
      </c>
      <c r="B476" s="74" t="s">
        <v>11132</v>
      </c>
      <c r="C476" s="75"/>
      <c r="D476" s="12" t="s">
        <v>10472</v>
      </c>
      <c r="E476" s="13" t="s">
        <v>11133</v>
      </c>
      <c r="F476" s="12">
        <v>21.0</v>
      </c>
      <c r="G476" s="14" t="s">
        <v>11091</v>
      </c>
      <c r="H476" s="15" t="s">
        <v>11092</v>
      </c>
      <c r="I476" s="74" t="s">
        <v>9674</v>
      </c>
    </row>
    <row r="477">
      <c r="A477" s="50">
        <v>458.0</v>
      </c>
      <c r="B477" s="13" t="s">
        <v>11134</v>
      </c>
      <c r="C477" s="72" t="s">
        <v>11135</v>
      </c>
      <c r="D477" s="12" t="s">
        <v>264</v>
      </c>
      <c r="E477" s="13" t="s">
        <v>11136</v>
      </c>
      <c r="F477" s="12">
        <v>22.0</v>
      </c>
      <c r="G477" s="14" t="s">
        <v>11091</v>
      </c>
      <c r="H477" s="15" t="s">
        <v>11092</v>
      </c>
      <c r="I477" s="74" t="s">
        <v>9674</v>
      </c>
    </row>
    <row r="478">
      <c r="A478" s="50">
        <v>459.0</v>
      </c>
      <c r="B478" s="13" t="s">
        <v>11137</v>
      </c>
      <c r="C478" s="72" t="s">
        <v>11138</v>
      </c>
      <c r="D478" s="12" t="s">
        <v>26</v>
      </c>
      <c r="E478" s="13" t="s">
        <v>11139</v>
      </c>
      <c r="F478" s="12">
        <v>22.0</v>
      </c>
      <c r="G478" s="14" t="s">
        <v>11091</v>
      </c>
      <c r="H478" s="15" t="s">
        <v>11092</v>
      </c>
      <c r="I478" s="74" t="s">
        <v>9674</v>
      </c>
    </row>
    <row r="479">
      <c r="A479" s="50">
        <v>460.0</v>
      </c>
      <c r="B479" s="13" t="s">
        <v>11140</v>
      </c>
      <c r="C479" s="72" t="s">
        <v>11141</v>
      </c>
      <c r="D479" s="12" t="s">
        <v>41</v>
      </c>
      <c r="E479" s="13" t="s">
        <v>11142</v>
      </c>
      <c r="F479" s="12">
        <v>24.0</v>
      </c>
      <c r="G479" s="14" t="s">
        <v>11091</v>
      </c>
      <c r="H479" s="15" t="s">
        <v>11092</v>
      </c>
      <c r="I479" s="74" t="s">
        <v>9674</v>
      </c>
    </row>
    <row r="480">
      <c r="A480" s="50">
        <v>461.0</v>
      </c>
      <c r="B480" s="13" t="s">
        <v>11143</v>
      </c>
      <c r="C480" s="72" t="s">
        <v>11144</v>
      </c>
      <c r="D480" s="12" t="s">
        <v>107</v>
      </c>
      <c r="E480" s="13" t="s">
        <v>11145</v>
      </c>
      <c r="F480" s="12">
        <v>35.0</v>
      </c>
      <c r="G480" s="14" t="s">
        <v>11091</v>
      </c>
      <c r="H480" s="15" t="s">
        <v>11092</v>
      </c>
      <c r="I480" s="74" t="s">
        <v>9674</v>
      </c>
    </row>
    <row r="481">
      <c r="A481" s="50">
        <v>462.0</v>
      </c>
      <c r="B481" s="13" t="s">
        <v>11146</v>
      </c>
      <c r="C481" s="72" t="s">
        <v>11147</v>
      </c>
      <c r="D481" s="12" t="s">
        <v>36</v>
      </c>
      <c r="E481" s="13" t="s">
        <v>11148</v>
      </c>
      <c r="F481" s="12">
        <v>26.0</v>
      </c>
      <c r="G481" s="14" t="s">
        <v>11091</v>
      </c>
      <c r="H481" s="15" t="s">
        <v>11092</v>
      </c>
      <c r="I481" s="74" t="s">
        <v>9674</v>
      </c>
    </row>
    <row r="482">
      <c r="A482" s="50">
        <v>463.0</v>
      </c>
      <c r="B482" s="13" t="s">
        <v>11149</v>
      </c>
      <c r="C482" s="72" t="s">
        <v>11150</v>
      </c>
      <c r="D482" s="12" t="s">
        <v>10551</v>
      </c>
      <c r="E482" s="13" t="s">
        <v>11151</v>
      </c>
      <c r="F482" s="12">
        <v>25.0</v>
      </c>
      <c r="G482" s="14" t="s">
        <v>11091</v>
      </c>
      <c r="H482" s="15" t="s">
        <v>11092</v>
      </c>
      <c r="I482" s="74" t="s">
        <v>9674</v>
      </c>
    </row>
    <row r="483">
      <c r="A483" s="50">
        <v>464.0</v>
      </c>
      <c r="B483" s="13" t="s">
        <v>11152</v>
      </c>
      <c r="C483" s="72" t="s">
        <v>11153</v>
      </c>
      <c r="D483" s="12" t="s">
        <v>98</v>
      </c>
      <c r="E483" s="13" t="s">
        <v>11154</v>
      </c>
      <c r="F483" s="12">
        <v>21.0</v>
      </c>
      <c r="G483" s="14" t="s">
        <v>11091</v>
      </c>
      <c r="H483" s="15" t="s">
        <v>11092</v>
      </c>
      <c r="I483" s="74" t="s">
        <v>9674</v>
      </c>
    </row>
    <row r="484">
      <c r="A484" s="50">
        <v>465.0</v>
      </c>
      <c r="B484" s="13" t="s">
        <v>11155</v>
      </c>
      <c r="C484" s="72" t="s">
        <v>11156</v>
      </c>
      <c r="D484" s="12" t="s">
        <v>41</v>
      </c>
      <c r="E484" s="13" t="s">
        <v>11157</v>
      </c>
      <c r="F484" s="12">
        <v>21.0</v>
      </c>
      <c r="G484" s="14" t="s">
        <v>11091</v>
      </c>
      <c r="H484" s="15" t="s">
        <v>11092</v>
      </c>
      <c r="I484" s="74" t="s">
        <v>9674</v>
      </c>
    </row>
    <row r="485">
      <c r="A485" s="50">
        <v>466.0</v>
      </c>
      <c r="B485" s="13" t="s">
        <v>11158</v>
      </c>
      <c r="C485" s="72" t="s">
        <v>11159</v>
      </c>
      <c r="D485" s="12" t="s">
        <v>36</v>
      </c>
      <c r="E485" s="13" t="s">
        <v>11160</v>
      </c>
      <c r="F485" s="12">
        <v>20.0</v>
      </c>
      <c r="G485" s="14" t="s">
        <v>11091</v>
      </c>
      <c r="H485" s="15" t="s">
        <v>11092</v>
      </c>
      <c r="I485" s="73"/>
    </row>
    <row r="486">
      <c r="A486" s="50">
        <v>467.0</v>
      </c>
      <c r="B486" s="13" t="s">
        <v>11161</v>
      </c>
      <c r="C486" s="72" t="s">
        <v>11162</v>
      </c>
      <c r="D486" s="12" t="s">
        <v>31</v>
      </c>
      <c r="E486" s="13" t="s">
        <v>11163</v>
      </c>
      <c r="F486" s="12">
        <v>19.0</v>
      </c>
      <c r="G486" s="14" t="s">
        <v>11091</v>
      </c>
      <c r="H486" s="15" t="s">
        <v>11092</v>
      </c>
      <c r="I486" s="74" t="s">
        <v>9674</v>
      </c>
    </row>
    <row r="487">
      <c r="A487" s="50">
        <v>468.0</v>
      </c>
      <c r="B487" s="74" t="s">
        <v>11164</v>
      </c>
      <c r="C487" s="75"/>
      <c r="D487" s="12" t="s">
        <v>10776</v>
      </c>
      <c r="E487" s="13" t="s">
        <v>11165</v>
      </c>
      <c r="F487" s="12">
        <v>21.0</v>
      </c>
      <c r="G487" s="14" t="s">
        <v>11091</v>
      </c>
      <c r="H487" s="15" t="s">
        <v>11092</v>
      </c>
      <c r="I487" s="74" t="s">
        <v>9674</v>
      </c>
    </row>
    <row r="488">
      <c r="A488" s="50">
        <v>469.0</v>
      </c>
      <c r="B488" s="13" t="s">
        <v>11166</v>
      </c>
      <c r="C488" s="72" t="s">
        <v>11167</v>
      </c>
      <c r="D488" s="12" t="s">
        <v>36</v>
      </c>
      <c r="E488" s="13" t="s">
        <v>11168</v>
      </c>
      <c r="F488" s="12">
        <v>21.0</v>
      </c>
      <c r="G488" s="14" t="s">
        <v>11091</v>
      </c>
      <c r="H488" s="15" t="s">
        <v>11092</v>
      </c>
      <c r="I488" s="74" t="s">
        <v>9674</v>
      </c>
    </row>
    <row r="489">
      <c r="A489" s="50">
        <v>470.0</v>
      </c>
      <c r="B489" s="13" t="s">
        <v>11169</v>
      </c>
      <c r="C489" s="72" t="s">
        <v>11170</v>
      </c>
      <c r="D489" s="12" t="s">
        <v>26</v>
      </c>
      <c r="E489" s="13" t="s">
        <v>11171</v>
      </c>
      <c r="F489" s="12">
        <v>22.0</v>
      </c>
      <c r="G489" s="14" t="s">
        <v>11091</v>
      </c>
      <c r="H489" s="15" t="s">
        <v>11092</v>
      </c>
      <c r="I489" s="74" t="s">
        <v>9674</v>
      </c>
    </row>
    <row r="490">
      <c r="A490" s="50">
        <v>471.0</v>
      </c>
      <c r="B490" s="13" t="s">
        <v>11172</v>
      </c>
      <c r="C490" s="72" t="s">
        <v>11173</v>
      </c>
      <c r="D490" s="12" t="s">
        <v>31</v>
      </c>
      <c r="E490" s="13" t="s">
        <v>11174</v>
      </c>
      <c r="F490" s="12">
        <v>20.0</v>
      </c>
      <c r="G490" s="14" t="s">
        <v>11091</v>
      </c>
      <c r="H490" s="15" t="s">
        <v>11092</v>
      </c>
      <c r="I490" s="74" t="s">
        <v>9674</v>
      </c>
    </row>
    <row r="491">
      <c r="A491" s="50">
        <v>472.0</v>
      </c>
      <c r="B491" s="13" t="s">
        <v>11175</v>
      </c>
      <c r="C491" s="72" t="s">
        <v>11176</v>
      </c>
      <c r="D491" s="12" t="s">
        <v>36</v>
      </c>
      <c r="E491" s="13" t="s">
        <v>11177</v>
      </c>
      <c r="F491" s="12">
        <v>19.0</v>
      </c>
      <c r="G491" s="14" t="s">
        <v>11091</v>
      </c>
      <c r="H491" s="15" t="s">
        <v>11092</v>
      </c>
      <c r="I491" s="74" t="s">
        <v>9674</v>
      </c>
    </row>
    <row r="492">
      <c r="A492" s="50">
        <v>473.0</v>
      </c>
      <c r="B492" s="13" t="s">
        <v>11178</v>
      </c>
      <c r="C492" s="72" t="s">
        <v>11179</v>
      </c>
      <c r="D492" s="12" t="s">
        <v>31</v>
      </c>
      <c r="E492" s="13" t="s">
        <v>11180</v>
      </c>
      <c r="F492" s="12">
        <v>25.0</v>
      </c>
      <c r="G492" s="14" t="s">
        <v>11091</v>
      </c>
      <c r="H492" s="15" t="s">
        <v>11092</v>
      </c>
      <c r="I492" s="74" t="s">
        <v>9674</v>
      </c>
    </row>
    <row r="493">
      <c r="A493" s="50">
        <v>474.0</v>
      </c>
      <c r="B493" s="13" t="s">
        <v>11181</v>
      </c>
      <c r="C493" s="72" t="s">
        <v>11182</v>
      </c>
      <c r="D493" s="12" t="s">
        <v>98</v>
      </c>
      <c r="E493" s="13" t="s">
        <v>11183</v>
      </c>
      <c r="F493" s="12">
        <v>26.0</v>
      </c>
      <c r="G493" s="14" t="s">
        <v>11091</v>
      </c>
      <c r="H493" s="15" t="s">
        <v>11092</v>
      </c>
      <c r="I493" s="74" t="s">
        <v>9674</v>
      </c>
    </row>
    <row r="494">
      <c r="A494" s="50">
        <v>475.0</v>
      </c>
      <c r="B494" s="13" t="s">
        <v>11184</v>
      </c>
      <c r="C494" s="72" t="s">
        <v>11185</v>
      </c>
      <c r="D494" s="12" t="s">
        <v>41</v>
      </c>
      <c r="E494" s="13" t="s">
        <v>11186</v>
      </c>
      <c r="F494" s="12">
        <v>18.0</v>
      </c>
      <c r="G494" s="14" t="s">
        <v>11091</v>
      </c>
      <c r="H494" s="15" t="s">
        <v>11092</v>
      </c>
      <c r="I494" s="74" t="s">
        <v>9674</v>
      </c>
    </row>
    <row r="495">
      <c r="A495" s="37" t="s">
        <v>3</v>
      </c>
      <c r="B495" s="51" t="s">
        <v>4</v>
      </c>
      <c r="C495" s="40" t="s">
        <v>5</v>
      </c>
      <c r="D495" s="39" t="s">
        <v>6</v>
      </c>
      <c r="E495" s="39" t="s">
        <v>7</v>
      </c>
      <c r="F495" s="39" t="s">
        <v>8</v>
      </c>
      <c r="G495" s="40" t="s">
        <v>9617</v>
      </c>
      <c r="H495" s="39" t="s">
        <v>9618</v>
      </c>
      <c r="I495" s="39" t="s">
        <v>9619</v>
      </c>
    </row>
    <row r="496">
      <c r="A496" s="50">
        <v>476.0</v>
      </c>
      <c r="B496" s="13" t="s">
        <v>11187</v>
      </c>
      <c r="C496" s="72" t="s">
        <v>11188</v>
      </c>
      <c r="D496" s="12" t="s">
        <v>36</v>
      </c>
      <c r="E496" s="13" t="s">
        <v>11189</v>
      </c>
      <c r="F496" s="12">
        <v>25.0</v>
      </c>
      <c r="G496" s="14" t="s">
        <v>11091</v>
      </c>
      <c r="H496" s="15" t="s">
        <v>11092</v>
      </c>
      <c r="I496" s="74" t="s">
        <v>9674</v>
      </c>
    </row>
    <row r="497">
      <c r="A497" s="50">
        <v>477.0</v>
      </c>
      <c r="B497" s="74" t="s">
        <v>11190</v>
      </c>
      <c r="C497" s="75"/>
      <c r="D497" s="12" t="s">
        <v>10472</v>
      </c>
      <c r="E497" s="13" t="s">
        <v>11191</v>
      </c>
      <c r="F497" s="12">
        <v>19.0</v>
      </c>
      <c r="G497" s="14" t="s">
        <v>11192</v>
      </c>
      <c r="H497" s="15" t="s">
        <v>11193</v>
      </c>
      <c r="I497" s="74" t="s">
        <v>9674</v>
      </c>
    </row>
    <row r="498">
      <c r="A498" s="50">
        <v>478.0</v>
      </c>
      <c r="B498" s="74" t="s">
        <v>11194</v>
      </c>
      <c r="C498" s="75"/>
      <c r="D498" s="12" t="s">
        <v>10688</v>
      </c>
      <c r="E498" s="13" t="s">
        <v>11195</v>
      </c>
      <c r="F498" s="12">
        <v>18.0</v>
      </c>
      <c r="G498" s="14" t="s">
        <v>11192</v>
      </c>
      <c r="H498" s="15" t="s">
        <v>11193</v>
      </c>
      <c r="I498" s="74" t="s">
        <v>9674</v>
      </c>
    </row>
    <row r="499">
      <c r="A499" s="50">
        <v>479.0</v>
      </c>
      <c r="B499" s="13" t="s">
        <v>11196</v>
      </c>
      <c r="C499" s="72" t="s">
        <v>11197</v>
      </c>
      <c r="D499" s="12" t="s">
        <v>26</v>
      </c>
      <c r="E499" s="13" t="s">
        <v>11198</v>
      </c>
      <c r="F499" s="12">
        <v>21.0</v>
      </c>
      <c r="G499" s="14" t="s">
        <v>11199</v>
      </c>
      <c r="H499" s="15" t="s">
        <v>11200</v>
      </c>
      <c r="I499" s="74" t="s">
        <v>9674</v>
      </c>
    </row>
    <row r="500">
      <c r="A500" s="50">
        <v>480.0</v>
      </c>
      <c r="B500" s="13" t="s">
        <v>11201</v>
      </c>
      <c r="C500" s="72" t="s">
        <v>11202</v>
      </c>
      <c r="D500" s="12" t="s">
        <v>26</v>
      </c>
      <c r="E500" s="13" t="s">
        <v>11203</v>
      </c>
      <c r="F500" s="12">
        <v>19.0</v>
      </c>
      <c r="G500" s="14" t="s">
        <v>11199</v>
      </c>
      <c r="H500" s="15" t="s">
        <v>11200</v>
      </c>
      <c r="I500" s="74" t="s">
        <v>9674</v>
      </c>
    </row>
    <row r="501">
      <c r="A501" s="50">
        <v>481.0</v>
      </c>
      <c r="B501" s="13" t="s">
        <v>11204</v>
      </c>
      <c r="C501" s="72" t="s">
        <v>11205</v>
      </c>
      <c r="D501" s="12" t="s">
        <v>36</v>
      </c>
      <c r="E501" s="13" t="s">
        <v>11206</v>
      </c>
      <c r="F501" s="12">
        <v>20.0</v>
      </c>
      <c r="G501" s="14" t="s">
        <v>11199</v>
      </c>
      <c r="H501" s="15" t="s">
        <v>11200</v>
      </c>
      <c r="I501" s="74" t="s">
        <v>9674</v>
      </c>
    </row>
    <row r="502">
      <c r="A502" s="50">
        <v>482.0</v>
      </c>
      <c r="B502" s="13" t="s">
        <v>11207</v>
      </c>
      <c r="C502" s="72" t="s">
        <v>11208</v>
      </c>
      <c r="D502" s="12" t="s">
        <v>345</v>
      </c>
      <c r="E502" s="13" t="s">
        <v>11209</v>
      </c>
      <c r="F502" s="12">
        <v>19.0</v>
      </c>
      <c r="G502" s="14" t="s">
        <v>11199</v>
      </c>
      <c r="H502" s="15" t="s">
        <v>11200</v>
      </c>
      <c r="I502" s="74" t="s">
        <v>9674</v>
      </c>
    </row>
    <row r="503">
      <c r="A503" s="50">
        <v>483.0</v>
      </c>
      <c r="B503" s="13" t="s">
        <v>11210</v>
      </c>
      <c r="C503" s="72" t="s">
        <v>11211</v>
      </c>
      <c r="D503" s="12" t="s">
        <v>98</v>
      </c>
      <c r="E503" s="13" t="s">
        <v>11212</v>
      </c>
      <c r="F503" s="12">
        <v>32.0</v>
      </c>
      <c r="G503" s="14" t="s">
        <v>11199</v>
      </c>
      <c r="H503" s="15" t="s">
        <v>11200</v>
      </c>
      <c r="I503" s="74" t="s">
        <v>9674</v>
      </c>
    </row>
    <row r="504">
      <c r="A504" s="50">
        <v>484.0</v>
      </c>
      <c r="B504" s="13" t="s">
        <v>11213</v>
      </c>
      <c r="C504" s="72" t="s">
        <v>11214</v>
      </c>
      <c r="D504" s="12" t="s">
        <v>107</v>
      </c>
      <c r="E504" s="13" t="s">
        <v>11215</v>
      </c>
      <c r="F504" s="12">
        <v>28.0</v>
      </c>
      <c r="G504" s="14" t="s">
        <v>11199</v>
      </c>
      <c r="H504" s="15" t="s">
        <v>11200</v>
      </c>
      <c r="I504" s="74" t="s">
        <v>9674</v>
      </c>
    </row>
    <row r="505">
      <c r="A505" s="50">
        <v>485.0</v>
      </c>
      <c r="B505" s="13" t="s">
        <v>11216</v>
      </c>
      <c r="C505" s="72" t="s">
        <v>11217</v>
      </c>
      <c r="D505" s="12" t="s">
        <v>98</v>
      </c>
      <c r="E505" s="13" t="s">
        <v>11218</v>
      </c>
      <c r="F505" s="12">
        <v>25.0</v>
      </c>
      <c r="G505" s="14" t="s">
        <v>11199</v>
      </c>
      <c r="H505" s="15" t="s">
        <v>11200</v>
      </c>
      <c r="I505" s="74" t="s">
        <v>9674</v>
      </c>
    </row>
    <row r="506">
      <c r="A506" s="50">
        <v>486.0</v>
      </c>
      <c r="B506" s="13" t="s">
        <v>11219</v>
      </c>
      <c r="C506" s="72" t="s">
        <v>11220</v>
      </c>
      <c r="D506" s="12" t="s">
        <v>36</v>
      </c>
      <c r="E506" s="13" t="s">
        <v>11221</v>
      </c>
      <c r="F506" s="12">
        <v>23.0</v>
      </c>
      <c r="G506" s="14" t="s">
        <v>11199</v>
      </c>
      <c r="H506" s="15" t="s">
        <v>11200</v>
      </c>
      <c r="I506" s="74" t="s">
        <v>9674</v>
      </c>
    </row>
    <row r="507">
      <c r="A507" s="50">
        <v>487.0</v>
      </c>
      <c r="B507" s="13" t="s">
        <v>11222</v>
      </c>
      <c r="C507" s="72" t="s">
        <v>11223</v>
      </c>
      <c r="D507" s="12" t="s">
        <v>10472</v>
      </c>
      <c r="E507" s="13" t="s">
        <v>11224</v>
      </c>
      <c r="F507" s="12">
        <v>25.0</v>
      </c>
      <c r="G507" s="14" t="s">
        <v>11199</v>
      </c>
      <c r="H507" s="15" t="s">
        <v>11200</v>
      </c>
      <c r="I507" s="74" t="s">
        <v>9674</v>
      </c>
    </row>
    <row r="508">
      <c r="A508" s="50">
        <v>488.0</v>
      </c>
      <c r="B508" s="13" t="s">
        <v>11225</v>
      </c>
      <c r="C508" s="72" t="s">
        <v>11226</v>
      </c>
      <c r="D508" s="12" t="s">
        <v>36</v>
      </c>
      <c r="E508" s="13" t="s">
        <v>11227</v>
      </c>
      <c r="F508" s="12">
        <v>30.0</v>
      </c>
      <c r="G508" s="14" t="s">
        <v>11199</v>
      </c>
      <c r="H508" s="15" t="s">
        <v>11200</v>
      </c>
      <c r="I508" s="74" t="s">
        <v>9674</v>
      </c>
    </row>
    <row r="509">
      <c r="A509" s="50">
        <v>489.0</v>
      </c>
      <c r="B509" s="13" t="s">
        <v>11228</v>
      </c>
      <c r="C509" s="72" t="s">
        <v>11229</v>
      </c>
      <c r="D509" s="12" t="s">
        <v>345</v>
      </c>
      <c r="E509" s="13" t="s">
        <v>11230</v>
      </c>
      <c r="F509" s="12">
        <v>30.0</v>
      </c>
      <c r="G509" s="14" t="s">
        <v>11199</v>
      </c>
      <c r="H509" s="15" t="s">
        <v>11200</v>
      </c>
      <c r="I509" s="74" t="s">
        <v>9674</v>
      </c>
    </row>
    <row r="510">
      <c r="A510" s="50">
        <v>490.0</v>
      </c>
      <c r="B510" s="74" t="s">
        <v>11231</v>
      </c>
      <c r="C510" s="75"/>
      <c r="D510" s="12" t="s">
        <v>10850</v>
      </c>
      <c r="E510" s="13" t="s">
        <v>11232</v>
      </c>
      <c r="F510" s="12">
        <v>24.0</v>
      </c>
      <c r="G510" s="14" t="s">
        <v>11199</v>
      </c>
      <c r="H510" s="15" t="s">
        <v>11200</v>
      </c>
      <c r="I510" s="74" t="s">
        <v>9674</v>
      </c>
    </row>
    <row r="511">
      <c r="A511" s="50">
        <v>491.0</v>
      </c>
      <c r="B511" s="13" t="s">
        <v>11233</v>
      </c>
      <c r="C511" s="72" t="s">
        <v>11234</v>
      </c>
      <c r="D511" s="12" t="s">
        <v>41</v>
      </c>
      <c r="E511" s="13" t="s">
        <v>11235</v>
      </c>
      <c r="F511" s="12">
        <v>26.0</v>
      </c>
      <c r="G511" s="14" t="s">
        <v>11199</v>
      </c>
      <c r="H511" s="15" t="s">
        <v>11200</v>
      </c>
      <c r="I511" s="74" t="s">
        <v>9674</v>
      </c>
    </row>
    <row r="512">
      <c r="A512" s="50">
        <v>492.0</v>
      </c>
      <c r="B512" s="13" t="s">
        <v>11236</v>
      </c>
      <c r="C512" s="72" t="s">
        <v>11237</v>
      </c>
      <c r="D512" s="12" t="s">
        <v>36</v>
      </c>
      <c r="E512" s="13" t="s">
        <v>11238</v>
      </c>
      <c r="F512" s="12">
        <v>23.0</v>
      </c>
      <c r="G512" s="14" t="s">
        <v>11199</v>
      </c>
      <c r="H512" s="15" t="s">
        <v>11200</v>
      </c>
      <c r="I512" s="74" t="s">
        <v>9674</v>
      </c>
    </row>
    <row r="513">
      <c r="A513" s="50">
        <v>493.0</v>
      </c>
      <c r="B513" s="13" t="s">
        <v>11239</v>
      </c>
      <c r="C513" s="72" t="s">
        <v>11240</v>
      </c>
      <c r="D513" s="12" t="s">
        <v>98</v>
      </c>
      <c r="E513" s="13" t="s">
        <v>11241</v>
      </c>
      <c r="F513" s="12">
        <v>34.0</v>
      </c>
      <c r="G513" s="14" t="s">
        <v>11199</v>
      </c>
      <c r="H513" s="15" t="s">
        <v>11200</v>
      </c>
      <c r="I513" s="74" t="s">
        <v>9674</v>
      </c>
    </row>
    <row r="514">
      <c r="A514" s="50">
        <v>494.0</v>
      </c>
      <c r="B514" s="13" t="s">
        <v>11242</v>
      </c>
      <c r="C514" s="72" t="s">
        <v>11243</v>
      </c>
      <c r="D514" s="12" t="s">
        <v>41</v>
      </c>
      <c r="E514" s="13" t="s">
        <v>11244</v>
      </c>
      <c r="F514" s="12">
        <v>19.0</v>
      </c>
      <c r="G514" s="14" t="s">
        <v>11199</v>
      </c>
      <c r="H514" s="15" t="s">
        <v>11200</v>
      </c>
      <c r="I514" s="74" t="s">
        <v>9674</v>
      </c>
    </row>
    <row r="515">
      <c r="A515" s="50">
        <v>495.0</v>
      </c>
      <c r="B515" s="13" t="s">
        <v>11245</v>
      </c>
      <c r="C515" s="72" t="s">
        <v>11246</v>
      </c>
      <c r="D515" s="12" t="s">
        <v>31</v>
      </c>
      <c r="E515" s="13" t="s">
        <v>11247</v>
      </c>
      <c r="F515" s="12">
        <v>19.0</v>
      </c>
      <c r="G515" s="14" t="s">
        <v>11199</v>
      </c>
      <c r="H515" s="15" t="s">
        <v>11200</v>
      </c>
      <c r="I515" s="74" t="s">
        <v>9674</v>
      </c>
    </row>
    <row r="516">
      <c r="A516" s="50">
        <v>496.0</v>
      </c>
      <c r="B516" s="13" t="s">
        <v>11248</v>
      </c>
      <c r="C516" s="72" t="s">
        <v>11249</v>
      </c>
      <c r="D516" s="12" t="s">
        <v>31</v>
      </c>
      <c r="E516" s="13" t="s">
        <v>11250</v>
      </c>
      <c r="F516" s="12">
        <v>22.0</v>
      </c>
      <c r="G516" s="14" t="s">
        <v>11199</v>
      </c>
      <c r="H516" s="15" t="s">
        <v>11200</v>
      </c>
      <c r="I516" s="74" t="s">
        <v>9674</v>
      </c>
    </row>
    <row r="517">
      <c r="A517" s="50">
        <v>497.0</v>
      </c>
      <c r="B517" s="13" t="s">
        <v>11251</v>
      </c>
      <c r="C517" s="72" t="s">
        <v>11252</v>
      </c>
      <c r="D517" s="12" t="s">
        <v>31</v>
      </c>
      <c r="E517" s="13" t="s">
        <v>11253</v>
      </c>
      <c r="F517" s="12">
        <v>22.0</v>
      </c>
      <c r="G517" s="14" t="s">
        <v>11199</v>
      </c>
      <c r="H517" s="15" t="s">
        <v>11200</v>
      </c>
      <c r="I517" s="74" t="s">
        <v>9674</v>
      </c>
    </row>
    <row r="518">
      <c r="A518" s="50">
        <v>498.0</v>
      </c>
      <c r="B518" s="74" t="s">
        <v>11254</v>
      </c>
      <c r="C518" s="75"/>
      <c r="D518" s="12" t="s">
        <v>10776</v>
      </c>
      <c r="E518" s="13" t="s">
        <v>11255</v>
      </c>
      <c r="F518" s="12">
        <v>19.0</v>
      </c>
      <c r="G518" s="14" t="s">
        <v>11199</v>
      </c>
      <c r="H518" s="15" t="s">
        <v>11200</v>
      </c>
      <c r="I518" s="74" t="s">
        <v>9674</v>
      </c>
    </row>
    <row r="519">
      <c r="A519" s="50">
        <v>499.0</v>
      </c>
      <c r="B519" s="13" t="s">
        <v>11256</v>
      </c>
      <c r="C519" s="72" t="s">
        <v>11257</v>
      </c>
      <c r="D519" s="12" t="s">
        <v>345</v>
      </c>
      <c r="E519" s="13" t="s">
        <v>11258</v>
      </c>
      <c r="F519" s="12">
        <v>20.0</v>
      </c>
      <c r="G519" s="14" t="s">
        <v>11259</v>
      </c>
      <c r="H519" s="15" t="s">
        <v>11260</v>
      </c>
      <c r="I519" s="74" t="s">
        <v>9674</v>
      </c>
    </row>
    <row r="520">
      <c r="A520" s="50">
        <v>500.0</v>
      </c>
      <c r="B520" s="13" t="s">
        <v>11261</v>
      </c>
      <c r="C520" s="72" t="s">
        <v>11262</v>
      </c>
      <c r="D520" s="12" t="s">
        <v>31</v>
      </c>
      <c r="E520" s="13" t="s">
        <v>11263</v>
      </c>
      <c r="F520" s="12">
        <v>23.0</v>
      </c>
      <c r="G520" s="14" t="s">
        <v>11264</v>
      </c>
      <c r="H520" s="15" t="s">
        <v>11265</v>
      </c>
      <c r="I520" s="74" t="s">
        <v>9674</v>
      </c>
    </row>
    <row r="521">
      <c r="A521" s="37" t="s">
        <v>3</v>
      </c>
      <c r="B521" s="51" t="s">
        <v>4</v>
      </c>
      <c r="C521" s="40" t="s">
        <v>5</v>
      </c>
      <c r="D521" s="39" t="s">
        <v>6</v>
      </c>
      <c r="E521" s="39" t="s">
        <v>7</v>
      </c>
      <c r="F521" s="39" t="s">
        <v>8</v>
      </c>
      <c r="G521" s="40" t="s">
        <v>9617</v>
      </c>
      <c r="H521" s="39" t="s">
        <v>9618</v>
      </c>
      <c r="I521" s="39" t="s">
        <v>9619</v>
      </c>
    </row>
    <row r="522">
      <c r="A522" s="50">
        <v>501.0</v>
      </c>
      <c r="B522" s="13" t="s">
        <v>11266</v>
      </c>
      <c r="C522" s="72" t="s">
        <v>11267</v>
      </c>
      <c r="D522" s="12" t="s">
        <v>31</v>
      </c>
      <c r="E522" s="13" t="s">
        <v>11268</v>
      </c>
      <c r="F522" s="12">
        <v>19.0</v>
      </c>
      <c r="G522" s="14" t="s">
        <v>11269</v>
      </c>
      <c r="H522" s="15" t="s">
        <v>11270</v>
      </c>
      <c r="I522" s="74" t="s">
        <v>9674</v>
      </c>
    </row>
    <row r="523">
      <c r="A523" s="50">
        <v>502.0</v>
      </c>
      <c r="B523" s="74" t="s">
        <v>11271</v>
      </c>
      <c r="C523" s="75"/>
      <c r="D523" s="12" t="s">
        <v>10688</v>
      </c>
      <c r="E523" s="13" t="s">
        <v>11272</v>
      </c>
      <c r="F523" s="12">
        <v>18.0</v>
      </c>
      <c r="G523" s="14" t="s">
        <v>11273</v>
      </c>
      <c r="H523" s="15" t="s">
        <v>11274</v>
      </c>
      <c r="I523" s="73"/>
    </row>
    <row r="524">
      <c r="A524" s="50">
        <v>503.0</v>
      </c>
      <c r="B524" s="13" t="s">
        <v>11275</v>
      </c>
      <c r="C524" s="72" t="s">
        <v>11276</v>
      </c>
      <c r="D524" s="12" t="s">
        <v>98</v>
      </c>
      <c r="E524" s="13" t="s">
        <v>11277</v>
      </c>
      <c r="F524" s="12">
        <v>26.0</v>
      </c>
      <c r="G524" s="14" t="s">
        <v>11273</v>
      </c>
      <c r="H524" s="15" t="s">
        <v>11274</v>
      </c>
      <c r="I524" s="74" t="s">
        <v>9674</v>
      </c>
    </row>
    <row r="525">
      <c r="A525" s="50">
        <v>504.0</v>
      </c>
      <c r="B525" s="13" t="s">
        <v>11278</v>
      </c>
      <c r="C525" s="72" t="s">
        <v>11279</v>
      </c>
      <c r="D525" s="12" t="s">
        <v>41</v>
      </c>
      <c r="E525" s="13" t="s">
        <v>11280</v>
      </c>
      <c r="F525" s="12">
        <v>21.0</v>
      </c>
      <c r="G525" s="14" t="s">
        <v>11273</v>
      </c>
      <c r="H525" s="15" t="s">
        <v>11274</v>
      </c>
      <c r="I525" s="74" t="s">
        <v>9674</v>
      </c>
    </row>
    <row r="526">
      <c r="A526" s="50">
        <v>505.0</v>
      </c>
      <c r="B526" s="13" t="s">
        <v>11281</v>
      </c>
      <c r="C526" s="72" t="s">
        <v>11282</v>
      </c>
      <c r="D526" s="12" t="s">
        <v>31</v>
      </c>
      <c r="E526" s="13" t="s">
        <v>11283</v>
      </c>
      <c r="F526" s="12">
        <v>20.0</v>
      </c>
      <c r="G526" s="14" t="s">
        <v>11273</v>
      </c>
      <c r="H526" s="15" t="s">
        <v>11274</v>
      </c>
      <c r="I526" s="74" t="s">
        <v>9674</v>
      </c>
    </row>
    <row r="527">
      <c r="A527" s="50">
        <v>506.0</v>
      </c>
      <c r="B527" s="13" t="s">
        <v>11284</v>
      </c>
      <c r="C527" s="72" t="s">
        <v>11285</v>
      </c>
      <c r="D527" s="12" t="s">
        <v>41</v>
      </c>
      <c r="E527" s="13" t="s">
        <v>11286</v>
      </c>
      <c r="F527" s="12">
        <v>28.0</v>
      </c>
      <c r="G527" s="14" t="s">
        <v>11273</v>
      </c>
      <c r="H527" s="15" t="s">
        <v>11274</v>
      </c>
      <c r="I527" s="74" t="s">
        <v>9674</v>
      </c>
    </row>
    <row r="528">
      <c r="A528" s="50">
        <v>507.0</v>
      </c>
      <c r="B528" s="13" t="s">
        <v>11287</v>
      </c>
      <c r="C528" s="72" t="s">
        <v>11288</v>
      </c>
      <c r="D528" s="12" t="s">
        <v>31</v>
      </c>
      <c r="E528" s="13" t="s">
        <v>11289</v>
      </c>
      <c r="F528" s="12">
        <v>25.0</v>
      </c>
      <c r="G528" s="14" t="s">
        <v>11273</v>
      </c>
      <c r="H528" s="15" t="s">
        <v>11274</v>
      </c>
      <c r="I528" s="74" t="s">
        <v>9674</v>
      </c>
    </row>
    <row r="529">
      <c r="A529" s="50">
        <v>508.0</v>
      </c>
      <c r="B529" s="13" t="s">
        <v>11290</v>
      </c>
      <c r="C529" s="72" t="s">
        <v>11291</v>
      </c>
      <c r="D529" s="12" t="s">
        <v>31</v>
      </c>
      <c r="E529" s="13" t="s">
        <v>11292</v>
      </c>
      <c r="F529" s="12">
        <v>21.0</v>
      </c>
      <c r="G529" s="14" t="s">
        <v>11273</v>
      </c>
      <c r="H529" s="15" t="s">
        <v>11274</v>
      </c>
      <c r="I529" s="74" t="s">
        <v>9674</v>
      </c>
    </row>
    <row r="530">
      <c r="A530" s="50">
        <v>509.0</v>
      </c>
      <c r="B530" s="13" t="s">
        <v>11293</v>
      </c>
      <c r="C530" s="72" t="s">
        <v>11294</v>
      </c>
      <c r="D530" s="12" t="s">
        <v>31</v>
      </c>
      <c r="E530" s="13" t="s">
        <v>11295</v>
      </c>
      <c r="F530" s="12">
        <v>20.0</v>
      </c>
      <c r="G530" s="14" t="s">
        <v>11273</v>
      </c>
      <c r="H530" s="15" t="s">
        <v>11274</v>
      </c>
      <c r="I530" s="74" t="s">
        <v>9674</v>
      </c>
    </row>
    <row r="531">
      <c r="A531" s="50">
        <v>510.0</v>
      </c>
      <c r="B531" s="13" t="s">
        <v>11296</v>
      </c>
      <c r="C531" s="72" t="s">
        <v>11297</v>
      </c>
      <c r="D531" s="12" t="s">
        <v>36</v>
      </c>
      <c r="E531" s="13" t="s">
        <v>11298</v>
      </c>
      <c r="F531" s="12">
        <v>22.0</v>
      </c>
      <c r="G531" s="14" t="s">
        <v>11273</v>
      </c>
      <c r="H531" s="15" t="s">
        <v>11274</v>
      </c>
      <c r="I531" s="74" t="s">
        <v>9674</v>
      </c>
    </row>
    <row r="532">
      <c r="A532" s="50">
        <v>511.0</v>
      </c>
      <c r="B532" s="13" t="s">
        <v>11299</v>
      </c>
      <c r="C532" s="72" t="s">
        <v>11300</v>
      </c>
      <c r="D532" s="12" t="s">
        <v>31</v>
      </c>
      <c r="E532" s="13" t="s">
        <v>11301</v>
      </c>
      <c r="F532" s="12">
        <v>21.0</v>
      </c>
      <c r="G532" s="14" t="s">
        <v>11273</v>
      </c>
      <c r="H532" s="15" t="s">
        <v>11274</v>
      </c>
      <c r="I532" s="74" t="s">
        <v>9674</v>
      </c>
    </row>
    <row r="533">
      <c r="A533" s="50">
        <v>512.0</v>
      </c>
      <c r="B533" s="74" t="s">
        <v>11302</v>
      </c>
      <c r="C533" s="75"/>
      <c r="D533" s="12" t="s">
        <v>10688</v>
      </c>
      <c r="E533" s="13" t="s">
        <v>11303</v>
      </c>
      <c r="F533" s="12">
        <v>19.0</v>
      </c>
      <c r="G533" s="14" t="s">
        <v>11273</v>
      </c>
      <c r="H533" s="15" t="s">
        <v>11274</v>
      </c>
      <c r="I533" s="74" t="s">
        <v>9674</v>
      </c>
    </row>
    <row r="534">
      <c r="A534" s="50">
        <v>513.0</v>
      </c>
      <c r="B534" s="13" t="s">
        <v>11304</v>
      </c>
      <c r="C534" s="72" t="s">
        <v>11305</v>
      </c>
      <c r="D534" s="12" t="s">
        <v>41</v>
      </c>
      <c r="E534" s="13" t="s">
        <v>11306</v>
      </c>
      <c r="F534" s="12">
        <v>20.0</v>
      </c>
      <c r="G534" s="14" t="s">
        <v>11273</v>
      </c>
      <c r="H534" s="15" t="s">
        <v>11274</v>
      </c>
      <c r="I534" s="74" t="s">
        <v>9674</v>
      </c>
    </row>
    <row r="535">
      <c r="A535" s="50">
        <v>514.0</v>
      </c>
      <c r="B535" s="13" t="s">
        <v>11307</v>
      </c>
      <c r="C535" s="72" t="s">
        <v>11308</v>
      </c>
      <c r="D535" s="12" t="s">
        <v>10551</v>
      </c>
      <c r="E535" s="13" t="s">
        <v>11309</v>
      </c>
      <c r="F535" s="12">
        <v>24.0</v>
      </c>
      <c r="G535" s="14" t="s">
        <v>11273</v>
      </c>
      <c r="H535" s="15" t="s">
        <v>11274</v>
      </c>
      <c r="I535" s="74" t="s">
        <v>9674</v>
      </c>
    </row>
    <row r="536">
      <c r="A536" s="50">
        <v>515.0</v>
      </c>
      <c r="B536" s="13" t="s">
        <v>11310</v>
      </c>
      <c r="C536" s="72" t="s">
        <v>11311</v>
      </c>
      <c r="D536" s="12" t="s">
        <v>31</v>
      </c>
      <c r="E536" s="13" t="s">
        <v>11312</v>
      </c>
      <c r="F536" s="12">
        <v>23.0</v>
      </c>
      <c r="G536" s="14" t="s">
        <v>11273</v>
      </c>
      <c r="H536" s="15" t="s">
        <v>11274</v>
      </c>
      <c r="I536" s="74" t="s">
        <v>9674</v>
      </c>
    </row>
    <row r="537">
      <c r="A537" s="50">
        <v>516.0</v>
      </c>
      <c r="B537" s="13" t="s">
        <v>11313</v>
      </c>
      <c r="C537" s="72" t="s">
        <v>11314</v>
      </c>
      <c r="D537" s="12" t="s">
        <v>98</v>
      </c>
      <c r="E537" s="13" t="s">
        <v>11315</v>
      </c>
      <c r="F537" s="12">
        <v>35.0</v>
      </c>
      <c r="G537" s="14" t="s">
        <v>11273</v>
      </c>
      <c r="H537" s="15" t="s">
        <v>11274</v>
      </c>
      <c r="I537" s="74" t="s">
        <v>9674</v>
      </c>
    </row>
    <row r="538">
      <c r="A538" s="50">
        <v>517.0</v>
      </c>
      <c r="B538" s="13" t="s">
        <v>11316</v>
      </c>
      <c r="C538" s="72" t="s">
        <v>11317</v>
      </c>
      <c r="D538" s="12" t="s">
        <v>10472</v>
      </c>
      <c r="E538" s="13" t="s">
        <v>11318</v>
      </c>
      <c r="F538" s="12">
        <v>28.0</v>
      </c>
      <c r="G538" s="14" t="s">
        <v>11273</v>
      </c>
      <c r="H538" s="15" t="s">
        <v>11274</v>
      </c>
      <c r="I538" s="74" t="s">
        <v>9674</v>
      </c>
    </row>
    <row r="539">
      <c r="A539" s="50">
        <v>518.0</v>
      </c>
      <c r="B539" s="13" t="s">
        <v>11319</v>
      </c>
      <c r="C539" s="72" t="s">
        <v>11320</v>
      </c>
      <c r="D539" s="12" t="s">
        <v>11321</v>
      </c>
      <c r="E539" s="13" t="s">
        <v>11322</v>
      </c>
      <c r="F539" s="12">
        <v>24.0</v>
      </c>
      <c r="G539" s="14" t="s">
        <v>11273</v>
      </c>
      <c r="H539" s="15" t="s">
        <v>11274</v>
      </c>
      <c r="I539" s="74" t="s">
        <v>9674</v>
      </c>
    </row>
    <row r="540">
      <c r="A540" s="50">
        <v>519.0</v>
      </c>
      <c r="B540" s="13" t="s">
        <v>11323</v>
      </c>
      <c r="C540" s="72" t="s">
        <v>11324</v>
      </c>
      <c r="D540" s="12" t="s">
        <v>98</v>
      </c>
      <c r="E540" s="13" t="s">
        <v>11325</v>
      </c>
      <c r="F540" s="12">
        <v>38.0</v>
      </c>
      <c r="G540" s="14" t="s">
        <v>11273</v>
      </c>
      <c r="H540" s="15" t="s">
        <v>11274</v>
      </c>
      <c r="I540" s="74" t="s">
        <v>9674</v>
      </c>
    </row>
    <row r="541">
      <c r="A541" s="50">
        <v>520.0</v>
      </c>
      <c r="B541" s="13" t="s">
        <v>11326</v>
      </c>
      <c r="C541" s="72" t="s">
        <v>11327</v>
      </c>
      <c r="D541" s="12" t="s">
        <v>98</v>
      </c>
      <c r="E541" s="13" t="s">
        <v>11328</v>
      </c>
      <c r="F541" s="12">
        <v>33.0</v>
      </c>
      <c r="G541" s="14" t="s">
        <v>11273</v>
      </c>
      <c r="H541" s="15" t="s">
        <v>11274</v>
      </c>
      <c r="I541" s="73"/>
    </row>
    <row r="542">
      <c r="A542" s="50">
        <v>521.0</v>
      </c>
      <c r="B542" s="13" t="s">
        <v>11329</v>
      </c>
      <c r="C542" s="72" t="s">
        <v>11330</v>
      </c>
      <c r="D542" s="12" t="s">
        <v>41</v>
      </c>
      <c r="E542" s="13" t="s">
        <v>11331</v>
      </c>
      <c r="F542" s="12">
        <v>18.0</v>
      </c>
      <c r="G542" s="14" t="s">
        <v>11273</v>
      </c>
      <c r="H542" s="15" t="s">
        <v>11274</v>
      </c>
      <c r="I542" s="74" t="s">
        <v>9674</v>
      </c>
    </row>
    <row r="543">
      <c r="A543" s="50">
        <v>522.0</v>
      </c>
      <c r="B543" s="13" t="s">
        <v>11332</v>
      </c>
      <c r="C543" s="72" t="s">
        <v>11333</v>
      </c>
      <c r="D543" s="12" t="s">
        <v>31</v>
      </c>
      <c r="E543" s="13" t="s">
        <v>11334</v>
      </c>
      <c r="F543" s="12">
        <v>19.0</v>
      </c>
      <c r="G543" s="14" t="s">
        <v>11273</v>
      </c>
      <c r="H543" s="15" t="s">
        <v>11274</v>
      </c>
      <c r="I543" s="74" t="s">
        <v>9674</v>
      </c>
    </row>
    <row r="544">
      <c r="A544" s="50">
        <v>523.0</v>
      </c>
      <c r="B544" s="13" t="s">
        <v>11335</v>
      </c>
      <c r="C544" s="72" t="s">
        <v>11336</v>
      </c>
      <c r="D544" s="12" t="s">
        <v>10688</v>
      </c>
      <c r="E544" s="13" t="s">
        <v>11337</v>
      </c>
      <c r="F544" s="12">
        <v>22.0</v>
      </c>
      <c r="G544" s="14" t="s">
        <v>11273</v>
      </c>
      <c r="H544" s="15" t="s">
        <v>11274</v>
      </c>
      <c r="I544" s="74" t="s">
        <v>9674</v>
      </c>
    </row>
    <row r="545">
      <c r="A545" s="50">
        <v>524.0</v>
      </c>
      <c r="B545" s="13" t="s">
        <v>11338</v>
      </c>
      <c r="C545" s="72" t="s">
        <v>11339</v>
      </c>
      <c r="D545" s="12" t="s">
        <v>98</v>
      </c>
      <c r="E545" s="13" t="s">
        <v>11340</v>
      </c>
      <c r="F545" s="12">
        <v>25.0</v>
      </c>
      <c r="G545" s="14" t="s">
        <v>11273</v>
      </c>
      <c r="H545" s="15" t="s">
        <v>11274</v>
      </c>
      <c r="I545" s="74" t="s">
        <v>9674</v>
      </c>
    </row>
    <row r="546">
      <c r="A546" s="50">
        <v>525.0</v>
      </c>
      <c r="B546" s="13" t="s">
        <v>11341</v>
      </c>
      <c r="C546" s="72" t="s">
        <v>11342</v>
      </c>
      <c r="D546" s="12" t="s">
        <v>98</v>
      </c>
      <c r="E546" s="13" t="s">
        <v>11343</v>
      </c>
      <c r="F546" s="12">
        <v>30.0</v>
      </c>
      <c r="G546" s="14" t="s">
        <v>11273</v>
      </c>
      <c r="H546" s="15" t="s">
        <v>11274</v>
      </c>
      <c r="I546" s="74" t="s">
        <v>9674</v>
      </c>
    </row>
    <row r="547">
      <c r="A547" s="37" t="s">
        <v>3</v>
      </c>
      <c r="B547" s="51" t="s">
        <v>4</v>
      </c>
      <c r="C547" s="40" t="s">
        <v>5</v>
      </c>
      <c r="D547" s="39" t="s">
        <v>6</v>
      </c>
      <c r="E547" s="39" t="s">
        <v>7</v>
      </c>
      <c r="F547" s="39" t="s">
        <v>8</v>
      </c>
      <c r="G547" s="40" t="s">
        <v>9617</v>
      </c>
      <c r="H547" s="39" t="s">
        <v>9618</v>
      </c>
      <c r="I547" s="39" t="s">
        <v>9619</v>
      </c>
    </row>
    <row r="548">
      <c r="A548" s="50">
        <v>526.0</v>
      </c>
      <c r="B548" s="13" t="s">
        <v>11344</v>
      </c>
      <c r="C548" s="72" t="s">
        <v>11345</v>
      </c>
      <c r="D548" s="12" t="s">
        <v>10850</v>
      </c>
      <c r="E548" s="13" t="s">
        <v>11346</v>
      </c>
      <c r="F548" s="12">
        <v>27.0</v>
      </c>
      <c r="G548" s="14" t="s">
        <v>11273</v>
      </c>
      <c r="H548" s="15" t="s">
        <v>11274</v>
      </c>
      <c r="I548" s="74" t="s">
        <v>9674</v>
      </c>
    </row>
    <row r="549">
      <c r="A549" s="50">
        <v>527.0</v>
      </c>
      <c r="B549" s="74" t="s">
        <v>11347</v>
      </c>
      <c r="C549" s="75"/>
      <c r="D549" s="12" t="s">
        <v>10850</v>
      </c>
      <c r="E549" s="13" t="s">
        <v>11348</v>
      </c>
      <c r="F549" s="12">
        <v>19.0</v>
      </c>
      <c r="G549" s="14" t="s">
        <v>11349</v>
      </c>
      <c r="H549" s="15" t="s">
        <v>11350</v>
      </c>
      <c r="I549" s="74" t="s">
        <v>9674</v>
      </c>
    </row>
    <row r="550">
      <c r="A550" s="50">
        <v>528.0</v>
      </c>
      <c r="B550" s="13" t="s">
        <v>11351</v>
      </c>
      <c r="C550" s="72" t="s">
        <v>11352</v>
      </c>
      <c r="D550" s="12" t="s">
        <v>98</v>
      </c>
      <c r="E550" s="13" t="s">
        <v>11353</v>
      </c>
      <c r="F550" s="12">
        <v>23.0</v>
      </c>
      <c r="G550" s="14" t="s">
        <v>11354</v>
      </c>
      <c r="H550" s="15" t="s">
        <v>11355</v>
      </c>
      <c r="I550" s="74" t="s">
        <v>9674</v>
      </c>
    </row>
    <row r="551">
      <c r="A551" s="50">
        <v>529.0</v>
      </c>
      <c r="B551" s="13" t="s">
        <v>11356</v>
      </c>
      <c r="C551" s="72" t="s">
        <v>11357</v>
      </c>
      <c r="D551" s="12" t="s">
        <v>31</v>
      </c>
      <c r="E551" s="13" t="s">
        <v>11358</v>
      </c>
      <c r="F551" s="12">
        <v>20.0</v>
      </c>
      <c r="G551" s="14" t="s">
        <v>11354</v>
      </c>
      <c r="H551" s="15" t="s">
        <v>11355</v>
      </c>
      <c r="I551" s="74" t="s">
        <v>9674</v>
      </c>
    </row>
    <row r="552">
      <c r="A552" s="50">
        <v>530.0</v>
      </c>
      <c r="B552" s="13" t="s">
        <v>11359</v>
      </c>
      <c r="C552" s="72" t="s">
        <v>11360</v>
      </c>
      <c r="D552" s="12" t="s">
        <v>11321</v>
      </c>
      <c r="E552" s="13" t="s">
        <v>11361</v>
      </c>
      <c r="F552" s="12">
        <v>19.0</v>
      </c>
      <c r="G552" s="14" t="s">
        <v>11362</v>
      </c>
      <c r="H552" s="15" t="s">
        <v>11363</v>
      </c>
      <c r="I552" s="74" t="s">
        <v>9674</v>
      </c>
    </row>
    <row r="553">
      <c r="A553" s="50">
        <v>531.0</v>
      </c>
      <c r="B553" s="13" t="s">
        <v>11364</v>
      </c>
      <c r="C553" s="72" t="s">
        <v>11365</v>
      </c>
      <c r="D553" s="12" t="s">
        <v>98</v>
      </c>
      <c r="E553" s="13" t="s">
        <v>11366</v>
      </c>
      <c r="F553" s="12">
        <v>31.0</v>
      </c>
      <c r="G553" s="14" t="s">
        <v>11362</v>
      </c>
      <c r="H553" s="15" t="s">
        <v>11363</v>
      </c>
      <c r="I553" s="74" t="s">
        <v>9674</v>
      </c>
    </row>
    <row r="554">
      <c r="A554" s="50">
        <v>532.0</v>
      </c>
      <c r="B554" s="13" t="s">
        <v>11367</v>
      </c>
      <c r="C554" s="72" t="s">
        <v>11368</v>
      </c>
      <c r="D554" s="12" t="s">
        <v>31</v>
      </c>
      <c r="E554" s="13" t="s">
        <v>11369</v>
      </c>
      <c r="F554" s="12">
        <v>21.0</v>
      </c>
      <c r="G554" s="14" t="s">
        <v>11362</v>
      </c>
      <c r="H554" s="15" t="s">
        <v>11363</v>
      </c>
      <c r="I554" s="74" t="s">
        <v>9674</v>
      </c>
    </row>
    <row r="555">
      <c r="A555" s="50">
        <v>533.0</v>
      </c>
      <c r="B555" s="13" t="s">
        <v>11370</v>
      </c>
      <c r="C555" s="72" t="s">
        <v>11371</v>
      </c>
      <c r="D555" s="12" t="s">
        <v>36</v>
      </c>
      <c r="E555" s="13" t="s">
        <v>11372</v>
      </c>
      <c r="F555" s="12">
        <v>19.0</v>
      </c>
      <c r="G555" s="14" t="s">
        <v>11362</v>
      </c>
      <c r="H555" s="15" t="s">
        <v>11363</v>
      </c>
      <c r="I555" s="74" t="s">
        <v>9674</v>
      </c>
    </row>
    <row r="556">
      <c r="A556" s="50">
        <v>534.0</v>
      </c>
      <c r="B556" s="13" t="s">
        <v>11373</v>
      </c>
      <c r="C556" s="72" t="s">
        <v>11374</v>
      </c>
      <c r="D556" s="12" t="s">
        <v>98</v>
      </c>
      <c r="E556" s="13" t="s">
        <v>11375</v>
      </c>
      <c r="F556" s="12">
        <v>35.0</v>
      </c>
      <c r="G556" s="14" t="s">
        <v>11376</v>
      </c>
      <c r="H556" s="15" t="s">
        <v>11377</v>
      </c>
      <c r="I556" s="74" t="s">
        <v>9674</v>
      </c>
    </row>
    <row r="557">
      <c r="A557" s="50">
        <v>535.0</v>
      </c>
      <c r="B557" s="74" t="s">
        <v>11378</v>
      </c>
      <c r="C557" s="75"/>
      <c r="D557" s="12" t="s">
        <v>10091</v>
      </c>
      <c r="E557" s="13" t="s">
        <v>11379</v>
      </c>
      <c r="F557" s="12">
        <v>22.0</v>
      </c>
      <c r="G557" s="14" t="s">
        <v>11380</v>
      </c>
      <c r="H557" s="15" t="s">
        <v>11381</v>
      </c>
      <c r="I557" s="74" t="s">
        <v>9674</v>
      </c>
    </row>
    <row r="558">
      <c r="A558" s="50">
        <v>536.0</v>
      </c>
      <c r="B558" s="74" t="s">
        <v>11382</v>
      </c>
      <c r="C558" s="75"/>
      <c r="D558" s="12" t="s">
        <v>98</v>
      </c>
      <c r="E558" s="13" t="s">
        <v>11383</v>
      </c>
      <c r="F558" s="12">
        <v>22.0</v>
      </c>
      <c r="G558" s="14" t="s">
        <v>11380</v>
      </c>
      <c r="H558" s="15" t="s">
        <v>11381</v>
      </c>
      <c r="I558" s="74" t="s">
        <v>9674</v>
      </c>
    </row>
    <row r="559">
      <c r="A559" s="50">
        <v>537.0</v>
      </c>
      <c r="B559" s="13" t="s">
        <v>11384</v>
      </c>
      <c r="C559" s="72" t="s">
        <v>11385</v>
      </c>
      <c r="D559" s="12" t="s">
        <v>10472</v>
      </c>
      <c r="E559" s="13" t="s">
        <v>11386</v>
      </c>
      <c r="F559" s="12">
        <v>21.0</v>
      </c>
      <c r="G559" s="14" t="s">
        <v>11380</v>
      </c>
      <c r="H559" s="15" t="s">
        <v>11381</v>
      </c>
      <c r="I559" s="74" t="s">
        <v>9674</v>
      </c>
    </row>
    <row r="560">
      <c r="A560" s="50">
        <v>538.0</v>
      </c>
      <c r="B560" s="74" t="s">
        <v>11387</v>
      </c>
      <c r="C560" s="75"/>
      <c r="D560" s="12" t="s">
        <v>10472</v>
      </c>
      <c r="E560" s="13" t="s">
        <v>11388</v>
      </c>
      <c r="F560" s="12">
        <v>22.0</v>
      </c>
      <c r="G560" s="14" t="s">
        <v>11389</v>
      </c>
      <c r="H560" s="15" t="s">
        <v>11390</v>
      </c>
      <c r="I560" s="74" t="s">
        <v>9674</v>
      </c>
    </row>
    <row r="561">
      <c r="A561" s="50">
        <v>539.0</v>
      </c>
      <c r="B561" s="13" t="s">
        <v>11391</v>
      </c>
      <c r="C561" s="72" t="s">
        <v>11392</v>
      </c>
      <c r="D561" s="12" t="s">
        <v>11321</v>
      </c>
      <c r="E561" s="13" t="s">
        <v>11393</v>
      </c>
      <c r="F561" s="12">
        <v>25.0</v>
      </c>
      <c r="G561" s="14" t="s">
        <v>11389</v>
      </c>
      <c r="H561" s="15" t="s">
        <v>11390</v>
      </c>
      <c r="I561" s="74" t="s">
        <v>9674</v>
      </c>
    </row>
    <row r="562">
      <c r="A562" s="50">
        <v>540.0</v>
      </c>
      <c r="B562" s="13" t="s">
        <v>11394</v>
      </c>
      <c r="C562" s="72" t="s">
        <v>11395</v>
      </c>
      <c r="D562" s="12" t="s">
        <v>98</v>
      </c>
      <c r="E562" s="13" t="s">
        <v>11396</v>
      </c>
      <c r="F562" s="12">
        <v>33.0</v>
      </c>
      <c r="G562" s="14" t="s">
        <v>11389</v>
      </c>
      <c r="H562" s="15" t="s">
        <v>11390</v>
      </c>
      <c r="I562" s="74" t="s">
        <v>9674</v>
      </c>
    </row>
    <row r="563">
      <c r="A563" s="50">
        <v>541.0</v>
      </c>
      <c r="B563" s="13" t="s">
        <v>11397</v>
      </c>
      <c r="C563" s="72" t="s">
        <v>11398</v>
      </c>
      <c r="D563" s="12" t="s">
        <v>10551</v>
      </c>
      <c r="E563" s="13" t="s">
        <v>11399</v>
      </c>
      <c r="F563" s="12">
        <v>25.0</v>
      </c>
      <c r="G563" s="14" t="s">
        <v>11389</v>
      </c>
      <c r="H563" s="15" t="s">
        <v>11390</v>
      </c>
      <c r="I563" s="74" t="s">
        <v>9674</v>
      </c>
    </row>
    <row r="564">
      <c r="A564" s="50">
        <v>542.0</v>
      </c>
      <c r="B564" s="13" t="s">
        <v>11400</v>
      </c>
      <c r="C564" s="72" t="s">
        <v>11401</v>
      </c>
      <c r="D564" s="12" t="s">
        <v>10688</v>
      </c>
      <c r="E564" s="13" t="s">
        <v>11402</v>
      </c>
      <c r="F564" s="12">
        <v>20.0</v>
      </c>
      <c r="G564" s="14" t="s">
        <v>11389</v>
      </c>
      <c r="H564" s="15" t="s">
        <v>11390</v>
      </c>
      <c r="I564" s="74" t="s">
        <v>9674</v>
      </c>
    </row>
    <row r="565">
      <c r="A565" s="50">
        <v>543.0</v>
      </c>
      <c r="B565" s="74" t="s">
        <v>11403</v>
      </c>
      <c r="C565" s="75"/>
      <c r="D565" s="12" t="s">
        <v>10019</v>
      </c>
      <c r="E565" s="13" t="s">
        <v>11404</v>
      </c>
      <c r="F565" s="12">
        <v>22.0</v>
      </c>
      <c r="G565" s="14" t="s">
        <v>11389</v>
      </c>
      <c r="H565" s="15" t="s">
        <v>11390</v>
      </c>
      <c r="I565" s="74" t="s">
        <v>9674</v>
      </c>
    </row>
    <row r="566">
      <c r="A566" s="50">
        <v>544.0</v>
      </c>
      <c r="B566" s="13" t="s">
        <v>11405</v>
      </c>
      <c r="C566" s="72" t="s">
        <v>11406</v>
      </c>
      <c r="D566" s="12" t="s">
        <v>11407</v>
      </c>
      <c r="E566" s="13" t="s">
        <v>11408</v>
      </c>
      <c r="F566" s="12">
        <v>22.0</v>
      </c>
      <c r="G566" s="14" t="s">
        <v>11389</v>
      </c>
      <c r="H566" s="15" t="s">
        <v>11390</v>
      </c>
      <c r="I566" s="74" t="s">
        <v>9674</v>
      </c>
    </row>
    <row r="567">
      <c r="A567" s="50">
        <v>545.0</v>
      </c>
      <c r="B567" s="13" t="s">
        <v>11409</v>
      </c>
      <c r="C567" s="72" t="s">
        <v>11410</v>
      </c>
      <c r="D567" s="12" t="s">
        <v>36</v>
      </c>
      <c r="E567" s="13" t="s">
        <v>11411</v>
      </c>
      <c r="F567" s="12">
        <v>21.0</v>
      </c>
      <c r="G567" s="14" t="s">
        <v>11389</v>
      </c>
      <c r="H567" s="15" t="s">
        <v>11390</v>
      </c>
      <c r="I567" s="74" t="s">
        <v>9674</v>
      </c>
    </row>
    <row r="568">
      <c r="A568" s="50">
        <v>546.0</v>
      </c>
      <c r="B568" s="13" t="s">
        <v>11412</v>
      </c>
      <c r="C568" s="72" t="s">
        <v>11413</v>
      </c>
      <c r="D568" s="12" t="s">
        <v>31</v>
      </c>
      <c r="E568" s="13" t="s">
        <v>11414</v>
      </c>
      <c r="F568" s="12">
        <v>22.0</v>
      </c>
      <c r="G568" s="14" t="s">
        <v>11389</v>
      </c>
      <c r="H568" s="15" t="s">
        <v>11390</v>
      </c>
      <c r="I568" s="74" t="s">
        <v>9674</v>
      </c>
    </row>
    <row r="569">
      <c r="A569" s="50">
        <v>547.0</v>
      </c>
      <c r="B569" s="74" t="s">
        <v>11415</v>
      </c>
      <c r="C569" s="75"/>
      <c r="D569" s="12" t="s">
        <v>10091</v>
      </c>
      <c r="E569" s="13" t="s">
        <v>11416</v>
      </c>
      <c r="F569" s="12">
        <v>21.0</v>
      </c>
      <c r="G569" s="14" t="s">
        <v>11389</v>
      </c>
      <c r="H569" s="15" t="s">
        <v>11390</v>
      </c>
      <c r="I569" s="74" t="s">
        <v>9674</v>
      </c>
    </row>
    <row r="570">
      <c r="A570" s="50">
        <v>548.0</v>
      </c>
      <c r="B570" s="13" t="s">
        <v>11417</v>
      </c>
      <c r="C570" s="72" t="s">
        <v>11418</v>
      </c>
      <c r="D570" s="12" t="s">
        <v>11321</v>
      </c>
      <c r="E570" s="13" t="s">
        <v>11419</v>
      </c>
      <c r="F570" s="12">
        <v>24.0</v>
      </c>
      <c r="G570" s="14" t="s">
        <v>11389</v>
      </c>
      <c r="H570" s="15" t="s">
        <v>11390</v>
      </c>
      <c r="I570" s="74" t="s">
        <v>9674</v>
      </c>
    </row>
    <row r="571">
      <c r="A571" s="50">
        <v>549.0</v>
      </c>
      <c r="B571" s="13" t="s">
        <v>11420</v>
      </c>
      <c r="C571" s="72" t="s">
        <v>11421</v>
      </c>
      <c r="D571" s="12" t="s">
        <v>98</v>
      </c>
      <c r="E571" s="13" t="s">
        <v>11422</v>
      </c>
      <c r="F571" s="12">
        <v>25.0</v>
      </c>
      <c r="G571" s="14" t="s">
        <v>11389</v>
      </c>
      <c r="H571" s="15" t="s">
        <v>11390</v>
      </c>
      <c r="I571" s="74" t="s">
        <v>9674</v>
      </c>
    </row>
    <row r="572">
      <c r="A572" s="50">
        <v>550.0</v>
      </c>
      <c r="B572" s="13" t="s">
        <v>11423</v>
      </c>
      <c r="C572" s="72" t="s">
        <v>11424</v>
      </c>
      <c r="D572" s="12" t="s">
        <v>98</v>
      </c>
      <c r="E572" s="13" t="s">
        <v>11425</v>
      </c>
      <c r="F572" s="12">
        <v>23.0</v>
      </c>
      <c r="G572" s="14" t="s">
        <v>11389</v>
      </c>
      <c r="H572" s="15" t="s">
        <v>11390</v>
      </c>
      <c r="I572" s="74" t="s">
        <v>9674</v>
      </c>
    </row>
    <row r="573">
      <c r="A573" s="37" t="s">
        <v>3</v>
      </c>
      <c r="B573" s="51" t="s">
        <v>4</v>
      </c>
      <c r="C573" s="40" t="s">
        <v>5</v>
      </c>
      <c r="D573" s="39" t="s">
        <v>6</v>
      </c>
      <c r="E573" s="39" t="s">
        <v>7</v>
      </c>
      <c r="F573" s="39" t="s">
        <v>8</v>
      </c>
      <c r="G573" s="40" t="s">
        <v>9617</v>
      </c>
      <c r="H573" s="39" t="s">
        <v>9618</v>
      </c>
      <c r="I573" s="39" t="s">
        <v>9619</v>
      </c>
    </row>
    <row r="574">
      <c r="A574" s="50">
        <v>551.0</v>
      </c>
      <c r="B574" s="13" t="s">
        <v>11426</v>
      </c>
      <c r="C574" s="72" t="s">
        <v>11427</v>
      </c>
      <c r="D574" s="12" t="s">
        <v>26</v>
      </c>
      <c r="E574" s="13" t="s">
        <v>11428</v>
      </c>
      <c r="F574" s="12">
        <v>23.0</v>
      </c>
      <c r="G574" s="14" t="s">
        <v>11389</v>
      </c>
      <c r="H574" s="15" t="s">
        <v>11390</v>
      </c>
      <c r="I574" s="74" t="s">
        <v>9674</v>
      </c>
    </row>
    <row r="575">
      <c r="A575" s="50">
        <v>552.0</v>
      </c>
      <c r="B575" s="74" t="s">
        <v>11429</v>
      </c>
      <c r="C575" s="75"/>
      <c r="D575" s="12" t="s">
        <v>10019</v>
      </c>
      <c r="E575" s="13" t="s">
        <v>11430</v>
      </c>
      <c r="F575" s="12">
        <v>20.0</v>
      </c>
      <c r="G575" s="14" t="s">
        <v>11389</v>
      </c>
      <c r="H575" s="15" t="s">
        <v>11390</v>
      </c>
      <c r="I575" s="74" t="s">
        <v>9674</v>
      </c>
    </row>
    <row r="576">
      <c r="A576" s="50">
        <v>553.0</v>
      </c>
      <c r="B576" s="13" t="s">
        <v>11431</v>
      </c>
      <c r="C576" s="72" t="s">
        <v>11432</v>
      </c>
      <c r="D576" s="12" t="s">
        <v>36</v>
      </c>
      <c r="E576" s="13" t="s">
        <v>11433</v>
      </c>
      <c r="F576" s="12">
        <v>19.0</v>
      </c>
      <c r="G576" s="14" t="s">
        <v>11434</v>
      </c>
      <c r="H576" s="15" t="s">
        <v>11435</v>
      </c>
      <c r="I576" s="74" t="s">
        <v>9674</v>
      </c>
    </row>
    <row r="577">
      <c r="A577" s="50">
        <v>554.0</v>
      </c>
      <c r="B577" s="74" t="s">
        <v>11436</v>
      </c>
      <c r="C577" s="75"/>
      <c r="D577" s="12" t="s">
        <v>10472</v>
      </c>
      <c r="E577" s="13" t="s">
        <v>11437</v>
      </c>
      <c r="F577" s="12">
        <v>20.0</v>
      </c>
      <c r="G577" s="14" t="s">
        <v>11438</v>
      </c>
      <c r="H577" s="15" t="s">
        <v>11439</v>
      </c>
      <c r="I577" s="74" t="s">
        <v>9674</v>
      </c>
    </row>
    <row r="578">
      <c r="A578" s="50">
        <v>555.0</v>
      </c>
      <c r="B578" s="13" t="s">
        <v>11440</v>
      </c>
      <c r="C578" s="72" t="s">
        <v>11441</v>
      </c>
      <c r="D578" s="12" t="s">
        <v>10019</v>
      </c>
      <c r="E578" s="13" t="s">
        <v>11442</v>
      </c>
      <c r="F578" s="12">
        <v>21.0</v>
      </c>
      <c r="G578" s="14" t="s">
        <v>11443</v>
      </c>
      <c r="H578" s="15" t="s">
        <v>11444</v>
      </c>
      <c r="I578" s="74" t="s">
        <v>9674</v>
      </c>
    </row>
    <row r="579">
      <c r="A579" s="50">
        <v>556.0</v>
      </c>
      <c r="B579" s="13" t="s">
        <v>11445</v>
      </c>
      <c r="C579" s="72" t="s">
        <v>11446</v>
      </c>
      <c r="D579" s="12" t="s">
        <v>98</v>
      </c>
      <c r="E579" s="13" t="s">
        <v>11447</v>
      </c>
      <c r="F579" s="12">
        <v>25.0</v>
      </c>
      <c r="G579" s="14" t="s">
        <v>11443</v>
      </c>
      <c r="H579" s="15" t="s">
        <v>11444</v>
      </c>
      <c r="I579" s="73"/>
    </row>
    <row r="580">
      <c r="A580" s="50">
        <v>557.0</v>
      </c>
      <c r="B580" s="13" t="s">
        <v>11448</v>
      </c>
      <c r="C580" s="72" t="s">
        <v>11449</v>
      </c>
      <c r="D580" s="12" t="s">
        <v>11321</v>
      </c>
      <c r="E580" s="13" t="s">
        <v>11450</v>
      </c>
      <c r="F580" s="12">
        <v>21.0</v>
      </c>
      <c r="G580" s="14" t="s">
        <v>11443</v>
      </c>
      <c r="H580" s="15" t="s">
        <v>11444</v>
      </c>
      <c r="I580" s="74" t="s">
        <v>9674</v>
      </c>
    </row>
    <row r="581">
      <c r="A581" s="50">
        <v>558.0</v>
      </c>
      <c r="B581" s="74" t="s">
        <v>11451</v>
      </c>
      <c r="C581" s="75"/>
      <c r="D581" s="12" t="s">
        <v>10688</v>
      </c>
      <c r="E581" s="13" t="s">
        <v>11452</v>
      </c>
      <c r="F581" s="12">
        <v>18.0</v>
      </c>
      <c r="G581" s="14" t="s">
        <v>11443</v>
      </c>
      <c r="H581" s="15" t="s">
        <v>11444</v>
      </c>
      <c r="I581" s="74" t="s">
        <v>9674</v>
      </c>
    </row>
    <row r="582">
      <c r="A582" s="50">
        <v>559.0</v>
      </c>
      <c r="B582" s="13" t="s">
        <v>11453</v>
      </c>
      <c r="C582" s="72" t="s">
        <v>11454</v>
      </c>
      <c r="D582" s="12" t="s">
        <v>10551</v>
      </c>
      <c r="E582" s="13" t="s">
        <v>11455</v>
      </c>
      <c r="F582" s="12">
        <v>22.0</v>
      </c>
      <c r="G582" s="14" t="s">
        <v>11443</v>
      </c>
      <c r="H582" s="15" t="s">
        <v>11444</v>
      </c>
      <c r="I582" s="74" t="s">
        <v>9674</v>
      </c>
    </row>
    <row r="583">
      <c r="A583" s="50">
        <v>560.0</v>
      </c>
      <c r="B583" s="13" t="s">
        <v>11456</v>
      </c>
      <c r="C583" s="72" t="s">
        <v>11457</v>
      </c>
      <c r="D583" s="12" t="s">
        <v>10688</v>
      </c>
      <c r="E583" s="13" t="s">
        <v>11458</v>
      </c>
      <c r="F583" s="12">
        <v>21.0</v>
      </c>
      <c r="G583" s="14" t="s">
        <v>11443</v>
      </c>
      <c r="H583" s="15" t="s">
        <v>11444</v>
      </c>
      <c r="I583" s="74" t="s">
        <v>9674</v>
      </c>
    </row>
    <row r="584">
      <c r="A584" s="50">
        <v>561.0</v>
      </c>
      <c r="B584" s="13" t="s">
        <v>11459</v>
      </c>
      <c r="C584" s="72" t="s">
        <v>11460</v>
      </c>
      <c r="D584" s="12" t="s">
        <v>36</v>
      </c>
      <c r="E584" s="13" t="s">
        <v>11461</v>
      </c>
      <c r="F584" s="12">
        <v>21.0</v>
      </c>
      <c r="G584" s="14" t="s">
        <v>11443</v>
      </c>
      <c r="H584" s="15" t="s">
        <v>11444</v>
      </c>
      <c r="I584" s="74" t="s">
        <v>9674</v>
      </c>
    </row>
    <row r="585">
      <c r="A585" s="50">
        <v>562.0</v>
      </c>
      <c r="B585" s="13" t="s">
        <v>11462</v>
      </c>
      <c r="C585" s="72" t="s">
        <v>11463</v>
      </c>
      <c r="D585" s="12" t="s">
        <v>36</v>
      </c>
      <c r="E585" s="13" t="s">
        <v>11464</v>
      </c>
      <c r="F585" s="12">
        <v>19.0</v>
      </c>
      <c r="G585" s="14" t="s">
        <v>11443</v>
      </c>
      <c r="H585" s="15" t="s">
        <v>11444</v>
      </c>
      <c r="I585" s="74" t="s">
        <v>9674</v>
      </c>
    </row>
    <row r="586">
      <c r="A586" s="50">
        <v>563.0</v>
      </c>
      <c r="B586" s="13" t="s">
        <v>11465</v>
      </c>
      <c r="C586" s="72" t="s">
        <v>11466</v>
      </c>
      <c r="D586" s="12" t="s">
        <v>31</v>
      </c>
      <c r="E586" s="13" t="s">
        <v>11467</v>
      </c>
      <c r="F586" s="12">
        <v>21.0</v>
      </c>
      <c r="G586" s="14" t="s">
        <v>11443</v>
      </c>
      <c r="H586" s="15" t="s">
        <v>11444</v>
      </c>
      <c r="I586" s="74" t="s">
        <v>9674</v>
      </c>
    </row>
    <row r="587">
      <c r="A587" s="50">
        <v>564.0</v>
      </c>
      <c r="B587" s="13" t="s">
        <v>11468</v>
      </c>
      <c r="C587" s="72" t="s">
        <v>11469</v>
      </c>
      <c r="D587" s="12" t="s">
        <v>31</v>
      </c>
      <c r="E587" s="13" t="s">
        <v>11470</v>
      </c>
      <c r="F587" s="12">
        <v>19.0</v>
      </c>
      <c r="G587" s="14" t="s">
        <v>11471</v>
      </c>
      <c r="H587" s="15" t="s">
        <v>11472</v>
      </c>
      <c r="I587" s="74" t="s">
        <v>9674</v>
      </c>
    </row>
    <row r="588">
      <c r="A588" s="50">
        <v>565.0</v>
      </c>
      <c r="B588" s="13" t="s">
        <v>11473</v>
      </c>
      <c r="C588" s="72" t="s">
        <v>11474</v>
      </c>
      <c r="D588" s="12" t="s">
        <v>10850</v>
      </c>
      <c r="E588" s="13" t="s">
        <v>11475</v>
      </c>
      <c r="F588" s="12">
        <v>21.0</v>
      </c>
      <c r="G588" s="14" t="s">
        <v>11476</v>
      </c>
      <c r="H588" s="15" t="s">
        <v>11477</v>
      </c>
      <c r="I588" s="74" t="s">
        <v>9674</v>
      </c>
    </row>
    <row r="589">
      <c r="A589" s="50">
        <v>566.0</v>
      </c>
      <c r="B589" s="13" t="s">
        <v>11478</v>
      </c>
      <c r="C589" s="72" t="s">
        <v>11479</v>
      </c>
      <c r="D589" s="12" t="s">
        <v>10091</v>
      </c>
      <c r="E589" s="13" t="s">
        <v>11480</v>
      </c>
      <c r="F589" s="12">
        <v>22.0</v>
      </c>
      <c r="G589" s="14" t="s">
        <v>11476</v>
      </c>
      <c r="H589" s="15" t="s">
        <v>11477</v>
      </c>
      <c r="I589" s="74" t="s">
        <v>9674</v>
      </c>
    </row>
    <row r="590">
      <c r="A590" s="50">
        <v>567.0</v>
      </c>
      <c r="B590" s="13" t="s">
        <v>11481</v>
      </c>
      <c r="C590" s="72" t="s">
        <v>11482</v>
      </c>
      <c r="D590" s="12" t="s">
        <v>10019</v>
      </c>
      <c r="E590" s="13" t="s">
        <v>11483</v>
      </c>
      <c r="F590" s="12">
        <v>21.0</v>
      </c>
      <c r="G590" s="14" t="s">
        <v>11476</v>
      </c>
      <c r="H590" s="15" t="s">
        <v>11477</v>
      </c>
      <c r="I590" s="74" t="s">
        <v>9674</v>
      </c>
    </row>
    <row r="591">
      <c r="A591" s="50">
        <v>568.0</v>
      </c>
      <c r="B591" s="74" t="s">
        <v>11484</v>
      </c>
      <c r="C591" s="75"/>
      <c r="D591" s="12" t="s">
        <v>10551</v>
      </c>
      <c r="E591" s="13" t="s">
        <v>11485</v>
      </c>
      <c r="F591" s="12">
        <v>19.0</v>
      </c>
      <c r="G591" s="14" t="s">
        <v>11486</v>
      </c>
      <c r="H591" s="15" t="s">
        <v>11487</v>
      </c>
      <c r="I591" s="74" t="s">
        <v>9674</v>
      </c>
    </row>
    <row r="592">
      <c r="A592" s="50">
        <v>569.0</v>
      </c>
      <c r="B592" s="13" t="s">
        <v>11488</v>
      </c>
      <c r="C592" s="72" t="s">
        <v>11489</v>
      </c>
      <c r="D592" s="12" t="s">
        <v>98</v>
      </c>
      <c r="E592" s="13" t="s">
        <v>11490</v>
      </c>
      <c r="F592" s="12">
        <v>22.0</v>
      </c>
      <c r="G592" s="14" t="s">
        <v>11491</v>
      </c>
      <c r="H592" s="15" t="s">
        <v>11492</v>
      </c>
      <c r="I592" s="74" t="s">
        <v>9674</v>
      </c>
    </row>
    <row r="593">
      <c r="A593" s="50">
        <v>570.0</v>
      </c>
      <c r="B593" s="13" t="s">
        <v>11493</v>
      </c>
      <c r="C593" s="72" t="s">
        <v>11494</v>
      </c>
      <c r="D593" s="12" t="s">
        <v>10850</v>
      </c>
      <c r="E593" s="13" t="s">
        <v>11495</v>
      </c>
      <c r="F593" s="12">
        <v>21.0</v>
      </c>
      <c r="G593" s="14" t="s">
        <v>11496</v>
      </c>
      <c r="H593" s="15" t="s">
        <v>11497</v>
      </c>
      <c r="I593" s="74" t="s">
        <v>9674</v>
      </c>
    </row>
    <row r="594">
      <c r="A594" s="50">
        <v>571.0</v>
      </c>
      <c r="B594" s="74" t="s">
        <v>11498</v>
      </c>
      <c r="C594" s="75"/>
      <c r="D594" s="12" t="s">
        <v>10472</v>
      </c>
      <c r="E594" s="13" t="s">
        <v>11499</v>
      </c>
      <c r="F594" s="12">
        <v>18.0</v>
      </c>
      <c r="G594" s="14" t="s">
        <v>11500</v>
      </c>
      <c r="H594" s="15" t="s">
        <v>11501</v>
      </c>
      <c r="I594" s="74" t="s">
        <v>9674</v>
      </c>
    </row>
    <row r="595">
      <c r="A595" s="50">
        <v>572.0</v>
      </c>
      <c r="B595" s="74" t="s">
        <v>11502</v>
      </c>
      <c r="C595" s="75"/>
      <c r="D595" s="12" t="s">
        <v>10091</v>
      </c>
      <c r="E595" s="13" t="s">
        <v>11503</v>
      </c>
      <c r="F595" s="12">
        <v>20.0</v>
      </c>
      <c r="G595" s="14" t="s">
        <v>11500</v>
      </c>
      <c r="H595" s="15" t="s">
        <v>11501</v>
      </c>
      <c r="I595" s="74" t="s">
        <v>9674</v>
      </c>
    </row>
    <row r="596">
      <c r="A596" s="50">
        <v>573.0</v>
      </c>
      <c r="B596" s="74" t="s">
        <v>11504</v>
      </c>
      <c r="C596" s="75"/>
      <c r="D596" s="12" t="s">
        <v>10776</v>
      </c>
      <c r="E596" s="13" t="s">
        <v>11505</v>
      </c>
      <c r="F596" s="12">
        <v>20.0</v>
      </c>
      <c r="G596" s="14" t="s">
        <v>11500</v>
      </c>
      <c r="H596" s="15" t="s">
        <v>11501</v>
      </c>
      <c r="I596" s="74" t="s">
        <v>9674</v>
      </c>
    </row>
    <row r="597">
      <c r="A597" s="50">
        <v>574.0</v>
      </c>
      <c r="B597" s="13" t="s">
        <v>11506</v>
      </c>
      <c r="C597" s="72" t="s">
        <v>11507</v>
      </c>
      <c r="D597" s="12" t="s">
        <v>10688</v>
      </c>
      <c r="E597" s="13" t="s">
        <v>11508</v>
      </c>
      <c r="F597" s="12">
        <v>19.0</v>
      </c>
      <c r="G597" s="14" t="s">
        <v>11509</v>
      </c>
      <c r="H597" s="15" t="s">
        <v>11510</v>
      </c>
      <c r="I597" s="73"/>
    </row>
    <row r="598">
      <c r="A598" s="50">
        <v>575.0</v>
      </c>
      <c r="B598" s="13" t="s">
        <v>11511</v>
      </c>
      <c r="C598" s="72" t="s">
        <v>11512</v>
      </c>
      <c r="D598" s="12" t="s">
        <v>10688</v>
      </c>
      <c r="E598" s="13" t="s">
        <v>11513</v>
      </c>
      <c r="F598" s="12">
        <v>22.0</v>
      </c>
      <c r="G598" s="14" t="s">
        <v>11509</v>
      </c>
      <c r="H598" s="15" t="s">
        <v>11510</v>
      </c>
      <c r="I598" s="74" t="s">
        <v>9674</v>
      </c>
    </row>
    <row r="599">
      <c r="A599" s="37" t="s">
        <v>3</v>
      </c>
      <c r="B599" s="51" t="s">
        <v>4</v>
      </c>
      <c r="C599" s="40" t="s">
        <v>5</v>
      </c>
      <c r="D599" s="39" t="s">
        <v>6</v>
      </c>
      <c r="E599" s="39" t="s">
        <v>7</v>
      </c>
      <c r="F599" s="39" t="s">
        <v>8</v>
      </c>
      <c r="G599" s="40" t="s">
        <v>9617</v>
      </c>
      <c r="H599" s="39" t="s">
        <v>9618</v>
      </c>
      <c r="I599" s="39" t="s">
        <v>9619</v>
      </c>
    </row>
    <row r="600">
      <c r="A600" s="50">
        <v>576.0</v>
      </c>
      <c r="B600" s="74" t="s">
        <v>11514</v>
      </c>
      <c r="C600" s="75"/>
      <c r="D600" s="12" t="s">
        <v>10551</v>
      </c>
      <c r="E600" s="13" t="s">
        <v>11515</v>
      </c>
      <c r="F600" s="12">
        <v>20.0</v>
      </c>
      <c r="G600" s="14" t="s">
        <v>11509</v>
      </c>
      <c r="H600" s="15" t="s">
        <v>11510</v>
      </c>
      <c r="I600" s="74" t="s">
        <v>9674</v>
      </c>
    </row>
    <row r="601">
      <c r="A601" s="50">
        <v>577.0</v>
      </c>
      <c r="B601" s="74" t="s">
        <v>11516</v>
      </c>
      <c r="C601" s="75"/>
      <c r="D601" s="12" t="s">
        <v>98</v>
      </c>
      <c r="E601" s="13" t="s">
        <v>11517</v>
      </c>
      <c r="F601" s="12">
        <v>21.0</v>
      </c>
      <c r="G601" s="14" t="s">
        <v>11509</v>
      </c>
      <c r="H601" s="15" t="s">
        <v>11510</v>
      </c>
      <c r="I601" s="74" t="s">
        <v>9674</v>
      </c>
    </row>
    <row r="602">
      <c r="A602" s="50">
        <v>578.0</v>
      </c>
      <c r="B602" s="13" t="s">
        <v>11518</v>
      </c>
      <c r="C602" s="72" t="s">
        <v>11519</v>
      </c>
      <c r="D602" s="12" t="s">
        <v>31</v>
      </c>
      <c r="E602" s="13" t="s">
        <v>11520</v>
      </c>
      <c r="F602" s="12">
        <v>19.0</v>
      </c>
      <c r="G602" s="14" t="s">
        <v>11509</v>
      </c>
      <c r="H602" s="15" t="s">
        <v>11510</v>
      </c>
      <c r="I602" s="74" t="s">
        <v>9674</v>
      </c>
    </row>
    <row r="603">
      <c r="A603" s="50">
        <v>579.0</v>
      </c>
      <c r="B603" s="13" t="s">
        <v>11521</v>
      </c>
      <c r="C603" s="72" t="s">
        <v>11522</v>
      </c>
      <c r="D603" s="12" t="s">
        <v>10688</v>
      </c>
      <c r="E603" s="13" t="s">
        <v>11523</v>
      </c>
      <c r="F603" s="12">
        <v>22.0</v>
      </c>
      <c r="G603" s="14" t="s">
        <v>11509</v>
      </c>
      <c r="H603" s="15" t="s">
        <v>11510</v>
      </c>
      <c r="I603" s="74" t="s">
        <v>9674</v>
      </c>
    </row>
    <row r="604">
      <c r="A604" s="50">
        <v>580.0</v>
      </c>
      <c r="B604" s="13" t="s">
        <v>11524</v>
      </c>
      <c r="C604" s="72" t="s">
        <v>11525</v>
      </c>
      <c r="D604" s="12" t="s">
        <v>98</v>
      </c>
      <c r="E604" s="13" t="s">
        <v>11526</v>
      </c>
      <c r="F604" s="12">
        <v>24.0</v>
      </c>
      <c r="G604" s="14" t="s">
        <v>11509</v>
      </c>
      <c r="H604" s="15" t="s">
        <v>11510</v>
      </c>
      <c r="I604" s="74" t="s">
        <v>9674</v>
      </c>
    </row>
    <row r="605">
      <c r="A605" s="50">
        <v>581.0</v>
      </c>
      <c r="B605" s="13" t="s">
        <v>11527</v>
      </c>
      <c r="C605" s="72" t="s">
        <v>11528</v>
      </c>
      <c r="D605" s="12" t="s">
        <v>31</v>
      </c>
      <c r="E605" s="13" t="s">
        <v>11529</v>
      </c>
      <c r="F605" s="12">
        <v>20.0</v>
      </c>
      <c r="G605" s="14" t="s">
        <v>11509</v>
      </c>
      <c r="H605" s="15" t="s">
        <v>11510</v>
      </c>
      <c r="I605" s="74" t="s">
        <v>9674</v>
      </c>
    </row>
    <row r="606">
      <c r="A606" s="50">
        <v>582.0</v>
      </c>
      <c r="B606" s="13" t="s">
        <v>11530</v>
      </c>
      <c r="C606" s="72" t="s">
        <v>11531</v>
      </c>
      <c r="D606" s="12" t="s">
        <v>41</v>
      </c>
      <c r="E606" s="13" t="s">
        <v>11532</v>
      </c>
      <c r="F606" s="12">
        <v>19.0</v>
      </c>
      <c r="G606" s="14" t="s">
        <v>11509</v>
      </c>
      <c r="H606" s="15" t="s">
        <v>11510</v>
      </c>
      <c r="I606" s="74" t="s">
        <v>9674</v>
      </c>
    </row>
    <row r="607">
      <c r="A607" s="50">
        <v>583.0</v>
      </c>
      <c r="B607" s="74" t="s">
        <v>11533</v>
      </c>
      <c r="C607" s="75"/>
      <c r="D607" s="12" t="s">
        <v>10776</v>
      </c>
      <c r="E607" s="13" t="s">
        <v>11534</v>
      </c>
      <c r="F607" s="12">
        <v>19.0</v>
      </c>
      <c r="G607" s="14" t="s">
        <v>11509</v>
      </c>
      <c r="H607" s="15" t="s">
        <v>11510</v>
      </c>
      <c r="I607" s="74" t="s">
        <v>9674</v>
      </c>
    </row>
    <row r="608">
      <c r="A608" s="50">
        <v>584.0</v>
      </c>
      <c r="B608" s="13" t="s">
        <v>11535</v>
      </c>
      <c r="C608" s="72" t="s">
        <v>11536</v>
      </c>
      <c r="D608" s="12" t="s">
        <v>10850</v>
      </c>
      <c r="E608" s="13" t="s">
        <v>11537</v>
      </c>
      <c r="F608" s="12">
        <v>19.0</v>
      </c>
      <c r="G608" s="14" t="s">
        <v>11509</v>
      </c>
      <c r="H608" s="15" t="s">
        <v>11510</v>
      </c>
      <c r="I608" s="74" t="s">
        <v>9674</v>
      </c>
    </row>
    <row r="609">
      <c r="A609" s="50">
        <v>585.0</v>
      </c>
      <c r="B609" s="13" t="s">
        <v>11538</v>
      </c>
      <c r="C609" s="72" t="s">
        <v>11539</v>
      </c>
      <c r="D609" s="12" t="s">
        <v>31</v>
      </c>
      <c r="E609" s="13" t="s">
        <v>11540</v>
      </c>
      <c r="F609" s="12">
        <v>22.0</v>
      </c>
      <c r="G609" s="14" t="s">
        <v>11509</v>
      </c>
      <c r="H609" s="15" t="s">
        <v>11510</v>
      </c>
      <c r="I609" s="74" t="s">
        <v>9674</v>
      </c>
    </row>
    <row r="610">
      <c r="A610" s="50">
        <v>586.0</v>
      </c>
      <c r="B610" s="74" t="s">
        <v>11541</v>
      </c>
      <c r="C610" s="75"/>
      <c r="D610" s="12" t="s">
        <v>11321</v>
      </c>
      <c r="E610" s="13" t="s">
        <v>11542</v>
      </c>
      <c r="F610" s="12">
        <v>19.0</v>
      </c>
      <c r="G610" s="14" t="s">
        <v>11509</v>
      </c>
      <c r="H610" s="15" t="s">
        <v>11510</v>
      </c>
      <c r="I610" s="74" t="s">
        <v>9674</v>
      </c>
    </row>
    <row r="611">
      <c r="A611" s="50">
        <v>587.0</v>
      </c>
      <c r="B611" s="13" t="s">
        <v>11543</v>
      </c>
      <c r="C611" s="72" t="s">
        <v>11544</v>
      </c>
      <c r="D611" s="12" t="s">
        <v>10551</v>
      </c>
      <c r="E611" s="13" t="s">
        <v>11545</v>
      </c>
      <c r="F611" s="12">
        <v>20.0</v>
      </c>
      <c r="G611" s="14" t="s">
        <v>11509</v>
      </c>
      <c r="H611" s="15" t="s">
        <v>11510</v>
      </c>
      <c r="I611" s="74" t="s">
        <v>9674</v>
      </c>
    </row>
    <row r="612">
      <c r="A612" s="50">
        <v>588.0</v>
      </c>
      <c r="B612" s="74" t="s">
        <v>11546</v>
      </c>
      <c r="C612" s="75"/>
      <c r="D612" s="12" t="s">
        <v>10688</v>
      </c>
      <c r="E612" s="13" t="s">
        <v>11547</v>
      </c>
      <c r="F612" s="12">
        <v>26.0</v>
      </c>
      <c r="G612" s="14" t="s">
        <v>11548</v>
      </c>
      <c r="H612" s="15" t="s">
        <v>11549</v>
      </c>
      <c r="I612" s="74" t="s">
        <v>9674</v>
      </c>
    </row>
    <row r="613">
      <c r="A613" s="50">
        <v>589.0</v>
      </c>
      <c r="B613" s="13" t="s">
        <v>11550</v>
      </c>
      <c r="C613" s="72" t="s">
        <v>11551</v>
      </c>
      <c r="D613" s="12" t="s">
        <v>10091</v>
      </c>
      <c r="E613" s="13" t="s">
        <v>11552</v>
      </c>
      <c r="F613" s="12">
        <v>20.0</v>
      </c>
      <c r="G613" s="14" t="s">
        <v>11553</v>
      </c>
      <c r="H613" s="15" t="s">
        <v>11554</v>
      </c>
      <c r="I613" s="74" t="s">
        <v>9674</v>
      </c>
    </row>
    <row r="614">
      <c r="A614" s="50">
        <v>590.0</v>
      </c>
      <c r="B614" s="74" t="s">
        <v>11555</v>
      </c>
      <c r="C614" s="75"/>
      <c r="D614" s="12" t="s">
        <v>10688</v>
      </c>
      <c r="E614" s="13" t="s">
        <v>11556</v>
      </c>
      <c r="F614" s="12">
        <v>21.0</v>
      </c>
      <c r="G614" s="14" t="s">
        <v>11553</v>
      </c>
      <c r="H614" s="15" t="s">
        <v>11554</v>
      </c>
      <c r="I614" s="74" t="s">
        <v>9674</v>
      </c>
    </row>
    <row r="615">
      <c r="A615" s="50">
        <v>591.0</v>
      </c>
      <c r="B615" s="13" t="s">
        <v>11557</v>
      </c>
      <c r="C615" s="72" t="s">
        <v>11558</v>
      </c>
      <c r="D615" s="12" t="s">
        <v>10551</v>
      </c>
      <c r="E615" s="13" t="s">
        <v>11559</v>
      </c>
      <c r="F615" s="12">
        <v>19.0</v>
      </c>
      <c r="G615" s="14" t="s">
        <v>11560</v>
      </c>
      <c r="H615" s="15" t="s">
        <v>11561</v>
      </c>
      <c r="I615" s="74" t="s">
        <v>9674</v>
      </c>
    </row>
    <row r="616">
      <c r="A616" s="50">
        <v>592.0</v>
      </c>
      <c r="B616" s="13" t="s">
        <v>11562</v>
      </c>
      <c r="C616" s="72" t="s">
        <v>11563</v>
      </c>
      <c r="D616" s="12" t="s">
        <v>10551</v>
      </c>
      <c r="E616" s="13" t="s">
        <v>11564</v>
      </c>
      <c r="F616" s="12">
        <v>20.0</v>
      </c>
      <c r="G616" s="14" t="s">
        <v>11560</v>
      </c>
      <c r="H616" s="15" t="s">
        <v>11561</v>
      </c>
      <c r="I616" s="74" t="s">
        <v>9674</v>
      </c>
    </row>
    <row r="617">
      <c r="A617" s="50">
        <v>593.0</v>
      </c>
      <c r="B617" s="13" t="s">
        <v>11565</v>
      </c>
      <c r="C617" s="72" t="s">
        <v>11566</v>
      </c>
      <c r="D617" s="12" t="s">
        <v>10776</v>
      </c>
      <c r="E617" s="13" t="s">
        <v>11567</v>
      </c>
      <c r="F617" s="12">
        <v>30.0</v>
      </c>
      <c r="G617" s="14" t="s">
        <v>11560</v>
      </c>
      <c r="H617" s="15" t="s">
        <v>11561</v>
      </c>
      <c r="I617" s="74" t="s">
        <v>9674</v>
      </c>
    </row>
    <row r="618">
      <c r="A618" s="50">
        <v>594.0</v>
      </c>
      <c r="B618" s="13" t="s">
        <v>11568</v>
      </c>
      <c r="C618" s="72" t="s">
        <v>11569</v>
      </c>
      <c r="D618" s="12" t="s">
        <v>9861</v>
      </c>
      <c r="E618" s="13" t="s">
        <v>11570</v>
      </c>
      <c r="F618" s="12">
        <v>20.0</v>
      </c>
      <c r="G618" s="14" t="s">
        <v>11571</v>
      </c>
      <c r="H618" s="15" t="s">
        <v>11572</v>
      </c>
      <c r="I618" s="74" t="s">
        <v>9674</v>
      </c>
    </row>
    <row r="619">
      <c r="A619" s="50">
        <v>595.0</v>
      </c>
      <c r="B619" s="74" t="s">
        <v>11573</v>
      </c>
      <c r="C619" s="75"/>
      <c r="D619" s="12" t="s">
        <v>10776</v>
      </c>
      <c r="E619" s="13" t="s">
        <v>11574</v>
      </c>
      <c r="F619" s="12">
        <v>20.0</v>
      </c>
      <c r="G619" s="14" t="s">
        <v>11575</v>
      </c>
      <c r="H619" s="15" t="s">
        <v>11576</v>
      </c>
      <c r="I619" s="74" t="s">
        <v>9674</v>
      </c>
    </row>
    <row r="620">
      <c r="A620" s="50">
        <v>596.0</v>
      </c>
      <c r="B620" s="74" t="s">
        <v>11577</v>
      </c>
      <c r="C620" s="75"/>
      <c r="D620" s="12" t="s">
        <v>11321</v>
      </c>
      <c r="E620" s="13" t="s">
        <v>11578</v>
      </c>
      <c r="F620" s="12">
        <v>20.0</v>
      </c>
      <c r="G620" s="14" t="s">
        <v>11575</v>
      </c>
      <c r="H620" s="15" t="s">
        <v>11576</v>
      </c>
      <c r="I620" s="74" t="s">
        <v>9674</v>
      </c>
    </row>
    <row r="621">
      <c r="A621" s="50">
        <v>597.0</v>
      </c>
      <c r="B621" s="13" t="s">
        <v>11579</v>
      </c>
      <c r="C621" s="72" t="s">
        <v>11580</v>
      </c>
      <c r="D621" s="12" t="s">
        <v>10091</v>
      </c>
      <c r="E621" s="13" t="s">
        <v>11581</v>
      </c>
      <c r="F621" s="12">
        <v>22.0</v>
      </c>
      <c r="G621" s="14" t="s">
        <v>11575</v>
      </c>
      <c r="H621" s="15" t="s">
        <v>11576</v>
      </c>
      <c r="I621" s="74" t="s">
        <v>9674</v>
      </c>
    </row>
    <row r="622">
      <c r="A622" s="50">
        <v>598.0</v>
      </c>
      <c r="B622" s="74" t="s">
        <v>11582</v>
      </c>
      <c r="C622" s="75"/>
      <c r="D622" s="12" t="s">
        <v>11321</v>
      </c>
      <c r="E622" s="13" t="s">
        <v>11583</v>
      </c>
      <c r="F622" s="12">
        <v>20.0</v>
      </c>
      <c r="G622" s="14" t="s">
        <v>11575</v>
      </c>
      <c r="H622" s="15" t="s">
        <v>11576</v>
      </c>
      <c r="I622" s="74" t="s">
        <v>9674</v>
      </c>
    </row>
    <row r="623">
      <c r="A623" s="50">
        <v>599.0</v>
      </c>
      <c r="B623" s="13" t="s">
        <v>11584</v>
      </c>
      <c r="C623" s="72" t="s">
        <v>11585</v>
      </c>
      <c r="D623" s="12" t="s">
        <v>10850</v>
      </c>
      <c r="E623" s="13" t="s">
        <v>11586</v>
      </c>
      <c r="F623" s="12">
        <v>21.0</v>
      </c>
      <c r="G623" s="14" t="s">
        <v>11575</v>
      </c>
      <c r="H623" s="15" t="s">
        <v>11576</v>
      </c>
      <c r="I623" s="74" t="s">
        <v>9674</v>
      </c>
    </row>
    <row r="624">
      <c r="A624" s="50">
        <v>600.0</v>
      </c>
      <c r="B624" s="74" t="s">
        <v>11587</v>
      </c>
      <c r="C624" s="75"/>
      <c r="D624" s="12" t="s">
        <v>98</v>
      </c>
      <c r="E624" s="13" t="s">
        <v>11588</v>
      </c>
      <c r="F624" s="12">
        <v>22.0</v>
      </c>
      <c r="G624" s="14" t="s">
        <v>11575</v>
      </c>
      <c r="H624" s="15" t="s">
        <v>11576</v>
      </c>
      <c r="I624" s="74" t="s">
        <v>9674</v>
      </c>
    </row>
    <row r="625">
      <c r="A625" s="37" t="s">
        <v>3</v>
      </c>
      <c r="B625" s="51" t="s">
        <v>4</v>
      </c>
      <c r="C625" s="40" t="s">
        <v>5</v>
      </c>
      <c r="D625" s="39" t="s">
        <v>6</v>
      </c>
      <c r="E625" s="39" t="s">
        <v>7</v>
      </c>
      <c r="F625" s="39" t="s">
        <v>8</v>
      </c>
      <c r="G625" s="40" t="s">
        <v>9617</v>
      </c>
      <c r="H625" s="39" t="s">
        <v>9618</v>
      </c>
      <c r="I625" s="39" t="s">
        <v>9619</v>
      </c>
    </row>
    <row r="626">
      <c r="A626" s="50">
        <v>601.0</v>
      </c>
      <c r="B626" s="13" t="s">
        <v>11589</v>
      </c>
      <c r="C626" s="72" t="s">
        <v>11590</v>
      </c>
      <c r="D626" s="12" t="s">
        <v>10472</v>
      </c>
      <c r="E626" s="13" t="s">
        <v>11591</v>
      </c>
      <c r="F626" s="12">
        <v>20.0</v>
      </c>
      <c r="G626" s="14" t="s">
        <v>11575</v>
      </c>
      <c r="H626" s="15" t="s">
        <v>11576</v>
      </c>
      <c r="I626" s="74" t="s">
        <v>9674</v>
      </c>
    </row>
    <row r="627">
      <c r="A627" s="50">
        <v>602.0</v>
      </c>
      <c r="B627" s="74" t="s">
        <v>11592</v>
      </c>
      <c r="C627" s="75"/>
      <c r="D627" s="12" t="s">
        <v>10688</v>
      </c>
      <c r="E627" s="13" t="s">
        <v>11593</v>
      </c>
      <c r="F627" s="12">
        <v>19.0</v>
      </c>
      <c r="G627" s="14" t="s">
        <v>11575</v>
      </c>
      <c r="H627" s="15" t="s">
        <v>11576</v>
      </c>
      <c r="I627" s="74" t="s">
        <v>9674</v>
      </c>
    </row>
    <row r="628">
      <c r="A628" s="50">
        <v>603.0</v>
      </c>
      <c r="B628" s="13" t="s">
        <v>11594</v>
      </c>
      <c r="C628" s="72" t="s">
        <v>11595</v>
      </c>
      <c r="D628" s="12" t="s">
        <v>10551</v>
      </c>
      <c r="E628" s="13" t="s">
        <v>11596</v>
      </c>
      <c r="F628" s="12">
        <v>21.0</v>
      </c>
      <c r="G628" s="14" t="s">
        <v>11597</v>
      </c>
      <c r="H628" s="15" t="s">
        <v>11598</v>
      </c>
      <c r="I628" s="74" t="s">
        <v>9674</v>
      </c>
    </row>
    <row r="629">
      <c r="A629" s="50">
        <v>604.0</v>
      </c>
      <c r="B629" s="74" t="s">
        <v>11599</v>
      </c>
      <c r="C629" s="75"/>
      <c r="D629" s="12" t="s">
        <v>10472</v>
      </c>
      <c r="E629" s="13" t="s">
        <v>11600</v>
      </c>
      <c r="F629" s="12">
        <v>19.0</v>
      </c>
      <c r="G629" s="14" t="s">
        <v>11601</v>
      </c>
      <c r="H629" s="15" t="s">
        <v>9921</v>
      </c>
      <c r="I629" s="74" t="s">
        <v>9674</v>
      </c>
    </row>
    <row r="630">
      <c r="A630" s="50">
        <v>605.0</v>
      </c>
      <c r="B630" s="13" t="s">
        <v>11602</v>
      </c>
      <c r="C630" s="72" t="s">
        <v>11603</v>
      </c>
      <c r="D630" s="12" t="s">
        <v>10688</v>
      </c>
      <c r="E630" s="13" t="s">
        <v>11604</v>
      </c>
      <c r="F630" s="12">
        <v>20.0</v>
      </c>
      <c r="G630" s="14" t="s">
        <v>11601</v>
      </c>
      <c r="H630" s="15" t="s">
        <v>9921</v>
      </c>
      <c r="I630" s="74" t="s">
        <v>9674</v>
      </c>
    </row>
    <row r="631">
      <c r="A631" s="50">
        <v>606.0</v>
      </c>
      <c r="B631" s="13" t="s">
        <v>11605</v>
      </c>
      <c r="C631" s="72" t="s">
        <v>11606</v>
      </c>
      <c r="D631" s="12" t="s">
        <v>10688</v>
      </c>
      <c r="E631" s="13" t="s">
        <v>11607</v>
      </c>
      <c r="F631" s="12">
        <v>19.0</v>
      </c>
      <c r="G631" s="14" t="s">
        <v>11601</v>
      </c>
      <c r="H631" s="15" t="s">
        <v>9921</v>
      </c>
      <c r="I631" s="74" t="s">
        <v>9674</v>
      </c>
    </row>
    <row r="632">
      <c r="A632" s="50">
        <v>607.0</v>
      </c>
      <c r="B632" s="13" t="s">
        <v>11608</v>
      </c>
      <c r="C632" s="72" t="s">
        <v>11609</v>
      </c>
      <c r="D632" s="12" t="s">
        <v>11321</v>
      </c>
      <c r="E632" s="13" t="s">
        <v>11610</v>
      </c>
      <c r="F632" s="12">
        <v>24.0</v>
      </c>
      <c r="G632" s="14" t="s">
        <v>11601</v>
      </c>
      <c r="H632" s="15" t="s">
        <v>9921</v>
      </c>
      <c r="I632" s="74" t="s">
        <v>9674</v>
      </c>
    </row>
    <row r="633">
      <c r="A633" s="50">
        <v>608.0</v>
      </c>
      <c r="B633" s="13" t="s">
        <v>11611</v>
      </c>
      <c r="C633" s="72" t="s">
        <v>11612</v>
      </c>
      <c r="D633" s="12" t="s">
        <v>10551</v>
      </c>
      <c r="E633" s="13" t="s">
        <v>11613</v>
      </c>
      <c r="F633" s="12">
        <v>22.0</v>
      </c>
      <c r="G633" s="14" t="s">
        <v>11601</v>
      </c>
      <c r="H633" s="15" t="s">
        <v>9921</v>
      </c>
      <c r="I633" s="74" t="s">
        <v>9674</v>
      </c>
    </row>
    <row r="634">
      <c r="A634" s="50">
        <v>609.0</v>
      </c>
      <c r="B634" s="74" t="s">
        <v>11614</v>
      </c>
      <c r="C634" s="75"/>
      <c r="D634" s="12" t="s">
        <v>10551</v>
      </c>
      <c r="E634" s="13" t="s">
        <v>11615</v>
      </c>
      <c r="F634" s="12">
        <v>20.0</v>
      </c>
      <c r="G634" s="14" t="s">
        <v>11601</v>
      </c>
      <c r="H634" s="15" t="s">
        <v>9921</v>
      </c>
      <c r="I634" s="74" t="s">
        <v>9674</v>
      </c>
    </row>
    <row r="635">
      <c r="A635" s="50">
        <v>610.0</v>
      </c>
      <c r="B635" s="74" t="s">
        <v>11616</v>
      </c>
      <c r="C635" s="75"/>
      <c r="D635" s="12" t="s">
        <v>10688</v>
      </c>
      <c r="E635" s="13" t="s">
        <v>11617</v>
      </c>
      <c r="F635" s="12">
        <v>19.0</v>
      </c>
      <c r="G635" s="14" t="s">
        <v>11601</v>
      </c>
      <c r="H635" s="15" t="s">
        <v>9921</v>
      </c>
      <c r="I635" s="74" t="s">
        <v>9674</v>
      </c>
    </row>
    <row r="636">
      <c r="A636" s="50">
        <v>611.0</v>
      </c>
      <c r="B636" s="13" t="s">
        <v>11618</v>
      </c>
      <c r="C636" s="72" t="s">
        <v>11619</v>
      </c>
      <c r="D636" s="12" t="s">
        <v>10850</v>
      </c>
      <c r="E636" s="13" t="s">
        <v>11620</v>
      </c>
      <c r="F636" s="12">
        <v>21.0</v>
      </c>
      <c r="G636" s="14" t="s">
        <v>11621</v>
      </c>
      <c r="H636" s="15" t="s">
        <v>11622</v>
      </c>
      <c r="I636" s="74" t="s">
        <v>9674</v>
      </c>
    </row>
    <row r="637">
      <c r="A637" s="50">
        <v>612.0</v>
      </c>
      <c r="B637" s="74" t="s">
        <v>11623</v>
      </c>
      <c r="C637" s="75"/>
      <c r="D637" s="12" t="s">
        <v>10019</v>
      </c>
      <c r="E637" s="13" t="s">
        <v>11624</v>
      </c>
      <c r="F637" s="12">
        <v>18.0</v>
      </c>
      <c r="G637" s="14" t="s">
        <v>11621</v>
      </c>
      <c r="H637" s="15" t="s">
        <v>11622</v>
      </c>
      <c r="I637" s="74" t="s">
        <v>9674</v>
      </c>
    </row>
    <row r="638">
      <c r="A638" s="50">
        <v>613.0</v>
      </c>
      <c r="B638" s="74" t="s">
        <v>11625</v>
      </c>
      <c r="C638" s="75"/>
      <c r="D638" s="12" t="s">
        <v>10091</v>
      </c>
      <c r="E638" s="13" t="s">
        <v>11626</v>
      </c>
      <c r="F638" s="12">
        <v>20.0</v>
      </c>
      <c r="G638" s="14" t="s">
        <v>11621</v>
      </c>
      <c r="H638" s="15" t="s">
        <v>11622</v>
      </c>
      <c r="I638" s="74" t="s">
        <v>9674</v>
      </c>
    </row>
    <row r="639">
      <c r="A639" s="50">
        <v>614.0</v>
      </c>
      <c r="B639" s="74" t="s">
        <v>11627</v>
      </c>
      <c r="C639" s="75"/>
      <c r="D639" s="12" t="s">
        <v>10551</v>
      </c>
      <c r="E639" s="13" t="s">
        <v>11628</v>
      </c>
      <c r="F639" s="12">
        <v>18.0</v>
      </c>
      <c r="G639" s="14" t="s">
        <v>11621</v>
      </c>
      <c r="H639" s="15" t="s">
        <v>11622</v>
      </c>
      <c r="I639" s="74" t="s">
        <v>9674</v>
      </c>
    </row>
    <row r="640">
      <c r="A640" s="50">
        <v>615.0</v>
      </c>
      <c r="B640" s="74" t="s">
        <v>11629</v>
      </c>
      <c r="C640" s="75"/>
      <c r="D640" s="12" t="s">
        <v>10688</v>
      </c>
      <c r="E640" s="13" t="s">
        <v>11630</v>
      </c>
      <c r="F640" s="12">
        <v>20.0</v>
      </c>
      <c r="G640" s="14" t="s">
        <v>11621</v>
      </c>
      <c r="H640" s="15" t="s">
        <v>11622</v>
      </c>
      <c r="I640" s="74" t="s">
        <v>9674</v>
      </c>
    </row>
    <row r="641">
      <c r="A641" s="50">
        <v>616.0</v>
      </c>
      <c r="B641" s="74" t="s">
        <v>11631</v>
      </c>
      <c r="C641" s="75"/>
      <c r="D641" s="12" t="s">
        <v>9861</v>
      </c>
      <c r="E641" s="13" t="s">
        <v>11632</v>
      </c>
      <c r="F641" s="12">
        <v>20.0</v>
      </c>
      <c r="G641" s="14" t="s">
        <v>11633</v>
      </c>
      <c r="H641" s="15" t="s">
        <v>11634</v>
      </c>
      <c r="I641" s="74" t="s">
        <v>9674</v>
      </c>
    </row>
    <row r="642">
      <c r="A642" s="50">
        <v>617.0</v>
      </c>
      <c r="B642" s="13" t="s">
        <v>11635</v>
      </c>
      <c r="C642" s="72" t="s">
        <v>11636</v>
      </c>
      <c r="D642" s="12" t="s">
        <v>98</v>
      </c>
      <c r="E642" s="13" t="s">
        <v>11637</v>
      </c>
      <c r="F642" s="12">
        <v>22.0</v>
      </c>
      <c r="G642" s="14" t="s">
        <v>11633</v>
      </c>
      <c r="H642" s="15" t="s">
        <v>11634</v>
      </c>
      <c r="I642" s="74" t="s">
        <v>9674</v>
      </c>
    </row>
    <row r="643">
      <c r="A643" s="50">
        <v>618.0</v>
      </c>
      <c r="B643" s="13" t="s">
        <v>11638</v>
      </c>
      <c r="C643" s="72" t="s">
        <v>11639</v>
      </c>
      <c r="D643" s="12" t="s">
        <v>10551</v>
      </c>
      <c r="E643" s="13" t="s">
        <v>11640</v>
      </c>
      <c r="F643" s="12">
        <v>20.0</v>
      </c>
      <c r="G643" s="14" t="s">
        <v>11633</v>
      </c>
      <c r="H643" s="15" t="s">
        <v>11634</v>
      </c>
      <c r="I643" s="74" t="s">
        <v>9674</v>
      </c>
    </row>
    <row r="644">
      <c r="A644" s="50">
        <v>619.0</v>
      </c>
      <c r="B644" s="13" t="s">
        <v>11641</v>
      </c>
      <c r="C644" s="72" t="s">
        <v>11642</v>
      </c>
      <c r="D644" s="12" t="s">
        <v>10688</v>
      </c>
      <c r="E644" s="13" t="s">
        <v>11643</v>
      </c>
      <c r="F644" s="12">
        <v>20.0</v>
      </c>
      <c r="G644" s="14" t="s">
        <v>11633</v>
      </c>
      <c r="H644" s="15" t="s">
        <v>11634</v>
      </c>
      <c r="I644" s="74" t="s">
        <v>9674</v>
      </c>
    </row>
    <row r="645">
      <c r="A645" s="50">
        <v>620.0</v>
      </c>
      <c r="B645" s="74" t="s">
        <v>11644</v>
      </c>
      <c r="C645" s="75"/>
      <c r="D645" s="12" t="s">
        <v>11321</v>
      </c>
      <c r="E645" s="13" t="s">
        <v>11645</v>
      </c>
      <c r="F645" s="12">
        <v>19.0</v>
      </c>
      <c r="G645" s="14" t="s">
        <v>11633</v>
      </c>
      <c r="H645" s="15" t="s">
        <v>11634</v>
      </c>
      <c r="I645" s="74" t="s">
        <v>9674</v>
      </c>
    </row>
    <row r="646">
      <c r="A646" s="50">
        <v>621.0</v>
      </c>
      <c r="B646" s="74" t="s">
        <v>11646</v>
      </c>
      <c r="C646" s="75"/>
      <c r="D646" s="12" t="s">
        <v>10019</v>
      </c>
      <c r="E646" s="13" t="s">
        <v>11647</v>
      </c>
      <c r="F646" s="12">
        <v>19.0</v>
      </c>
      <c r="G646" s="14" t="s">
        <v>11633</v>
      </c>
      <c r="H646" s="15" t="s">
        <v>11634</v>
      </c>
      <c r="I646" s="74" t="s">
        <v>9674</v>
      </c>
    </row>
    <row r="647">
      <c r="A647" s="50">
        <v>622.0</v>
      </c>
      <c r="B647" s="74" t="s">
        <v>11648</v>
      </c>
      <c r="C647" s="75"/>
      <c r="D647" s="12" t="s">
        <v>10019</v>
      </c>
      <c r="E647" s="13" t="s">
        <v>11649</v>
      </c>
      <c r="F647" s="12">
        <v>20.0</v>
      </c>
      <c r="G647" s="14" t="s">
        <v>11633</v>
      </c>
      <c r="H647" s="15" t="s">
        <v>11634</v>
      </c>
      <c r="I647" s="74" t="s">
        <v>9674</v>
      </c>
    </row>
    <row r="648">
      <c r="A648" s="50">
        <v>623.0</v>
      </c>
      <c r="B648" s="74" t="s">
        <v>11650</v>
      </c>
      <c r="C648" s="75"/>
      <c r="D648" s="12" t="s">
        <v>10776</v>
      </c>
      <c r="E648" s="13" t="s">
        <v>11651</v>
      </c>
      <c r="F648" s="12">
        <v>21.0</v>
      </c>
      <c r="G648" s="14" t="s">
        <v>11633</v>
      </c>
      <c r="H648" s="15" t="s">
        <v>11634</v>
      </c>
      <c r="I648" s="74" t="s">
        <v>9674</v>
      </c>
    </row>
    <row r="649">
      <c r="A649" s="50">
        <v>624.0</v>
      </c>
      <c r="B649" s="74" t="s">
        <v>11652</v>
      </c>
      <c r="C649" s="75"/>
      <c r="D649" s="12" t="s">
        <v>10688</v>
      </c>
      <c r="E649" s="13" t="s">
        <v>11653</v>
      </c>
      <c r="F649" s="12">
        <v>20.0</v>
      </c>
      <c r="G649" s="14" t="s">
        <v>11654</v>
      </c>
      <c r="H649" s="15" t="s">
        <v>11655</v>
      </c>
      <c r="I649" s="74" t="s">
        <v>9674</v>
      </c>
    </row>
    <row r="650">
      <c r="A650" s="50">
        <v>625.0</v>
      </c>
      <c r="B650" s="74" t="s">
        <v>11656</v>
      </c>
      <c r="C650" s="75"/>
      <c r="D650" s="12" t="s">
        <v>10091</v>
      </c>
      <c r="E650" s="13" t="s">
        <v>11657</v>
      </c>
      <c r="F650" s="12">
        <v>19.0</v>
      </c>
      <c r="G650" s="14" t="s">
        <v>11658</v>
      </c>
      <c r="H650" s="15" t="s">
        <v>11659</v>
      </c>
      <c r="I650" s="74" t="s">
        <v>9674</v>
      </c>
    </row>
    <row r="651">
      <c r="A651" s="37" t="s">
        <v>3</v>
      </c>
      <c r="B651" s="51" t="s">
        <v>4</v>
      </c>
      <c r="C651" s="40" t="s">
        <v>5</v>
      </c>
      <c r="D651" s="39" t="s">
        <v>6</v>
      </c>
      <c r="E651" s="39" t="s">
        <v>7</v>
      </c>
      <c r="F651" s="39" t="s">
        <v>8</v>
      </c>
      <c r="G651" s="40" t="s">
        <v>9617</v>
      </c>
      <c r="H651" s="39" t="s">
        <v>9618</v>
      </c>
      <c r="I651" s="39" t="s">
        <v>9619</v>
      </c>
    </row>
    <row r="652">
      <c r="A652" s="50">
        <v>626.0</v>
      </c>
      <c r="B652" s="74" t="s">
        <v>11660</v>
      </c>
      <c r="C652" s="75"/>
      <c r="D652" s="12" t="s">
        <v>10776</v>
      </c>
      <c r="E652" s="13" t="s">
        <v>11661</v>
      </c>
      <c r="F652" s="12">
        <v>18.0</v>
      </c>
      <c r="G652" s="14" t="s">
        <v>11658</v>
      </c>
      <c r="H652" s="15" t="s">
        <v>11659</v>
      </c>
      <c r="I652" s="74" t="s">
        <v>9674</v>
      </c>
    </row>
    <row r="653">
      <c r="A653" s="50">
        <v>627.0</v>
      </c>
      <c r="B653" s="13" t="s">
        <v>11662</v>
      </c>
      <c r="C653" s="72" t="s">
        <v>11663</v>
      </c>
      <c r="D653" s="12" t="s">
        <v>36</v>
      </c>
      <c r="E653" s="13" t="s">
        <v>11664</v>
      </c>
      <c r="F653" s="12">
        <v>21.0</v>
      </c>
      <c r="G653" s="14" t="s">
        <v>11658</v>
      </c>
      <c r="H653" s="15" t="s">
        <v>11659</v>
      </c>
      <c r="I653" s="74" t="s">
        <v>9674</v>
      </c>
    </row>
    <row r="654">
      <c r="A654" s="50">
        <v>628.0</v>
      </c>
      <c r="B654" s="74" t="s">
        <v>11665</v>
      </c>
      <c r="C654" s="75"/>
      <c r="D654" s="12" t="s">
        <v>10091</v>
      </c>
      <c r="E654" s="13" t="s">
        <v>11666</v>
      </c>
      <c r="F654" s="12">
        <v>20.0</v>
      </c>
      <c r="G654" s="14" t="s">
        <v>11658</v>
      </c>
      <c r="H654" s="15" t="s">
        <v>11659</v>
      </c>
      <c r="I654" s="74" t="s">
        <v>9674</v>
      </c>
    </row>
    <row r="655">
      <c r="A655" s="50">
        <v>629.0</v>
      </c>
      <c r="B655" s="74" t="s">
        <v>11667</v>
      </c>
      <c r="C655" s="75"/>
      <c r="D655" s="12" t="s">
        <v>98</v>
      </c>
      <c r="E655" s="13" t="s">
        <v>11668</v>
      </c>
      <c r="F655" s="12">
        <v>21.0</v>
      </c>
      <c r="G655" s="14" t="s">
        <v>11669</v>
      </c>
      <c r="H655" s="15" t="s">
        <v>11670</v>
      </c>
      <c r="I655" s="74" t="s">
        <v>9674</v>
      </c>
    </row>
    <row r="656">
      <c r="A656" s="50">
        <v>630.0</v>
      </c>
      <c r="B656" s="13" t="s">
        <v>11671</v>
      </c>
      <c r="C656" s="72" t="s">
        <v>11672</v>
      </c>
      <c r="D656" s="12" t="s">
        <v>10551</v>
      </c>
      <c r="E656" s="13" t="s">
        <v>11673</v>
      </c>
      <c r="F656" s="12">
        <v>21.0</v>
      </c>
      <c r="G656" s="14" t="s">
        <v>11669</v>
      </c>
      <c r="H656" s="15" t="s">
        <v>11670</v>
      </c>
      <c r="I656" s="74" t="s">
        <v>9674</v>
      </c>
    </row>
    <row r="657">
      <c r="A657" s="50">
        <v>631.0</v>
      </c>
      <c r="B657" s="74" t="s">
        <v>11674</v>
      </c>
      <c r="C657" s="75"/>
      <c r="D657" s="12" t="s">
        <v>10850</v>
      </c>
      <c r="E657" s="13" t="s">
        <v>11675</v>
      </c>
      <c r="F657" s="12">
        <v>21.0</v>
      </c>
      <c r="G657" s="14" t="s">
        <v>11669</v>
      </c>
      <c r="H657" s="15" t="s">
        <v>11670</v>
      </c>
      <c r="I657" s="74" t="s">
        <v>9674</v>
      </c>
    </row>
    <row r="658">
      <c r="A658" s="50">
        <v>632.0</v>
      </c>
      <c r="B658" s="74" t="s">
        <v>11676</v>
      </c>
      <c r="C658" s="75"/>
      <c r="D658" s="12" t="s">
        <v>10688</v>
      </c>
      <c r="E658" s="13" t="s">
        <v>11677</v>
      </c>
      <c r="F658" s="12">
        <v>21.0</v>
      </c>
      <c r="G658" s="14" t="s">
        <v>11669</v>
      </c>
      <c r="H658" s="15" t="s">
        <v>11670</v>
      </c>
      <c r="I658" s="74" t="s">
        <v>9674</v>
      </c>
    </row>
    <row r="659">
      <c r="A659" s="50">
        <v>633.0</v>
      </c>
      <c r="B659" s="13" t="s">
        <v>11678</v>
      </c>
      <c r="C659" s="72" t="s">
        <v>11679</v>
      </c>
      <c r="D659" s="12" t="s">
        <v>10019</v>
      </c>
      <c r="E659" s="13" t="s">
        <v>11680</v>
      </c>
      <c r="F659" s="12">
        <v>22.0</v>
      </c>
      <c r="G659" s="14" t="s">
        <v>11669</v>
      </c>
      <c r="H659" s="15" t="s">
        <v>11670</v>
      </c>
      <c r="I659" s="74" t="s">
        <v>9674</v>
      </c>
    </row>
    <row r="660">
      <c r="A660" s="50">
        <v>634.0</v>
      </c>
      <c r="B660" s="74" t="s">
        <v>11681</v>
      </c>
      <c r="C660" s="75"/>
      <c r="D660" s="12" t="s">
        <v>10776</v>
      </c>
      <c r="E660" s="13" t="s">
        <v>11682</v>
      </c>
      <c r="F660" s="12">
        <v>20.0</v>
      </c>
      <c r="G660" s="14" t="s">
        <v>11669</v>
      </c>
      <c r="H660" s="15" t="s">
        <v>11670</v>
      </c>
      <c r="I660" s="74" t="s">
        <v>9674</v>
      </c>
    </row>
    <row r="661">
      <c r="A661" s="50">
        <v>635.0</v>
      </c>
      <c r="B661" s="13" t="s">
        <v>11683</v>
      </c>
      <c r="C661" s="72" t="s">
        <v>11684</v>
      </c>
      <c r="D661" s="12" t="s">
        <v>10019</v>
      </c>
      <c r="E661" s="13" t="s">
        <v>11685</v>
      </c>
      <c r="F661" s="12">
        <v>20.0</v>
      </c>
      <c r="G661" s="14" t="s">
        <v>11669</v>
      </c>
      <c r="H661" s="15" t="s">
        <v>11670</v>
      </c>
      <c r="I661" s="74" t="s">
        <v>9674</v>
      </c>
    </row>
    <row r="662">
      <c r="A662" s="50">
        <v>636.0</v>
      </c>
      <c r="B662" s="74" t="s">
        <v>11686</v>
      </c>
      <c r="C662" s="75"/>
      <c r="D662" s="12" t="s">
        <v>10688</v>
      </c>
      <c r="E662" s="13" t="s">
        <v>11687</v>
      </c>
      <c r="F662" s="12">
        <v>19.0</v>
      </c>
      <c r="G662" s="14" t="s">
        <v>11688</v>
      </c>
      <c r="H662" s="15" t="s">
        <v>10370</v>
      </c>
      <c r="I662" s="74" t="s">
        <v>9674</v>
      </c>
    </row>
    <row r="663">
      <c r="A663" s="50">
        <v>637.0</v>
      </c>
      <c r="B663" s="74" t="s">
        <v>11689</v>
      </c>
      <c r="C663" s="75"/>
      <c r="D663" s="12" t="s">
        <v>10091</v>
      </c>
      <c r="E663" s="13" t="s">
        <v>11690</v>
      </c>
      <c r="F663" s="12">
        <v>19.0</v>
      </c>
      <c r="G663" s="14" t="s">
        <v>11691</v>
      </c>
      <c r="H663" s="15" t="s">
        <v>11692</v>
      </c>
      <c r="I663" s="74" t="s">
        <v>9674</v>
      </c>
    </row>
    <row r="664">
      <c r="A664" s="50">
        <v>638.0</v>
      </c>
      <c r="B664" s="74" t="s">
        <v>11693</v>
      </c>
      <c r="C664" s="75"/>
      <c r="D664" s="12" t="s">
        <v>10776</v>
      </c>
      <c r="E664" s="13" t="s">
        <v>11694</v>
      </c>
      <c r="F664" s="12">
        <v>20.0</v>
      </c>
      <c r="G664" s="14" t="s">
        <v>11695</v>
      </c>
      <c r="H664" s="15" t="s">
        <v>11696</v>
      </c>
      <c r="I664" s="74" t="s">
        <v>9674</v>
      </c>
    </row>
    <row r="665">
      <c r="A665" s="50">
        <v>639.0</v>
      </c>
      <c r="B665" s="13" t="s">
        <v>11697</v>
      </c>
      <c r="C665" s="72" t="s">
        <v>11698</v>
      </c>
      <c r="D665" s="12" t="s">
        <v>36</v>
      </c>
      <c r="E665" s="13" t="s">
        <v>11699</v>
      </c>
      <c r="F665" s="12">
        <v>20.0</v>
      </c>
      <c r="G665" s="14" t="s">
        <v>11695</v>
      </c>
      <c r="H665" s="15" t="s">
        <v>11696</v>
      </c>
      <c r="I665" s="74" t="s">
        <v>9674</v>
      </c>
    </row>
    <row r="666">
      <c r="A666" s="50">
        <v>640.0</v>
      </c>
      <c r="B666" s="74" t="s">
        <v>11700</v>
      </c>
      <c r="C666" s="75"/>
      <c r="D666" s="12" t="s">
        <v>11321</v>
      </c>
      <c r="E666" s="13" t="s">
        <v>11701</v>
      </c>
      <c r="F666" s="12">
        <v>21.0</v>
      </c>
      <c r="G666" s="14" t="s">
        <v>11695</v>
      </c>
      <c r="H666" s="15" t="s">
        <v>11696</v>
      </c>
      <c r="I666" s="74" t="s">
        <v>9674</v>
      </c>
    </row>
    <row r="667">
      <c r="A667" s="50">
        <v>641.0</v>
      </c>
      <c r="B667" s="74" t="s">
        <v>11702</v>
      </c>
      <c r="C667" s="75"/>
      <c r="D667" s="12" t="s">
        <v>10776</v>
      </c>
      <c r="E667" s="13" t="s">
        <v>11703</v>
      </c>
      <c r="F667" s="12">
        <v>21.0</v>
      </c>
      <c r="G667" s="14" t="s">
        <v>11695</v>
      </c>
      <c r="H667" s="15" t="s">
        <v>11696</v>
      </c>
      <c r="I667" s="74" t="s">
        <v>9674</v>
      </c>
    </row>
    <row r="668">
      <c r="A668" s="50">
        <v>642.0</v>
      </c>
      <c r="B668" s="74" t="s">
        <v>11704</v>
      </c>
      <c r="C668" s="75"/>
      <c r="D668" s="12" t="s">
        <v>98</v>
      </c>
      <c r="E668" s="13" t="s">
        <v>11705</v>
      </c>
      <c r="F668" s="12">
        <v>19.0</v>
      </c>
      <c r="G668" s="14" t="s">
        <v>11706</v>
      </c>
      <c r="H668" s="15" t="s">
        <v>11707</v>
      </c>
      <c r="I668" s="74" t="s">
        <v>9674</v>
      </c>
    </row>
    <row r="669">
      <c r="A669" s="50">
        <v>643.0</v>
      </c>
      <c r="B669" s="13" t="s">
        <v>11708</v>
      </c>
      <c r="C669" s="72" t="s">
        <v>11709</v>
      </c>
      <c r="D669" s="12" t="s">
        <v>10472</v>
      </c>
      <c r="E669" s="13" t="s">
        <v>11710</v>
      </c>
      <c r="F669" s="12">
        <v>20.0</v>
      </c>
      <c r="G669" s="14" t="s">
        <v>11706</v>
      </c>
      <c r="H669" s="15" t="s">
        <v>11707</v>
      </c>
      <c r="I669" s="74" t="s">
        <v>9674</v>
      </c>
    </row>
    <row r="670">
      <c r="A670" s="50">
        <v>644.0</v>
      </c>
      <c r="B670" s="13" t="s">
        <v>11711</v>
      </c>
      <c r="C670" s="72" t="s">
        <v>11712</v>
      </c>
      <c r="D670" s="12" t="s">
        <v>10091</v>
      </c>
      <c r="E670" s="13" t="s">
        <v>11713</v>
      </c>
      <c r="F670" s="12">
        <v>19.0</v>
      </c>
      <c r="G670" s="14" t="s">
        <v>11706</v>
      </c>
      <c r="H670" s="15" t="s">
        <v>11707</v>
      </c>
      <c r="I670" s="74" t="s">
        <v>9674</v>
      </c>
    </row>
    <row r="671">
      <c r="A671" s="50">
        <v>645.0</v>
      </c>
      <c r="B671" s="74" t="s">
        <v>11714</v>
      </c>
      <c r="C671" s="75"/>
      <c r="D671" s="12" t="s">
        <v>11321</v>
      </c>
      <c r="E671" s="13" t="s">
        <v>11715</v>
      </c>
      <c r="F671" s="12">
        <v>19.0</v>
      </c>
      <c r="G671" s="14" t="s">
        <v>11706</v>
      </c>
      <c r="H671" s="15" t="s">
        <v>11707</v>
      </c>
      <c r="I671" s="74" t="s">
        <v>9674</v>
      </c>
    </row>
    <row r="672">
      <c r="A672" s="50">
        <v>646.0</v>
      </c>
      <c r="B672" s="13" t="s">
        <v>11716</v>
      </c>
      <c r="C672" s="72" t="s">
        <v>11717</v>
      </c>
      <c r="D672" s="12" t="s">
        <v>98</v>
      </c>
      <c r="E672" s="13" t="s">
        <v>11718</v>
      </c>
      <c r="F672" s="12">
        <v>21.0</v>
      </c>
      <c r="G672" s="14" t="s">
        <v>11706</v>
      </c>
      <c r="H672" s="15" t="s">
        <v>11707</v>
      </c>
      <c r="I672" s="74" t="s">
        <v>9674</v>
      </c>
    </row>
    <row r="673">
      <c r="A673" s="50">
        <v>647.0</v>
      </c>
      <c r="B673" s="74" t="s">
        <v>11719</v>
      </c>
      <c r="C673" s="75"/>
      <c r="D673" s="12" t="s">
        <v>10551</v>
      </c>
      <c r="E673" s="13" t="s">
        <v>11720</v>
      </c>
      <c r="F673" s="12">
        <v>21.0</v>
      </c>
      <c r="G673" s="14" t="s">
        <v>11706</v>
      </c>
      <c r="H673" s="15" t="s">
        <v>11707</v>
      </c>
      <c r="I673" s="74" t="s">
        <v>9674</v>
      </c>
    </row>
    <row r="674">
      <c r="A674" s="50">
        <v>648.0</v>
      </c>
      <c r="B674" s="74" t="s">
        <v>11721</v>
      </c>
      <c r="C674" s="75"/>
      <c r="D674" s="12" t="s">
        <v>10850</v>
      </c>
      <c r="E674" s="13" t="s">
        <v>11722</v>
      </c>
      <c r="F674" s="12">
        <v>22.0</v>
      </c>
      <c r="G674" s="14" t="s">
        <v>11706</v>
      </c>
      <c r="H674" s="15" t="s">
        <v>11707</v>
      </c>
      <c r="I674" s="74" t="s">
        <v>9674</v>
      </c>
    </row>
    <row r="675">
      <c r="A675" s="50">
        <v>649.0</v>
      </c>
      <c r="B675" s="74" t="s">
        <v>11723</v>
      </c>
      <c r="C675" s="75"/>
      <c r="D675" s="12" t="s">
        <v>10019</v>
      </c>
      <c r="E675" s="13" t="s">
        <v>11724</v>
      </c>
      <c r="F675" s="12">
        <v>20.0</v>
      </c>
      <c r="G675" s="14" t="s">
        <v>11706</v>
      </c>
      <c r="H675" s="15" t="s">
        <v>11707</v>
      </c>
      <c r="I675" s="74" t="s">
        <v>9674</v>
      </c>
    </row>
    <row r="676">
      <c r="A676" s="50">
        <v>650.0</v>
      </c>
      <c r="B676" s="74" t="s">
        <v>11725</v>
      </c>
      <c r="C676" s="75"/>
      <c r="D676" s="12" t="s">
        <v>10091</v>
      </c>
      <c r="E676" s="13" t="s">
        <v>11726</v>
      </c>
      <c r="F676" s="12">
        <v>19.0</v>
      </c>
      <c r="G676" s="14" t="s">
        <v>11706</v>
      </c>
      <c r="H676" s="15" t="s">
        <v>11707</v>
      </c>
      <c r="I676" s="74" t="s">
        <v>9674</v>
      </c>
    </row>
    <row r="677">
      <c r="A677" s="37" t="s">
        <v>3</v>
      </c>
      <c r="B677" s="51" t="s">
        <v>4</v>
      </c>
      <c r="C677" s="40" t="s">
        <v>5</v>
      </c>
      <c r="D677" s="39" t="s">
        <v>6</v>
      </c>
      <c r="E677" s="39" t="s">
        <v>7</v>
      </c>
      <c r="F677" s="39" t="s">
        <v>8</v>
      </c>
      <c r="G677" s="40" t="s">
        <v>9617</v>
      </c>
      <c r="H677" s="39" t="s">
        <v>9618</v>
      </c>
      <c r="I677" s="39" t="s">
        <v>9619</v>
      </c>
    </row>
    <row r="678">
      <c r="A678" s="50">
        <v>651.0</v>
      </c>
      <c r="B678" s="13" t="s">
        <v>11727</v>
      </c>
      <c r="C678" s="72" t="s">
        <v>11728</v>
      </c>
      <c r="D678" s="12" t="s">
        <v>10776</v>
      </c>
      <c r="E678" s="13" t="s">
        <v>11729</v>
      </c>
      <c r="F678" s="12">
        <v>21.0</v>
      </c>
      <c r="G678" s="14" t="s">
        <v>11706</v>
      </c>
      <c r="H678" s="15" t="s">
        <v>11707</v>
      </c>
      <c r="I678" s="74" t="s">
        <v>9674</v>
      </c>
    </row>
    <row r="679">
      <c r="A679" s="50">
        <v>652.0</v>
      </c>
      <c r="B679" s="74" t="s">
        <v>11730</v>
      </c>
      <c r="C679" s="75"/>
      <c r="D679" s="12" t="s">
        <v>10850</v>
      </c>
      <c r="E679" s="13" t="s">
        <v>11731</v>
      </c>
      <c r="F679" s="12">
        <v>20.0</v>
      </c>
      <c r="G679" s="14" t="s">
        <v>11706</v>
      </c>
      <c r="H679" s="15" t="s">
        <v>11707</v>
      </c>
      <c r="I679" s="74" t="s">
        <v>9674</v>
      </c>
    </row>
    <row r="680">
      <c r="A680" s="50">
        <v>653.0</v>
      </c>
      <c r="B680" s="13" t="s">
        <v>11732</v>
      </c>
      <c r="C680" s="72" t="s">
        <v>11733</v>
      </c>
      <c r="D680" s="12" t="s">
        <v>10688</v>
      </c>
      <c r="E680" s="13" t="s">
        <v>11734</v>
      </c>
      <c r="F680" s="12">
        <v>20.0</v>
      </c>
      <c r="G680" s="14" t="s">
        <v>11706</v>
      </c>
      <c r="H680" s="15" t="s">
        <v>11707</v>
      </c>
      <c r="I680" s="74" t="s">
        <v>9674</v>
      </c>
    </row>
    <row r="681">
      <c r="A681" s="50">
        <v>654.0</v>
      </c>
      <c r="B681" s="74" t="s">
        <v>11735</v>
      </c>
      <c r="C681" s="75"/>
      <c r="D681" s="12" t="s">
        <v>10688</v>
      </c>
      <c r="E681" s="13" t="s">
        <v>11736</v>
      </c>
      <c r="F681" s="12">
        <v>20.0</v>
      </c>
      <c r="G681" s="14" t="s">
        <v>11706</v>
      </c>
      <c r="H681" s="15" t="s">
        <v>11707</v>
      </c>
      <c r="I681" s="74" t="s">
        <v>9674</v>
      </c>
    </row>
    <row r="682">
      <c r="A682" s="50">
        <v>655.0</v>
      </c>
      <c r="B682" s="74" t="s">
        <v>11737</v>
      </c>
      <c r="C682" s="75"/>
      <c r="D682" s="12" t="s">
        <v>10472</v>
      </c>
      <c r="E682" s="13" t="s">
        <v>11738</v>
      </c>
      <c r="F682" s="12">
        <v>19.0</v>
      </c>
      <c r="G682" s="14" t="s">
        <v>11706</v>
      </c>
      <c r="H682" s="15" t="s">
        <v>11707</v>
      </c>
      <c r="I682" s="74" t="s">
        <v>9674</v>
      </c>
    </row>
    <row r="683">
      <c r="A683" s="50">
        <v>656.0</v>
      </c>
      <c r="B683" s="13" t="s">
        <v>11739</v>
      </c>
      <c r="C683" s="72" t="s">
        <v>11740</v>
      </c>
      <c r="D683" s="12" t="s">
        <v>107</v>
      </c>
      <c r="E683" s="13" t="s">
        <v>11741</v>
      </c>
      <c r="F683" s="12">
        <v>24.0</v>
      </c>
      <c r="G683" s="14" t="s">
        <v>11742</v>
      </c>
      <c r="H683" s="15" t="s">
        <v>10789</v>
      </c>
      <c r="I683" s="74" t="s">
        <v>9674</v>
      </c>
    </row>
    <row r="684">
      <c r="A684" s="50">
        <v>657.0</v>
      </c>
      <c r="B684" s="74" t="s">
        <v>11743</v>
      </c>
      <c r="C684" s="75"/>
      <c r="D684" s="12" t="s">
        <v>10551</v>
      </c>
      <c r="E684" s="13" t="s">
        <v>11744</v>
      </c>
      <c r="F684" s="12">
        <v>21.0</v>
      </c>
      <c r="G684" s="14" t="s">
        <v>11745</v>
      </c>
      <c r="H684" s="15" t="s">
        <v>11746</v>
      </c>
      <c r="I684" s="74" t="s">
        <v>9674</v>
      </c>
    </row>
    <row r="685">
      <c r="A685" s="50">
        <v>658.0</v>
      </c>
      <c r="B685" s="74" t="s">
        <v>11747</v>
      </c>
      <c r="C685" s="75"/>
      <c r="D685" s="12" t="s">
        <v>10688</v>
      </c>
      <c r="E685" s="13" t="s">
        <v>11748</v>
      </c>
      <c r="F685" s="12">
        <v>20.0</v>
      </c>
      <c r="G685" s="14" t="s">
        <v>11745</v>
      </c>
      <c r="H685" s="15" t="s">
        <v>11746</v>
      </c>
      <c r="I685" s="74" t="s">
        <v>9674</v>
      </c>
    </row>
    <row r="686">
      <c r="A686" s="50">
        <v>659.0</v>
      </c>
      <c r="B686" s="13" t="s">
        <v>11749</v>
      </c>
      <c r="C686" s="72" t="s">
        <v>11750</v>
      </c>
      <c r="D686" s="12" t="s">
        <v>10551</v>
      </c>
      <c r="E686" s="13" t="s">
        <v>11751</v>
      </c>
      <c r="F686" s="12">
        <v>20.0</v>
      </c>
      <c r="G686" s="14" t="s">
        <v>11752</v>
      </c>
      <c r="H686" s="15" t="s">
        <v>11753</v>
      </c>
      <c r="I686" s="74" t="s">
        <v>9674</v>
      </c>
    </row>
    <row r="687">
      <c r="A687" s="50">
        <v>660.0</v>
      </c>
      <c r="B687" s="13" t="s">
        <v>11754</v>
      </c>
      <c r="C687" s="72" t="s">
        <v>11755</v>
      </c>
      <c r="D687" s="12" t="s">
        <v>10091</v>
      </c>
      <c r="E687" s="13" t="s">
        <v>11756</v>
      </c>
      <c r="F687" s="12">
        <v>19.0</v>
      </c>
      <c r="G687" s="14" t="s">
        <v>11752</v>
      </c>
      <c r="H687" s="15" t="s">
        <v>11753</v>
      </c>
      <c r="I687" s="74" t="s">
        <v>9674</v>
      </c>
    </row>
    <row r="688">
      <c r="A688" s="50">
        <v>661.0</v>
      </c>
      <c r="B688" s="13" t="s">
        <v>11757</v>
      </c>
      <c r="C688" s="72" t="s">
        <v>11758</v>
      </c>
      <c r="D688" s="12" t="s">
        <v>10688</v>
      </c>
      <c r="E688" s="13" t="s">
        <v>11759</v>
      </c>
      <c r="F688" s="12">
        <v>20.0</v>
      </c>
      <c r="G688" s="14" t="s">
        <v>11752</v>
      </c>
      <c r="H688" s="15" t="s">
        <v>11753</v>
      </c>
      <c r="I688" s="74" t="s">
        <v>9674</v>
      </c>
    </row>
    <row r="689">
      <c r="A689" s="50">
        <v>662.0</v>
      </c>
      <c r="B689" s="74" t="s">
        <v>11760</v>
      </c>
      <c r="C689" s="75"/>
      <c r="D689" s="12" t="s">
        <v>10850</v>
      </c>
      <c r="E689" s="13" t="s">
        <v>11761</v>
      </c>
      <c r="F689" s="12">
        <v>20.0</v>
      </c>
      <c r="G689" s="14" t="s">
        <v>11752</v>
      </c>
      <c r="H689" s="15" t="s">
        <v>11753</v>
      </c>
      <c r="I689" s="74" t="s">
        <v>9674</v>
      </c>
    </row>
    <row r="690">
      <c r="A690" s="50">
        <v>663.0</v>
      </c>
      <c r="B690" s="74" t="s">
        <v>11762</v>
      </c>
      <c r="C690" s="75"/>
      <c r="D690" s="12" t="s">
        <v>11321</v>
      </c>
      <c r="E690" s="13" t="s">
        <v>11763</v>
      </c>
      <c r="F690" s="12">
        <v>21.0</v>
      </c>
      <c r="G690" s="14" t="s">
        <v>11752</v>
      </c>
      <c r="H690" s="15" t="s">
        <v>11753</v>
      </c>
      <c r="I690" s="74" t="s">
        <v>9674</v>
      </c>
    </row>
    <row r="691">
      <c r="A691" s="50">
        <v>664.0</v>
      </c>
      <c r="B691" s="74" t="s">
        <v>11764</v>
      </c>
      <c r="C691" s="75"/>
      <c r="D691" s="12" t="s">
        <v>10776</v>
      </c>
      <c r="E691" s="13" t="s">
        <v>11765</v>
      </c>
      <c r="F691" s="12">
        <v>19.0</v>
      </c>
      <c r="G691" s="14" t="s">
        <v>11766</v>
      </c>
      <c r="H691" s="15" t="s">
        <v>11767</v>
      </c>
      <c r="I691" s="74" t="s">
        <v>9674</v>
      </c>
    </row>
    <row r="692">
      <c r="A692" s="50">
        <v>665.0</v>
      </c>
      <c r="B692" s="74" t="s">
        <v>11768</v>
      </c>
      <c r="C692" s="75"/>
      <c r="D692" s="12" t="s">
        <v>10688</v>
      </c>
      <c r="E692" s="13" t="s">
        <v>11769</v>
      </c>
      <c r="F692" s="12">
        <v>19.0</v>
      </c>
      <c r="G692" s="14" t="s">
        <v>11766</v>
      </c>
      <c r="H692" s="15" t="s">
        <v>11767</v>
      </c>
      <c r="I692" s="74" t="s">
        <v>9674</v>
      </c>
    </row>
    <row r="693">
      <c r="A693" s="50">
        <v>666.0</v>
      </c>
      <c r="B693" s="74" t="s">
        <v>11770</v>
      </c>
      <c r="C693" s="75"/>
      <c r="D693" s="12" t="s">
        <v>10019</v>
      </c>
      <c r="E693" s="13" t="s">
        <v>11771</v>
      </c>
      <c r="F693" s="12">
        <v>23.0</v>
      </c>
      <c r="G693" s="14" t="s">
        <v>11772</v>
      </c>
      <c r="H693" s="15" t="s">
        <v>11005</v>
      </c>
      <c r="I693" s="74" t="s">
        <v>9674</v>
      </c>
    </row>
    <row r="694">
      <c r="A694" s="50">
        <v>667.0</v>
      </c>
      <c r="B694" s="74" t="s">
        <v>11773</v>
      </c>
      <c r="C694" s="75"/>
      <c r="D694" s="12" t="s">
        <v>10688</v>
      </c>
      <c r="E694" s="13" t="s">
        <v>11774</v>
      </c>
      <c r="F694" s="12">
        <v>17.0</v>
      </c>
      <c r="G694" s="14" t="s">
        <v>11775</v>
      </c>
      <c r="H694" s="15" t="s">
        <v>11776</v>
      </c>
      <c r="I694" s="74" t="s">
        <v>9674</v>
      </c>
    </row>
    <row r="695">
      <c r="A695" s="50">
        <v>668.0</v>
      </c>
      <c r="B695" s="13" t="s">
        <v>11777</v>
      </c>
      <c r="C695" s="72" t="s">
        <v>11778</v>
      </c>
      <c r="D695" s="12" t="s">
        <v>9861</v>
      </c>
      <c r="E695" s="13" t="s">
        <v>11779</v>
      </c>
      <c r="F695" s="12">
        <v>20.0</v>
      </c>
      <c r="G695" s="14" t="s">
        <v>11780</v>
      </c>
      <c r="H695" s="15" t="s">
        <v>11781</v>
      </c>
      <c r="I695" s="74" t="s">
        <v>9674</v>
      </c>
    </row>
    <row r="696">
      <c r="A696" s="50">
        <v>669.0</v>
      </c>
      <c r="B696" s="74" t="s">
        <v>11782</v>
      </c>
      <c r="C696" s="75"/>
      <c r="D696" s="12" t="s">
        <v>10551</v>
      </c>
      <c r="E696" s="13" t="s">
        <v>11783</v>
      </c>
      <c r="F696" s="12">
        <v>19.0</v>
      </c>
      <c r="G696" s="14" t="s">
        <v>11780</v>
      </c>
      <c r="H696" s="15" t="s">
        <v>11781</v>
      </c>
      <c r="I696" s="74" t="s">
        <v>9674</v>
      </c>
    </row>
    <row r="697">
      <c r="A697" s="50">
        <v>670.0</v>
      </c>
      <c r="B697" s="74" t="s">
        <v>11784</v>
      </c>
      <c r="C697" s="75"/>
      <c r="D697" s="12" t="s">
        <v>10688</v>
      </c>
      <c r="E697" s="13" t="s">
        <v>11785</v>
      </c>
      <c r="F697" s="12">
        <v>18.0</v>
      </c>
      <c r="G697" s="14" t="s">
        <v>11780</v>
      </c>
      <c r="H697" s="15" t="s">
        <v>11781</v>
      </c>
      <c r="I697" s="74" t="s">
        <v>9674</v>
      </c>
    </row>
    <row r="698">
      <c r="A698" s="50">
        <v>671.0</v>
      </c>
      <c r="B698" s="13" t="s">
        <v>11786</v>
      </c>
      <c r="C698" s="72" t="s">
        <v>11787</v>
      </c>
      <c r="D698" s="12" t="s">
        <v>345</v>
      </c>
      <c r="E698" s="13" t="s">
        <v>11788</v>
      </c>
      <c r="F698" s="12">
        <v>22.0</v>
      </c>
      <c r="G698" s="14" t="s">
        <v>11789</v>
      </c>
      <c r="H698" s="15" t="s">
        <v>11790</v>
      </c>
      <c r="I698" s="74" t="s">
        <v>9674</v>
      </c>
    </row>
    <row r="699">
      <c r="A699" s="24">
        <v>672.0</v>
      </c>
      <c r="B699" s="28" t="s">
        <v>11791</v>
      </c>
      <c r="C699" s="76" t="s">
        <v>11792</v>
      </c>
      <c r="D699" s="27" t="s">
        <v>9861</v>
      </c>
      <c r="E699" s="28" t="s">
        <v>11793</v>
      </c>
      <c r="F699" s="27">
        <v>21.0</v>
      </c>
      <c r="G699" s="29" t="s">
        <v>11789</v>
      </c>
      <c r="H699" s="30" t="s">
        <v>11790</v>
      </c>
      <c r="I699" s="77" t="s">
        <v>9674</v>
      </c>
    </row>
  </sheetData>
  <hyperlinks>
    <hyperlink r:id="rId1" ref="B2"/>
    <hyperlink r:id="rId2" ref="C2"/>
    <hyperlink r:id="rId3" ref="E2"/>
    <hyperlink r:id="rId4" ref="B3"/>
    <hyperlink r:id="rId5" ref="C3"/>
    <hyperlink r:id="rId6" ref="E3"/>
    <hyperlink r:id="rId7" ref="B4"/>
    <hyperlink r:id="rId8" ref="C4"/>
    <hyperlink r:id="rId9" ref="E4"/>
    <hyperlink r:id="rId10" ref="B5"/>
    <hyperlink r:id="rId11" ref="C5"/>
    <hyperlink r:id="rId12" ref="E5"/>
    <hyperlink r:id="rId13" ref="B6"/>
    <hyperlink r:id="rId14" ref="C6"/>
    <hyperlink r:id="rId15" ref="E6"/>
    <hyperlink r:id="rId16" ref="B7"/>
    <hyperlink r:id="rId17" ref="C7"/>
    <hyperlink r:id="rId18" ref="E7"/>
    <hyperlink r:id="rId19" ref="B8"/>
    <hyperlink r:id="rId20" ref="C8"/>
    <hyperlink r:id="rId21" ref="E8"/>
    <hyperlink r:id="rId22" ref="B9"/>
    <hyperlink r:id="rId23" ref="C9"/>
    <hyperlink r:id="rId24" ref="E9"/>
    <hyperlink r:id="rId25" ref="B10"/>
    <hyperlink r:id="rId26" ref="C10"/>
    <hyperlink r:id="rId27" ref="E10"/>
    <hyperlink r:id="rId28" ref="B11"/>
    <hyperlink r:id="rId29" ref="C11"/>
    <hyperlink r:id="rId30" ref="E11"/>
    <hyperlink r:id="rId31" ref="B12"/>
    <hyperlink r:id="rId32" ref="C12"/>
    <hyperlink r:id="rId33" ref="E12"/>
    <hyperlink r:id="rId34" ref="B13"/>
    <hyperlink r:id="rId35" ref="C13"/>
    <hyperlink r:id="rId36" ref="E13"/>
    <hyperlink r:id="rId37" ref="B14"/>
    <hyperlink r:id="rId38" ref="C14"/>
    <hyperlink r:id="rId39" ref="E14"/>
    <hyperlink r:id="rId40" ref="B15"/>
    <hyperlink r:id="rId41" ref="C15"/>
    <hyperlink r:id="rId42" ref="E15"/>
    <hyperlink r:id="rId43" ref="B16"/>
    <hyperlink r:id="rId44" ref="C16"/>
    <hyperlink r:id="rId45" ref="E16"/>
    <hyperlink r:id="rId46" ref="B17"/>
    <hyperlink r:id="rId47" ref="C17"/>
    <hyperlink r:id="rId48" ref="E17"/>
    <hyperlink r:id="rId49" ref="B18"/>
    <hyperlink r:id="rId50" ref="C18"/>
    <hyperlink r:id="rId51" ref="E18"/>
    <hyperlink r:id="rId52" ref="B19"/>
    <hyperlink r:id="rId53" ref="C19"/>
    <hyperlink r:id="rId54" ref="E19"/>
    <hyperlink r:id="rId55" ref="B20"/>
    <hyperlink r:id="rId56" ref="C20"/>
    <hyperlink r:id="rId57" ref="E20"/>
    <hyperlink r:id="rId58" ref="B21"/>
    <hyperlink r:id="rId59" ref="C21"/>
    <hyperlink r:id="rId60" ref="E21"/>
    <hyperlink r:id="rId61" ref="B22"/>
    <hyperlink r:id="rId62" ref="C22"/>
    <hyperlink r:id="rId63" ref="E22"/>
    <hyperlink r:id="rId64" ref="B23"/>
    <hyperlink r:id="rId65" ref="C23"/>
    <hyperlink r:id="rId66" ref="E23"/>
    <hyperlink r:id="rId67" ref="B24"/>
    <hyperlink r:id="rId68" ref="C24"/>
    <hyperlink r:id="rId69" ref="E24"/>
    <hyperlink r:id="rId70" ref="B25"/>
    <hyperlink r:id="rId71" ref="C25"/>
    <hyperlink r:id="rId72" ref="E25"/>
    <hyperlink r:id="rId73" ref="B26"/>
    <hyperlink r:id="rId74" ref="C26"/>
    <hyperlink r:id="rId75" ref="E26"/>
    <hyperlink r:id="rId76" ref="B28"/>
    <hyperlink r:id="rId77" ref="C28"/>
    <hyperlink r:id="rId78" ref="E28"/>
    <hyperlink r:id="rId79" ref="B29"/>
    <hyperlink r:id="rId80" ref="C29"/>
    <hyperlink r:id="rId81" ref="E29"/>
    <hyperlink r:id="rId82" ref="B30"/>
    <hyperlink r:id="rId83" ref="C30"/>
    <hyperlink r:id="rId84" ref="E30"/>
    <hyperlink r:id="rId85" ref="B31"/>
    <hyperlink r:id="rId86" ref="C31"/>
    <hyperlink r:id="rId87" ref="E31"/>
    <hyperlink r:id="rId88" ref="B32"/>
    <hyperlink r:id="rId89" ref="C32"/>
    <hyperlink r:id="rId90" ref="E32"/>
    <hyperlink r:id="rId91" ref="B33"/>
    <hyperlink r:id="rId92" ref="C33"/>
    <hyperlink r:id="rId93" ref="E33"/>
    <hyperlink r:id="rId94" ref="B34"/>
    <hyperlink r:id="rId95" ref="C34"/>
    <hyperlink r:id="rId96" ref="E34"/>
    <hyperlink r:id="rId97" ref="B35"/>
    <hyperlink r:id="rId98" ref="C35"/>
    <hyperlink r:id="rId99" ref="E35"/>
    <hyperlink r:id="rId100" ref="B36"/>
    <hyperlink r:id="rId101" ref="C36"/>
    <hyperlink r:id="rId102" ref="E36"/>
    <hyperlink r:id="rId103" ref="B37"/>
    <hyperlink r:id="rId104" ref="C37"/>
    <hyperlink r:id="rId105" ref="E37"/>
    <hyperlink r:id="rId106" ref="B38"/>
    <hyperlink r:id="rId107" ref="C38"/>
    <hyperlink r:id="rId108" ref="E38"/>
    <hyperlink r:id="rId109" ref="B39"/>
    <hyperlink r:id="rId110" ref="C39"/>
    <hyperlink r:id="rId111" ref="E39"/>
    <hyperlink r:id="rId112" ref="B40"/>
    <hyperlink r:id="rId113" ref="C40"/>
    <hyperlink r:id="rId114" ref="E40"/>
    <hyperlink r:id="rId115" ref="B41"/>
    <hyperlink r:id="rId116" ref="C41"/>
    <hyperlink r:id="rId117" ref="E41"/>
    <hyperlink r:id="rId118" ref="B42"/>
    <hyperlink r:id="rId119" ref="C42"/>
    <hyperlink r:id="rId120" ref="E42"/>
    <hyperlink r:id="rId121" ref="B43"/>
    <hyperlink r:id="rId122" ref="C43"/>
    <hyperlink r:id="rId123" ref="E43"/>
    <hyperlink r:id="rId124" ref="B44"/>
    <hyperlink r:id="rId125" ref="C44"/>
    <hyperlink r:id="rId126" ref="E44"/>
    <hyperlink r:id="rId127" ref="B45"/>
    <hyperlink r:id="rId128" ref="C45"/>
    <hyperlink r:id="rId129" ref="E45"/>
    <hyperlink r:id="rId130" ref="B46"/>
    <hyperlink r:id="rId131" ref="C46"/>
    <hyperlink r:id="rId132" ref="E46"/>
    <hyperlink r:id="rId133" ref="B47"/>
    <hyperlink r:id="rId134" ref="C47"/>
    <hyperlink r:id="rId135" ref="E47"/>
    <hyperlink r:id="rId136" ref="B48"/>
    <hyperlink r:id="rId137" ref="C48"/>
    <hyperlink r:id="rId138" ref="E48"/>
    <hyperlink r:id="rId139" ref="B49"/>
    <hyperlink r:id="rId140" ref="C49"/>
    <hyperlink r:id="rId141" ref="E49"/>
    <hyperlink r:id="rId142" ref="B50"/>
    <hyperlink r:id="rId143" ref="C50"/>
    <hyperlink r:id="rId144" ref="E50"/>
    <hyperlink r:id="rId145" ref="B51"/>
    <hyperlink r:id="rId146" ref="C51"/>
    <hyperlink r:id="rId147" ref="E51"/>
    <hyperlink r:id="rId148" ref="B52"/>
    <hyperlink r:id="rId149" ref="C52"/>
    <hyperlink r:id="rId150" ref="E52"/>
    <hyperlink r:id="rId151" ref="B54"/>
    <hyperlink r:id="rId152" ref="C54"/>
    <hyperlink r:id="rId153" ref="E54"/>
    <hyperlink r:id="rId154" ref="B55"/>
    <hyperlink r:id="rId155" ref="C55"/>
    <hyperlink r:id="rId156" ref="E55"/>
    <hyperlink r:id="rId157" ref="B56"/>
    <hyperlink r:id="rId158" ref="C56"/>
    <hyperlink r:id="rId159" ref="E56"/>
    <hyperlink r:id="rId160" ref="B57"/>
    <hyperlink r:id="rId161" ref="C57"/>
    <hyperlink r:id="rId162" ref="E57"/>
    <hyperlink r:id="rId163" ref="B58"/>
    <hyperlink r:id="rId164" ref="C58"/>
    <hyperlink r:id="rId165" ref="E58"/>
    <hyperlink r:id="rId166" ref="B59"/>
    <hyperlink r:id="rId167" ref="C59"/>
    <hyperlink r:id="rId168" ref="E59"/>
    <hyperlink r:id="rId169" ref="B60"/>
    <hyperlink r:id="rId170" ref="C60"/>
    <hyperlink r:id="rId171" ref="E60"/>
    <hyperlink r:id="rId172" ref="B61"/>
    <hyperlink r:id="rId173" ref="C61"/>
    <hyperlink r:id="rId174" ref="E61"/>
    <hyperlink r:id="rId175" ref="B62"/>
    <hyperlink r:id="rId176" ref="C62"/>
    <hyperlink r:id="rId177" ref="E62"/>
    <hyperlink r:id="rId178" ref="B63"/>
    <hyperlink r:id="rId179" ref="C63"/>
    <hyperlink r:id="rId180" ref="E63"/>
    <hyperlink r:id="rId181" ref="B64"/>
    <hyperlink r:id="rId182" ref="C64"/>
    <hyperlink r:id="rId183" ref="E64"/>
    <hyperlink r:id="rId184" ref="B65"/>
    <hyperlink r:id="rId185" ref="C65"/>
    <hyperlink r:id="rId186" ref="E65"/>
    <hyperlink r:id="rId187" ref="B66"/>
    <hyperlink r:id="rId188" ref="C66"/>
    <hyperlink r:id="rId189" ref="E66"/>
    <hyperlink r:id="rId190" ref="B67"/>
    <hyperlink r:id="rId191" ref="C67"/>
    <hyperlink r:id="rId192" ref="E67"/>
    <hyperlink r:id="rId193" ref="B68"/>
    <hyperlink r:id="rId194" ref="C68"/>
    <hyperlink r:id="rId195" ref="E68"/>
    <hyperlink r:id="rId196" ref="B69"/>
    <hyperlink r:id="rId197" ref="C69"/>
    <hyperlink r:id="rId198" ref="E69"/>
    <hyperlink r:id="rId199" ref="B70"/>
    <hyperlink r:id="rId200" ref="C70"/>
    <hyperlink r:id="rId201" ref="E70"/>
    <hyperlink r:id="rId202" ref="B71"/>
    <hyperlink r:id="rId203" ref="C71"/>
    <hyperlink r:id="rId204" ref="E71"/>
    <hyperlink r:id="rId205" ref="B72"/>
    <hyperlink r:id="rId206" ref="C72"/>
    <hyperlink r:id="rId207" ref="E72"/>
    <hyperlink r:id="rId208" ref="B73"/>
    <hyperlink r:id="rId209" ref="C73"/>
    <hyperlink r:id="rId210" ref="E73"/>
    <hyperlink r:id="rId211" ref="B74"/>
    <hyperlink r:id="rId212" ref="C74"/>
    <hyperlink r:id="rId213" ref="E74"/>
    <hyperlink r:id="rId214" ref="B75"/>
    <hyperlink r:id="rId215" ref="C75"/>
    <hyperlink r:id="rId216" ref="E75"/>
    <hyperlink r:id="rId217" ref="B76"/>
    <hyperlink r:id="rId218" ref="C76"/>
    <hyperlink r:id="rId219" ref="E76"/>
    <hyperlink r:id="rId220" ref="B77"/>
    <hyperlink r:id="rId221" ref="C77"/>
    <hyperlink r:id="rId222" ref="E77"/>
    <hyperlink r:id="rId223" ref="B78"/>
    <hyperlink r:id="rId224" ref="C78"/>
    <hyperlink r:id="rId225" ref="E78"/>
    <hyperlink r:id="rId226" ref="B80"/>
    <hyperlink r:id="rId227" ref="C80"/>
    <hyperlink r:id="rId228" ref="E80"/>
    <hyperlink r:id="rId229" ref="B81"/>
    <hyperlink r:id="rId230" ref="C81"/>
    <hyperlink r:id="rId231" ref="E81"/>
    <hyperlink r:id="rId232" ref="B82"/>
    <hyperlink r:id="rId233" ref="C82"/>
    <hyperlink r:id="rId234" ref="E82"/>
    <hyperlink r:id="rId235" ref="B83"/>
    <hyperlink r:id="rId236" ref="C83"/>
    <hyperlink r:id="rId237" ref="E83"/>
    <hyperlink r:id="rId238" ref="B84"/>
    <hyperlink r:id="rId239" ref="C84"/>
    <hyperlink r:id="rId240" ref="E84"/>
    <hyperlink r:id="rId241" ref="B85"/>
    <hyperlink r:id="rId242" ref="C85"/>
    <hyperlink r:id="rId243" ref="E85"/>
    <hyperlink r:id="rId244" ref="B86"/>
    <hyperlink r:id="rId245" ref="C86"/>
    <hyperlink r:id="rId246" ref="E86"/>
    <hyperlink r:id="rId247" ref="B87"/>
    <hyperlink r:id="rId248" ref="C87"/>
    <hyperlink r:id="rId249" ref="E87"/>
    <hyperlink r:id="rId250" ref="B88"/>
    <hyperlink r:id="rId251" ref="C88"/>
    <hyperlink r:id="rId252" ref="E88"/>
    <hyperlink r:id="rId253" ref="B89"/>
    <hyperlink r:id="rId254" ref="C89"/>
    <hyperlink r:id="rId255" ref="E89"/>
    <hyperlink r:id="rId256" ref="B90"/>
    <hyperlink r:id="rId257" ref="C90"/>
    <hyperlink r:id="rId258" ref="E90"/>
    <hyperlink r:id="rId259" ref="B91"/>
    <hyperlink r:id="rId260" ref="C91"/>
    <hyperlink r:id="rId261" ref="E91"/>
    <hyperlink r:id="rId262" ref="B92"/>
    <hyperlink r:id="rId263" ref="C92"/>
    <hyperlink r:id="rId264" ref="E92"/>
    <hyperlink r:id="rId265" ref="B93"/>
    <hyperlink r:id="rId266" ref="C93"/>
    <hyperlink r:id="rId267" ref="E93"/>
    <hyperlink r:id="rId268" ref="B94"/>
    <hyperlink r:id="rId269" ref="C94"/>
    <hyperlink r:id="rId270" ref="E94"/>
    <hyperlink r:id="rId271" ref="B95"/>
    <hyperlink r:id="rId272" ref="C95"/>
    <hyperlink r:id="rId273" ref="E95"/>
    <hyperlink r:id="rId274" ref="B96"/>
    <hyperlink r:id="rId275" ref="C96"/>
    <hyperlink r:id="rId276" ref="E96"/>
    <hyperlink r:id="rId277" ref="B97"/>
    <hyperlink r:id="rId278" ref="C97"/>
    <hyperlink r:id="rId279" ref="E97"/>
    <hyperlink r:id="rId280" ref="B98"/>
    <hyperlink r:id="rId281" ref="C98"/>
    <hyperlink r:id="rId282" ref="E98"/>
    <hyperlink r:id="rId283" ref="B99"/>
    <hyperlink r:id="rId284" ref="C99"/>
    <hyperlink r:id="rId285" ref="E99"/>
    <hyperlink r:id="rId286" ref="B100"/>
    <hyperlink r:id="rId287" ref="C100"/>
    <hyperlink r:id="rId288" ref="E100"/>
    <hyperlink r:id="rId289" ref="B101"/>
    <hyperlink r:id="rId290" ref="C101"/>
    <hyperlink r:id="rId291" ref="E101"/>
    <hyperlink r:id="rId292" ref="B102"/>
    <hyperlink r:id="rId293" ref="C102"/>
    <hyperlink r:id="rId294" ref="E102"/>
    <hyperlink r:id="rId295" ref="B103"/>
    <hyperlink r:id="rId296" ref="C103"/>
    <hyperlink r:id="rId297" ref="E103"/>
    <hyperlink r:id="rId298" ref="B104"/>
    <hyperlink r:id="rId299" ref="C104"/>
    <hyperlink r:id="rId300" ref="E104"/>
    <hyperlink r:id="rId301" ref="B106"/>
    <hyperlink r:id="rId302" ref="C106"/>
    <hyperlink r:id="rId303" ref="E106"/>
    <hyperlink r:id="rId304" ref="B107"/>
    <hyperlink r:id="rId305" ref="C107"/>
    <hyperlink r:id="rId306" ref="E107"/>
    <hyperlink r:id="rId307" ref="B108"/>
    <hyperlink r:id="rId308" ref="C108"/>
    <hyperlink r:id="rId309" ref="E108"/>
    <hyperlink r:id="rId310" ref="B109"/>
    <hyperlink r:id="rId311" ref="C109"/>
    <hyperlink r:id="rId312" ref="E109"/>
    <hyperlink r:id="rId313" ref="B110"/>
    <hyperlink r:id="rId314" ref="C110"/>
    <hyperlink r:id="rId315" ref="E110"/>
    <hyperlink r:id="rId316" ref="B111"/>
    <hyperlink r:id="rId317" ref="C111"/>
    <hyperlink r:id="rId318" ref="E111"/>
    <hyperlink r:id="rId319" ref="B112"/>
    <hyperlink r:id="rId320" ref="C112"/>
    <hyperlink r:id="rId321" ref="E112"/>
    <hyperlink r:id="rId322" ref="B113"/>
    <hyperlink r:id="rId323" ref="C113"/>
    <hyperlink r:id="rId324" ref="E113"/>
    <hyperlink r:id="rId325" ref="B114"/>
    <hyperlink r:id="rId326" ref="C114"/>
    <hyperlink r:id="rId327" ref="E114"/>
    <hyperlink r:id="rId328" ref="B115"/>
    <hyperlink r:id="rId329" ref="C115"/>
    <hyperlink r:id="rId330" ref="E115"/>
    <hyperlink r:id="rId331" ref="B116"/>
    <hyperlink r:id="rId332" ref="C116"/>
    <hyperlink r:id="rId333" ref="E116"/>
    <hyperlink r:id="rId334" ref="B117"/>
    <hyperlink r:id="rId335" ref="C117"/>
    <hyperlink r:id="rId336" ref="E117"/>
    <hyperlink r:id="rId337" ref="B118"/>
    <hyperlink r:id="rId338" ref="C118"/>
    <hyperlink r:id="rId339" ref="E118"/>
    <hyperlink r:id="rId340" ref="B119"/>
    <hyperlink r:id="rId341" ref="C119"/>
    <hyperlink r:id="rId342" ref="E119"/>
    <hyperlink r:id="rId343" ref="B120"/>
    <hyperlink r:id="rId344" ref="C120"/>
    <hyperlink r:id="rId345" ref="E120"/>
    <hyperlink r:id="rId346" ref="B121"/>
    <hyperlink r:id="rId347" ref="C121"/>
    <hyperlink r:id="rId348" ref="E121"/>
    <hyperlink r:id="rId349" ref="B122"/>
    <hyperlink r:id="rId350" ref="C122"/>
    <hyperlink r:id="rId351" ref="E122"/>
    <hyperlink r:id="rId352" ref="B123"/>
    <hyperlink r:id="rId353" ref="C123"/>
    <hyperlink r:id="rId354" ref="E123"/>
    <hyperlink r:id="rId355" ref="B124"/>
    <hyperlink r:id="rId356" ref="C124"/>
    <hyperlink r:id="rId357" ref="E124"/>
    <hyperlink r:id="rId358" ref="B125"/>
    <hyperlink r:id="rId359" ref="C125"/>
    <hyperlink r:id="rId360" ref="E125"/>
    <hyperlink r:id="rId361" ref="B126"/>
    <hyperlink r:id="rId362" ref="C126"/>
    <hyperlink r:id="rId363" ref="E126"/>
    <hyperlink r:id="rId364" ref="B127"/>
    <hyperlink r:id="rId365" ref="C127"/>
    <hyperlink r:id="rId366" ref="E127"/>
    <hyperlink r:id="rId367" ref="B128"/>
    <hyperlink r:id="rId368" ref="C128"/>
    <hyperlink r:id="rId369" ref="E128"/>
    <hyperlink r:id="rId370" ref="B129"/>
    <hyperlink r:id="rId371" ref="C129"/>
    <hyperlink r:id="rId372" ref="E129"/>
    <hyperlink r:id="rId373" ref="B130"/>
    <hyperlink r:id="rId374" ref="C130"/>
    <hyperlink r:id="rId375" ref="E130"/>
    <hyperlink r:id="rId376" ref="B132"/>
    <hyperlink r:id="rId377" ref="C132"/>
    <hyperlink r:id="rId378" ref="E132"/>
    <hyperlink r:id="rId379" ref="B133"/>
    <hyperlink r:id="rId380" ref="C133"/>
    <hyperlink r:id="rId381" ref="E133"/>
    <hyperlink r:id="rId382" ref="B134"/>
    <hyperlink r:id="rId383" ref="C134"/>
    <hyperlink r:id="rId384" ref="E134"/>
    <hyperlink r:id="rId385" ref="B135"/>
    <hyperlink r:id="rId386" ref="C135"/>
    <hyperlink r:id="rId387" ref="E135"/>
    <hyperlink r:id="rId388" ref="B136"/>
    <hyperlink r:id="rId389" ref="C136"/>
    <hyperlink r:id="rId390" ref="E136"/>
    <hyperlink r:id="rId391" ref="B137"/>
    <hyperlink r:id="rId392" ref="C137"/>
    <hyperlink r:id="rId393" ref="E137"/>
    <hyperlink r:id="rId394" ref="B138"/>
    <hyperlink r:id="rId395" ref="C138"/>
    <hyperlink r:id="rId396" ref="E138"/>
    <hyperlink r:id="rId397" ref="B139"/>
    <hyperlink r:id="rId398" ref="C139"/>
    <hyperlink r:id="rId399" ref="E139"/>
    <hyperlink r:id="rId400" ref="B140"/>
    <hyperlink r:id="rId401" ref="C140"/>
    <hyperlink r:id="rId402" ref="E140"/>
    <hyperlink r:id="rId403" ref="B141"/>
    <hyperlink r:id="rId404" ref="C141"/>
    <hyperlink r:id="rId405" ref="E141"/>
    <hyperlink r:id="rId406" ref="B142"/>
    <hyperlink r:id="rId407" ref="C142"/>
    <hyperlink r:id="rId408" ref="E142"/>
    <hyperlink r:id="rId409" ref="B143"/>
    <hyperlink r:id="rId410" ref="C143"/>
    <hyperlink r:id="rId411" ref="E143"/>
    <hyperlink r:id="rId412" ref="B144"/>
    <hyperlink r:id="rId413" ref="C144"/>
    <hyperlink r:id="rId414" ref="E144"/>
    <hyperlink r:id="rId415" ref="B145"/>
    <hyperlink r:id="rId416" ref="C145"/>
    <hyperlink r:id="rId417" ref="E145"/>
    <hyperlink r:id="rId418" ref="B146"/>
    <hyperlink r:id="rId419" ref="C146"/>
    <hyperlink r:id="rId420" ref="E146"/>
    <hyperlink r:id="rId421" ref="B147"/>
    <hyperlink r:id="rId422" ref="C147"/>
    <hyperlink r:id="rId423" ref="E147"/>
    <hyperlink r:id="rId424" ref="B148"/>
    <hyperlink r:id="rId425" ref="C148"/>
    <hyperlink r:id="rId426" ref="E148"/>
    <hyperlink r:id="rId427" ref="B149"/>
    <hyperlink r:id="rId428" ref="C149"/>
    <hyperlink r:id="rId429" ref="E149"/>
    <hyperlink r:id="rId430" ref="B150"/>
    <hyperlink r:id="rId431" ref="C150"/>
    <hyperlink r:id="rId432" ref="E150"/>
    <hyperlink r:id="rId433" ref="B151"/>
    <hyperlink r:id="rId434" ref="C151"/>
    <hyperlink r:id="rId435" ref="E151"/>
    <hyperlink r:id="rId436" ref="B152"/>
    <hyperlink r:id="rId437" ref="C152"/>
    <hyperlink r:id="rId438" ref="E152"/>
    <hyperlink r:id="rId439" ref="B153"/>
    <hyperlink r:id="rId440" ref="C153"/>
    <hyperlink r:id="rId441" ref="E153"/>
    <hyperlink r:id="rId442" ref="B154"/>
    <hyperlink r:id="rId443" ref="C154"/>
    <hyperlink r:id="rId444" ref="E154"/>
    <hyperlink r:id="rId445" ref="B155"/>
    <hyperlink r:id="rId446" ref="C155"/>
    <hyperlink r:id="rId447" ref="E155"/>
    <hyperlink r:id="rId448" ref="B156"/>
    <hyperlink r:id="rId449" ref="C156"/>
    <hyperlink r:id="rId450" ref="E156"/>
    <hyperlink r:id="rId451" ref="B158"/>
    <hyperlink r:id="rId452" ref="C158"/>
    <hyperlink r:id="rId453" ref="E158"/>
    <hyperlink r:id="rId454" ref="B159"/>
    <hyperlink r:id="rId455" ref="C159"/>
    <hyperlink r:id="rId456" ref="E159"/>
    <hyperlink r:id="rId457" ref="B160"/>
    <hyperlink r:id="rId458" ref="C160"/>
    <hyperlink r:id="rId459" ref="E160"/>
    <hyperlink r:id="rId460" ref="B161"/>
    <hyperlink r:id="rId461" ref="C161"/>
    <hyperlink r:id="rId462" ref="E161"/>
    <hyperlink r:id="rId463" ref="B162"/>
    <hyperlink r:id="rId464" ref="C162"/>
    <hyperlink r:id="rId465" ref="E162"/>
    <hyperlink r:id="rId466" ref="B163"/>
    <hyperlink r:id="rId467" ref="C163"/>
    <hyperlink r:id="rId468" ref="E163"/>
    <hyperlink r:id="rId469" ref="B164"/>
    <hyperlink r:id="rId470" ref="C164"/>
    <hyperlink r:id="rId471" ref="E164"/>
    <hyperlink r:id="rId472" ref="B165"/>
    <hyperlink r:id="rId473" ref="C165"/>
    <hyperlink r:id="rId474" ref="E165"/>
    <hyperlink r:id="rId475" ref="B166"/>
    <hyperlink r:id="rId476" ref="C166"/>
    <hyperlink r:id="rId477" ref="E166"/>
    <hyperlink r:id="rId478" ref="B167"/>
    <hyperlink r:id="rId479" ref="C167"/>
    <hyperlink r:id="rId480" ref="E167"/>
    <hyperlink r:id="rId481" ref="B168"/>
    <hyperlink r:id="rId482" ref="C168"/>
    <hyperlink r:id="rId483" ref="E168"/>
    <hyperlink r:id="rId484" ref="B169"/>
    <hyperlink r:id="rId485" ref="C169"/>
    <hyperlink r:id="rId486" ref="E169"/>
    <hyperlink r:id="rId487" ref="B170"/>
    <hyperlink r:id="rId488" ref="C170"/>
    <hyperlink r:id="rId489" ref="E170"/>
    <hyperlink r:id="rId490" ref="B171"/>
    <hyperlink r:id="rId491" ref="C171"/>
    <hyperlink r:id="rId492" ref="E171"/>
    <hyperlink r:id="rId493" ref="B172"/>
    <hyperlink r:id="rId494" ref="C172"/>
    <hyperlink r:id="rId495" ref="E172"/>
    <hyperlink r:id="rId496" ref="B173"/>
    <hyperlink r:id="rId497" ref="C173"/>
    <hyperlink r:id="rId498" ref="E173"/>
    <hyperlink r:id="rId499" ref="B174"/>
    <hyperlink r:id="rId500" ref="C174"/>
    <hyperlink r:id="rId501" ref="E174"/>
    <hyperlink r:id="rId502" ref="B175"/>
    <hyperlink r:id="rId503" ref="C175"/>
    <hyperlink r:id="rId504" ref="E175"/>
    <hyperlink r:id="rId505" ref="B176"/>
    <hyperlink r:id="rId506" ref="C176"/>
    <hyperlink r:id="rId507" ref="E176"/>
    <hyperlink r:id="rId508" ref="B177"/>
    <hyperlink r:id="rId509" ref="C177"/>
    <hyperlink r:id="rId510" ref="E177"/>
    <hyperlink r:id="rId511" ref="B178"/>
    <hyperlink r:id="rId512" ref="C178"/>
    <hyperlink r:id="rId513" ref="E178"/>
    <hyperlink r:id="rId514" ref="B179"/>
    <hyperlink r:id="rId515" ref="C179"/>
    <hyperlink r:id="rId516" ref="E179"/>
    <hyperlink r:id="rId517" ref="B180"/>
    <hyperlink r:id="rId518" ref="C180"/>
    <hyperlink r:id="rId519" ref="E180"/>
    <hyperlink r:id="rId520" ref="B181"/>
    <hyperlink r:id="rId521" ref="C181"/>
    <hyperlink r:id="rId522" ref="E181"/>
    <hyperlink r:id="rId523" ref="B182"/>
    <hyperlink r:id="rId524" ref="C182"/>
    <hyperlink r:id="rId525" ref="E182"/>
    <hyperlink r:id="rId526" ref="B184"/>
    <hyperlink r:id="rId527" ref="C184"/>
    <hyperlink r:id="rId528" ref="E184"/>
    <hyperlink r:id="rId529" ref="B185"/>
    <hyperlink r:id="rId530" ref="C185"/>
    <hyperlink r:id="rId531" ref="E185"/>
    <hyperlink r:id="rId532" ref="B186"/>
    <hyperlink r:id="rId533" ref="C186"/>
    <hyperlink r:id="rId534" ref="E186"/>
    <hyperlink r:id="rId535" ref="B187"/>
    <hyperlink r:id="rId536" ref="C187"/>
    <hyperlink r:id="rId537" ref="E187"/>
    <hyperlink r:id="rId538" ref="B188"/>
    <hyperlink r:id="rId539" ref="C188"/>
    <hyperlink r:id="rId540" ref="E188"/>
    <hyperlink r:id="rId541" ref="B189"/>
    <hyperlink r:id="rId542" ref="C189"/>
    <hyperlink r:id="rId543" ref="E189"/>
    <hyperlink r:id="rId544" ref="B190"/>
    <hyperlink r:id="rId545" ref="C190"/>
    <hyperlink r:id="rId546" ref="E190"/>
    <hyperlink r:id="rId547" ref="B191"/>
    <hyperlink r:id="rId548" ref="C191"/>
    <hyperlink r:id="rId549" ref="E191"/>
    <hyperlink r:id="rId550" ref="B192"/>
    <hyperlink r:id="rId551" ref="C192"/>
    <hyperlink r:id="rId552" ref="E192"/>
    <hyperlink r:id="rId553" ref="B193"/>
    <hyperlink r:id="rId554" ref="C193"/>
    <hyperlink r:id="rId555" ref="E193"/>
    <hyperlink r:id="rId556" ref="B194"/>
    <hyperlink r:id="rId557" ref="C194"/>
    <hyperlink r:id="rId558" ref="E194"/>
    <hyperlink r:id="rId559" ref="B195"/>
    <hyperlink r:id="rId560" ref="C195"/>
    <hyperlink r:id="rId561" ref="E195"/>
    <hyperlink r:id="rId562" ref="B196"/>
    <hyperlink r:id="rId563" ref="C196"/>
    <hyperlink r:id="rId564" ref="E196"/>
    <hyperlink r:id="rId565" ref="B197"/>
    <hyperlink r:id="rId566" ref="C197"/>
    <hyperlink r:id="rId567" ref="E197"/>
    <hyperlink r:id="rId568" ref="B198"/>
    <hyperlink r:id="rId569" ref="C198"/>
    <hyperlink r:id="rId570" ref="E198"/>
    <hyperlink r:id="rId571" ref="B199"/>
    <hyperlink r:id="rId572" ref="C199"/>
    <hyperlink r:id="rId573" ref="E199"/>
    <hyperlink r:id="rId574" ref="B200"/>
    <hyperlink r:id="rId575" ref="C200"/>
    <hyperlink r:id="rId576" ref="E200"/>
    <hyperlink r:id="rId577" ref="B201"/>
    <hyperlink r:id="rId578" ref="C201"/>
    <hyperlink r:id="rId579" ref="E201"/>
    <hyperlink r:id="rId580" ref="B202"/>
    <hyperlink r:id="rId581" ref="C202"/>
    <hyperlink r:id="rId582" ref="E202"/>
    <hyperlink r:id="rId583" ref="B203"/>
    <hyperlink r:id="rId584" ref="C203"/>
    <hyperlink r:id="rId585" ref="E203"/>
    <hyperlink r:id="rId586" ref="B204"/>
    <hyperlink r:id="rId587" ref="C204"/>
    <hyperlink r:id="rId588" ref="E204"/>
    <hyperlink r:id="rId589" ref="B205"/>
    <hyperlink r:id="rId590" ref="C205"/>
    <hyperlink r:id="rId591" ref="E205"/>
    <hyperlink r:id="rId592" ref="B206"/>
    <hyperlink r:id="rId593" ref="C206"/>
    <hyperlink r:id="rId594" ref="E206"/>
    <hyperlink r:id="rId595" ref="B207"/>
    <hyperlink r:id="rId596" ref="C207"/>
    <hyperlink r:id="rId597" ref="E207"/>
    <hyperlink r:id="rId598" ref="B208"/>
    <hyperlink r:id="rId599" ref="C208"/>
    <hyperlink r:id="rId600" ref="E208"/>
    <hyperlink r:id="rId601" ref="B210"/>
    <hyperlink r:id="rId602" ref="C210"/>
    <hyperlink r:id="rId603" ref="E210"/>
    <hyperlink r:id="rId604" ref="B211"/>
    <hyperlink r:id="rId605" ref="C211"/>
    <hyperlink r:id="rId606" ref="E211"/>
    <hyperlink r:id="rId607" ref="B212"/>
    <hyperlink r:id="rId608" ref="C212"/>
    <hyperlink r:id="rId609" ref="E212"/>
    <hyperlink r:id="rId610" ref="B213"/>
    <hyperlink r:id="rId611" ref="C213"/>
    <hyperlink r:id="rId612" ref="E213"/>
    <hyperlink r:id="rId613" ref="B214"/>
    <hyperlink r:id="rId614" ref="C214"/>
    <hyperlink r:id="rId615" ref="E214"/>
    <hyperlink r:id="rId616" ref="B215"/>
    <hyperlink r:id="rId617" ref="C215"/>
    <hyperlink r:id="rId618" ref="E215"/>
    <hyperlink r:id="rId619" ref="B216"/>
    <hyperlink r:id="rId620" ref="C216"/>
    <hyperlink r:id="rId621" ref="E216"/>
    <hyperlink r:id="rId622" ref="B217"/>
    <hyperlink r:id="rId623" ref="C217"/>
    <hyperlink r:id="rId624" ref="E217"/>
    <hyperlink r:id="rId625" ref="B218"/>
    <hyperlink r:id="rId626" ref="C218"/>
    <hyperlink r:id="rId627" ref="E218"/>
    <hyperlink r:id="rId628" ref="B219"/>
    <hyperlink r:id="rId629" ref="C219"/>
    <hyperlink r:id="rId630" ref="E219"/>
    <hyperlink r:id="rId631" ref="B220"/>
    <hyperlink r:id="rId632" ref="C220"/>
    <hyperlink r:id="rId633" ref="E220"/>
    <hyperlink r:id="rId634" ref="B221"/>
    <hyperlink r:id="rId635" ref="C221"/>
    <hyperlink r:id="rId636" ref="E221"/>
    <hyperlink r:id="rId637" ref="B222"/>
    <hyperlink r:id="rId638" ref="C222"/>
    <hyperlink r:id="rId639" ref="E222"/>
    <hyperlink r:id="rId640" ref="B223"/>
    <hyperlink r:id="rId641" ref="C223"/>
    <hyperlink r:id="rId642" ref="E223"/>
    <hyperlink r:id="rId643" ref="B224"/>
    <hyperlink r:id="rId644" ref="C224"/>
    <hyperlink r:id="rId645" ref="E224"/>
    <hyperlink r:id="rId646" ref="B225"/>
    <hyperlink r:id="rId647" ref="C225"/>
    <hyperlink r:id="rId648" ref="E225"/>
    <hyperlink r:id="rId649" ref="B226"/>
    <hyperlink r:id="rId650" ref="C226"/>
    <hyperlink r:id="rId651" ref="E226"/>
    <hyperlink r:id="rId652" ref="B227"/>
    <hyperlink r:id="rId653" ref="C227"/>
    <hyperlink r:id="rId654" ref="E227"/>
    <hyperlink r:id="rId655" ref="B228"/>
    <hyperlink r:id="rId656" ref="C228"/>
    <hyperlink r:id="rId657" ref="E228"/>
    <hyperlink r:id="rId658" ref="B229"/>
    <hyperlink r:id="rId659" ref="C229"/>
    <hyperlink r:id="rId660" ref="E229"/>
    <hyperlink r:id="rId661" ref="B230"/>
    <hyperlink r:id="rId662" ref="C230"/>
    <hyperlink r:id="rId663" ref="E230"/>
    <hyperlink r:id="rId664" ref="B231"/>
    <hyperlink r:id="rId665" ref="C231"/>
    <hyperlink r:id="rId666" ref="E231"/>
    <hyperlink r:id="rId667" ref="B232"/>
    <hyperlink r:id="rId668" ref="C232"/>
    <hyperlink r:id="rId669" ref="E232"/>
    <hyperlink r:id="rId670" ref="B233"/>
    <hyperlink r:id="rId671" ref="C233"/>
    <hyperlink r:id="rId672" ref="E233"/>
    <hyperlink r:id="rId673" ref="B234"/>
    <hyperlink r:id="rId674" ref="C234"/>
    <hyperlink r:id="rId675" ref="E234"/>
    <hyperlink r:id="rId676" ref="B236"/>
    <hyperlink r:id="rId677" ref="C236"/>
    <hyperlink r:id="rId678" ref="E236"/>
    <hyperlink r:id="rId679" ref="B237"/>
    <hyperlink r:id="rId680" ref="C237"/>
    <hyperlink r:id="rId681" ref="E237"/>
    <hyperlink r:id="rId682" ref="B238"/>
    <hyperlink r:id="rId683" ref="C238"/>
    <hyperlink r:id="rId684" ref="E238"/>
    <hyperlink r:id="rId685" ref="B239"/>
    <hyperlink r:id="rId686" ref="C239"/>
    <hyperlink r:id="rId687" ref="E239"/>
    <hyperlink r:id="rId688" ref="B240"/>
    <hyperlink r:id="rId689" ref="C240"/>
    <hyperlink r:id="rId690" ref="E240"/>
    <hyperlink r:id="rId691" ref="B241"/>
    <hyperlink r:id="rId692" ref="C241"/>
    <hyperlink r:id="rId693" ref="E241"/>
    <hyperlink r:id="rId694" ref="B242"/>
    <hyperlink r:id="rId695" ref="C242"/>
    <hyperlink r:id="rId696" ref="E242"/>
    <hyperlink r:id="rId697" ref="B243"/>
    <hyperlink r:id="rId698" ref="C243"/>
    <hyperlink r:id="rId699" ref="E243"/>
    <hyperlink r:id="rId700" ref="B244"/>
    <hyperlink r:id="rId701" ref="C244"/>
    <hyperlink r:id="rId702" ref="E244"/>
    <hyperlink r:id="rId703" ref="B245"/>
    <hyperlink r:id="rId704" ref="C245"/>
    <hyperlink r:id="rId705" ref="E245"/>
    <hyperlink r:id="rId706" ref="B246"/>
    <hyperlink r:id="rId707" ref="C246"/>
    <hyperlink r:id="rId708" ref="E246"/>
    <hyperlink r:id="rId709" ref="B247"/>
    <hyperlink r:id="rId710" ref="C247"/>
    <hyperlink r:id="rId711" ref="E247"/>
    <hyperlink r:id="rId712" ref="B248"/>
    <hyperlink r:id="rId713" ref="C248"/>
    <hyperlink r:id="rId714" ref="E248"/>
    <hyperlink r:id="rId715" ref="B249"/>
    <hyperlink r:id="rId716" ref="C249"/>
    <hyperlink r:id="rId717" ref="E249"/>
    <hyperlink r:id="rId718" ref="B250"/>
    <hyperlink r:id="rId719" ref="C250"/>
    <hyperlink r:id="rId720" ref="E250"/>
    <hyperlink r:id="rId721" ref="B251"/>
    <hyperlink r:id="rId722" ref="C251"/>
    <hyperlink r:id="rId723" ref="E251"/>
    <hyperlink r:id="rId724" ref="B252"/>
    <hyperlink r:id="rId725" ref="C252"/>
    <hyperlink r:id="rId726" ref="E252"/>
    <hyperlink r:id="rId727" ref="B253"/>
    <hyperlink r:id="rId728" ref="C253"/>
    <hyperlink r:id="rId729" ref="E253"/>
    <hyperlink r:id="rId730" ref="B254"/>
    <hyperlink r:id="rId731" ref="C254"/>
    <hyperlink r:id="rId732" ref="E254"/>
    <hyperlink r:id="rId733" ref="B255"/>
    <hyperlink r:id="rId734" ref="C255"/>
    <hyperlink r:id="rId735" ref="E255"/>
    <hyperlink r:id="rId736" ref="B256"/>
    <hyperlink r:id="rId737" ref="C256"/>
    <hyperlink r:id="rId738" ref="E256"/>
    <hyperlink r:id="rId739" ref="B257"/>
    <hyperlink r:id="rId740" ref="C257"/>
    <hyperlink r:id="rId741" ref="E257"/>
    <hyperlink r:id="rId742" ref="E258"/>
    <hyperlink r:id="rId743" ref="B259"/>
    <hyperlink r:id="rId744" ref="C259"/>
    <hyperlink r:id="rId745" ref="E259"/>
    <hyperlink r:id="rId746" ref="B260"/>
    <hyperlink r:id="rId747" ref="C260"/>
    <hyperlink r:id="rId748" ref="E260"/>
    <hyperlink r:id="rId749" ref="B262"/>
    <hyperlink r:id="rId750" ref="C262"/>
    <hyperlink r:id="rId751" ref="E262"/>
    <hyperlink r:id="rId752" ref="B263"/>
    <hyperlink r:id="rId753" ref="C263"/>
    <hyperlink r:id="rId754" ref="E263"/>
    <hyperlink r:id="rId755" ref="B264"/>
    <hyperlink r:id="rId756" ref="C264"/>
    <hyperlink r:id="rId757" ref="E264"/>
    <hyperlink r:id="rId758" ref="B265"/>
    <hyperlink r:id="rId759" ref="C265"/>
    <hyperlink r:id="rId760" ref="E265"/>
    <hyperlink r:id="rId761" ref="B266"/>
    <hyperlink r:id="rId762" ref="C266"/>
    <hyperlink r:id="rId763" ref="E266"/>
    <hyperlink r:id="rId764" ref="B267"/>
    <hyperlink r:id="rId765" ref="C267"/>
    <hyperlink r:id="rId766" ref="E267"/>
    <hyperlink r:id="rId767" ref="B268"/>
    <hyperlink r:id="rId768" ref="C268"/>
    <hyperlink r:id="rId769" ref="E268"/>
    <hyperlink r:id="rId770" ref="B269"/>
    <hyperlink r:id="rId771" ref="C269"/>
    <hyperlink r:id="rId772" ref="E269"/>
    <hyperlink r:id="rId773" ref="B270"/>
    <hyperlink r:id="rId774" ref="C270"/>
    <hyperlink r:id="rId775" ref="E270"/>
    <hyperlink r:id="rId776" ref="B271"/>
    <hyperlink r:id="rId777" ref="C271"/>
    <hyperlink r:id="rId778" ref="E271"/>
    <hyperlink r:id="rId779" ref="B272"/>
    <hyperlink r:id="rId780" ref="C272"/>
    <hyperlink r:id="rId781" ref="E272"/>
    <hyperlink r:id="rId782" ref="B273"/>
    <hyperlink r:id="rId783" ref="C273"/>
    <hyperlink r:id="rId784" ref="E273"/>
    <hyperlink r:id="rId785" ref="B274"/>
    <hyperlink r:id="rId786" ref="C274"/>
    <hyperlink r:id="rId787" ref="E274"/>
    <hyperlink r:id="rId788" ref="B275"/>
    <hyperlink r:id="rId789" ref="C275"/>
    <hyperlink r:id="rId790" ref="E275"/>
    <hyperlink r:id="rId791" ref="B276"/>
    <hyperlink r:id="rId792" ref="C276"/>
    <hyperlink r:id="rId793" ref="E276"/>
    <hyperlink r:id="rId794" ref="B277"/>
    <hyperlink r:id="rId795" ref="C277"/>
    <hyperlink r:id="rId796" ref="E277"/>
    <hyperlink r:id="rId797" ref="B278"/>
    <hyperlink r:id="rId798" ref="C278"/>
    <hyperlink r:id="rId799" ref="E278"/>
    <hyperlink r:id="rId800" ref="B279"/>
    <hyperlink r:id="rId801" ref="C279"/>
    <hyperlink r:id="rId802" ref="E279"/>
    <hyperlink r:id="rId803" ref="B280"/>
    <hyperlink r:id="rId804" ref="C280"/>
    <hyperlink r:id="rId805" ref="E280"/>
    <hyperlink r:id="rId806" ref="B281"/>
    <hyperlink r:id="rId807" ref="C281"/>
    <hyperlink r:id="rId808" ref="E281"/>
    <hyperlink r:id="rId809" ref="B282"/>
    <hyperlink r:id="rId810" ref="C282"/>
    <hyperlink r:id="rId811" ref="E282"/>
    <hyperlink r:id="rId812" ref="B283"/>
    <hyperlink r:id="rId813" ref="C283"/>
    <hyperlink r:id="rId814" ref="E283"/>
    <hyperlink r:id="rId815" ref="B284"/>
    <hyperlink r:id="rId816" ref="C284"/>
    <hyperlink r:id="rId817" ref="E284"/>
    <hyperlink r:id="rId818" ref="B285"/>
    <hyperlink r:id="rId819" ref="C285"/>
    <hyperlink r:id="rId820" ref="E285"/>
    <hyperlink r:id="rId821" ref="B286"/>
    <hyperlink r:id="rId822" ref="C286"/>
    <hyperlink r:id="rId823" ref="E286"/>
    <hyperlink r:id="rId824" ref="B288"/>
    <hyperlink r:id="rId825" ref="C288"/>
    <hyperlink r:id="rId826" ref="E288"/>
    <hyperlink r:id="rId827" ref="B289"/>
    <hyperlink r:id="rId828" ref="C289"/>
    <hyperlink r:id="rId829" ref="E289"/>
    <hyperlink r:id="rId830" ref="B290"/>
    <hyperlink r:id="rId831" ref="C290"/>
    <hyperlink r:id="rId832" ref="E290"/>
    <hyperlink r:id="rId833" ref="B291"/>
    <hyperlink r:id="rId834" ref="C291"/>
    <hyperlink r:id="rId835" ref="E291"/>
    <hyperlink r:id="rId836" ref="B292"/>
    <hyperlink r:id="rId837" ref="C292"/>
    <hyperlink r:id="rId838" ref="E292"/>
    <hyperlink r:id="rId839" ref="B293"/>
    <hyperlink r:id="rId840" ref="C293"/>
    <hyperlink r:id="rId841" ref="E293"/>
    <hyperlink r:id="rId842" ref="B294"/>
    <hyperlink r:id="rId843" ref="C294"/>
    <hyperlink r:id="rId844" ref="E294"/>
    <hyperlink r:id="rId845" ref="B295"/>
    <hyperlink r:id="rId846" ref="C295"/>
    <hyperlink r:id="rId847" ref="E295"/>
    <hyperlink r:id="rId848" ref="B296"/>
    <hyperlink r:id="rId849" ref="C296"/>
    <hyperlink r:id="rId850" ref="E296"/>
    <hyperlink r:id="rId851" ref="B297"/>
    <hyperlink r:id="rId852" ref="C297"/>
    <hyperlink r:id="rId853" ref="E297"/>
    <hyperlink r:id="rId854" ref="B298"/>
    <hyperlink r:id="rId855" ref="C298"/>
    <hyperlink r:id="rId856" ref="E298"/>
    <hyperlink r:id="rId857" ref="B299"/>
    <hyperlink r:id="rId858" ref="C299"/>
    <hyperlink r:id="rId859" ref="E299"/>
    <hyperlink r:id="rId860" ref="B300"/>
    <hyperlink r:id="rId861" ref="C300"/>
    <hyperlink r:id="rId862" ref="E300"/>
    <hyperlink r:id="rId863" ref="B301"/>
    <hyperlink r:id="rId864" ref="C301"/>
    <hyperlink r:id="rId865" ref="E301"/>
    <hyperlink r:id="rId866" ref="B302"/>
    <hyperlink r:id="rId867" ref="C302"/>
    <hyperlink r:id="rId868" ref="E302"/>
    <hyperlink r:id="rId869" ref="B303"/>
    <hyperlink r:id="rId870" ref="C303"/>
    <hyperlink r:id="rId871" ref="E303"/>
    <hyperlink r:id="rId872" ref="B304"/>
    <hyperlink r:id="rId873" ref="C304"/>
    <hyperlink r:id="rId874" ref="E304"/>
    <hyperlink r:id="rId875" ref="B305"/>
    <hyperlink r:id="rId876" ref="C305"/>
    <hyperlink r:id="rId877" ref="E305"/>
    <hyperlink r:id="rId878" ref="B306"/>
    <hyperlink r:id="rId879" ref="C306"/>
    <hyperlink r:id="rId880" ref="E306"/>
    <hyperlink r:id="rId881" ref="B307"/>
    <hyperlink r:id="rId882" ref="C307"/>
    <hyperlink r:id="rId883" ref="E307"/>
    <hyperlink r:id="rId884" ref="B308"/>
    <hyperlink r:id="rId885" ref="C308"/>
    <hyperlink r:id="rId886" ref="E308"/>
    <hyperlink r:id="rId887" ref="B309"/>
    <hyperlink r:id="rId888" ref="C309"/>
    <hyperlink r:id="rId889" ref="E309"/>
    <hyperlink r:id="rId890" ref="B310"/>
    <hyperlink r:id="rId891" ref="C310"/>
    <hyperlink r:id="rId892" ref="E310"/>
    <hyperlink r:id="rId893" ref="B311"/>
    <hyperlink r:id="rId894" ref="C311"/>
    <hyperlink r:id="rId895" ref="E311"/>
    <hyperlink r:id="rId896" ref="B312"/>
    <hyperlink r:id="rId897" ref="C312"/>
    <hyperlink r:id="rId898" ref="E312"/>
    <hyperlink r:id="rId899" ref="B314"/>
    <hyperlink r:id="rId900" ref="C314"/>
    <hyperlink r:id="rId901" ref="E314"/>
    <hyperlink r:id="rId902" ref="B315"/>
    <hyperlink r:id="rId903" ref="C315"/>
    <hyperlink r:id="rId904" ref="E315"/>
    <hyperlink r:id="rId905" ref="B316"/>
    <hyperlink r:id="rId906" ref="C316"/>
    <hyperlink r:id="rId907" ref="E316"/>
    <hyperlink r:id="rId908" ref="B317"/>
    <hyperlink r:id="rId909" ref="C317"/>
    <hyperlink r:id="rId910" ref="E317"/>
    <hyperlink r:id="rId911" ref="B318"/>
    <hyperlink r:id="rId912" ref="C318"/>
    <hyperlink r:id="rId913" ref="E318"/>
    <hyperlink r:id="rId914" ref="B319"/>
    <hyperlink r:id="rId915" ref="C319"/>
    <hyperlink r:id="rId916" ref="E319"/>
    <hyperlink r:id="rId917" ref="B320"/>
    <hyperlink r:id="rId918" ref="C320"/>
    <hyperlink r:id="rId919" ref="E320"/>
    <hyperlink r:id="rId920" ref="B321"/>
    <hyperlink r:id="rId921" ref="C321"/>
    <hyperlink r:id="rId922" ref="E321"/>
    <hyperlink r:id="rId923" ref="B322"/>
    <hyperlink r:id="rId924" ref="C322"/>
    <hyperlink r:id="rId925" ref="E322"/>
    <hyperlink r:id="rId926" ref="B323"/>
    <hyperlink r:id="rId927" ref="C323"/>
    <hyperlink r:id="rId928" ref="E323"/>
    <hyperlink r:id="rId929" ref="B324"/>
    <hyperlink r:id="rId930" ref="C324"/>
    <hyperlink r:id="rId931" ref="E324"/>
    <hyperlink r:id="rId932" ref="B325"/>
    <hyperlink r:id="rId933" ref="C325"/>
    <hyperlink r:id="rId934" ref="E325"/>
    <hyperlink r:id="rId935" ref="B326"/>
    <hyperlink r:id="rId936" ref="C326"/>
    <hyperlink r:id="rId937" ref="E326"/>
    <hyperlink r:id="rId938" ref="B327"/>
    <hyperlink r:id="rId939" ref="C327"/>
    <hyperlink r:id="rId940" ref="E327"/>
    <hyperlink r:id="rId941" ref="B328"/>
    <hyperlink r:id="rId942" ref="C328"/>
    <hyperlink r:id="rId943" ref="E328"/>
    <hyperlink r:id="rId944" ref="B329"/>
    <hyperlink r:id="rId945" ref="C329"/>
    <hyperlink r:id="rId946" ref="E329"/>
    <hyperlink r:id="rId947" ref="E330"/>
    <hyperlink r:id="rId948" ref="B331"/>
    <hyperlink r:id="rId949" ref="C331"/>
    <hyperlink r:id="rId950" ref="E331"/>
    <hyperlink r:id="rId951" ref="B332"/>
    <hyperlink r:id="rId952" ref="C332"/>
    <hyperlink r:id="rId953" ref="E332"/>
    <hyperlink r:id="rId954" ref="B333"/>
    <hyperlink r:id="rId955" ref="C333"/>
    <hyperlink r:id="rId956" ref="E333"/>
    <hyperlink r:id="rId957" ref="B334"/>
    <hyperlink r:id="rId958" ref="C334"/>
    <hyperlink r:id="rId959" ref="E334"/>
    <hyperlink r:id="rId960" ref="B335"/>
    <hyperlink r:id="rId961" ref="C335"/>
    <hyperlink r:id="rId962" ref="E335"/>
    <hyperlink r:id="rId963" ref="B336"/>
    <hyperlink r:id="rId964" ref="C336"/>
    <hyperlink r:id="rId965" ref="E336"/>
    <hyperlink r:id="rId966" ref="B337"/>
    <hyperlink r:id="rId967" ref="C337"/>
    <hyperlink r:id="rId968" ref="E337"/>
    <hyperlink r:id="rId969" ref="B338"/>
    <hyperlink r:id="rId970" ref="C338"/>
    <hyperlink r:id="rId971" ref="E338"/>
    <hyperlink r:id="rId972" ref="B340"/>
    <hyperlink r:id="rId973" ref="C340"/>
    <hyperlink r:id="rId974" ref="E340"/>
    <hyperlink r:id="rId975" ref="B341"/>
    <hyperlink r:id="rId976" ref="C341"/>
    <hyperlink r:id="rId977" ref="E341"/>
    <hyperlink r:id="rId978" ref="B342"/>
    <hyperlink r:id="rId979" ref="C342"/>
    <hyperlink r:id="rId980" ref="E342"/>
    <hyperlink r:id="rId981" ref="B343"/>
    <hyperlink r:id="rId982" ref="C343"/>
    <hyperlink r:id="rId983" ref="E343"/>
    <hyperlink r:id="rId984" ref="B344"/>
    <hyperlink r:id="rId985" ref="C344"/>
    <hyperlink r:id="rId986" ref="E344"/>
    <hyperlink r:id="rId987" ref="B345"/>
    <hyperlink r:id="rId988" ref="C345"/>
    <hyperlink r:id="rId989" ref="E345"/>
    <hyperlink r:id="rId990" ref="B346"/>
    <hyperlink r:id="rId991" ref="C346"/>
    <hyperlink r:id="rId992" ref="E346"/>
    <hyperlink r:id="rId993" ref="B347"/>
    <hyperlink r:id="rId994" ref="C347"/>
    <hyperlink r:id="rId995" ref="E347"/>
    <hyperlink r:id="rId996" ref="B348"/>
    <hyperlink r:id="rId997" ref="C348"/>
    <hyperlink r:id="rId998" ref="E348"/>
    <hyperlink r:id="rId999" ref="B349"/>
    <hyperlink r:id="rId1000" ref="C349"/>
    <hyperlink r:id="rId1001" ref="E349"/>
    <hyperlink r:id="rId1002" ref="B350"/>
    <hyperlink r:id="rId1003" ref="C350"/>
    <hyperlink r:id="rId1004" ref="E350"/>
    <hyperlink r:id="rId1005" ref="B351"/>
    <hyperlink r:id="rId1006" ref="C351"/>
    <hyperlink r:id="rId1007" ref="E351"/>
    <hyperlink r:id="rId1008" ref="B352"/>
    <hyperlink r:id="rId1009" ref="C352"/>
    <hyperlink r:id="rId1010" ref="E352"/>
    <hyperlink r:id="rId1011" ref="B353"/>
    <hyperlink r:id="rId1012" ref="C353"/>
    <hyperlink r:id="rId1013" ref="E353"/>
    <hyperlink r:id="rId1014" ref="B354"/>
    <hyperlink r:id="rId1015" ref="C354"/>
    <hyperlink r:id="rId1016" ref="E354"/>
    <hyperlink r:id="rId1017" ref="B355"/>
    <hyperlink r:id="rId1018" ref="C355"/>
    <hyperlink r:id="rId1019" ref="E355"/>
    <hyperlink r:id="rId1020" ref="B356"/>
    <hyperlink r:id="rId1021" ref="C356"/>
    <hyperlink r:id="rId1022" ref="E356"/>
    <hyperlink r:id="rId1023" ref="B357"/>
    <hyperlink r:id="rId1024" ref="C357"/>
    <hyperlink r:id="rId1025" ref="E357"/>
    <hyperlink r:id="rId1026" ref="B358"/>
    <hyperlink r:id="rId1027" ref="C358"/>
    <hyperlink r:id="rId1028" ref="E358"/>
    <hyperlink r:id="rId1029" ref="E359"/>
    <hyperlink r:id="rId1030" ref="B360"/>
    <hyperlink r:id="rId1031" ref="C360"/>
    <hyperlink r:id="rId1032" ref="E360"/>
    <hyperlink r:id="rId1033" ref="B361"/>
    <hyperlink r:id="rId1034" ref="C361"/>
    <hyperlink r:id="rId1035" ref="E361"/>
    <hyperlink r:id="rId1036" ref="B362"/>
    <hyperlink r:id="rId1037" ref="C362"/>
    <hyperlink r:id="rId1038" ref="E362"/>
    <hyperlink r:id="rId1039" ref="B363"/>
    <hyperlink r:id="rId1040" ref="C363"/>
    <hyperlink r:id="rId1041" ref="E363"/>
    <hyperlink r:id="rId1042" ref="B364"/>
    <hyperlink r:id="rId1043" ref="C364"/>
    <hyperlink r:id="rId1044" ref="E364"/>
    <hyperlink r:id="rId1045" ref="B366"/>
    <hyperlink r:id="rId1046" ref="C366"/>
    <hyperlink r:id="rId1047" ref="E366"/>
    <hyperlink r:id="rId1048" ref="B367"/>
    <hyperlink r:id="rId1049" ref="C367"/>
    <hyperlink r:id="rId1050" ref="E367"/>
    <hyperlink r:id="rId1051" ref="B368"/>
    <hyperlink r:id="rId1052" ref="C368"/>
    <hyperlink r:id="rId1053" ref="E368"/>
    <hyperlink r:id="rId1054" ref="B369"/>
    <hyperlink r:id="rId1055" ref="C369"/>
    <hyperlink r:id="rId1056" ref="E369"/>
    <hyperlink r:id="rId1057" ref="B370"/>
    <hyperlink r:id="rId1058" ref="C370"/>
    <hyperlink r:id="rId1059" ref="E370"/>
    <hyperlink r:id="rId1060" ref="B371"/>
    <hyperlink r:id="rId1061" ref="C371"/>
    <hyperlink r:id="rId1062" ref="E371"/>
    <hyperlink r:id="rId1063" ref="B372"/>
    <hyperlink r:id="rId1064" ref="C372"/>
    <hyperlink r:id="rId1065" ref="E372"/>
    <hyperlink r:id="rId1066" ref="B373"/>
    <hyperlink r:id="rId1067" ref="C373"/>
    <hyperlink r:id="rId1068" ref="E373"/>
    <hyperlink r:id="rId1069" ref="B374"/>
    <hyperlink r:id="rId1070" ref="C374"/>
    <hyperlink r:id="rId1071" ref="E374"/>
    <hyperlink r:id="rId1072" ref="B375"/>
    <hyperlink r:id="rId1073" ref="C375"/>
    <hyperlink r:id="rId1074" ref="E375"/>
    <hyperlink r:id="rId1075" ref="B376"/>
    <hyperlink r:id="rId1076" ref="C376"/>
    <hyperlink r:id="rId1077" ref="E376"/>
    <hyperlink r:id="rId1078" ref="B377"/>
    <hyperlink r:id="rId1079" ref="C377"/>
    <hyperlink r:id="rId1080" ref="E377"/>
    <hyperlink r:id="rId1081" ref="B378"/>
    <hyperlink r:id="rId1082" ref="C378"/>
    <hyperlink r:id="rId1083" ref="E378"/>
    <hyperlink r:id="rId1084" ref="B379"/>
    <hyperlink r:id="rId1085" ref="C379"/>
    <hyperlink r:id="rId1086" ref="E379"/>
    <hyperlink r:id="rId1087" ref="B380"/>
    <hyperlink r:id="rId1088" ref="C380"/>
    <hyperlink r:id="rId1089" ref="E380"/>
    <hyperlink r:id="rId1090" ref="B381"/>
    <hyperlink r:id="rId1091" ref="C381"/>
    <hyperlink r:id="rId1092" ref="E381"/>
    <hyperlink r:id="rId1093" ref="B382"/>
    <hyperlink r:id="rId1094" ref="C382"/>
    <hyperlink r:id="rId1095" ref="E382"/>
    <hyperlink r:id="rId1096" ref="B383"/>
    <hyperlink r:id="rId1097" ref="C383"/>
    <hyperlink r:id="rId1098" ref="E383"/>
    <hyperlink r:id="rId1099" ref="B384"/>
    <hyperlink r:id="rId1100" ref="C384"/>
    <hyperlink r:id="rId1101" ref="E384"/>
    <hyperlink r:id="rId1102" ref="B385"/>
    <hyperlink r:id="rId1103" ref="C385"/>
    <hyperlink r:id="rId1104" ref="E385"/>
    <hyperlink r:id="rId1105" ref="B386"/>
    <hyperlink r:id="rId1106" ref="C386"/>
    <hyperlink r:id="rId1107" ref="E386"/>
    <hyperlink r:id="rId1108" ref="B387"/>
    <hyperlink r:id="rId1109" ref="C387"/>
    <hyperlink r:id="rId1110" ref="E387"/>
    <hyperlink r:id="rId1111" ref="B388"/>
    <hyperlink r:id="rId1112" ref="C388"/>
    <hyperlink r:id="rId1113" ref="E388"/>
    <hyperlink r:id="rId1114" ref="B389"/>
    <hyperlink r:id="rId1115" ref="C389"/>
    <hyperlink r:id="rId1116" ref="E389"/>
    <hyperlink r:id="rId1117" ref="B390"/>
    <hyperlink r:id="rId1118" ref="C390"/>
    <hyperlink r:id="rId1119" ref="E390"/>
    <hyperlink r:id="rId1120" ref="B392"/>
    <hyperlink r:id="rId1121" ref="C392"/>
    <hyperlink r:id="rId1122" ref="E392"/>
    <hyperlink r:id="rId1123" ref="E393"/>
    <hyperlink r:id="rId1124" ref="B394"/>
    <hyperlink r:id="rId1125" ref="C394"/>
    <hyperlink r:id="rId1126" ref="E394"/>
    <hyperlink r:id="rId1127" ref="B395"/>
    <hyperlink r:id="rId1128" ref="C395"/>
    <hyperlink r:id="rId1129" ref="E395"/>
    <hyperlink r:id="rId1130" ref="B396"/>
    <hyperlink r:id="rId1131" ref="C396"/>
    <hyperlink r:id="rId1132" ref="E396"/>
    <hyperlink r:id="rId1133" ref="B397"/>
    <hyperlink r:id="rId1134" ref="C397"/>
    <hyperlink r:id="rId1135" ref="E397"/>
    <hyperlink r:id="rId1136" ref="B398"/>
    <hyperlink r:id="rId1137" ref="C398"/>
    <hyperlink r:id="rId1138" ref="E398"/>
    <hyperlink r:id="rId1139" ref="B399"/>
    <hyperlink r:id="rId1140" ref="C399"/>
    <hyperlink r:id="rId1141" ref="E399"/>
    <hyperlink r:id="rId1142" ref="B400"/>
    <hyperlink r:id="rId1143" ref="C400"/>
    <hyperlink r:id="rId1144" ref="E400"/>
    <hyperlink r:id="rId1145" ref="B401"/>
    <hyperlink r:id="rId1146" ref="C401"/>
    <hyperlink r:id="rId1147" ref="E401"/>
    <hyperlink r:id="rId1148" ref="B402"/>
    <hyperlink r:id="rId1149" ref="C402"/>
    <hyperlink r:id="rId1150" ref="E402"/>
    <hyperlink r:id="rId1151" ref="B403"/>
    <hyperlink r:id="rId1152" ref="C403"/>
    <hyperlink r:id="rId1153" ref="E403"/>
    <hyperlink r:id="rId1154" ref="B404"/>
    <hyperlink r:id="rId1155" ref="C404"/>
    <hyperlink r:id="rId1156" ref="E404"/>
    <hyperlink r:id="rId1157" ref="B405"/>
    <hyperlink r:id="rId1158" ref="C405"/>
    <hyperlink r:id="rId1159" ref="E405"/>
    <hyperlink r:id="rId1160" ref="B406"/>
    <hyperlink r:id="rId1161" ref="C406"/>
    <hyperlink r:id="rId1162" ref="E406"/>
    <hyperlink r:id="rId1163" ref="B407"/>
    <hyperlink r:id="rId1164" ref="C407"/>
    <hyperlink r:id="rId1165" ref="E407"/>
    <hyperlink r:id="rId1166" ref="B408"/>
    <hyperlink r:id="rId1167" ref="C408"/>
    <hyperlink r:id="rId1168" ref="E408"/>
    <hyperlink r:id="rId1169" ref="B409"/>
    <hyperlink r:id="rId1170" ref="C409"/>
    <hyperlink r:id="rId1171" ref="E409"/>
    <hyperlink r:id="rId1172" ref="B410"/>
    <hyperlink r:id="rId1173" ref="C410"/>
    <hyperlink r:id="rId1174" ref="E410"/>
    <hyperlink r:id="rId1175" ref="B411"/>
    <hyperlink r:id="rId1176" ref="C411"/>
    <hyperlink r:id="rId1177" ref="E411"/>
    <hyperlink r:id="rId1178" ref="B412"/>
    <hyperlink r:id="rId1179" ref="C412"/>
    <hyperlink r:id="rId1180" ref="E412"/>
    <hyperlink r:id="rId1181" ref="B413"/>
    <hyperlink r:id="rId1182" ref="C413"/>
    <hyperlink r:id="rId1183" ref="E413"/>
    <hyperlink r:id="rId1184" ref="B414"/>
    <hyperlink r:id="rId1185" ref="C414"/>
    <hyperlink r:id="rId1186" ref="E414"/>
    <hyperlink r:id="rId1187" ref="B415"/>
    <hyperlink r:id="rId1188" ref="C415"/>
    <hyperlink r:id="rId1189" ref="E415"/>
    <hyperlink r:id="rId1190" ref="B416"/>
    <hyperlink r:id="rId1191" ref="C416"/>
    <hyperlink r:id="rId1192" ref="E416"/>
    <hyperlink r:id="rId1193" ref="B418"/>
    <hyperlink r:id="rId1194" ref="C418"/>
    <hyperlink r:id="rId1195" ref="E418"/>
    <hyperlink r:id="rId1196" ref="B419"/>
    <hyperlink r:id="rId1197" ref="C419"/>
    <hyperlink r:id="rId1198" ref="E419"/>
    <hyperlink r:id="rId1199" ref="B420"/>
    <hyperlink r:id="rId1200" ref="C420"/>
    <hyperlink r:id="rId1201" ref="E420"/>
    <hyperlink r:id="rId1202" ref="B421"/>
    <hyperlink r:id="rId1203" ref="C421"/>
    <hyperlink r:id="rId1204" ref="E421"/>
    <hyperlink r:id="rId1205" ref="B422"/>
    <hyperlink r:id="rId1206" ref="C422"/>
    <hyperlink r:id="rId1207" ref="E422"/>
    <hyperlink r:id="rId1208" ref="B423"/>
    <hyperlink r:id="rId1209" ref="C423"/>
    <hyperlink r:id="rId1210" ref="E423"/>
    <hyperlink r:id="rId1211" ref="B424"/>
    <hyperlink r:id="rId1212" ref="C424"/>
    <hyperlink r:id="rId1213" ref="E424"/>
    <hyperlink r:id="rId1214" ref="B425"/>
    <hyperlink r:id="rId1215" ref="C425"/>
    <hyperlink r:id="rId1216" ref="E425"/>
    <hyperlink r:id="rId1217" ref="B426"/>
    <hyperlink r:id="rId1218" ref="C426"/>
    <hyperlink r:id="rId1219" ref="E426"/>
    <hyperlink r:id="rId1220" ref="B427"/>
    <hyperlink r:id="rId1221" ref="C427"/>
    <hyperlink r:id="rId1222" ref="E427"/>
    <hyperlink r:id="rId1223" ref="B428"/>
    <hyperlink r:id="rId1224" ref="C428"/>
    <hyperlink r:id="rId1225" ref="E428"/>
    <hyperlink r:id="rId1226" ref="B429"/>
    <hyperlink r:id="rId1227" ref="C429"/>
    <hyperlink r:id="rId1228" ref="E429"/>
    <hyperlink r:id="rId1229" ref="B430"/>
    <hyperlink r:id="rId1230" ref="C430"/>
    <hyperlink r:id="rId1231" ref="E430"/>
    <hyperlink r:id="rId1232" ref="B431"/>
    <hyperlink r:id="rId1233" ref="C431"/>
    <hyperlink r:id="rId1234" ref="E431"/>
    <hyperlink r:id="rId1235" ref="B432"/>
    <hyperlink r:id="rId1236" ref="C432"/>
    <hyperlink r:id="rId1237" ref="E432"/>
    <hyperlink r:id="rId1238" ref="B433"/>
    <hyperlink r:id="rId1239" ref="C433"/>
    <hyperlink r:id="rId1240" ref="E433"/>
    <hyperlink r:id="rId1241" ref="B434"/>
    <hyperlink r:id="rId1242" ref="C434"/>
    <hyperlink r:id="rId1243" ref="E434"/>
    <hyperlink r:id="rId1244" ref="B435"/>
    <hyperlink r:id="rId1245" ref="C435"/>
    <hyperlink r:id="rId1246" ref="E435"/>
    <hyperlink r:id="rId1247" ref="E436"/>
    <hyperlink r:id="rId1248" ref="B437"/>
    <hyperlink r:id="rId1249" ref="C437"/>
    <hyperlink r:id="rId1250" ref="E437"/>
    <hyperlink r:id="rId1251" ref="B438"/>
    <hyperlink r:id="rId1252" ref="C438"/>
    <hyperlink r:id="rId1253" ref="E438"/>
    <hyperlink r:id="rId1254" ref="B439"/>
    <hyperlink r:id="rId1255" ref="C439"/>
    <hyperlink r:id="rId1256" ref="E439"/>
    <hyperlink r:id="rId1257" ref="B440"/>
    <hyperlink r:id="rId1258" ref="C440"/>
    <hyperlink r:id="rId1259" ref="E440"/>
    <hyperlink r:id="rId1260" ref="B441"/>
    <hyperlink r:id="rId1261" ref="C441"/>
    <hyperlink r:id="rId1262" ref="E441"/>
    <hyperlink r:id="rId1263" ref="B442"/>
    <hyperlink r:id="rId1264" ref="C442"/>
    <hyperlink r:id="rId1265" ref="E442"/>
    <hyperlink r:id="rId1266" ref="B444"/>
    <hyperlink r:id="rId1267" ref="C444"/>
    <hyperlink r:id="rId1268" ref="E444"/>
    <hyperlink r:id="rId1269" ref="B445"/>
    <hyperlink r:id="rId1270" ref="C445"/>
    <hyperlink r:id="rId1271" ref="E445"/>
    <hyperlink r:id="rId1272" ref="B446"/>
    <hyperlink r:id="rId1273" ref="C446"/>
    <hyperlink r:id="rId1274" ref="E446"/>
    <hyperlink r:id="rId1275" ref="B447"/>
    <hyperlink r:id="rId1276" ref="C447"/>
    <hyperlink r:id="rId1277" ref="E447"/>
    <hyperlink r:id="rId1278" ref="E448"/>
    <hyperlink r:id="rId1279" ref="B449"/>
    <hyperlink r:id="rId1280" ref="C449"/>
    <hyperlink r:id="rId1281" ref="E449"/>
    <hyperlink r:id="rId1282" ref="B450"/>
    <hyperlink r:id="rId1283" ref="C450"/>
    <hyperlink r:id="rId1284" ref="E450"/>
    <hyperlink r:id="rId1285" ref="B451"/>
    <hyperlink r:id="rId1286" ref="C451"/>
    <hyperlink r:id="rId1287" ref="E451"/>
    <hyperlink r:id="rId1288" ref="B452"/>
    <hyperlink r:id="rId1289" ref="C452"/>
    <hyperlink r:id="rId1290" ref="E452"/>
    <hyperlink r:id="rId1291" ref="B453"/>
    <hyperlink r:id="rId1292" ref="C453"/>
    <hyperlink r:id="rId1293" ref="E453"/>
    <hyperlink r:id="rId1294" ref="B454"/>
    <hyperlink r:id="rId1295" ref="C454"/>
    <hyperlink r:id="rId1296" ref="E454"/>
    <hyperlink r:id="rId1297" ref="B455"/>
    <hyperlink r:id="rId1298" ref="C455"/>
    <hyperlink r:id="rId1299" ref="E455"/>
    <hyperlink r:id="rId1300" ref="B456"/>
    <hyperlink r:id="rId1301" ref="C456"/>
    <hyperlink r:id="rId1302" ref="E456"/>
    <hyperlink r:id="rId1303" ref="B457"/>
    <hyperlink r:id="rId1304" ref="C457"/>
    <hyperlink r:id="rId1305" ref="E457"/>
    <hyperlink r:id="rId1306" ref="E458"/>
    <hyperlink r:id="rId1307" ref="B459"/>
    <hyperlink r:id="rId1308" ref="C459"/>
    <hyperlink r:id="rId1309" ref="E459"/>
    <hyperlink r:id="rId1310" ref="B460"/>
    <hyperlink r:id="rId1311" ref="C460"/>
    <hyperlink r:id="rId1312" ref="E460"/>
    <hyperlink r:id="rId1313" ref="B461"/>
    <hyperlink r:id="rId1314" ref="C461"/>
    <hyperlink r:id="rId1315" ref="E461"/>
    <hyperlink r:id="rId1316" ref="B462"/>
    <hyperlink r:id="rId1317" ref="C462"/>
    <hyperlink r:id="rId1318" ref="E462"/>
    <hyperlink r:id="rId1319" ref="B463"/>
    <hyperlink r:id="rId1320" ref="C463"/>
    <hyperlink r:id="rId1321" ref="E463"/>
    <hyperlink r:id="rId1322" ref="B464"/>
    <hyperlink r:id="rId1323" ref="C464"/>
    <hyperlink r:id="rId1324" ref="E464"/>
    <hyperlink r:id="rId1325" ref="B465"/>
    <hyperlink r:id="rId1326" ref="C465"/>
    <hyperlink r:id="rId1327" ref="E465"/>
    <hyperlink r:id="rId1328" ref="B466"/>
    <hyperlink r:id="rId1329" ref="C466"/>
    <hyperlink r:id="rId1330" ref="E466"/>
    <hyperlink r:id="rId1331" ref="B467"/>
    <hyperlink r:id="rId1332" ref="C467"/>
    <hyperlink r:id="rId1333" ref="E467"/>
    <hyperlink r:id="rId1334" ref="B468"/>
    <hyperlink r:id="rId1335" ref="C468"/>
    <hyperlink r:id="rId1336" ref="E468"/>
    <hyperlink r:id="rId1337" ref="B470"/>
    <hyperlink r:id="rId1338" ref="C470"/>
    <hyperlink r:id="rId1339" ref="E470"/>
    <hyperlink r:id="rId1340" ref="B471"/>
    <hyperlink r:id="rId1341" ref="C471"/>
    <hyperlink r:id="rId1342" ref="E471"/>
    <hyperlink r:id="rId1343" ref="B472"/>
    <hyperlink r:id="rId1344" ref="C472"/>
    <hyperlink r:id="rId1345" ref="E472"/>
    <hyperlink r:id="rId1346" ref="B473"/>
    <hyperlink r:id="rId1347" ref="C473"/>
    <hyperlink r:id="rId1348" ref="E473"/>
    <hyperlink r:id="rId1349" ref="B474"/>
    <hyperlink r:id="rId1350" ref="C474"/>
    <hyperlink r:id="rId1351" ref="E474"/>
    <hyperlink r:id="rId1352" ref="B475"/>
    <hyperlink r:id="rId1353" ref="C475"/>
    <hyperlink r:id="rId1354" ref="E475"/>
    <hyperlink r:id="rId1355" ref="E476"/>
    <hyperlink r:id="rId1356" ref="B477"/>
    <hyperlink r:id="rId1357" ref="C477"/>
    <hyperlink r:id="rId1358" ref="E477"/>
    <hyperlink r:id="rId1359" ref="B478"/>
    <hyperlink r:id="rId1360" ref="C478"/>
    <hyperlink r:id="rId1361" ref="E478"/>
    <hyperlink r:id="rId1362" ref="B479"/>
    <hyperlink r:id="rId1363" ref="C479"/>
    <hyperlink r:id="rId1364" ref="E479"/>
    <hyperlink r:id="rId1365" ref="B480"/>
    <hyperlink r:id="rId1366" ref="C480"/>
    <hyperlink r:id="rId1367" ref="E480"/>
    <hyperlink r:id="rId1368" ref="B481"/>
    <hyperlink r:id="rId1369" ref="C481"/>
    <hyperlink r:id="rId1370" ref="E481"/>
    <hyperlink r:id="rId1371" ref="B482"/>
    <hyperlink r:id="rId1372" ref="C482"/>
    <hyperlink r:id="rId1373" ref="E482"/>
    <hyperlink r:id="rId1374" ref="B483"/>
    <hyperlink r:id="rId1375" ref="C483"/>
    <hyperlink r:id="rId1376" ref="E483"/>
    <hyperlink r:id="rId1377" ref="B484"/>
    <hyperlink r:id="rId1378" ref="C484"/>
    <hyperlink r:id="rId1379" ref="E484"/>
    <hyperlink r:id="rId1380" ref="B485"/>
    <hyperlink r:id="rId1381" ref="C485"/>
    <hyperlink r:id="rId1382" ref="E485"/>
    <hyperlink r:id="rId1383" ref="B486"/>
    <hyperlink r:id="rId1384" ref="C486"/>
    <hyperlink r:id="rId1385" ref="E486"/>
    <hyperlink r:id="rId1386" ref="E487"/>
    <hyperlink r:id="rId1387" ref="B488"/>
    <hyperlink r:id="rId1388" ref="C488"/>
    <hyperlink r:id="rId1389" ref="E488"/>
    <hyperlink r:id="rId1390" ref="B489"/>
    <hyperlink r:id="rId1391" ref="C489"/>
    <hyperlink r:id="rId1392" ref="E489"/>
    <hyperlink r:id="rId1393" ref="B490"/>
    <hyperlink r:id="rId1394" ref="C490"/>
    <hyperlink r:id="rId1395" ref="E490"/>
    <hyperlink r:id="rId1396" ref="B491"/>
    <hyperlink r:id="rId1397" ref="C491"/>
    <hyperlink r:id="rId1398" ref="E491"/>
    <hyperlink r:id="rId1399" ref="B492"/>
    <hyperlink r:id="rId1400" ref="C492"/>
    <hyperlink r:id="rId1401" ref="E492"/>
    <hyperlink r:id="rId1402" ref="B493"/>
    <hyperlink r:id="rId1403" ref="C493"/>
    <hyperlink r:id="rId1404" ref="E493"/>
    <hyperlink r:id="rId1405" ref="B494"/>
    <hyperlink r:id="rId1406" ref="C494"/>
    <hyperlink r:id="rId1407" ref="E494"/>
    <hyperlink r:id="rId1408" ref="B496"/>
    <hyperlink r:id="rId1409" ref="C496"/>
    <hyperlink r:id="rId1410" ref="E496"/>
    <hyperlink r:id="rId1411" ref="E497"/>
    <hyperlink r:id="rId1412" ref="E498"/>
    <hyperlink r:id="rId1413" ref="B499"/>
    <hyperlink r:id="rId1414" ref="C499"/>
    <hyperlink r:id="rId1415" ref="E499"/>
    <hyperlink r:id="rId1416" ref="B500"/>
    <hyperlink r:id="rId1417" ref="C500"/>
    <hyperlink r:id="rId1418" ref="E500"/>
    <hyperlink r:id="rId1419" ref="B501"/>
    <hyperlink r:id="rId1420" ref="C501"/>
    <hyperlink r:id="rId1421" ref="E501"/>
    <hyperlink r:id="rId1422" ref="B502"/>
    <hyperlink r:id="rId1423" ref="C502"/>
    <hyperlink r:id="rId1424" ref="E502"/>
    <hyperlink r:id="rId1425" ref="B503"/>
    <hyperlink r:id="rId1426" ref="C503"/>
    <hyperlink r:id="rId1427" ref="E503"/>
    <hyperlink r:id="rId1428" ref="B504"/>
    <hyperlink r:id="rId1429" ref="C504"/>
    <hyperlink r:id="rId1430" ref="E504"/>
    <hyperlink r:id="rId1431" ref="B505"/>
    <hyperlink r:id="rId1432" ref="C505"/>
    <hyperlink r:id="rId1433" ref="E505"/>
    <hyperlink r:id="rId1434" ref="B506"/>
    <hyperlink r:id="rId1435" ref="C506"/>
    <hyperlink r:id="rId1436" ref="E506"/>
    <hyperlink r:id="rId1437" ref="B507"/>
    <hyperlink r:id="rId1438" ref="C507"/>
    <hyperlink r:id="rId1439" ref="E507"/>
    <hyperlink r:id="rId1440" ref="B508"/>
    <hyperlink r:id="rId1441" ref="C508"/>
    <hyperlink r:id="rId1442" ref="E508"/>
    <hyperlink r:id="rId1443" ref="B509"/>
    <hyperlink r:id="rId1444" ref="C509"/>
    <hyperlink r:id="rId1445" ref="E509"/>
    <hyperlink r:id="rId1446" ref="E510"/>
    <hyperlink r:id="rId1447" ref="B511"/>
    <hyperlink r:id="rId1448" ref="C511"/>
    <hyperlink r:id="rId1449" ref="E511"/>
    <hyperlink r:id="rId1450" ref="B512"/>
    <hyperlink r:id="rId1451" ref="C512"/>
    <hyperlink r:id="rId1452" ref="E512"/>
    <hyperlink r:id="rId1453" ref="B513"/>
    <hyperlink r:id="rId1454" ref="C513"/>
    <hyperlink r:id="rId1455" ref="E513"/>
    <hyperlink r:id="rId1456" ref="B514"/>
    <hyperlink r:id="rId1457" ref="C514"/>
    <hyperlink r:id="rId1458" ref="E514"/>
    <hyperlink r:id="rId1459" ref="B515"/>
    <hyperlink r:id="rId1460" ref="C515"/>
    <hyperlink r:id="rId1461" ref="E515"/>
    <hyperlink r:id="rId1462" ref="B516"/>
    <hyperlink r:id="rId1463" ref="C516"/>
    <hyperlink r:id="rId1464" ref="E516"/>
    <hyperlink r:id="rId1465" ref="B517"/>
    <hyperlink r:id="rId1466" ref="C517"/>
    <hyperlink r:id="rId1467" ref="E517"/>
    <hyperlink r:id="rId1468" ref="E518"/>
    <hyperlink r:id="rId1469" ref="B519"/>
    <hyperlink r:id="rId1470" ref="C519"/>
    <hyperlink r:id="rId1471" ref="E519"/>
    <hyperlink r:id="rId1472" ref="B520"/>
    <hyperlink r:id="rId1473" ref="C520"/>
    <hyperlink r:id="rId1474" ref="E520"/>
    <hyperlink r:id="rId1475" ref="B522"/>
    <hyperlink r:id="rId1476" ref="C522"/>
    <hyperlink r:id="rId1477" ref="E522"/>
    <hyperlink r:id="rId1478" ref="E523"/>
    <hyperlink r:id="rId1479" ref="B524"/>
    <hyperlink r:id="rId1480" ref="C524"/>
    <hyperlink r:id="rId1481" ref="E524"/>
    <hyperlink r:id="rId1482" ref="B525"/>
    <hyperlink r:id="rId1483" ref="C525"/>
    <hyperlink r:id="rId1484" ref="E525"/>
    <hyperlink r:id="rId1485" ref="B526"/>
    <hyperlink r:id="rId1486" ref="C526"/>
    <hyperlink r:id="rId1487" ref="E526"/>
    <hyperlink r:id="rId1488" ref="B527"/>
    <hyperlink r:id="rId1489" ref="C527"/>
    <hyperlink r:id="rId1490" ref="E527"/>
    <hyperlink r:id="rId1491" ref="B528"/>
    <hyperlink r:id="rId1492" ref="C528"/>
    <hyperlink r:id="rId1493" ref="E528"/>
    <hyperlink r:id="rId1494" ref="B529"/>
    <hyperlink r:id="rId1495" ref="C529"/>
    <hyperlink r:id="rId1496" ref="E529"/>
    <hyperlink r:id="rId1497" ref="B530"/>
    <hyperlink r:id="rId1498" ref="C530"/>
    <hyperlink r:id="rId1499" ref="E530"/>
    <hyperlink r:id="rId1500" ref="B531"/>
    <hyperlink r:id="rId1501" ref="C531"/>
    <hyperlink r:id="rId1502" ref="E531"/>
    <hyperlink r:id="rId1503" ref="B532"/>
    <hyperlink r:id="rId1504" ref="C532"/>
    <hyperlink r:id="rId1505" ref="E532"/>
    <hyperlink r:id="rId1506" ref="E533"/>
    <hyperlink r:id="rId1507" ref="B534"/>
    <hyperlink r:id="rId1508" ref="C534"/>
    <hyperlink r:id="rId1509" ref="E534"/>
    <hyperlink r:id="rId1510" ref="B535"/>
    <hyperlink r:id="rId1511" ref="C535"/>
    <hyperlink r:id="rId1512" ref="E535"/>
    <hyperlink r:id="rId1513" ref="B536"/>
    <hyperlink r:id="rId1514" ref="C536"/>
    <hyperlink r:id="rId1515" ref="E536"/>
    <hyperlink r:id="rId1516" ref="B537"/>
    <hyperlink r:id="rId1517" ref="C537"/>
    <hyperlink r:id="rId1518" ref="E537"/>
    <hyperlink r:id="rId1519" ref="B538"/>
    <hyperlink r:id="rId1520" ref="C538"/>
    <hyperlink r:id="rId1521" ref="E538"/>
    <hyperlink r:id="rId1522" ref="B539"/>
    <hyperlink r:id="rId1523" ref="C539"/>
    <hyperlink r:id="rId1524" ref="E539"/>
    <hyperlink r:id="rId1525" ref="B540"/>
    <hyperlink r:id="rId1526" ref="C540"/>
    <hyperlink r:id="rId1527" ref="E540"/>
    <hyperlink r:id="rId1528" ref="B541"/>
    <hyperlink r:id="rId1529" ref="C541"/>
    <hyperlink r:id="rId1530" ref="E541"/>
    <hyperlink r:id="rId1531" ref="B542"/>
    <hyperlink r:id="rId1532" ref="C542"/>
    <hyperlink r:id="rId1533" ref="E542"/>
    <hyperlink r:id="rId1534" ref="B543"/>
    <hyperlink r:id="rId1535" ref="C543"/>
    <hyperlink r:id="rId1536" ref="E543"/>
    <hyperlink r:id="rId1537" ref="B544"/>
    <hyperlink r:id="rId1538" ref="C544"/>
    <hyperlink r:id="rId1539" ref="E544"/>
    <hyperlink r:id="rId1540" ref="B545"/>
    <hyperlink r:id="rId1541" ref="C545"/>
    <hyperlink r:id="rId1542" ref="E545"/>
    <hyperlink r:id="rId1543" ref="B546"/>
    <hyperlink r:id="rId1544" ref="C546"/>
    <hyperlink r:id="rId1545" ref="E546"/>
    <hyperlink r:id="rId1546" ref="B548"/>
    <hyperlink r:id="rId1547" ref="C548"/>
    <hyperlink r:id="rId1548" ref="E548"/>
    <hyperlink r:id="rId1549" ref="E549"/>
    <hyperlink r:id="rId1550" ref="B550"/>
    <hyperlink r:id="rId1551" ref="C550"/>
    <hyperlink r:id="rId1552" ref="E550"/>
    <hyperlink r:id="rId1553" ref="B551"/>
    <hyperlink r:id="rId1554" ref="C551"/>
    <hyperlink r:id="rId1555" ref="E551"/>
    <hyperlink r:id="rId1556" ref="B552"/>
    <hyperlink r:id="rId1557" ref="C552"/>
    <hyperlink r:id="rId1558" ref="E552"/>
    <hyperlink r:id="rId1559" ref="B553"/>
    <hyperlink r:id="rId1560" ref="C553"/>
    <hyperlink r:id="rId1561" ref="E553"/>
    <hyperlink r:id="rId1562" ref="B554"/>
    <hyperlink r:id="rId1563" ref="C554"/>
    <hyperlink r:id="rId1564" ref="E554"/>
    <hyperlink r:id="rId1565" ref="B555"/>
    <hyperlink r:id="rId1566" ref="C555"/>
    <hyperlink r:id="rId1567" ref="E555"/>
    <hyperlink r:id="rId1568" ref="B556"/>
    <hyperlink r:id="rId1569" ref="C556"/>
    <hyperlink r:id="rId1570" ref="E556"/>
    <hyperlink r:id="rId1571" ref="E557"/>
    <hyperlink r:id="rId1572" ref="E558"/>
    <hyperlink r:id="rId1573" ref="B559"/>
    <hyperlink r:id="rId1574" ref="C559"/>
    <hyperlink r:id="rId1575" ref="E559"/>
    <hyperlink r:id="rId1576" ref="E560"/>
    <hyperlink r:id="rId1577" ref="B561"/>
    <hyperlink r:id="rId1578" ref="C561"/>
    <hyperlink r:id="rId1579" ref="E561"/>
    <hyperlink r:id="rId1580" ref="B562"/>
    <hyperlink r:id="rId1581" ref="C562"/>
    <hyperlink r:id="rId1582" ref="E562"/>
    <hyperlink r:id="rId1583" ref="B563"/>
    <hyperlink r:id="rId1584" ref="C563"/>
    <hyperlink r:id="rId1585" ref="E563"/>
    <hyperlink r:id="rId1586" ref="B564"/>
    <hyperlink r:id="rId1587" ref="C564"/>
    <hyperlink r:id="rId1588" ref="E564"/>
    <hyperlink r:id="rId1589" ref="E565"/>
    <hyperlink r:id="rId1590" ref="B566"/>
    <hyperlink r:id="rId1591" ref="C566"/>
    <hyperlink r:id="rId1592" ref="E566"/>
    <hyperlink r:id="rId1593" ref="B567"/>
    <hyperlink r:id="rId1594" ref="C567"/>
    <hyperlink r:id="rId1595" ref="E567"/>
    <hyperlink r:id="rId1596" ref="B568"/>
    <hyperlink r:id="rId1597" ref="C568"/>
    <hyperlink r:id="rId1598" ref="E568"/>
    <hyperlink r:id="rId1599" ref="E569"/>
    <hyperlink r:id="rId1600" ref="B570"/>
    <hyperlink r:id="rId1601" ref="C570"/>
    <hyperlink r:id="rId1602" ref="E570"/>
    <hyperlink r:id="rId1603" ref="B571"/>
    <hyperlink r:id="rId1604" ref="C571"/>
    <hyperlink r:id="rId1605" ref="E571"/>
    <hyperlink r:id="rId1606" ref="B572"/>
    <hyperlink r:id="rId1607" ref="C572"/>
    <hyperlink r:id="rId1608" ref="E572"/>
    <hyperlink r:id="rId1609" ref="B574"/>
    <hyperlink r:id="rId1610" ref="C574"/>
    <hyperlink r:id="rId1611" ref="E574"/>
    <hyperlink r:id="rId1612" ref="E575"/>
    <hyperlink r:id="rId1613" ref="B576"/>
    <hyperlink r:id="rId1614" ref="C576"/>
    <hyperlink r:id="rId1615" ref="E576"/>
    <hyperlink r:id="rId1616" ref="E577"/>
    <hyperlink r:id="rId1617" ref="B578"/>
    <hyperlink r:id="rId1618" ref="C578"/>
    <hyperlink r:id="rId1619" ref="E578"/>
    <hyperlink r:id="rId1620" ref="B579"/>
    <hyperlink r:id="rId1621" ref="C579"/>
    <hyperlink r:id="rId1622" ref="E579"/>
    <hyperlink r:id="rId1623" ref="B580"/>
    <hyperlink r:id="rId1624" ref="C580"/>
    <hyperlink r:id="rId1625" ref="E580"/>
    <hyperlink r:id="rId1626" ref="E581"/>
    <hyperlink r:id="rId1627" ref="B582"/>
    <hyperlink r:id="rId1628" ref="C582"/>
    <hyperlink r:id="rId1629" ref="E582"/>
    <hyperlink r:id="rId1630" ref="B583"/>
    <hyperlink r:id="rId1631" ref="C583"/>
    <hyperlink r:id="rId1632" ref="E583"/>
    <hyperlink r:id="rId1633" ref="B584"/>
    <hyperlink r:id="rId1634" ref="C584"/>
    <hyperlink r:id="rId1635" ref="E584"/>
    <hyperlink r:id="rId1636" ref="B585"/>
    <hyperlink r:id="rId1637" ref="C585"/>
    <hyperlink r:id="rId1638" ref="E585"/>
    <hyperlink r:id="rId1639" ref="B586"/>
    <hyperlink r:id="rId1640" ref="C586"/>
    <hyperlink r:id="rId1641" ref="E586"/>
    <hyperlink r:id="rId1642" ref="B587"/>
    <hyperlink r:id="rId1643" ref="C587"/>
    <hyperlink r:id="rId1644" ref="E587"/>
    <hyperlink r:id="rId1645" ref="B588"/>
    <hyperlink r:id="rId1646" ref="C588"/>
    <hyperlink r:id="rId1647" ref="E588"/>
    <hyperlink r:id="rId1648" ref="B589"/>
    <hyperlink r:id="rId1649" ref="C589"/>
    <hyperlink r:id="rId1650" ref="E589"/>
    <hyperlink r:id="rId1651" ref="B590"/>
    <hyperlink r:id="rId1652" ref="C590"/>
    <hyperlink r:id="rId1653" ref="E590"/>
    <hyperlink r:id="rId1654" ref="E591"/>
    <hyperlink r:id="rId1655" ref="B592"/>
    <hyperlink r:id="rId1656" ref="C592"/>
    <hyperlink r:id="rId1657" ref="E592"/>
    <hyperlink r:id="rId1658" ref="B593"/>
    <hyperlink r:id="rId1659" ref="C593"/>
    <hyperlink r:id="rId1660" ref="E593"/>
    <hyperlink r:id="rId1661" ref="E594"/>
    <hyperlink r:id="rId1662" ref="E595"/>
    <hyperlink r:id="rId1663" ref="E596"/>
    <hyperlink r:id="rId1664" ref="B597"/>
    <hyperlink r:id="rId1665" ref="C597"/>
    <hyperlink r:id="rId1666" ref="E597"/>
    <hyperlink r:id="rId1667" ref="B598"/>
    <hyperlink r:id="rId1668" ref="C598"/>
    <hyperlink r:id="rId1669" ref="E598"/>
    <hyperlink r:id="rId1670" ref="E600"/>
    <hyperlink r:id="rId1671" ref="E601"/>
    <hyperlink r:id="rId1672" ref="B602"/>
    <hyperlink r:id="rId1673" ref="C602"/>
    <hyperlink r:id="rId1674" ref="E602"/>
    <hyperlink r:id="rId1675" ref="B603"/>
    <hyperlink r:id="rId1676" ref="C603"/>
    <hyperlink r:id="rId1677" ref="E603"/>
    <hyperlink r:id="rId1678" ref="B604"/>
    <hyperlink r:id="rId1679" ref="C604"/>
    <hyperlink r:id="rId1680" ref="E604"/>
    <hyperlink r:id="rId1681" ref="B605"/>
    <hyperlink r:id="rId1682" ref="C605"/>
    <hyperlink r:id="rId1683" ref="E605"/>
    <hyperlink r:id="rId1684" ref="B606"/>
    <hyperlink r:id="rId1685" ref="C606"/>
    <hyperlink r:id="rId1686" ref="E606"/>
    <hyperlink r:id="rId1687" ref="E607"/>
    <hyperlink r:id="rId1688" ref="B608"/>
    <hyperlink r:id="rId1689" ref="C608"/>
    <hyperlink r:id="rId1690" ref="E608"/>
    <hyperlink r:id="rId1691" ref="B609"/>
    <hyperlink r:id="rId1692" ref="C609"/>
    <hyperlink r:id="rId1693" ref="E609"/>
    <hyperlink r:id="rId1694" ref="E610"/>
    <hyperlink r:id="rId1695" ref="B611"/>
    <hyperlink r:id="rId1696" ref="C611"/>
    <hyperlink r:id="rId1697" ref="E611"/>
    <hyperlink r:id="rId1698" ref="E612"/>
    <hyperlink r:id="rId1699" ref="B613"/>
    <hyperlink r:id="rId1700" ref="C613"/>
    <hyperlink r:id="rId1701" ref="E613"/>
    <hyperlink r:id="rId1702" ref="E614"/>
    <hyperlink r:id="rId1703" ref="B615"/>
    <hyperlink r:id="rId1704" ref="C615"/>
    <hyperlink r:id="rId1705" ref="E615"/>
    <hyperlink r:id="rId1706" ref="B616"/>
    <hyperlink r:id="rId1707" ref="C616"/>
    <hyperlink r:id="rId1708" ref="E616"/>
    <hyperlink r:id="rId1709" ref="B617"/>
    <hyperlink r:id="rId1710" ref="C617"/>
    <hyperlink r:id="rId1711" ref="E617"/>
    <hyperlink r:id="rId1712" ref="B618"/>
    <hyperlink r:id="rId1713" ref="C618"/>
    <hyperlink r:id="rId1714" ref="E618"/>
    <hyperlink r:id="rId1715" ref="E619"/>
    <hyperlink r:id="rId1716" ref="E620"/>
    <hyperlink r:id="rId1717" ref="B621"/>
    <hyperlink r:id="rId1718" ref="C621"/>
    <hyperlink r:id="rId1719" ref="E621"/>
    <hyperlink r:id="rId1720" ref="E622"/>
    <hyperlink r:id="rId1721" ref="B623"/>
    <hyperlink r:id="rId1722" ref="C623"/>
    <hyperlink r:id="rId1723" ref="E623"/>
    <hyperlink r:id="rId1724" ref="E624"/>
    <hyperlink r:id="rId1725" ref="B626"/>
    <hyperlink r:id="rId1726" ref="C626"/>
    <hyperlink r:id="rId1727" ref="E626"/>
    <hyperlink r:id="rId1728" ref="E627"/>
    <hyperlink r:id="rId1729" ref="B628"/>
    <hyperlink r:id="rId1730" ref="C628"/>
    <hyperlink r:id="rId1731" ref="E628"/>
    <hyperlink r:id="rId1732" ref="E629"/>
    <hyperlink r:id="rId1733" ref="B630"/>
    <hyperlink r:id="rId1734" ref="C630"/>
    <hyperlink r:id="rId1735" ref="E630"/>
    <hyperlink r:id="rId1736" ref="B631"/>
    <hyperlink r:id="rId1737" ref="C631"/>
    <hyperlink r:id="rId1738" ref="E631"/>
    <hyperlink r:id="rId1739" ref="B632"/>
    <hyperlink r:id="rId1740" ref="C632"/>
    <hyperlink r:id="rId1741" ref="E632"/>
    <hyperlink r:id="rId1742" ref="B633"/>
    <hyperlink r:id="rId1743" ref="C633"/>
    <hyperlink r:id="rId1744" ref="E633"/>
    <hyperlink r:id="rId1745" ref="E634"/>
    <hyperlink r:id="rId1746" ref="E635"/>
    <hyperlink r:id="rId1747" ref="B636"/>
    <hyperlink r:id="rId1748" ref="C636"/>
    <hyperlink r:id="rId1749" ref="E636"/>
    <hyperlink r:id="rId1750" ref="E637"/>
    <hyperlink r:id="rId1751" ref="E638"/>
    <hyperlink r:id="rId1752" ref="E639"/>
    <hyperlink r:id="rId1753" ref="E640"/>
    <hyperlink r:id="rId1754" ref="E641"/>
    <hyperlink r:id="rId1755" ref="B642"/>
    <hyperlink r:id="rId1756" ref="C642"/>
    <hyperlink r:id="rId1757" ref="E642"/>
    <hyperlink r:id="rId1758" ref="B643"/>
    <hyperlink r:id="rId1759" ref="C643"/>
    <hyperlink r:id="rId1760" ref="E643"/>
    <hyperlink r:id="rId1761" ref="B644"/>
    <hyperlink r:id="rId1762" ref="C644"/>
    <hyperlink r:id="rId1763" ref="E644"/>
    <hyperlink r:id="rId1764" ref="E645"/>
    <hyperlink r:id="rId1765" ref="E646"/>
    <hyperlink r:id="rId1766" ref="E647"/>
    <hyperlink r:id="rId1767" ref="E648"/>
    <hyperlink r:id="rId1768" ref="E649"/>
    <hyperlink r:id="rId1769" ref="E650"/>
    <hyperlink r:id="rId1770" ref="E652"/>
    <hyperlink r:id="rId1771" ref="B653"/>
    <hyperlink r:id="rId1772" ref="C653"/>
    <hyperlink r:id="rId1773" ref="E653"/>
    <hyperlink r:id="rId1774" ref="E654"/>
    <hyperlink r:id="rId1775" ref="E655"/>
    <hyperlink r:id="rId1776" ref="B656"/>
    <hyperlink r:id="rId1777" ref="C656"/>
    <hyperlink r:id="rId1778" ref="E656"/>
    <hyperlink r:id="rId1779" ref="E657"/>
    <hyperlink r:id="rId1780" ref="E658"/>
    <hyperlink r:id="rId1781" ref="B659"/>
    <hyperlink r:id="rId1782" ref="C659"/>
    <hyperlink r:id="rId1783" ref="E659"/>
    <hyperlink r:id="rId1784" ref="E660"/>
    <hyperlink r:id="rId1785" ref="B661"/>
    <hyperlink r:id="rId1786" ref="C661"/>
    <hyperlink r:id="rId1787" ref="E661"/>
    <hyperlink r:id="rId1788" ref="E662"/>
    <hyperlink r:id="rId1789" ref="E663"/>
    <hyperlink r:id="rId1790" ref="E664"/>
    <hyperlink r:id="rId1791" ref="B665"/>
    <hyperlink r:id="rId1792" ref="C665"/>
    <hyperlink r:id="rId1793" ref="E665"/>
    <hyperlink r:id="rId1794" ref="E666"/>
    <hyperlink r:id="rId1795" ref="E667"/>
    <hyperlink r:id="rId1796" ref="E668"/>
    <hyperlink r:id="rId1797" ref="B669"/>
    <hyperlink r:id="rId1798" ref="C669"/>
    <hyperlink r:id="rId1799" ref="E669"/>
    <hyperlink r:id="rId1800" ref="B670"/>
    <hyperlink r:id="rId1801" ref="C670"/>
    <hyperlink r:id="rId1802" ref="E670"/>
    <hyperlink r:id="rId1803" ref="E671"/>
    <hyperlink r:id="rId1804" ref="B672"/>
    <hyperlink r:id="rId1805" ref="C672"/>
    <hyperlink r:id="rId1806" ref="E672"/>
    <hyperlink r:id="rId1807" ref="E673"/>
    <hyperlink r:id="rId1808" ref="E674"/>
    <hyperlink r:id="rId1809" ref="E675"/>
    <hyperlink r:id="rId1810" ref="E676"/>
    <hyperlink r:id="rId1811" ref="B678"/>
    <hyperlink r:id="rId1812" ref="C678"/>
    <hyperlink r:id="rId1813" ref="E678"/>
    <hyperlink r:id="rId1814" ref="E679"/>
    <hyperlink r:id="rId1815" ref="B680"/>
    <hyperlink r:id="rId1816" ref="C680"/>
    <hyperlink r:id="rId1817" ref="E680"/>
    <hyperlink r:id="rId1818" ref="E681"/>
    <hyperlink r:id="rId1819" ref="E682"/>
    <hyperlink r:id="rId1820" ref="B683"/>
    <hyperlink r:id="rId1821" ref="C683"/>
    <hyperlink r:id="rId1822" ref="E683"/>
    <hyperlink r:id="rId1823" ref="E684"/>
    <hyperlink r:id="rId1824" ref="E685"/>
    <hyperlink r:id="rId1825" ref="B686"/>
    <hyperlink r:id="rId1826" ref="C686"/>
    <hyperlink r:id="rId1827" ref="E686"/>
    <hyperlink r:id="rId1828" ref="B687"/>
    <hyperlink r:id="rId1829" ref="C687"/>
    <hyperlink r:id="rId1830" ref="E687"/>
    <hyperlink r:id="rId1831" ref="B688"/>
    <hyperlink r:id="rId1832" ref="C688"/>
    <hyperlink r:id="rId1833" ref="E688"/>
    <hyperlink r:id="rId1834" ref="E689"/>
    <hyperlink r:id="rId1835" ref="E690"/>
    <hyperlink r:id="rId1836" ref="E691"/>
    <hyperlink r:id="rId1837" ref="E692"/>
    <hyperlink r:id="rId1838" ref="E693"/>
    <hyperlink r:id="rId1839" ref="E694"/>
    <hyperlink r:id="rId1840" ref="B695"/>
    <hyperlink r:id="rId1841" ref="C695"/>
    <hyperlink r:id="rId1842" ref="E695"/>
    <hyperlink r:id="rId1843" ref="E696"/>
    <hyperlink r:id="rId1844" ref="E697"/>
    <hyperlink r:id="rId1845" ref="B698"/>
    <hyperlink r:id="rId1846" ref="C698"/>
    <hyperlink r:id="rId1847" ref="E698"/>
    <hyperlink r:id="rId1848" ref="B699"/>
    <hyperlink r:id="rId1849" ref="C699"/>
    <hyperlink r:id="rId1850" ref="E699"/>
  </hyperlinks>
  <drawing r:id="rId1851"/>
</worksheet>
</file>